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pivotTables/pivotTable1.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5.xml" ContentType="application/vnd.openxmlformats-officedocument.drawingml.chart+xml"/>
  <Override PartName="/xl/pivotTables/pivotTable3.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activeX/activeX1.xml" ContentType="application/vnd.ms-office.activeX+xml"/>
  <Override PartName="/xl/ctrlProps/ctrlProp1.xml" ContentType="application/vnd.ms-excel.controlproperties+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hidePivotFieldList="1"/>
  <mc:AlternateContent xmlns:mc="http://schemas.openxmlformats.org/markup-compatibility/2006">
    <mc:Choice Requires="x15">
      <x15ac:absPath xmlns:x15ac="http://schemas.microsoft.com/office/spreadsheetml/2010/11/ac" url="D:\Projects\Movies_Ranking\"/>
    </mc:Choice>
  </mc:AlternateContent>
  <xr:revisionPtr revIDLastSave="0" documentId="13_ncr:1_{CFCFDDB0-808C-49BC-9A2C-EF1662C5B70C}" xr6:coauthVersionLast="47" xr6:coauthVersionMax="47" xr10:uidLastSave="{00000000-0000-0000-0000-000000000000}"/>
  <bookViews>
    <workbookView xWindow="-120" yWindow="-120" windowWidth="29040" windowHeight="15720" activeTab="1" xr2:uid="{00000000-000D-0000-FFFF-FFFF00000000}"/>
  </bookViews>
  <sheets>
    <sheet name="Sheet1" sheetId="6" r:id="rId1"/>
    <sheet name="Dashboard" sheetId="8" r:id="rId2"/>
    <sheet name="Sheet2" sheetId="7" r:id="rId3"/>
    <sheet name="Top 10 all time" sheetId="10" r:id="rId4"/>
    <sheet name="Top of the year" sheetId="11" r:id="rId5"/>
    <sheet name="Sheet4" sheetId="5" r:id="rId6"/>
  </sheets>
  <definedNames>
    <definedName name="Slicer_Year">#N/A</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 i="6" l="1"/>
  <c r="G3" i="6"/>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12" i="6"/>
  <c r="G313" i="6"/>
  <c r="G314" i="6"/>
  <c r="G315" i="6"/>
  <c r="G316" i="6"/>
  <c r="G317" i="6"/>
  <c r="G318" i="6"/>
  <c r="G319" i="6"/>
  <c r="G320" i="6"/>
  <c r="G321" i="6"/>
  <c r="G322" i="6"/>
  <c r="G323" i="6"/>
  <c r="G324" i="6"/>
  <c r="G325" i="6"/>
  <c r="G326" i="6"/>
  <c r="G327" i="6"/>
  <c r="G328" i="6"/>
  <c r="G329" i="6"/>
  <c r="G330" i="6"/>
  <c r="G331" i="6"/>
  <c r="G332" i="6"/>
  <c r="G333" i="6"/>
  <c r="G334" i="6"/>
  <c r="G335" i="6"/>
  <c r="G336" i="6"/>
  <c r="G337" i="6"/>
  <c r="G338" i="6"/>
  <c r="G339" i="6"/>
  <c r="G340" i="6"/>
  <c r="G341" i="6"/>
  <c r="G342" i="6"/>
  <c r="G343" i="6"/>
  <c r="G344" i="6"/>
  <c r="G345" i="6"/>
  <c r="G346" i="6"/>
  <c r="G347" i="6"/>
  <c r="G348" i="6"/>
  <c r="G349" i="6"/>
  <c r="G350" i="6"/>
  <c r="G351" i="6"/>
  <c r="G352" i="6"/>
  <c r="G353" i="6"/>
  <c r="G354" i="6"/>
  <c r="G355" i="6"/>
  <c r="G356" i="6"/>
  <c r="G357" i="6"/>
  <c r="G358" i="6"/>
  <c r="G359" i="6"/>
  <c r="G360" i="6"/>
  <c r="G361" i="6"/>
  <c r="G362" i="6"/>
  <c r="G363" i="6"/>
  <c r="G364" i="6"/>
  <c r="G365" i="6"/>
  <c r="G366" i="6"/>
  <c r="G367" i="6"/>
  <c r="G368" i="6"/>
  <c r="G369" i="6"/>
  <c r="G370" i="6"/>
  <c r="G371" i="6"/>
  <c r="G372" i="6"/>
  <c r="G373" i="6"/>
  <c r="G374" i="6"/>
  <c r="G375" i="6"/>
  <c r="G376" i="6"/>
  <c r="G377" i="6"/>
  <c r="G378" i="6"/>
  <c r="G379" i="6"/>
  <c r="G380" i="6"/>
  <c r="G381" i="6"/>
  <c r="G382" i="6"/>
  <c r="G383" i="6"/>
  <c r="G384" i="6"/>
  <c r="G385" i="6"/>
  <c r="G386" i="6"/>
  <c r="G387" i="6"/>
  <c r="G388" i="6"/>
  <c r="G389" i="6"/>
  <c r="G390" i="6"/>
  <c r="G391" i="6"/>
  <c r="G392" i="6"/>
  <c r="G393" i="6"/>
  <c r="G394" i="6"/>
  <c r="G395" i="6"/>
  <c r="G396" i="6"/>
  <c r="G397" i="6"/>
  <c r="G398" i="6"/>
  <c r="G399" i="6"/>
  <c r="G400" i="6"/>
  <c r="G401" i="6"/>
  <c r="G402" i="6"/>
  <c r="G403" i="6"/>
  <c r="G404" i="6"/>
  <c r="G405" i="6"/>
  <c r="G406" i="6"/>
  <c r="G407" i="6"/>
  <c r="G408" i="6"/>
  <c r="G409" i="6"/>
  <c r="G410" i="6"/>
  <c r="G411" i="6"/>
  <c r="G412" i="6"/>
  <c r="G413" i="6"/>
  <c r="G414" i="6"/>
  <c r="G415" i="6"/>
  <c r="G416" i="6"/>
  <c r="G417" i="6"/>
  <c r="G418" i="6"/>
  <c r="G419" i="6"/>
  <c r="G420" i="6"/>
  <c r="G421" i="6"/>
  <c r="G422" i="6"/>
  <c r="G423" i="6"/>
  <c r="G424" i="6"/>
  <c r="G425" i="6"/>
  <c r="G426" i="6"/>
  <c r="G427" i="6"/>
  <c r="G428" i="6"/>
  <c r="G429" i="6"/>
  <c r="G430" i="6"/>
  <c r="G431" i="6"/>
  <c r="G432" i="6"/>
  <c r="G433" i="6"/>
  <c r="G434" i="6"/>
  <c r="G435" i="6"/>
  <c r="G436" i="6"/>
  <c r="G437" i="6"/>
  <c r="G438" i="6"/>
  <c r="G439" i="6"/>
  <c r="G440" i="6"/>
  <c r="G441" i="6"/>
  <c r="G442" i="6"/>
  <c r="G443" i="6"/>
  <c r="G444" i="6"/>
  <c r="G445" i="6"/>
  <c r="G446" i="6"/>
  <c r="G447" i="6"/>
  <c r="G448" i="6"/>
  <c r="G449" i="6"/>
  <c r="G450" i="6"/>
  <c r="G451" i="6"/>
  <c r="G452" i="6"/>
  <c r="G453" i="6"/>
  <c r="G454" i="6"/>
  <c r="G455" i="6"/>
  <c r="G456" i="6"/>
  <c r="G457" i="6"/>
  <c r="G458" i="6"/>
  <c r="G459" i="6"/>
  <c r="G460" i="6"/>
  <c r="G461" i="6"/>
  <c r="G462" i="6"/>
  <c r="G463" i="6"/>
  <c r="G464" i="6"/>
  <c r="G465" i="6"/>
  <c r="G466" i="6"/>
  <c r="G467" i="6"/>
  <c r="G468" i="6"/>
  <c r="G469" i="6"/>
  <c r="G470" i="6"/>
  <c r="G471" i="6"/>
  <c r="G472" i="6"/>
  <c r="G473" i="6"/>
  <c r="G474" i="6"/>
  <c r="G475" i="6"/>
  <c r="G476" i="6"/>
  <c r="G477" i="6"/>
  <c r="G478" i="6"/>
  <c r="G479" i="6"/>
  <c r="G480" i="6"/>
  <c r="G481" i="6"/>
  <c r="G482" i="6"/>
  <c r="G483" i="6"/>
  <c r="G484" i="6"/>
  <c r="G485" i="6"/>
  <c r="G486" i="6"/>
  <c r="G487" i="6"/>
  <c r="G488" i="6"/>
  <c r="G489" i="6"/>
  <c r="G490" i="6"/>
  <c r="G491" i="6"/>
  <c r="G492" i="6"/>
  <c r="G493" i="6"/>
  <c r="G494" i="6"/>
  <c r="G495" i="6"/>
  <c r="G496" i="6"/>
  <c r="G497" i="6"/>
  <c r="G498" i="6"/>
  <c r="G499" i="6"/>
  <c r="G500" i="6"/>
  <c r="G501" i="6"/>
  <c r="G502" i="6"/>
  <c r="G503" i="6"/>
  <c r="G504" i="6"/>
  <c r="G505" i="6"/>
  <c r="G506" i="6"/>
  <c r="G507" i="6"/>
  <c r="G508" i="6"/>
  <c r="G509" i="6"/>
  <c r="G510" i="6"/>
  <c r="G511" i="6"/>
  <c r="G512" i="6"/>
  <c r="G513" i="6"/>
  <c r="G514" i="6"/>
  <c r="G515" i="6"/>
  <c r="G516" i="6"/>
  <c r="G517" i="6"/>
  <c r="G518" i="6"/>
  <c r="G519" i="6"/>
  <c r="G520" i="6"/>
  <c r="G521" i="6"/>
  <c r="G522" i="6"/>
  <c r="G523" i="6"/>
  <c r="G524" i="6"/>
  <c r="G525" i="6"/>
  <c r="G526" i="6"/>
  <c r="G527" i="6"/>
  <c r="G528" i="6"/>
  <c r="G529" i="6"/>
  <c r="G530" i="6"/>
  <c r="G531" i="6"/>
  <c r="G532" i="6"/>
  <c r="G533" i="6"/>
  <c r="G534" i="6"/>
  <c r="G535" i="6"/>
  <c r="G536" i="6"/>
  <c r="G537" i="6"/>
  <c r="G538" i="6"/>
  <c r="G539" i="6"/>
  <c r="G540" i="6"/>
  <c r="G541" i="6"/>
  <c r="G542" i="6"/>
  <c r="G543" i="6"/>
  <c r="G544" i="6"/>
  <c r="G545" i="6"/>
  <c r="G546" i="6"/>
  <c r="G547" i="6"/>
  <c r="G548" i="6"/>
  <c r="G549" i="6"/>
  <c r="G550" i="6"/>
  <c r="G551" i="6"/>
  <c r="G552" i="6"/>
  <c r="G553" i="6"/>
  <c r="G554" i="6"/>
  <c r="G555" i="6"/>
  <c r="G556" i="6"/>
  <c r="G557" i="6"/>
  <c r="G558" i="6"/>
  <c r="G559" i="6"/>
  <c r="G560" i="6"/>
  <c r="G561" i="6"/>
  <c r="G562" i="6"/>
  <c r="G563" i="6"/>
  <c r="G564" i="6"/>
  <c r="G565" i="6"/>
  <c r="G566" i="6"/>
  <c r="G567" i="6"/>
  <c r="G568" i="6"/>
  <c r="G569" i="6"/>
  <c r="G570" i="6"/>
  <c r="G571" i="6"/>
  <c r="G572" i="6"/>
  <c r="G573" i="6"/>
  <c r="G574" i="6"/>
  <c r="G575" i="6"/>
  <c r="G576" i="6"/>
  <c r="G577" i="6"/>
  <c r="G578" i="6"/>
  <c r="G579" i="6"/>
  <c r="G580" i="6"/>
  <c r="G581" i="6"/>
  <c r="G582" i="6"/>
  <c r="G583" i="6"/>
  <c r="G584" i="6"/>
  <c r="G585" i="6"/>
  <c r="G586" i="6"/>
  <c r="G587" i="6"/>
  <c r="G588" i="6"/>
  <c r="G589" i="6"/>
  <c r="G590" i="6"/>
  <c r="G591" i="6"/>
  <c r="G592" i="6"/>
  <c r="G593" i="6"/>
  <c r="G594" i="6"/>
  <c r="G595" i="6"/>
  <c r="G596" i="6"/>
  <c r="G597" i="6"/>
  <c r="G598" i="6"/>
  <c r="G599" i="6"/>
  <c r="G600" i="6"/>
  <c r="G601" i="6"/>
  <c r="G602" i="6"/>
  <c r="G603" i="6"/>
  <c r="G604" i="6"/>
  <c r="G605" i="6"/>
  <c r="G606" i="6"/>
  <c r="G607" i="6"/>
  <c r="G608" i="6"/>
  <c r="G609" i="6"/>
  <c r="G610" i="6"/>
  <c r="G611" i="6"/>
  <c r="G612" i="6"/>
  <c r="G613" i="6"/>
  <c r="G614" i="6"/>
  <c r="G615" i="6"/>
  <c r="G616" i="6"/>
  <c r="G617" i="6"/>
  <c r="G618" i="6"/>
  <c r="G619" i="6"/>
  <c r="G620" i="6"/>
  <c r="G621" i="6"/>
  <c r="G622" i="6"/>
  <c r="G623" i="6"/>
  <c r="G624" i="6"/>
  <c r="G625" i="6"/>
  <c r="G626" i="6"/>
  <c r="G627" i="6"/>
  <c r="G628" i="6"/>
  <c r="G629" i="6"/>
  <c r="G630" i="6"/>
  <c r="G631" i="6"/>
  <c r="G632" i="6"/>
  <c r="G633" i="6"/>
  <c r="G634" i="6"/>
  <c r="G635" i="6"/>
  <c r="G636" i="6"/>
  <c r="G637" i="6"/>
  <c r="G638" i="6"/>
  <c r="G639" i="6"/>
  <c r="G640" i="6"/>
  <c r="G641" i="6"/>
  <c r="G642" i="6"/>
  <c r="G643" i="6"/>
  <c r="G644" i="6"/>
  <c r="G645" i="6"/>
  <c r="G646" i="6"/>
  <c r="G647" i="6"/>
  <c r="G648" i="6"/>
  <c r="G649" i="6"/>
  <c r="G650" i="6"/>
  <c r="G651" i="6"/>
  <c r="G652" i="6"/>
  <c r="G653" i="6"/>
  <c r="G654" i="6"/>
  <c r="G655" i="6"/>
  <c r="G656" i="6"/>
  <c r="G657" i="6"/>
  <c r="G658" i="6"/>
  <c r="G659" i="6"/>
  <c r="G660" i="6"/>
  <c r="G661" i="6"/>
  <c r="G662" i="6"/>
  <c r="G663" i="6"/>
  <c r="G664" i="6"/>
  <c r="G665" i="6"/>
  <c r="G666" i="6"/>
  <c r="G667" i="6"/>
  <c r="G668" i="6"/>
  <c r="G669" i="6"/>
  <c r="G670" i="6"/>
  <c r="G671" i="6"/>
  <c r="G672" i="6"/>
  <c r="G673" i="6"/>
  <c r="G674" i="6"/>
  <c r="G675" i="6"/>
  <c r="G676" i="6"/>
  <c r="G677" i="6"/>
  <c r="G678" i="6"/>
  <c r="G679" i="6"/>
  <c r="G680" i="6"/>
  <c r="G681" i="6"/>
  <c r="G682" i="6"/>
  <c r="G683" i="6"/>
  <c r="G684" i="6"/>
  <c r="G685" i="6"/>
  <c r="G686" i="6"/>
  <c r="G687" i="6"/>
  <c r="G688" i="6"/>
  <c r="G689" i="6"/>
  <c r="G690" i="6"/>
  <c r="G691" i="6"/>
  <c r="G692" i="6"/>
  <c r="G693" i="6"/>
  <c r="G694" i="6"/>
  <c r="G695" i="6"/>
  <c r="G696" i="6"/>
  <c r="G697" i="6"/>
  <c r="G698" i="6"/>
  <c r="G699" i="6"/>
  <c r="G700" i="6"/>
  <c r="G701" i="6"/>
  <c r="G702" i="6"/>
  <c r="G703" i="6"/>
  <c r="G704" i="6"/>
  <c r="G705" i="6"/>
  <c r="G706" i="6"/>
  <c r="G707" i="6"/>
  <c r="G708" i="6"/>
  <c r="G709" i="6"/>
  <c r="G710" i="6"/>
  <c r="G711" i="6"/>
  <c r="G712" i="6"/>
  <c r="G713" i="6"/>
  <c r="G714" i="6"/>
  <c r="G715" i="6"/>
  <c r="G716" i="6"/>
  <c r="G717" i="6"/>
  <c r="G718" i="6"/>
  <c r="G719" i="6"/>
  <c r="G720" i="6"/>
  <c r="G721" i="6"/>
  <c r="G722" i="6"/>
  <c r="G723" i="6"/>
  <c r="G724" i="6"/>
  <c r="G725" i="6"/>
  <c r="G726" i="6"/>
  <c r="G727" i="6"/>
  <c r="G728" i="6"/>
  <c r="G729" i="6"/>
  <c r="G730" i="6"/>
  <c r="G731" i="6"/>
  <c r="G732" i="6"/>
  <c r="G733" i="6"/>
  <c r="G734" i="6"/>
  <c r="G735" i="6"/>
  <c r="G736" i="6"/>
  <c r="G737" i="6"/>
  <c r="G738" i="6"/>
  <c r="G739" i="6"/>
  <c r="G740" i="6"/>
  <c r="G741" i="6"/>
  <c r="G742" i="6"/>
  <c r="G743" i="6"/>
  <c r="G744" i="6"/>
  <c r="G745" i="6"/>
  <c r="G746" i="6"/>
  <c r="G747" i="6"/>
  <c r="G748" i="6"/>
  <c r="G749" i="6"/>
  <c r="G750" i="6"/>
  <c r="G751" i="6"/>
  <c r="G752" i="6"/>
  <c r="G753" i="6"/>
  <c r="G754" i="6"/>
  <c r="G755" i="6"/>
  <c r="G756" i="6"/>
  <c r="G757" i="6"/>
  <c r="G758" i="6"/>
  <c r="G759" i="6"/>
  <c r="G760" i="6"/>
  <c r="G761" i="6"/>
  <c r="G762" i="6"/>
  <c r="G763" i="6"/>
  <c r="G764" i="6"/>
  <c r="G765" i="6"/>
  <c r="G766" i="6"/>
  <c r="G767" i="6"/>
  <c r="G768" i="6"/>
  <c r="G769" i="6"/>
  <c r="G770" i="6"/>
  <c r="G771" i="6"/>
  <c r="G772" i="6"/>
  <c r="G773" i="6"/>
  <c r="G774" i="6"/>
  <c r="G775" i="6"/>
  <c r="G776" i="6"/>
  <c r="G777" i="6"/>
  <c r="G778" i="6"/>
  <c r="G779" i="6"/>
  <c r="G780" i="6"/>
  <c r="G781" i="6"/>
  <c r="G782" i="6"/>
  <c r="G783" i="6"/>
  <c r="G784" i="6"/>
  <c r="G785" i="6"/>
  <c r="G786" i="6"/>
  <c r="G787" i="6"/>
  <c r="G788" i="6"/>
  <c r="G789" i="6"/>
  <c r="G790" i="6"/>
  <c r="G791" i="6"/>
  <c r="G792" i="6"/>
  <c r="G793" i="6"/>
  <c r="G794" i="6"/>
  <c r="G795" i="6"/>
  <c r="G796" i="6"/>
  <c r="G797" i="6"/>
  <c r="G798" i="6"/>
  <c r="G799" i="6"/>
  <c r="G800" i="6"/>
  <c r="G801" i="6"/>
  <c r="G802" i="6"/>
  <c r="G803" i="6"/>
  <c r="G804" i="6"/>
  <c r="G805" i="6"/>
  <c r="G806" i="6"/>
  <c r="G807" i="6"/>
  <c r="G808" i="6"/>
  <c r="G809" i="6"/>
  <c r="G810" i="6"/>
  <c r="G811" i="6"/>
  <c r="G812" i="6"/>
  <c r="G813" i="6"/>
  <c r="G814" i="6"/>
  <c r="G815" i="6"/>
  <c r="G816" i="6"/>
  <c r="G817" i="6"/>
  <c r="G818" i="6"/>
  <c r="G819" i="6"/>
  <c r="G820" i="6"/>
  <c r="G821" i="6"/>
  <c r="G822" i="6"/>
  <c r="G823" i="6"/>
  <c r="G824" i="6"/>
  <c r="G825" i="6"/>
  <c r="G826" i="6"/>
  <c r="G827" i="6"/>
  <c r="G828" i="6"/>
  <c r="G829" i="6"/>
  <c r="G830" i="6"/>
  <c r="G831" i="6"/>
  <c r="G832" i="6"/>
  <c r="G833" i="6"/>
  <c r="G834" i="6"/>
  <c r="G835" i="6"/>
  <c r="G836" i="6"/>
  <c r="G837" i="6"/>
  <c r="G838" i="6"/>
  <c r="G839" i="6"/>
  <c r="G840" i="6"/>
  <c r="G841" i="6"/>
  <c r="G842" i="6"/>
  <c r="G843" i="6"/>
  <c r="G844" i="6"/>
  <c r="G845" i="6"/>
  <c r="G846" i="6"/>
  <c r="G847" i="6"/>
  <c r="G848" i="6"/>
  <c r="G849" i="6"/>
  <c r="G850" i="6"/>
  <c r="G851" i="6"/>
  <c r="G852" i="6"/>
  <c r="G853" i="6"/>
  <c r="G854" i="6"/>
  <c r="G855" i="6"/>
  <c r="G856" i="6"/>
  <c r="G857" i="6"/>
  <c r="G858" i="6"/>
  <c r="G859" i="6"/>
  <c r="G860" i="6"/>
  <c r="G861" i="6"/>
  <c r="G862" i="6"/>
  <c r="G863" i="6"/>
  <c r="G864" i="6"/>
  <c r="G865" i="6"/>
  <c r="G866" i="6"/>
  <c r="G867" i="6"/>
  <c r="G868" i="6"/>
  <c r="G869" i="6"/>
  <c r="G870" i="6"/>
  <c r="G871" i="6"/>
  <c r="G872" i="6"/>
  <c r="G873" i="6"/>
  <c r="G874" i="6"/>
  <c r="G875" i="6"/>
  <c r="G876" i="6"/>
  <c r="G877" i="6"/>
  <c r="G878" i="6"/>
  <c r="G879" i="6"/>
  <c r="G880" i="6"/>
  <c r="G881" i="6"/>
  <c r="G882" i="6"/>
  <c r="G883" i="6"/>
  <c r="G884" i="6"/>
  <c r="G885" i="6"/>
  <c r="G886" i="6"/>
  <c r="G887" i="6"/>
  <c r="G888" i="6"/>
  <c r="G889" i="6"/>
  <c r="G890" i="6"/>
  <c r="G891" i="6"/>
  <c r="G892" i="6"/>
  <c r="G893" i="6"/>
  <c r="G894" i="6"/>
  <c r="G895" i="6"/>
  <c r="G896" i="6"/>
  <c r="G897" i="6"/>
  <c r="G898" i="6"/>
  <c r="G899" i="6"/>
  <c r="G900" i="6"/>
  <c r="G901" i="6"/>
  <c r="G902" i="6"/>
  <c r="G903" i="6"/>
  <c r="G904" i="6"/>
  <c r="G905" i="6"/>
  <c r="G906" i="6"/>
  <c r="G907" i="6"/>
  <c r="G908" i="6"/>
  <c r="G909" i="6"/>
  <c r="G910" i="6"/>
  <c r="G911" i="6"/>
  <c r="G912" i="6"/>
  <c r="G913" i="6"/>
  <c r="G914" i="6"/>
  <c r="G915" i="6"/>
  <c r="G916" i="6"/>
  <c r="G917" i="6"/>
  <c r="G918" i="6"/>
  <c r="G919" i="6"/>
  <c r="G920" i="6"/>
  <c r="G921" i="6"/>
  <c r="G922" i="6"/>
  <c r="G923" i="6"/>
  <c r="G924" i="6"/>
  <c r="G925" i="6"/>
  <c r="G926" i="6"/>
  <c r="G927" i="6"/>
  <c r="G928" i="6"/>
  <c r="G929" i="6"/>
  <c r="G930" i="6"/>
  <c r="G931" i="6"/>
  <c r="G932" i="6"/>
  <c r="G933" i="6"/>
  <c r="G934" i="6"/>
  <c r="G935" i="6"/>
  <c r="G936" i="6"/>
  <c r="G937" i="6"/>
  <c r="G938" i="6"/>
  <c r="G939" i="6"/>
  <c r="G940" i="6"/>
  <c r="G941" i="6"/>
  <c r="G942" i="6"/>
  <c r="G943" i="6"/>
  <c r="G944" i="6"/>
  <c r="G945" i="6"/>
  <c r="G946" i="6"/>
  <c r="G947" i="6"/>
  <c r="G948" i="6"/>
  <c r="G949" i="6"/>
  <c r="G950" i="6"/>
  <c r="G951" i="6"/>
  <c r="G952" i="6"/>
  <c r="G953" i="6"/>
  <c r="G954" i="6"/>
  <c r="G955" i="6"/>
  <c r="G956" i="6"/>
  <c r="G957" i="6"/>
  <c r="G958" i="6"/>
  <c r="G959" i="6"/>
  <c r="G960" i="6"/>
  <c r="G961" i="6"/>
  <c r="G962" i="6"/>
  <c r="G963" i="6"/>
  <c r="G964" i="6"/>
  <c r="G965" i="6"/>
  <c r="G966" i="6"/>
  <c r="G967" i="6"/>
  <c r="G968" i="6"/>
  <c r="G969" i="6"/>
  <c r="G970" i="6"/>
  <c r="G971" i="6"/>
  <c r="G972" i="6"/>
  <c r="G973" i="6"/>
  <c r="G974" i="6"/>
  <c r="G975" i="6"/>
  <c r="G976" i="6"/>
  <c r="G977" i="6"/>
  <c r="G978" i="6"/>
  <c r="G979" i="6"/>
  <c r="G980" i="6"/>
  <c r="G981" i="6"/>
  <c r="G982" i="6"/>
  <c r="G983" i="6"/>
  <c r="G984" i="6"/>
  <c r="G985" i="6"/>
  <c r="G986" i="6"/>
  <c r="G987" i="6"/>
  <c r="G988" i="6"/>
  <c r="G989" i="6"/>
  <c r="G990" i="6"/>
  <c r="G991" i="6"/>
  <c r="G992" i="6"/>
  <c r="G993" i="6"/>
  <c r="G994" i="6"/>
  <c r="G995" i="6"/>
  <c r="G996" i="6"/>
  <c r="G997" i="6"/>
  <c r="G998" i="6"/>
  <c r="G999" i="6"/>
  <c r="G1000" i="6"/>
  <c r="G1001" i="6"/>
  <c r="G1002" i="6"/>
  <c r="G1003" i="6"/>
  <c r="G1004" i="6"/>
  <c r="G1005" i="6"/>
  <c r="G1006" i="6"/>
  <c r="G1007" i="6"/>
  <c r="G1008" i="6"/>
  <c r="G1009" i="6"/>
  <c r="G1010" i="6"/>
  <c r="G1011" i="6"/>
  <c r="G1012" i="6"/>
  <c r="G1013" i="6"/>
  <c r="G1014" i="6"/>
  <c r="G1015" i="6"/>
  <c r="G1016" i="6"/>
  <c r="G1017" i="6"/>
  <c r="G1018" i="6"/>
  <c r="G1019" i="6"/>
  <c r="G1020" i="6"/>
  <c r="G1021" i="6"/>
  <c r="G1022" i="6"/>
  <c r="G1023" i="6"/>
  <c r="G1024" i="6"/>
  <c r="G1025" i="6"/>
  <c r="G1026" i="6"/>
  <c r="G1027" i="6"/>
  <c r="G1028" i="6"/>
  <c r="G1029" i="6"/>
  <c r="G1030" i="6"/>
  <c r="G1031" i="6"/>
  <c r="G1032" i="6"/>
  <c r="G1033" i="6"/>
  <c r="G1034" i="6"/>
  <c r="G1035" i="6"/>
  <c r="G1036" i="6"/>
  <c r="G1037" i="6"/>
  <c r="G1038" i="6"/>
  <c r="G1039" i="6"/>
  <c r="G1040" i="6"/>
  <c r="G1041" i="6"/>
  <c r="G1042" i="6"/>
  <c r="G1043" i="6"/>
  <c r="G1044" i="6"/>
  <c r="G1045" i="6"/>
  <c r="G1046" i="6"/>
  <c r="G1047" i="6"/>
  <c r="G1048" i="6"/>
  <c r="G1049" i="6"/>
  <c r="G1050" i="6"/>
  <c r="G1051" i="6"/>
  <c r="G1052" i="6"/>
  <c r="G1053" i="6"/>
  <c r="G1054" i="6"/>
  <c r="G1055" i="6"/>
  <c r="G1056" i="6"/>
  <c r="G1057" i="6"/>
  <c r="G1058" i="6"/>
  <c r="G1059" i="6"/>
  <c r="G1060" i="6"/>
  <c r="G1061" i="6"/>
  <c r="G1062" i="6"/>
  <c r="G1063" i="6"/>
  <c r="G1064" i="6"/>
  <c r="G1065" i="6"/>
  <c r="G1066" i="6"/>
  <c r="G1067" i="6"/>
  <c r="G1068" i="6"/>
  <c r="G1069" i="6"/>
  <c r="G1070" i="6"/>
  <c r="G1071" i="6"/>
  <c r="G1072" i="6"/>
  <c r="G1073" i="6"/>
  <c r="G1074" i="6"/>
  <c r="G1075" i="6"/>
  <c r="G1076" i="6"/>
  <c r="G1077" i="6"/>
  <c r="G1078" i="6"/>
  <c r="G1079" i="6"/>
  <c r="G1080" i="6"/>
  <c r="G1081" i="6"/>
  <c r="G1082" i="6"/>
  <c r="G1083" i="6"/>
  <c r="G1084" i="6"/>
  <c r="G1085" i="6"/>
  <c r="G1086" i="6"/>
  <c r="G1087" i="6"/>
  <c r="G1088" i="6"/>
  <c r="G1089" i="6"/>
  <c r="G1090" i="6"/>
  <c r="G1091" i="6"/>
  <c r="G1092" i="6"/>
  <c r="G1093" i="6"/>
  <c r="G1094" i="6"/>
  <c r="G1095" i="6"/>
  <c r="G1096" i="6"/>
  <c r="G1097" i="6"/>
  <c r="G1098" i="6"/>
  <c r="G1099" i="6"/>
  <c r="G1100" i="6"/>
  <c r="G1101" i="6"/>
  <c r="G1102" i="6"/>
  <c r="G1103" i="6"/>
  <c r="G1104" i="6"/>
  <c r="G1105" i="6"/>
  <c r="G1106" i="6"/>
  <c r="G1107" i="6"/>
  <c r="G1108" i="6"/>
  <c r="G1109" i="6"/>
  <c r="G1110" i="6"/>
  <c r="G1111" i="6"/>
  <c r="G1112" i="6"/>
  <c r="G1113" i="6"/>
  <c r="G1114" i="6"/>
  <c r="G1115" i="6"/>
  <c r="G1116" i="6"/>
  <c r="G1117" i="6"/>
  <c r="G1118" i="6"/>
  <c r="G1119" i="6"/>
  <c r="G1120" i="6"/>
  <c r="G1121" i="6"/>
  <c r="G1122" i="6"/>
  <c r="G1123" i="6"/>
  <c r="G1124" i="6"/>
  <c r="G1125" i="6"/>
  <c r="G1126" i="6"/>
  <c r="G1127" i="6"/>
  <c r="G1128" i="6"/>
  <c r="G1129" i="6"/>
  <c r="G1130" i="6"/>
  <c r="G1131" i="6"/>
  <c r="G1132" i="6"/>
  <c r="G1133" i="6"/>
  <c r="G1134" i="6"/>
  <c r="G1135" i="6"/>
  <c r="G1136" i="6"/>
  <c r="G1137" i="6"/>
  <c r="G1138" i="6"/>
  <c r="G1139" i="6"/>
  <c r="G1140" i="6"/>
  <c r="G1141" i="6"/>
  <c r="G1142" i="6"/>
  <c r="G1143" i="6"/>
  <c r="G1144" i="6"/>
  <c r="G1145" i="6"/>
  <c r="G1146" i="6"/>
  <c r="G1147" i="6"/>
  <c r="G1148" i="6"/>
  <c r="G1149" i="6"/>
  <c r="G1150" i="6"/>
  <c r="G1151" i="6"/>
  <c r="G1152" i="6"/>
  <c r="G1153" i="6"/>
  <c r="G1154" i="6"/>
  <c r="G1155" i="6"/>
  <c r="G1156" i="6"/>
  <c r="G1157" i="6"/>
  <c r="G1158" i="6"/>
  <c r="G1159" i="6"/>
  <c r="G1160" i="6"/>
  <c r="G1161" i="6"/>
  <c r="G1162" i="6"/>
  <c r="G1163" i="6"/>
  <c r="G1164" i="6"/>
  <c r="G1165" i="6"/>
  <c r="G1166" i="6"/>
  <c r="G1167" i="6"/>
  <c r="G1168" i="6"/>
  <c r="G1169" i="6"/>
  <c r="G1170" i="6"/>
  <c r="G1171" i="6"/>
  <c r="G1172" i="6"/>
  <c r="G1173" i="6"/>
  <c r="G1174" i="6"/>
  <c r="G1175" i="6"/>
  <c r="G1176" i="6"/>
  <c r="G1177" i="6"/>
  <c r="G1178" i="6"/>
  <c r="G1179" i="6"/>
  <c r="G1180" i="6"/>
  <c r="G1181" i="6"/>
  <c r="G1182" i="6"/>
  <c r="G1183" i="6"/>
  <c r="G1184" i="6"/>
  <c r="G1185" i="6"/>
  <c r="G1186" i="6"/>
  <c r="G1187" i="6"/>
  <c r="G1188" i="6"/>
  <c r="G1189" i="6"/>
  <c r="G1190" i="6"/>
  <c r="G1191" i="6"/>
  <c r="G1192" i="6"/>
  <c r="G1193" i="6"/>
  <c r="G1194" i="6"/>
  <c r="G1195" i="6"/>
  <c r="G1196" i="6"/>
  <c r="G1197" i="6"/>
  <c r="G1198" i="6"/>
  <c r="G1199" i="6"/>
  <c r="G1200" i="6"/>
  <c r="G1201" i="6"/>
  <c r="G1202" i="6"/>
  <c r="G1203" i="6"/>
  <c r="G1204" i="6"/>
  <c r="G1205" i="6"/>
  <c r="G1206" i="6"/>
  <c r="G1207" i="6"/>
  <c r="G1208" i="6"/>
  <c r="G1209" i="6"/>
  <c r="G1210" i="6"/>
  <c r="G1211" i="6"/>
  <c r="G1212" i="6"/>
  <c r="G1213" i="6"/>
  <c r="G1214" i="6"/>
  <c r="G1215" i="6"/>
  <c r="G1216" i="6"/>
  <c r="G1217" i="6"/>
  <c r="G1218" i="6"/>
  <c r="G1219" i="6"/>
  <c r="G1220" i="6"/>
  <c r="G1221" i="6"/>
  <c r="G1222" i="6"/>
  <c r="G1223" i="6"/>
  <c r="G1224" i="6"/>
  <c r="G1225" i="6"/>
  <c r="G1226" i="6"/>
  <c r="G1227" i="6"/>
  <c r="G1228" i="6"/>
  <c r="G1229" i="6"/>
  <c r="G1230" i="6"/>
  <c r="G1231" i="6"/>
  <c r="G1232" i="6"/>
  <c r="G1233" i="6"/>
  <c r="G1234" i="6"/>
  <c r="G1235" i="6"/>
  <c r="G1236" i="6"/>
  <c r="G1237" i="6"/>
  <c r="G1238" i="6"/>
  <c r="G1239" i="6"/>
  <c r="G1240" i="6"/>
  <c r="G1241" i="6"/>
  <c r="G1242" i="6"/>
  <c r="G1243" i="6"/>
  <c r="G1244" i="6"/>
  <c r="G1245" i="6"/>
  <c r="G1246" i="6"/>
  <c r="G1247" i="6"/>
  <c r="G1248" i="6"/>
  <c r="G1249" i="6"/>
  <c r="G1250" i="6"/>
  <c r="G1251" i="6"/>
  <c r="G1252" i="6"/>
  <c r="G1253" i="6"/>
  <c r="G1254" i="6"/>
  <c r="G1255" i="6"/>
  <c r="G1256" i="6"/>
  <c r="G1257" i="6"/>
  <c r="G1258" i="6"/>
  <c r="G1259" i="6"/>
  <c r="G1260" i="6"/>
  <c r="G1261" i="6"/>
  <c r="G1262" i="6"/>
  <c r="G1263" i="6"/>
  <c r="G1264" i="6"/>
  <c r="G1265" i="6"/>
  <c r="G1266" i="6"/>
  <c r="G1267" i="6"/>
  <c r="G1268" i="6"/>
  <c r="G1269" i="6"/>
  <c r="G1270" i="6"/>
  <c r="G1271" i="6"/>
  <c r="G1272" i="6"/>
  <c r="G1273" i="6"/>
  <c r="G1274" i="6"/>
  <c r="G1275" i="6"/>
  <c r="G1276" i="6"/>
  <c r="G1277" i="6"/>
  <c r="G1278" i="6"/>
  <c r="G1279" i="6"/>
  <c r="G1280" i="6"/>
  <c r="G1281" i="6"/>
  <c r="G1282" i="6"/>
  <c r="G1283" i="6"/>
  <c r="G1284" i="6"/>
  <c r="G1285" i="6"/>
  <c r="G1286" i="6"/>
  <c r="G1287" i="6"/>
  <c r="G1288" i="6"/>
  <c r="G1289" i="6"/>
  <c r="G1290" i="6"/>
  <c r="G1291" i="6"/>
  <c r="G1292" i="6"/>
  <c r="G1293" i="6"/>
  <c r="G1294" i="6"/>
  <c r="G1295" i="6"/>
  <c r="G1296" i="6"/>
  <c r="G1297" i="6"/>
  <c r="G1298" i="6"/>
  <c r="G1299" i="6"/>
  <c r="G1300" i="6"/>
  <c r="G1301" i="6"/>
  <c r="G1302" i="6"/>
  <c r="G1303" i="6"/>
  <c r="G1304" i="6"/>
  <c r="G1305" i="6"/>
  <c r="G1306" i="6"/>
  <c r="G1307" i="6"/>
  <c r="G1308" i="6"/>
  <c r="G1309" i="6"/>
  <c r="G1310" i="6"/>
  <c r="G1311" i="6"/>
  <c r="G1312" i="6"/>
  <c r="G1313" i="6"/>
  <c r="G1314" i="6"/>
  <c r="G1315" i="6"/>
  <c r="G1316" i="6"/>
  <c r="G1317" i="6"/>
  <c r="G1318" i="6"/>
  <c r="G1319" i="6"/>
  <c r="G1320" i="6"/>
  <c r="G1321" i="6"/>
  <c r="G1322" i="6"/>
  <c r="G1323" i="6"/>
  <c r="G1324" i="6"/>
  <c r="G1325" i="6"/>
  <c r="G1326" i="6"/>
  <c r="G1327" i="6"/>
  <c r="G1328" i="6"/>
  <c r="G1329" i="6"/>
  <c r="G1330" i="6"/>
  <c r="G1331" i="6"/>
  <c r="G1332" i="6"/>
  <c r="G1333" i="6"/>
  <c r="G1334" i="6"/>
  <c r="G1335" i="6"/>
  <c r="A1" i="8"/>
  <c r="K3" i="8"/>
  <c r="K4" i="8"/>
  <c r="K5" i="8"/>
  <c r="K6" i="8"/>
  <c r="K7" i="8"/>
  <c r="K8" i="8"/>
  <c r="K9" i="8"/>
  <c r="K10" i="8"/>
  <c r="K11" i="8"/>
  <c r="K12" i="8"/>
  <c r="K13" i="8"/>
  <c r="K14" i="8"/>
  <c r="K15" i="8"/>
  <c r="K16" i="8"/>
  <c r="K17" i="8"/>
  <c r="K18" i="8"/>
  <c r="K19" i="8"/>
  <c r="K20" i="8"/>
  <c r="K2" i="8"/>
  <c r="C2" i="6"/>
  <c r="C3"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C151" i="6"/>
  <c r="C152" i="6"/>
  <c r="C153" i="6"/>
  <c r="C154" i="6"/>
  <c r="C155" i="6"/>
  <c r="C156" i="6"/>
  <c r="C157" i="6"/>
  <c r="C158" i="6"/>
  <c r="C159" i="6"/>
  <c r="C160" i="6"/>
  <c r="C161" i="6"/>
  <c r="C162" i="6"/>
  <c r="C163" i="6"/>
  <c r="C164" i="6"/>
  <c r="C165" i="6"/>
  <c r="C166" i="6"/>
  <c r="C167" i="6"/>
  <c r="C168" i="6"/>
  <c r="C169" i="6"/>
  <c r="C170" i="6"/>
  <c r="C171" i="6"/>
  <c r="C172" i="6"/>
  <c r="C173" i="6"/>
  <c r="C174" i="6"/>
  <c r="C175" i="6"/>
  <c r="C176" i="6"/>
  <c r="C177" i="6"/>
  <c r="C178" i="6"/>
  <c r="C179" i="6"/>
  <c r="C180" i="6"/>
  <c r="C181" i="6"/>
  <c r="C182" i="6"/>
  <c r="C183" i="6"/>
  <c r="C184" i="6"/>
  <c r="C185" i="6"/>
  <c r="C186" i="6"/>
  <c r="C187" i="6"/>
  <c r="C188" i="6"/>
  <c r="C189" i="6"/>
  <c r="C190" i="6"/>
  <c r="C191" i="6"/>
  <c r="C192" i="6"/>
  <c r="C193" i="6"/>
  <c r="C194" i="6"/>
  <c r="C195" i="6"/>
  <c r="C196" i="6"/>
  <c r="C197" i="6"/>
  <c r="C198" i="6"/>
  <c r="C199" i="6"/>
  <c r="C200" i="6"/>
  <c r="C201" i="6"/>
  <c r="C202" i="6"/>
  <c r="C203" i="6"/>
  <c r="C204" i="6"/>
  <c r="C205" i="6"/>
  <c r="C206" i="6"/>
  <c r="C207" i="6"/>
  <c r="C208" i="6"/>
  <c r="C209" i="6"/>
  <c r="C210" i="6"/>
  <c r="C211" i="6"/>
  <c r="C212" i="6"/>
  <c r="C213" i="6"/>
  <c r="C214" i="6"/>
  <c r="C215" i="6"/>
  <c r="C216" i="6"/>
  <c r="C217" i="6"/>
  <c r="C218" i="6"/>
  <c r="C219" i="6"/>
  <c r="C220" i="6"/>
  <c r="C221" i="6"/>
  <c r="C222" i="6"/>
  <c r="C223" i="6"/>
  <c r="C224" i="6"/>
  <c r="C225" i="6"/>
  <c r="C226" i="6"/>
  <c r="C227" i="6"/>
  <c r="C228" i="6"/>
  <c r="C229" i="6"/>
  <c r="C230" i="6"/>
  <c r="C231" i="6"/>
  <c r="C232" i="6"/>
  <c r="C233" i="6"/>
  <c r="C234" i="6"/>
  <c r="C235" i="6"/>
  <c r="C236" i="6"/>
  <c r="C237" i="6"/>
  <c r="C238" i="6"/>
  <c r="C239" i="6"/>
  <c r="C240" i="6"/>
  <c r="C241" i="6"/>
  <c r="C242" i="6"/>
  <c r="C243" i="6"/>
  <c r="C244" i="6"/>
  <c r="C245" i="6"/>
  <c r="C246" i="6"/>
  <c r="C247" i="6"/>
  <c r="C248" i="6"/>
  <c r="C249" i="6"/>
  <c r="C250" i="6"/>
  <c r="C251" i="6"/>
  <c r="C252" i="6"/>
  <c r="C253" i="6"/>
  <c r="C254" i="6"/>
  <c r="C255" i="6"/>
  <c r="C256" i="6"/>
  <c r="C257" i="6"/>
  <c r="C258" i="6"/>
  <c r="C259" i="6"/>
  <c r="C260" i="6"/>
  <c r="C261" i="6"/>
  <c r="C262" i="6"/>
  <c r="C263" i="6"/>
  <c r="C264" i="6"/>
  <c r="C265" i="6"/>
  <c r="C266" i="6"/>
  <c r="C267" i="6"/>
  <c r="C268" i="6"/>
  <c r="C269" i="6"/>
  <c r="C270" i="6"/>
  <c r="C271" i="6"/>
  <c r="C272" i="6"/>
  <c r="C273" i="6"/>
  <c r="C274" i="6"/>
  <c r="C275" i="6"/>
  <c r="C276" i="6"/>
  <c r="C277" i="6"/>
  <c r="C278" i="6"/>
  <c r="C279" i="6"/>
  <c r="C280" i="6"/>
  <c r="C281" i="6"/>
  <c r="C282" i="6"/>
  <c r="C283" i="6"/>
  <c r="C284" i="6"/>
  <c r="C285" i="6"/>
  <c r="C286" i="6"/>
  <c r="C287" i="6"/>
  <c r="C288" i="6"/>
  <c r="C289" i="6"/>
  <c r="C290" i="6"/>
  <c r="C291" i="6"/>
  <c r="C292" i="6"/>
  <c r="C293" i="6"/>
  <c r="C294" i="6"/>
  <c r="C295" i="6"/>
  <c r="C296" i="6"/>
  <c r="C297" i="6"/>
  <c r="C298" i="6"/>
  <c r="C299" i="6"/>
  <c r="C300" i="6"/>
  <c r="C301" i="6"/>
  <c r="C302" i="6"/>
  <c r="C303" i="6"/>
  <c r="C304" i="6"/>
  <c r="C305" i="6"/>
  <c r="C306" i="6"/>
  <c r="C307" i="6"/>
  <c r="C308" i="6"/>
  <c r="C309" i="6"/>
  <c r="C310" i="6"/>
  <c r="C311" i="6"/>
  <c r="C312" i="6"/>
  <c r="C313" i="6"/>
  <c r="C314" i="6"/>
  <c r="C315" i="6"/>
  <c r="C316" i="6"/>
  <c r="C317" i="6"/>
  <c r="C318" i="6"/>
  <c r="C319" i="6"/>
  <c r="C320" i="6"/>
  <c r="C321" i="6"/>
  <c r="C322" i="6"/>
  <c r="C323" i="6"/>
  <c r="C324" i="6"/>
  <c r="C325" i="6"/>
  <c r="C326" i="6"/>
  <c r="C327" i="6"/>
  <c r="C328" i="6"/>
  <c r="C329" i="6"/>
  <c r="C330" i="6"/>
  <c r="C331" i="6"/>
  <c r="C332" i="6"/>
  <c r="C333" i="6"/>
  <c r="C334" i="6"/>
  <c r="C335" i="6"/>
  <c r="C336" i="6"/>
  <c r="C337" i="6"/>
  <c r="C338" i="6"/>
  <c r="C339" i="6"/>
  <c r="C340" i="6"/>
  <c r="C341" i="6"/>
  <c r="C342" i="6"/>
  <c r="C343" i="6"/>
  <c r="C344" i="6"/>
  <c r="C345" i="6"/>
  <c r="C346" i="6"/>
  <c r="C347" i="6"/>
  <c r="C348" i="6"/>
  <c r="C349" i="6"/>
  <c r="C350" i="6"/>
  <c r="C351" i="6"/>
  <c r="C352" i="6"/>
  <c r="C353" i="6"/>
  <c r="C354" i="6"/>
  <c r="C355" i="6"/>
  <c r="C356" i="6"/>
  <c r="C357" i="6"/>
  <c r="C358" i="6"/>
  <c r="C359" i="6"/>
  <c r="C360" i="6"/>
  <c r="C361" i="6"/>
  <c r="C362" i="6"/>
  <c r="C363" i="6"/>
  <c r="C364" i="6"/>
  <c r="C365" i="6"/>
  <c r="C366" i="6"/>
  <c r="C367" i="6"/>
  <c r="C368" i="6"/>
  <c r="C369" i="6"/>
  <c r="C370" i="6"/>
  <c r="C371" i="6"/>
  <c r="C372" i="6"/>
  <c r="C373" i="6"/>
  <c r="C374" i="6"/>
  <c r="C375" i="6"/>
  <c r="C376" i="6"/>
  <c r="C377" i="6"/>
  <c r="C378" i="6"/>
  <c r="C379" i="6"/>
  <c r="C380" i="6"/>
  <c r="C381" i="6"/>
  <c r="C382" i="6"/>
  <c r="C383" i="6"/>
  <c r="C384" i="6"/>
  <c r="C385" i="6"/>
  <c r="C386" i="6"/>
  <c r="C387" i="6"/>
  <c r="C388" i="6"/>
  <c r="C389" i="6"/>
  <c r="C390" i="6"/>
  <c r="C391" i="6"/>
  <c r="C392" i="6"/>
  <c r="C393" i="6"/>
  <c r="C394" i="6"/>
  <c r="C395" i="6"/>
  <c r="C396" i="6"/>
  <c r="C397" i="6"/>
  <c r="C398" i="6"/>
  <c r="C399" i="6"/>
  <c r="C400" i="6"/>
  <c r="C401" i="6"/>
  <c r="C402" i="6"/>
  <c r="C403" i="6"/>
  <c r="C404" i="6"/>
  <c r="C405" i="6"/>
  <c r="C406" i="6"/>
  <c r="C407" i="6"/>
  <c r="C408" i="6"/>
  <c r="C409" i="6"/>
  <c r="C410" i="6"/>
  <c r="C411" i="6"/>
  <c r="C412" i="6"/>
  <c r="C413" i="6"/>
  <c r="C414" i="6"/>
  <c r="C415" i="6"/>
  <c r="C416" i="6"/>
  <c r="C417" i="6"/>
  <c r="C418" i="6"/>
  <c r="C419" i="6"/>
  <c r="C420" i="6"/>
  <c r="C421" i="6"/>
  <c r="C422" i="6"/>
  <c r="C423" i="6"/>
  <c r="C424" i="6"/>
  <c r="C425" i="6"/>
  <c r="C426" i="6"/>
  <c r="C427" i="6"/>
  <c r="C428" i="6"/>
  <c r="C429" i="6"/>
  <c r="C430" i="6"/>
  <c r="C431" i="6"/>
  <c r="C432" i="6"/>
  <c r="C433" i="6"/>
  <c r="C434" i="6"/>
  <c r="C435" i="6"/>
  <c r="C436" i="6"/>
  <c r="C437" i="6"/>
  <c r="C438" i="6"/>
  <c r="C439" i="6"/>
  <c r="C440" i="6"/>
  <c r="C441" i="6"/>
  <c r="C442" i="6"/>
  <c r="C443" i="6"/>
  <c r="C444" i="6"/>
  <c r="C445" i="6"/>
  <c r="C446" i="6"/>
  <c r="C447" i="6"/>
  <c r="C448" i="6"/>
  <c r="C449" i="6"/>
  <c r="C450" i="6"/>
  <c r="C451" i="6"/>
  <c r="C452" i="6"/>
  <c r="C453" i="6"/>
  <c r="C454" i="6"/>
  <c r="C455" i="6"/>
  <c r="C456" i="6"/>
  <c r="C457" i="6"/>
  <c r="C458" i="6"/>
  <c r="C459" i="6"/>
  <c r="C460" i="6"/>
  <c r="C461" i="6"/>
  <c r="C462" i="6"/>
  <c r="C463" i="6"/>
  <c r="C464" i="6"/>
  <c r="C465" i="6"/>
  <c r="C466" i="6"/>
  <c r="C467" i="6"/>
  <c r="C468" i="6"/>
  <c r="C469" i="6"/>
  <c r="C470" i="6"/>
  <c r="C471" i="6"/>
  <c r="C472" i="6"/>
  <c r="C473" i="6"/>
  <c r="C474" i="6"/>
  <c r="C475" i="6"/>
  <c r="C476" i="6"/>
  <c r="C477" i="6"/>
  <c r="C478" i="6"/>
  <c r="C479" i="6"/>
  <c r="C480" i="6"/>
  <c r="C481" i="6"/>
  <c r="C482" i="6"/>
  <c r="C483" i="6"/>
  <c r="C484" i="6"/>
  <c r="C485" i="6"/>
  <c r="C486" i="6"/>
  <c r="C487" i="6"/>
  <c r="C488" i="6"/>
  <c r="C489" i="6"/>
  <c r="C490" i="6"/>
  <c r="C491" i="6"/>
  <c r="C492" i="6"/>
  <c r="C493" i="6"/>
  <c r="C494" i="6"/>
  <c r="C495" i="6"/>
  <c r="C496" i="6"/>
  <c r="C497" i="6"/>
  <c r="C498" i="6"/>
  <c r="C499" i="6"/>
  <c r="C500" i="6"/>
  <c r="C501" i="6"/>
  <c r="C502" i="6"/>
  <c r="C503" i="6"/>
  <c r="C504" i="6"/>
  <c r="C505" i="6"/>
  <c r="C506" i="6"/>
  <c r="C507" i="6"/>
  <c r="C508" i="6"/>
  <c r="C509" i="6"/>
  <c r="C510" i="6"/>
  <c r="C511" i="6"/>
  <c r="C512" i="6"/>
  <c r="C513" i="6"/>
  <c r="C514" i="6"/>
  <c r="C515" i="6"/>
  <c r="C516" i="6"/>
  <c r="C517" i="6"/>
  <c r="C518" i="6"/>
  <c r="C519" i="6"/>
  <c r="C520" i="6"/>
  <c r="C521" i="6"/>
  <c r="C522" i="6"/>
  <c r="C523" i="6"/>
  <c r="C524" i="6"/>
  <c r="C525" i="6"/>
  <c r="C526" i="6"/>
  <c r="C527" i="6"/>
  <c r="C528" i="6"/>
  <c r="C529" i="6"/>
  <c r="C530" i="6"/>
  <c r="C531" i="6"/>
  <c r="C532" i="6"/>
  <c r="C533" i="6"/>
  <c r="C534" i="6"/>
  <c r="C535" i="6"/>
  <c r="C536" i="6"/>
  <c r="C537" i="6"/>
  <c r="C538" i="6"/>
  <c r="C539" i="6"/>
  <c r="C540" i="6"/>
  <c r="C541" i="6"/>
  <c r="C542" i="6"/>
  <c r="C543" i="6"/>
  <c r="C544" i="6"/>
  <c r="C545" i="6"/>
  <c r="C546" i="6"/>
  <c r="C547" i="6"/>
  <c r="C548" i="6"/>
  <c r="C549" i="6"/>
  <c r="C550" i="6"/>
  <c r="C551" i="6"/>
  <c r="C552" i="6"/>
  <c r="C553" i="6"/>
  <c r="C554" i="6"/>
  <c r="C555" i="6"/>
  <c r="C556" i="6"/>
  <c r="C557" i="6"/>
  <c r="C558" i="6"/>
  <c r="C559" i="6"/>
  <c r="C560" i="6"/>
  <c r="C561" i="6"/>
  <c r="C562" i="6"/>
  <c r="C563" i="6"/>
  <c r="C564" i="6"/>
  <c r="C565" i="6"/>
  <c r="C566" i="6"/>
  <c r="C567" i="6"/>
  <c r="C568" i="6"/>
  <c r="C569" i="6"/>
  <c r="C570" i="6"/>
  <c r="C571" i="6"/>
  <c r="C572" i="6"/>
  <c r="C573" i="6"/>
  <c r="C574" i="6"/>
  <c r="C575" i="6"/>
  <c r="C576" i="6"/>
  <c r="C577" i="6"/>
  <c r="C578" i="6"/>
  <c r="C579" i="6"/>
  <c r="C580" i="6"/>
  <c r="C581" i="6"/>
  <c r="C582" i="6"/>
  <c r="C583" i="6"/>
  <c r="C584" i="6"/>
  <c r="C585" i="6"/>
  <c r="C586" i="6"/>
  <c r="C587" i="6"/>
  <c r="C588" i="6"/>
  <c r="C589" i="6"/>
  <c r="C590" i="6"/>
  <c r="C591" i="6"/>
  <c r="C592" i="6"/>
  <c r="C593" i="6"/>
  <c r="C594" i="6"/>
  <c r="C595" i="6"/>
  <c r="C596" i="6"/>
  <c r="C597" i="6"/>
  <c r="C598" i="6"/>
  <c r="C599" i="6"/>
  <c r="C600" i="6"/>
  <c r="C601" i="6"/>
  <c r="C602" i="6"/>
  <c r="C603" i="6"/>
  <c r="C604" i="6"/>
  <c r="C605" i="6"/>
  <c r="C606" i="6"/>
  <c r="C607" i="6"/>
  <c r="C608" i="6"/>
  <c r="C609" i="6"/>
  <c r="C610" i="6"/>
  <c r="C611" i="6"/>
  <c r="C612" i="6"/>
  <c r="C613" i="6"/>
  <c r="C614" i="6"/>
  <c r="C615" i="6"/>
  <c r="C616" i="6"/>
  <c r="C617" i="6"/>
  <c r="C618" i="6"/>
  <c r="C619" i="6"/>
  <c r="C620" i="6"/>
  <c r="C621" i="6"/>
  <c r="C622" i="6"/>
  <c r="C623" i="6"/>
  <c r="C624" i="6"/>
  <c r="C625" i="6"/>
  <c r="C626" i="6"/>
  <c r="C627" i="6"/>
  <c r="C628" i="6"/>
  <c r="C629" i="6"/>
  <c r="C630" i="6"/>
  <c r="C631" i="6"/>
  <c r="C632" i="6"/>
  <c r="C633" i="6"/>
  <c r="C634" i="6"/>
  <c r="C635" i="6"/>
  <c r="C636" i="6"/>
  <c r="C637" i="6"/>
  <c r="C638" i="6"/>
  <c r="C639" i="6"/>
  <c r="C640" i="6"/>
  <c r="C641" i="6"/>
  <c r="C642" i="6"/>
  <c r="C643" i="6"/>
  <c r="C644" i="6"/>
  <c r="C645" i="6"/>
  <c r="C646" i="6"/>
  <c r="C647" i="6"/>
  <c r="C648" i="6"/>
  <c r="C649" i="6"/>
  <c r="C650" i="6"/>
  <c r="C651" i="6"/>
  <c r="C652" i="6"/>
  <c r="C653" i="6"/>
  <c r="C654" i="6"/>
  <c r="C655" i="6"/>
  <c r="C656" i="6"/>
  <c r="C657" i="6"/>
  <c r="C658" i="6"/>
  <c r="C659" i="6"/>
  <c r="C660" i="6"/>
  <c r="C661" i="6"/>
  <c r="C662" i="6"/>
  <c r="C663" i="6"/>
  <c r="C664" i="6"/>
  <c r="C665" i="6"/>
  <c r="C666" i="6"/>
  <c r="C667" i="6"/>
  <c r="C668" i="6"/>
  <c r="C669" i="6"/>
  <c r="C670" i="6"/>
  <c r="C671" i="6"/>
  <c r="C672" i="6"/>
  <c r="C673" i="6"/>
  <c r="C674" i="6"/>
  <c r="C675" i="6"/>
  <c r="C676" i="6"/>
  <c r="C677" i="6"/>
  <c r="C678" i="6"/>
  <c r="C679" i="6"/>
  <c r="C680" i="6"/>
  <c r="C681" i="6"/>
  <c r="C682" i="6"/>
  <c r="C683" i="6"/>
  <c r="C684" i="6"/>
  <c r="C685" i="6"/>
  <c r="C686" i="6"/>
  <c r="C687" i="6"/>
  <c r="C688" i="6"/>
  <c r="C689" i="6"/>
  <c r="C690" i="6"/>
  <c r="C691" i="6"/>
  <c r="C692" i="6"/>
  <c r="C693" i="6"/>
  <c r="C694" i="6"/>
  <c r="C695" i="6"/>
  <c r="C696" i="6"/>
  <c r="C697" i="6"/>
  <c r="C698" i="6"/>
  <c r="C699" i="6"/>
  <c r="C700" i="6"/>
  <c r="C701" i="6"/>
  <c r="C702" i="6"/>
  <c r="C703" i="6"/>
  <c r="C704" i="6"/>
  <c r="C705" i="6"/>
  <c r="C706" i="6"/>
  <c r="C707" i="6"/>
  <c r="C708" i="6"/>
  <c r="C709" i="6"/>
  <c r="C710" i="6"/>
  <c r="C711" i="6"/>
  <c r="C712" i="6"/>
  <c r="C713" i="6"/>
  <c r="C714" i="6"/>
  <c r="C715" i="6"/>
  <c r="C716" i="6"/>
  <c r="C717" i="6"/>
  <c r="C718" i="6"/>
  <c r="C719" i="6"/>
  <c r="C720" i="6"/>
  <c r="C721" i="6"/>
  <c r="C722" i="6"/>
  <c r="C723" i="6"/>
  <c r="C724" i="6"/>
  <c r="C725" i="6"/>
  <c r="C726" i="6"/>
  <c r="C727" i="6"/>
  <c r="C728" i="6"/>
  <c r="C729" i="6"/>
  <c r="C730" i="6"/>
  <c r="C731" i="6"/>
  <c r="C732" i="6"/>
  <c r="C733" i="6"/>
  <c r="C734" i="6"/>
  <c r="C735" i="6"/>
  <c r="C736" i="6"/>
  <c r="C737" i="6"/>
  <c r="C738" i="6"/>
  <c r="C739" i="6"/>
  <c r="C740" i="6"/>
  <c r="C741" i="6"/>
  <c r="C742" i="6"/>
  <c r="C743" i="6"/>
  <c r="C744" i="6"/>
  <c r="C745" i="6"/>
  <c r="C746" i="6"/>
  <c r="C747" i="6"/>
  <c r="C748" i="6"/>
  <c r="C749" i="6"/>
  <c r="C750" i="6"/>
  <c r="C751" i="6"/>
  <c r="C752" i="6"/>
  <c r="C753" i="6"/>
  <c r="C754" i="6"/>
  <c r="C755" i="6"/>
  <c r="C756" i="6"/>
  <c r="C757" i="6"/>
  <c r="C758" i="6"/>
  <c r="C759" i="6"/>
  <c r="C760" i="6"/>
  <c r="C761" i="6"/>
  <c r="C762" i="6"/>
  <c r="C763" i="6"/>
  <c r="C764" i="6"/>
  <c r="C765" i="6"/>
  <c r="C766" i="6"/>
  <c r="C767" i="6"/>
  <c r="C768" i="6"/>
  <c r="C769" i="6"/>
  <c r="C770" i="6"/>
  <c r="C771" i="6"/>
  <c r="C772" i="6"/>
  <c r="C773" i="6"/>
  <c r="C774" i="6"/>
  <c r="C775" i="6"/>
  <c r="C776" i="6"/>
  <c r="C777" i="6"/>
  <c r="C778" i="6"/>
  <c r="C779" i="6"/>
  <c r="C780" i="6"/>
  <c r="C781" i="6"/>
  <c r="C782" i="6"/>
  <c r="C783" i="6"/>
  <c r="C784" i="6"/>
  <c r="C785" i="6"/>
  <c r="C786" i="6"/>
  <c r="C787" i="6"/>
  <c r="C788" i="6"/>
  <c r="C789" i="6"/>
  <c r="C790" i="6"/>
  <c r="C791" i="6"/>
  <c r="C792" i="6"/>
  <c r="C793" i="6"/>
  <c r="C794" i="6"/>
  <c r="C795" i="6"/>
  <c r="C796" i="6"/>
  <c r="C797" i="6"/>
  <c r="C798" i="6"/>
  <c r="C799" i="6"/>
  <c r="C800" i="6"/>
  <c r="C801" i="6"/>
  <c r="C802" i="6"/>
  <c r="C803" i="6"/>
  <c r="C804" i="6"/>
  <c r="C805" i="6"/>
  <c r="C806" i="6"/>
  <c r="C807" i="6"/>
  <c r="C808" i="6"/>
  <c r="C809" i="6"/>
  <c r="C810" i="6"/>
  <c r="C811" i="6"/>
  <c r="C812" i="6"/>
  <c r="C813" i="6"/>
  <c r="C814" i="6"/>
  <c r="C815" i="6"/>
  <c r="C816" i="6"/>
  <c r="C817" i="6"/>
  <c r="C818" i="6"/>
  <c r="C819" i="6"/>
  <c r="C820" i="6"/>
  <c r="C821" i="6"/>
  <c r="C822" i="6"/>
  <c r="C823" i="6"/>
  <c r="C824" i="6"/>
  <c r="C825" i="6"/>
  <c r="C826" i="6"/>
  <c r="C827" i="6"/>
  <c r="C828" i="6"/>
  <c r="C829" i="6"/>
  <c r="C830" i="6"/>
  <c r="C831" i="6"/>
  <c r="C832" i="6"/>
  <c r="C833" i="6"/>
  <c r="C834" i="6"/>
  <c r="C835" i="6"/>
  <c r="C836" i="6"/>
  <c r="C837" i="6"/>
  <c r="C838" i="6"/>
  <c r="C839" i="6"/>
  <c r="C840" i="6"/>
  <c r="C841" i="6"/>
  <c r="C842" i="6"/>
  <c r="C843" i="6"/>
  <c r="C844" i="6"/>
  <c r="C845" i="6"/>
  <c r="C846" i="6"/>
  <c r="C847" i="6"/>
  <c r="C848" i="6"/>
  <c r="C849" i="6"/>
  <c r="C850" i="6"/>
  <c r="C851" i="6"/>
  <c r="C852" i="6"/>
  <c r="C853" i="6"/>
  <c r="C854" i="6"/>
  <c r="C855" i="6"/>
  <c r="C856" i="6"/>
  <c r="C857" i="6"/>
  <c r="C858" i="6"/>
  <c r="C859" i="6"/>
  <c r="C860" i="6"/>
  <c r="C861" i="6"/>
  <c r="C862" i="6"/>
  <c r="C863" i="6"/>
  <c r="C864" i="6"/>
  <c r="C865" i="6"/>
  <c r="C866" i="6"/>
  <c r="C867" i="6"/>
  <c r="C868" i="6"/>
  <c r="C869" i="6"/>
  <c r="C870" i="6"/>
  <c r="C871" i="6"/>
  <c r="C872" i="6"/>
  <c r="C873" i="6"/>
  <c r="C874" i="6"/>
  <c r="C875" i="6"/>
  <c r="C876" i="6"/>
  <c r="C877" i="6"/>
  <c r="C878" i="6"/>
  <c r="C879" i="6"/>
  <c r="C880" i="6"/>
  <c r="C881" i="6"/>
  <c r="C882" i="6"/>
  <c r="C883" i="6"/>
  <c r="C884" i="6"/>
  <c r="C885" i="6"/>
  <c r="C886" i="6"/>
  <c r="C887" i="6"/>
  <c r="C888" i="6"/>
  <c r="C889" i="6"/>
  <c r="C890" i="6"/>
  <c r="C891" i="6"/>
  <c r="C892" i="6"/>
  <c r="C893" i="6"/>
  <c r="C894" i="6"/>
  <c r="C895" i="6"/>
  <c r="C896" i="6"/>
  <c r="C897" i="6"/>
  <c r="C898" i="6"/>
  <c r="C899" i="6"/>
  <c r="C900" i="6"/>
  <c r="C901" i="6"/>
  <c r="C902" i="6"/>
  <c r="C903" i="6"/>
  <c r="C904" i="6"/>
  <c r="C905" i="6"/>
  <c r="C906" i="6"/>
  <c r="C907" i="6"/>
  <c r="C908" i="6"/>
  <c r="C909" i="6"/>
  <c r="C910" i="6"/>
  <c r="C911" i="6"/>
  <c r="C912" i="6"/>
  <c r="C913" i="6"/>
  <c r="C914" i="6"/>
  <c r="C915" i="6"/>
  <c r="C916" i="6"/>
  <c r="C917" i="6"/>
  <c r="C918" i="6"/>
  <c r="C919" i="6"/>
  <c r="C920" i="6"/>
  <c r="C921" i="6"/>
  <c r="C922" i="6"/>
  <c r="C923" i="6"/>
  <c r="C924" i="6"/>
  <c r="C925" i="6"/>
  <c r="C926" i="6"/>
  <c r="C927" i="6"/>
  <c r="C928" i="6"/>
  <c r="C929" i="6"/>
  <c r="C930" i="6"/>
  <c r="C931" i="6"/>
  <c r="C932" i="6"/>
  <c r="C933" i="6"/>
  <c r="C934" i="6"/>
  <c r="C935" i="6"/>
  <c r="C936" i="6"/>
  <c r="C937" i="6"/>
  <c r="C938" i="6"/>
  <c r="C939" i="6"/>
  <c r="C940" i="6"/>
  <c r="C941" i="6"/>
  <c r="C942" i="6"/>
  <c r="C943" i="6"/>
  <c r="C944" i="6"/>
  <c r="C945" i="6"/>
  <c r="C946" i="6"/>
  <c r="C947" i="6"/>
  <c r="C948" i="6"/>
  <c r="C949" i="6"/>
  <c r="C950" i="6"/>
  <c r="C951" i="6"/>
  <c r="C952" i="6"/>
  <c r="C953" i="6"/>
  <c r="C954" i="6"/>
  <c r="C955" i="6"/>
  <c r="C956" i="6"/>
  <c r="C957" i="6"/>
  <c r="C958" i="6"/>
  <c r="C959" i="6"/>
  <c r="C960" i="6"/>
  <c r="C961" i="6"/>
  <c r="C962" i="6"/>
  <c r="C963" i="6"/>
  <c r="C964" i="6"/>
  <c r="C965" i="6"/>
  <c r="C966" i="6"/>
  <c r="C967" i="6"/>
  <c r="C968" i="6"/>
  <c r="C969" i="6"/>
  <c r="C970" i="6"/>
  <c r="C971" i="6"/>
  <c r="C972" i="6"/>
  <c r="C973" i="6"/>
  <c r="C974" i="6"/>
  <c r="C975" i="6"/>
  <c r="C976" i="6"/>
  <c r="C977" i="6"/>
  <c r="C978" i="6"/>
  <c r="C979" i="6"/>
  <c r="C980" i="6"/>
  <c r="C981" i="6"/>
  <c r="C982" i="6"/>
  <c r="C983" i="6"/>
  <c r="C984" i="6"/>
  <c r="C985" i="6"/>
  <c r="C986" i="6"/>
  <c r="C987" i="6"/>
  <c r="C988" i="6"/>
  <c r="C989" i="6"/>
  <c r="C990" i="6"/>
  <c r="C991" i="6"/>
  <c r="C992" i="6"/>
  <c r="C993" i="6"/>
  <c r="C994" i="6"/>
  <c r="C995" i="6"/>
  <c r="C996" i="6"/>
  <c r="C997" i="6"/>
  <c r="C998" i="6"/>
  <c r="C999" i="6"/>
  <c r="C1000" i="6"/>
  <c r="C1001" i="6"/>
  <c r="C1002" i="6"/>
  <c r="C1003" i="6"/>
  <c r="C1004" i="6"/>
  <c r="C1005" i="6"/>
  <c r="C1006" i="6"/>
  <c r="C1007" i="6"/>
  <c r="C1008" i="6"/>
  <c r="C1009" i="6"/>
  <c r="C1010" i="6"/>
  <c r="C1011" i="6"/>
  <c r="C1012" i="6"/>
  <c r="C1013" i="6"/>
  <c r="C1014" i="6"/>
  <c r="C1015" i="6"/>
  <c r="C1016" i="6"/>
  <c r="C1017" i="6"/>
  <c r="C1018" i="6"/>
  <c r="C1019" i="6"/>
  <c r="C1020" i="6"/>
  <c r="C1021" i="6"/>
  <c r="C1022" i="6"/>
  <c r="C1023" i="6"/>
  <c r="C1024" i="6"/>
  <c r="C1025" i="6"/>
  <c r="C1026" i="6"/>
  <c r="C1027" i="6"/>
  <c r="C1028" i="6"/>
  <c r="C1029" i="6"/>
  <c r="C1030" i="6"/>
  <c r="C1031" i="6"/>
  <c r="C1032" i="6"/>
  <c r="C1033" i="6"/>
  <c r="C1034" i="6"/>
  <c r="C1035" i="6"/>
  <c r="C1036" i="6"/>
  <c r="C1037" i="6"/>
  <c r="C1038" i="6"/>
  <c r="C1039" i="6"/>
  <c r="C1040" i="6"/>
  <c r="C1041" i="6"/>
  <c r="C1042" i="6"/>
  <c r="C1043" i="6"/>
  <c r="C1044" i="6"/>
  <c r="C1045" i="6"/>
  <c r="C1046" i="6"/>
  <c r="C1047" i="6"/>
  <c r="C1048" i="6"/>
  <c r="C1049" i="6"/>
  <c r="C1050" i="6"/>
  <c r="C1051" i="6"/>
  <c r="C1052" i="6"/>
  <c r="C1053" i="6"/>
  <c r="C1054" i="6"/>
  <c r="C1055" i="6"/>
  <c r="C1056" i="6"/>
  <c r="C1057" i="6"/>
  <c r="C1058" i="6"/>
  <c r="C1059" i="6"/>
  <c r="C1060" i="6"/>
  <c r="C1061" i="6"/>
  <c r="C1062" i="6"/>
  <c r="C1063" i="6"/>
  <c r="C1064" i="6"/>
  <c r="C1065" i="6"/>
  <c r="C1066" i="6"/>
  <c r="C1067" i="6"/>
  <c r="C1068" i="6"/>
  <c r="C1069" i="6"/>
  <c r="C1070" i="6"/>
  <c r="C1071" i="6"/>
  <c r="C1072" i="6"/>
  <c r="C1073" i="6"/>
  <c r="C1074" i="6"/>
  <c r="C1075" i="6"/>
  <c r="C1076" i="6"/>
  <c r="C1077" i="6"/>
  <c r="C1078" i="6"/>
  <c r="C1079" i="6"/>
  <c r="C1080" i="6"/>
  <c r="C1081" i="6"/>
  <c r="C1082" i="6"/>
  <c r="C1083" i="6"/>
  <c r="C1084" i="6"/>
  <c r="C1085" i="6"/>
  <c r="C1086" i="6"/>
  <c r="C1087" i="6"/>
  <c r="C1088" i="6"/>
  <c r="C1089" i="6"/>
  <c r="C1090" i="6"/>
  <c r="C1091" i="6"/>
  <c r="C1092" i="6"/>
  <c r="C1093" i="6"/>
  <c r="C1094" i="6"/>
  <c r="C1095" i="6"/>
  <c r="C1096" i="6"/>
  <c r="C1097" i="6"/>
  <c r="C1098" i="6"/>
  <c r="C1099" i="6"/>
  <c r="C1100" i="6"/>
  <c r="C1101" i="6"/>
  <c r="C1102" i="6"/>
  <c r="C1103" i="6"/>
  <c r="C1104" i="6"/>
  <c r="C1105" i="6"/>
  <c r="C1106" i="6"/>
  <c r="C1107" i="6"/>
  <c r="C1108" i="6"/>
  <c r="C1109" i="6"/>
  <c r="C1110" i="6"/>
  <c r="C1111" i="6"/>
  <c r="C1112" i="6"/>
  <c r="C1113" i="6"/>
  <c r="C1114" i="6"/>
  <c r="C1115" i="6"/>
  <c r="C1116" i="6"/>
  <c r="C1117" i="6"/>
  <c r="C1118" i="6"/>
  <c r="C1119" i="6"/>
  <c r="C1120" i="6"/>
  <c r="C1121" i="6"/>
  <c r="C1122" i="6"/>
  <c r="C1123" i="6"/>
  <c r="C1124" i="6"/>
  <c r="C1125" i="6"/>
  <c r="C1126" i="6"/>
  <c r="C1127" i="6"/>
  <c r="C1128" i="6"/>
  <c r="C1129" i="6"/>
  <c r="C1130" i="6"/>
  <c r="C1131" i="6"/>
  <c r="C1132" i="6"/>
  <c r="C1133" i="6"/>
  <c r="C1134" i="6"/>
  <c r="C1135" i="6"/>
  <c r="C1136" i="6"/>
  <c r="C1137" i="6"/>
  <c r="C1138" i="6"/>
  <c r="C1139" i="6"/>
  <c r="C1140" i="6"/>
  <c r="C1141" i="6"/>
  <c r="C1142" i="6"/>
  <c r="C1143" i="6"/>
  <c r="C1144" i="6"/>
  <c r="C1145" i="6"/>
  <c r="C1146" i="6"/>
  <c r="C1147" i="6"/>
  <c r="C1148" i="6"/>
  <c r="C1149" i="6"/>
  <c r="C1150" i="6"/>
  <c r="C1151" i="6"/>
  <c r="C1152" i="6"/>
  <c r="C1153" i="6"/>
  <c r="C1154" i="6"/>
  <c r="C1155" i="6"/>
  <c r="C1156" i="6"/>
  <c r="C1157" i="6"/>
  <c r="C1158" i="6"/>
  <c r="C1159" i="6"/>
  <c r="C1160" i="6"/>
  <c r="C1161" i="6"/>
  <c r="C1162" i="6"/>
  <c r="C1163" i="6"/>
  <c r="C1164" i="6"/>
  <c r="C1165" i="6"/>
  <c r="C1166" i="6"/>
  <c r="C1167" i="6"/>
  <c r="C1168" i="6"/>
  <c r="C1169" i="6"/>
  <c r="C1170" i="6"/>
  <c r="C1171" i="6"/>
  <c r="C1172" i="6"/>
  <c r="C1173" i="6"/>
  <c r="C1174" i="6"/>
  <c r="C1175" i="6"/>
  <c r="C1176" i="6"/>
  <c r="C1177" i="6"/>
  <c r="C1178" i="6"/>
  <c r="C1179" i="6"/>
  <c r="C1180" i="6"/>
  <c r="C1181" i="6"/>
  <c r="C1182" i="6"/>
  <c r="C1183" i="6"/>
  <c r="C1184" i="6"/>
  <c r="C1185" i="6"/>
  <c r="C1186" i="6"/>
  <c r="C1187" i="6"/>
  <c r="C1188" i="6"/>
  <c r="C1189" i="6"/>
  <c r="C1190" i="6"/>
  <c r="C1191" i="6"/>
  <c r="C1192" i="6"/>
  <c r="C1193" i="6"/>
  <c r="C1194" i="6"/>
  <c r="C1195" i="6"/>
  <c r="C1196" i="6"/>
  <c r="C1197" i="6"/>
  <c r="C1198" i="6"/>
  <c r="C1199" i="6"/>
  <c r="C1200" i="6"/>
  <c r="C1201" i="6"/>
  <c r="C1202" i="6"/>
  <c r="C1203" i="6"/>
  <c r="C1204" i="6"/>
  <c r="C1205" i="6"/>
  <c r="C1206" i="6"/>
  <c r="C1207" i="6"/>
  <c r="C1208" i="6"/>
  <c r="C1209" i="6"/>
  <c r="C1210" i="6"/>
  <c r="C1211" i="6"/>
  <c r="C1212" i="6"/>
  <c r="C1213" i="6"/>
  <c r="C1214" i="6"/>
  <c r="C1215" i="6"/>
  <c r="C1216" i="6"/>
  <c r="C1217" i="6"/>
  <c r="C1218" i="6"/>
  <c r="C1219" i="6"/>
  <c r="C1220" i="6"/>
  <c r="C1221" i="6"/>
  <c r="C1222" i="6"/>
  <c r="C1223" i="6"/>
  <c r="C1224" i="6"/>
  <c r="C1225" i="6"/>
  <c r="C1226" i="6"/>
  <c r="C1227" i="6"/>
  <c r="C1228" i="6"/>
  <c r="C1229" i="6"/>
  <c r="C1230" i="6"/>
  <c r="C1231" i="6"/>
  <c r="C1232" i="6"/>
  <c r="C1233" i="6"/>
  <c r="C1234" i="6"/>
  <c r="C1235" i="6"/>
  <c r="C1236" i="6"/>
  <c r="C1237" i="6"/>
  <c r="C1238" i="6"/>
  <c r="C1239" i="6"/>
  <c r="C1240" i="6"/>
  <c r="C1241" i="6"/>
  <c r="C1242" i="6"/>
  <c r="C1243" i="6"/>
  <c r="C1244" i="6"/>
  <c r="C1245" i="6"/>
  <c r="C1246" i="6"/>
  <c r="C1247" i="6"/>
  <c r="C1248" i="6"/>
  <c r="C1249" i="6"/>
  <c r="C1250" i="6"/>
  <c r="C1251" i="6"/>
  <c r="C1252" i="6"/>
  <c r="C1253" i="6"/>
  <c r="C1254" i="6"/>
  <c r="C1255" i="6"/>
  <c r="C1256" i="6"/>
  <c r="C1257" i="6"/>
  <c r="C1258" i="6"/>
  <c r="C1259" i="6"/>
  <c r="C1260" i="6"/>
  <c r="C1261" i="6"/>
  <c r="C1262" i="6"/>
  <c r="C1263" i="6"/>
  <c r="C1264" i="6"/>
  <c r="C1265" i="6"/>
  <c r="C1266" i="6"/>
  <c r="C1267" i="6"/>
  <c r="C1268" i="6"/>
  <c r="C1269" i="6"/>
  <c r="C1270" i="6"/>
  <c r="C1271" i="6"/>
  <c r="C1272" i="6"/>
  <c r="C1273" i="6"/>
  <c r="C1274" i="6"/>
  <c r="C1275" i="6"/>
  <c r="C1276" i="6"/>
  <c r="C1277" i="6"/>
  <c r="C1278" i="6"/>
  <c r="C1279" i="6"/>
  <c r="C1280" i="6"/>
  <c r="C1281" i="6"/>
  <c r="C1282" i="6"/>
  <c r="C1283" i="6"/>
  <c r="C1284" i="6"/>
  <c r="C1285" i="6"/>
  <c r="C1286" i="6"/>
  <c r="C1287" i="6"/>
  <c r="C1288" i="6"/>
  <c r="C1289" i="6"/>
  <c r="C1290" i="6"/>
  <c r="C1291" i="6"/>
  <c r="C1292" i="6"/>
  <c r="C1293" i="6"/>
  <c r="C1294" i="6"/>
  <c r="C1295" i="6"/>
  <c r="C1296" i="6"/>
  <c r="C1297" i="6"/>
  <c r="C1298" i="6"/>
  <c r="C1299" i="6"/>
  <c r="C1300" i="6"/>
  <c r="C1301" i="6"/>
  <c r="C1302" i="6"/>
  <c r="C1303" i="6"/>
  <c r="C1304" i="6"/>
  <c r="C1305" i="6"/>
  <c r="C1306" i="6"/>
  <c r="C1307" i="6"/>
  <c r="C1308" i="6"/>
  <c r="C1309" i="6"/>
  <c r="C1310" i="6"/>
  <c r="C1311" i="6"/>
  <c r="C1312" i="6"/>
  <c r="C1313" i="6"/>
  <c r="C1314" i="6"/>
  <c r="C1315" i="6"/>
  <c r="C1316" i="6"/>
  <c r="C1317" i="6"/>
  <c r="C1318" i="6"/>
  <c r="C1319" i="6"/>
  <c r="C1320" i="6"/>
  <c r="C1321" i="6"/>
  <c r="C1322" i="6"/>
  <c r="C1323" i="6"/>
  <c r="C1324" i="6"/>
  <c r="C1325" i="6"/>
  <c r="C1326" i="6"/>
  <c r="C1327" i="6"/>
  <c r="C1328" i="6"/>
  <c r="C1329" i="6"/>
  <c r="C1330" i="6"/>
  <c r="C1331" i="6"/>
  <c r="C1332" i="6"/>
  <c r="C1333" i="6"/>
  <c r="C1334" i="6"/>
  <c r="C1335" i="6"/>
  <c r="J2" i="6"/>
  <c r="K2" i="6"/>
  <c r="L2" i="6"/>
  <c r="M2" i="6"/>
  <c r="N2" i="6"/>
  <c r="O2" i="6"/>
  <c r="P2" i="6"/>
  <c r="Q2" i="6"/>
  <c r="R2" i="6"/>
  <c r="S2" i="6"/>
  <c r="T2" i="6"/>
  <c r="U2" i="6"/>
  <c r="V2" i="6"/>
  <c r="W2" i="6"/>
  <c r="X2" i="6"/>
  <c r="Y2" i="6"/>
  <c r="Z2" i="6"/>
  <c r="AA2" i="6"/>
  <c r="J3" i="6"/>
  <c r="K3" i="6"/>
  <c r="L3" i="6"/>
  <c r="M3" i="6"/>
  <c r="N3" i="6"/>
  <c r="O3" i="6"/>
  <c r="P3" i="6"/>
  <c r="Q3" i="6"/>
  <c r="R3" i="6"/>
  <c r="S3" i="6"/>
  <c r="T3" i="6"/>
  <c r="U3" i="6"/>
  <c r="V3" i="6"/>
  <c r="W3" i="6"/>
  <c r="X3" i="6"/>
  <c r="Y3" i="6"/>
  <c r="Z3" i="6"/>
  <c r="AA3" i="6"/>
  <c r="J4" i="6"/>
  <c r="K4" i="6"/>
  <c r="L4" i="6"/>
  <c r="M4" i="6"/>
  <c r="N4" i="6"/>
  <c r="O4" i="6"/>
  <c r="P4" i="6"/>
  <c r="Q4" i="6"/>
  <c r="R4" i="6"/>
  <c r="S4" i="6"/>
  <c r="T4" i="6"/>
  <c r="U4" i="6"/>
  <c r="V4" i="6"/>
  <c r="W4" i="6"/>
  <c r="X4" i="6"/>
  <c r="Y4" i="6"/>
  <c r="Z4" i="6"/>
  <c r="AA4" i="6"/>
  <c r="J5" i="6"/>
  <c r="K5" i="6"/>
  <c r="L5" i="6"/>
  <c r="M5" i="6"/>
  <c r="N5" i="6"/>
  <c r="O5" i="6"/>
  <c r="P5" i="6"/>
  <c r="Q5" i="6"/>
  <c r="R5" i="6"/>
  <c r="S5" i="6"/>
  <c r="T5" i="6"/>
  <c r="U5" i="6"/>
  <c r="V5" i="6"/>
  <c r="W5" i="6"/>
  <c r="X5" i="6"/>
  <c r="Y5" i="6"/>
  <c r="Z5" i="6"/>
  <c r="AA5" i="6"/>
  <c r="J6" i="6"/>
  <c r="K6" i="6"/>
  <c r="L6" i="6"/>
  <c r="M6" i="6"/>
  <c r="N6" i="6"/>
  <c r="O6" i="6"/>
  <c r="P6" i="6"/>
  <c r="Q6" i="6"/>
  <c r="R6" i="6"/>
  <c r="S6" i="6"/>
  <c r="T6" i="6"/>
  <c r="U6" i="6"/>
  <c r="V6" i="6"/>
  <c r="W6" i="6"/>
  <c r="X6" i="6"/>
  <c r="Y6" i="6"/>
  <c r="Z6" i="6"/>
  <c r="AA6" i="6"/>
  <c r="J7" i="6"/>
  <c r="K7" i="6"/>
  <c r="L7" i="6"/>
  <c r="M7" i="6"/>
  <c r="N7" i="6"/>
  <c r="O7" i="6"/>
  <c r="P7" i="6"/>
  <c r="Q7" i="6"/>
  <c r="R7" i="6"/>
  <c r="S7" i="6"/>
  <c r="T7" i="6"/>
  <c r="U7" i="6"/>
  <c r="V7" i="6"/>
  <c r="W7" i="6"/>
  <c r="X7" i="6"/>
  <c r="Y7" i="6"/>
  <c r="Z7" i="6"/>
  <c r="AA7" i="6"/>
  <c r="J8" i="6"/>
  <c r="K8" i="6"/>
  <c r="L8" i="6"/>
  <c r="M8" i="6"/>
  <c r="N8" i="6"/>
  <c r="O8" i="6"/>
  <c r="P8" i="6"/>
  <c r="Q8" i="6"/>
  <c r="R8" i="6"/>
  <c r="S8" i="6"/>
  <c r="T8" i="6"/>
  <c r="U8" i="6"/>
  <c r="V8" i="6"/>
  <c r="W8" i="6"/>
  <c r="X8" i="6"/>
  <c r="Y8" i="6"/>
  <c r="Z8" i="6"/>
  <c r="AA8" i="6"/>
  <c r="J9" i="6"/>
  <c r="K9" i="6"/>
  <c r="L9" i="6"/>
  <c r="M9" i="6"/>
  <c r="N9" i="6"/>
  <c r="O9" i="6"/>
  <c r="P9" i="6"/>
  <c r="Q9" i="6"/>
  <c r="R9" i="6"/>
  <c r="S9" i="6"/>
  <c r="T9" i="6"/>
  <c r="U9" i="6"/>
  <c r="V9" i="6"/>
  <c r="W9" i="6"/>
  <c r="X9" i="6"/>
  <c r="Y9" i="6"/>
  <c r="Z9" i="6"/>
  <c r="AA9" i="6"/>
  <c r="J10" i="6"/>
  <c r="K10" i="6"/>
  <c r="L10" i="6"/>
  <c r="M10" i="6"/>
  <c r="N10" i="6"/>
  <c r="O10" i="6"/>
  <c r="P10" i="6"/>
  <c r="Q10" i="6"/>
  <c r="R10" i="6"/>
  <c r="S10" i="6"/>
  <c r="T10" i="6"/>
  <c r="U10" i="6"/>
  <c r="V10" i="6"/>
  <c r="W10" i="6"/>
  <c r="X10" i="6"/>
  <c r="Y10" i="6"/>
  <c r="Z10" i="6"/>
  <c r="AA10" i="6"/>
  <c r="J11" i="6"/>
  <c r="K11" i="6"/>
  <c r="L11" i="6"/>
  <c r="M11" i="6"/>
  <c r="N11" i="6"/>
  <c r="O11" i="6"/>
  <c r="P11" i="6"/>
  <c r="Q11" i="6"/>
  <c r="R11" i="6"/>
  <c r="S11" i="6"/>
  <c r="T11" i="6"/>
  <c r="U11" i="6"/>
  <c r="V11" i="6"/>
  <c r="W11" i="6"/>
  <c r="X11" i="6"/>
  <c r="Y11" i="6"/>
  <c r="Z11" i="6"/>
  <c r="AA11" i="6"/>
  <c r="J12" i="6"/>
  <c r="K12" i="6"/>
  <c r="L12" i="6"/>
  <c r="M12" i="6"/>
  <c r="N12" i="6"/>
  <c r="O12" i="6"/>
  <c r="P12" i="6"/>
  <c r="Q12" i="6"/>
  <c r="R12" i="6"/>
  <c r="S12" i="6"/>
  <c r="T12" i="6"/>
  <c r="U12" i="6"/>
  <c r="V12" i="6"/>
  <c r="W12" i="6"/>
  <c r="X12" i="6"/>
  <c r="Y12" i="6"/>
  <c r="Z12" i="6"/>
  <c r="AA12" i="6"/>
  <c r="J13" i="6"/>
  <c r="K13" i="6"/>
  <c r="L13" i="6"/>
  <c r="M13" i="6"/>
  <c r="N13" i="6"/>
  <c r="O13" i="6"/>
  <c r="P13" i="6"/>
  <c r="Q13" i="6"/>
  <c r="R13" i="6"/>
  <c r="S13" i="6"/>
  <c r="T13" i="6"/>
  <c r="U13" i="6"/>
  <c r="V13" i="6"/>
  <c r="W13" i="6"/>
  <c r="X13" i="6"/>
  <c r="Y13" i="6"/>
  <c r="Z13" i="6"/>
  <c r="AA13" i="6"/>
  <c r="J14" i="6"/>
  <c r="K14" i="6"/>
  <c r="L14" i="6"/>
  <c r="M14" i="6"/>
  <c r="N14" i="6"/>
  <c r="O14" i="6"/>
  <c r="P14" i="6"/>
  <c r="Q14" i="6"/>
  <c r="R14" i="6"/>
  <c r="S14" i="6"/>
  <c r="T14" i="6"/>
  <c r="U14" i="6"/>
  <c r="V14" i="6"/>
  <c r="W14" i="6"/>
  <c r="X14" i="6"/>
  <c r="Y14" i="6"/>
  <c r="Z14" i="6"/>
  <c r="AA14" i="6"/>
  <c r="J15" i="6"/>
  <c r="K15" i="6"/>
  <c r="L15" i="6"/>
  <c r="M15" i="6"/>
  <c r="N15" i="6"/>
  <c r="O15" i="6"/>
  <c r="P15" i="6"/>
  <c r="Q15" i="6"/>
  <c r="R15" i="6"/>
  <c r="S15" i="6"/>
  <c r="T15" i="6"/>
  <c r="U15" i="6"/>
  <c r="V15" i="6"/>
  <c r="W15" i="6"/>
  <c r="X15" i="6"/>
  <c r="Y15" i="6"/>
  <c r="Z15" i="6"/>
  <c r="AA15" i="6"/>
  <c r="J16" i="6"/>
  <c r="K16" i="6"/>
  <c r="L16" i="6"/>
  <c r="M16" i="6"/>
  <c r="N16" i="6"/>
  <c r="O16" i="6"/>
  <c r="P16" i="6"/>
  <c r="Q16" i="6"/>
  <c r="R16" i="6"/>
  <c r="S16" i="6"/>
  <c r="T16" i="6"/>
  <c r="U16" i="6"/>
  <c r="V16" i="6"/>
  <c r="W16" i="6"/>
  <c r="X16" i="6"/>
  <c r="Y16" i="6"/>
  <c r="Z16" i="6"/>
  <c r="AA16" i="6"/>
  <c r="J17" i="6"/>
  <c r="K17" i="6"/>
  <c r="L17" i="6"/>
  <c r="M17" i="6"/>
  <c r="N17" i="6"/>
  <c r="O17" i="6"/>
  <c r="P17" i="6"/>
  <c r="Q17" i="6"/>
  <c r="R17" i="6"/>
  <c r="S17" i="6"/>
  <c r="T17" i="6"/>
  <c r="U17" i="6"/>
  <c r="V17" i="6"/>
  <c r="W17" i="6"/>
  <c r="X17" i="6"/>
  <c r="Y17" i="6"/>
  <c r="Z17" i="6"/>
  <c r="AA17" i="6"/>
  <c r="J18" i="6"/>
  <c r="K18" i="6"/>
  <c r="L18" i="6"/>
  <c r="M18" i="6"/>
  <c r="N18" i="6"/>
  <c r="O18" i="6"/>
  <c r="P18" i="6"/>
  <c r="Q18" i="6"/>
  <c r="R18" i="6"/>
  <c r="S18" i="6"/>
  <c r="T18" i="6"/>
  <c r="U18" i="6"/>
  <c r="V18" i="6"/>
  <c r="W18" i="6"/>
  <c r="X18" i="6"/>
  <c r="Y18" i="6"/>
  <c r="Z18" i="6"/>
  <c r="AA18" i="6"/>
  <c r="J19" i="6"/>
  <c r="K19" i="6"/>
  <c r="L19" i="6"/>
  <c r="M19" i="6"/>
  <c r="N19" i="6"/>
  <c r="O19" i="6"/>
  <c r="P19" i="6"/>
  <c r="Q19" i="6"/>
  <c r="R19" i="6"/>
  <c r="S19" i="6"/>
  <c r="T19" i="6"/>
  <c r="U19" i="6"/>
  <c r="V19" i="6"/>
  <c r="W19" i="6"/>
  <c r="X19" i="6"/>
  <c r="Y19" i="6"/>
  <c r="Z19" i="6"/>
  <c r="AA19" i="6"/>
  <c r="J20" i="6"/>
  <c r="K20" i="6"/>
  <c r="L20" i="6"/>
  <c r="M20" i="6"/>
  <c r="N20" i="6"/>
  <c r="O20" i="6"/>
  <c r="P20" i="6"/>
  <c r="Q20" i="6"/>
  <c r="R20" i="6"/>
  <c r="S20" i="6"/>
  <c r="T20" i="6"/>
  <c r="U20" i="6"/>
  <c r="V20" i="6"/>
  <c r="W20" i="6"/>
  <c r="X20" i="6"/>
  <c r="Y20" i="6"/>
  <c r="Z20" i="6"/>
  <c r="AA20" i="6"/>
  <c r="J21" i="6"/>
  <c r="K21" i="6"/>
  <c r="L21" i="6"/>
  <c r="M21" i="6"/>
  <c r="N21" i="6"/>
  <c r="O21" i="6"/>
  <c r="P21" i="6"/>
  <c r="Q21" i="6"/>
  <c r="R21" i="6"/>
  <c r="S21" i="6"/>
  <c r="T21" i="6"/>
  <c r="U21" i="6"/>
  <c r="V21" i="6"/>
  <c r="W21" i="6"/>
  <c r="X21" i="6"/>
  <c r="Y21" i="6"/>
  <c r="Z21" i="6"/>
  <c r="AA21" i="6"/>
  <c r="J22" i="6"/>
  <c r="K22" i="6"/>
  <c r="L22" i="6"/>
  <c r="M22" i="6"/>
  <c r="N22" i="6"/>
  <c r="O22" i="6"/>
  <c r="P22" i="6"/>
  <c r="Q22" i="6"/>
  <c r="R22" i="6"/>
  <c r="S22" i="6"/>
  <c r="T22" i="6"/>
  <c r="U22" i="6"/>
  <c r="V22" i="6"/>
  <c r="W22" i="6"/>
  <c r="X22" i="6"/>
  <c r="Y22" i="6"/>
  <c r="Z22" i="6"/>
  <c r="AA22" i="6"/>
  <c r="J23" i="6"/>
  <c r="K23" i="6"/>
  <c r="L23" i="6"/>
  <c r="M23" i="6"/>
  <c r="N23" i="6"/>
  <c r="O23" i="6"/>
  <c r="P23" i="6"/>
  <c r="Q23" i="6"/>
  <c r="R23" i="6"/>
  <c r="S23" i="6"/>
  <c r="T23" i="6"/>
  <c r="U23" i="6"/>
  <c r="V23" i="6"/>
  <c r="W23" i="6"/>
  <c r="X23" i="6"/>
  <c r="Y23" i="6"/>
  <c r="Z23" i="6"/>
  <c r="AA23" i="6"/>
  <c r="J24" i="6"/>
  <c r="K24" i="6"/>
  <c r="L24" i="6"/>
  <c r="M24" i="6"/>
  <c r="N24" i="6"/>
  <c r="O24" i="6"/>
  <c r="P24" i="6"/>
  <c r="Q24" i="6"/>
  <c r="R24" i="6"/>
  <c r="S24" i="6"/>
  <c r="T24" i="6"/>
  <c r="U24" i="6"/>
  <c r="V24" i="6"/>
  <c r="W24" i="6"/>
  <c r="X24" i="6"/>
  <c r="Y24" i="6"/>
  <c r="Z24" i="6"/>
  <c r="AA24" i="6"/>
  <c r="J25" i="6"/>
  <c r="K25" i="6"/>
  <c r="L25" i="6"/>
  <c r="M25" i="6"/>
  <c r="N25" i="6"/>
  <c r="O25" i="6"/>
  <c r="P25" i="6"/>
  <c r="Q25" i="6"/>
  <c r="R25" i="6"/>
  <c r="S25" i="6"/>
  <c r="T25" i="6"/>
  <c r="U25" i="6"/>
  <c r="V25" i="6"/>
  <c r="W25" i="6"/>
  <c r="X25" i="6"/>
  <c r="Y25" i="6"/>
  <c r="Z25" i="6"/>
  <c r="AA25" i="6"/>
  <c r="J26" i="6"/>
  <c r="K26" i="6"/>
  <c r="L26" i="6"/>
  <c r="M26" i="6"/>
  <c r="N26" i="6"/>
  <c r="O26" i="6"/>
  <c r="P26" i="6"/>
  <c r="Q26" i="6"/>
  <c r="R26" i="6"/>
  <c r="S26" i="6"/>
  <c r="T26" i="6"/>
  <c r="U26" i="6"/>
  <c r="V26" i="6"/>
  <c r="W26" i="6"/>
  <c r="X26" i="6"/>
  <c r="Y26" i="6"/>
  <c r="Z26" i="6"/>
  <c r="AA26" i="6"/>
  <c r="J27" i="6"/>
  <c r="K27" i="6"/>
  <c r="L27" i="6"/>
  <c r="M27" i="6"/>
  <c r="N27" i="6"/>
  <c r="O27" i="6"/>
  <c r="P27" i="6"/>
  <c r="Q27" i="6"/>
  <c r="R27" i="6"/>
  <c r="S27" i="6"/>
  <c r="T27" i="6"/>
  <c r="U27" i="6"/>
  <c r="V27" i="6"/>
  <c r="W27" i="6"/>
  <c r="X27" i="6"/>
  <c r="Y27" i="6"/>
  <c r="Z27" i="6"/>
  <c r="AA27" i="6"/>
  <c r="J28" i="6"/>
  <c r="K28" i="6"/>
  <c r="L28" i="6"/>
  <c r="M28" i="6"/>
  <c r="N28" i="6"/>
  <c r="O28" i="6"/>
  <c r="P28" i="6"/>
  <c r="Q28" i="6"/>
  <c r="R28" i="6"/>
  <c r="S28" i="6"/>
  <c r="T28" i="6"/>
  <c r="U28" i="6"/>
  <c r="V28" i="6"/>
  <c r="W28" i="6"/>
  <c r="X28" i="6"/>
  <c r="Y28" i="6"/>
  <c r="Z28" i="6"/>
  <c r="AA28" i="6"/>
  <c r="J29" i="6"/>
  <c r="K29" i="6"/>
  <c r="L29" i="6"/>
  <c r="M29" i="6"/>
  <c r="N29" i="6"/>
  <c r="O29" i="6"/>
  <c r="P29" i="6"/>
  <c r="Q29" i="6"/>
  <c r="R29" i="6"/>
  <c r="S29" i="6"/>
  <c r="T29" i="6"/>
  <c r="U29" i="6"/>
  <c r="V29" i="6"/>
  <c r="W29" i="6"/>
  <c r="X29" i="6"/>
  <c r="Y29" i="6"/>
  <c r="Z29" i="6"/>
  <c r="AA29" i="6"/>
  <c r="J30" i="6"/>
  <c r="K30" i="6"/>
  <c r="L30" i="6"/>
  <c r="M30" i="6"/>
  <c r="N30" i="6"/>
  <c r="O30" i="6"/>
  <c r="P30" i="6"/>
  <c r="Q30" i="6"/>
  <c r="R30" i="6"/>
  <c r="S30" i="6"/>
  <c r="T30" i="6"/>
  <c r="U30" i="6"/>
  <c r="V30" i="6"/>
  <c r="W30" i="6"/>
  <c r="X30" i="6"/>
  <c r="Y30" i="6"/>
  <c r="Z30" i="6"/>
  <c r="AA30" i="6"/>
  <c r="J31" i="6"/>
  <c r="K31" i="6"/>
  <c r="L31" i="6"/>
  <c r="M31" i="6"/>
  <c r="N31" i="6"/>
  <c r="O31" i="6"/>
  <c r="P31" i="6"/>
  <c r="Q31" i="6"/>
  <c r="R31" i="6"/>
  <c r="S31" i="6"/>
  <c r="T31" i="6"/>
  <c r="U31" i="6"/>
  <c r="V31" i="6"/>
  <c r="W31" i="6"/>
  <c r="X31" i="6"/>
  <c r="Y31" i="6"/>
  <c r="Z31" i="6"/>
  <c r="AA31" i="6"/>
  <c r="J32" i="6"/>
  <c r="K32" i="6"/>
  <c r="L32" i="6"/>
  <c r="M32" i="6"/>
  <c r="N32" i="6"/>
  <c r="O32" i="6"/>
  <c r="P32" i="6"/>
  <c r="Q32" i="6"/>
  <c r="R32" i="6"/>
  <c r="S32" i="6"/>
  <c r="T32" i="6"/>
  <c r="U32" i="6"/>
  <c r="V32" i="6"/>
  <c r="W32" i="6"/>
  <c r="X32" i="6"/>
  <c r="Y32" i="6"/>
  <c r="Z32" i="6"/>
  <c r="AA32" i="6"/>
  <c r="J33" i="6"/>
  <c r="K33" i="6"/>
  <c r="L33" i="6"/>
  <c r="M33" i="6"/>
  <c r="N33" i="6"/>
  <c r="O33" i="6"/>
  <c r="P33" i="6"/>
  <c r="Q33" i="6"/>
  <c r="R33" i="6"/>
  <c r="S33" i="6"/>
  <c r="T33" i="6"/>
  <c r="U33" i="6"/>
  <c r="V33" i="6"/>
  <c r="W33" i="6"/>
  <c r="X33" i="6"/>
  <c r="Y33" i="6"/>
  <c r="Z33" i="6"/>
  <c r="AA33" i="6"/>
  <c r="J34" i="6"/>
  <c r="K34" i="6"/>
  <c r="L34" i="6"/>
  <c r="M34" i="6"/>
  <c r="N34" i="6"/>
  <c r="O34" i="6"/>
  <c r="P34" i="6"/>
  <c r="Q34" i="6"/>
  <c r="R34" i="6"/>
  <c r="S34" i="6"/>
  <c r="T34" i="6"/>
  <c r="U34" i="6"/>
  <c r="V34" i="6"/>
  <c r="W34" i="6"/>
  <c r="X34" i="6"/>
  <c r="Y34" i="6"/>
  <c r="Z34" i="6"/>
  <c r="AA34" i="6"/>
  <c r="J35" i="6"/>
  <c r="K35" i="6"/>
  <c r="L35" i="6"/>
  <c r="M35" i="6"/>
  <c r="N35" i="6"/>
  <c r="O35" i="6"/>
  <c r="P35" i="6"/>
  <c r="Q35" i="6"/>
  <c r="R35" i="6"/>
  <c r="S35" i="6"/>
  <c r="T35" i="6"/>
  <c r="U35" i="6"/>
  <c r="V35" i="6"/>
  <c r="W35" i="6"/>
  <c r="X35" i="6"/>
  <c r="Y35" i="6"/>
  <c r="Z35" i="6"/>
  <c r="AA35" i="6"/>
  <c r="J36" i="6"/>
  <c r="K36" i="6"/>
  <c r="L36" i="6"/>
  <c r="M36" i="6"/>
  <c r="N36" i="6"/>
  <c r="O36" i="6"/>
  <c r="P36" i="6"/>
  <c r="Q36" i="6"/>
  <c r="R36" i="6"/>
  <c r="S36" i="6"/>
  <c r="T36" i="6"/>
  <c r="U36" i="6"/>
  <c r="V36" i="6"/>
  <c r="W36" i="6"/>
  <c r="X36" i="6"/>
  <c r="Y36" i="6"/>
  <c r="Z36" i="6"/>
  <c r="AA36" i="6"/>
  <c r="J37" i="6"/>
  <c r="K37" i="6"/>
  <c r="L37" i="6"/>
  <c r="M37" i="6"/>
  <c r="N37" i="6"/>
  <c r="O37" i="6"/>
  <c r="P37" i="6"/>
  <c r="Q37" i="6"/>
  <c r="R37" i="6"/>
  <c r="S37" i="6"/>
  <c r="T37" i="6"/>
  <c r="U37" i="6"/>
  <c r="V37" i="6"/>
  <c r="W37" i="6"/>
  <c r="X37" i="6"/>
  <c r="Y37" i="6"/>
  <c r="Z37" i="6"/>
  <c r="AA37" i="6"/>
  <c r="J38" i="6"/>
  <c r="K38" i="6"/>
  <c r="L38" i="6"/>
  <c r="M38" i="6"/>
  <c r="N38" i="6"/>
  <c r="O38" i="6"/>
  <c r="P38" i="6"/>
  <c r="Q38" i="6"/>
  <c r="R38" i="6"/>
  <c r="S38" i="6"/>
  <c r="T38" i="6"/>
  <c r="U38" i="6"/>
  <c r="V38" i="6"/>
  <c r="W38" i="6"/>
  <c r="X38" i="6"/>
  <c r="Y38" i="6"/>
  <c r="Z38" i="6"/>
  <c r="AA38" i="6"/>
  <c r="J39" i="6"/>
  <c r="K39" i="6"/>
  <c r="L39" i="6"/>
  <c r="M39" i="6"/>
  <c r="N39" i="6"/>
  <c r="O39" i="6"/>
  <c r="P39" i="6"/>
  <c r="Q39" i="6"/>
  <c r="R39" i="6"/>
  <c r="S39" i="6"/>
  <c r="T39" i="6"/>
  <c r="U39" i="6"/>
  <c r="V39" i="6"/>
  <c r="W39" i="6"/>
  <c r="X39" i="6"/>
  <c r="Y39" i="6"/>
  <c r="Z39" i="6"/>
  <c r="AA39" i="6"/>
  <c r="J40" i="6"/>
  <c r="K40" i="6"/>
  <c r="L40" i="6"/>
  <c r="M40" i="6"/>
  <c r="N40" i="6"/>
  <c r="O40" i="6"/>
  <c r="P40" i="6"/>
  <c r="Q40" i="6"/>
  <c r="R40" i="6"/>
  <c r="S40" i="6"/>
  <c r="T40" i="6"/>
  <c r="U40" i="6"/>
  <c r="V40" i="6"/>
  <c r="W40" i="6"/>
  <c r="X40" i="6"/>
  <c r="Y40" i="6"/>
  <c r="Z40" i="6"/>
  <c r="AA40" i="6"/>
  <c r="J41" i="6"/>
  <c r="K41" i="6"/>
  <c r="L41" i="6"/>
  <c r="M41" i="6"/>
  <c r="N41" i="6"/>
  <c r="O41" i="6"/>
  <c r="P41" i="6"/>
  <c r="Q41" i="6"/>
  <c r="R41" i="6"/>
  <c r="S41" i="6"/>
  <c r="T41" i="6"/>
  <c r="U41" i="6"/>
  <c r="V41" i="6"/>
  <c r="W41" i="6"/>
  <c r="X41" i="6"/>
  <c r="Y41" i="6"/>
  <c r="Z41" i="6"/>
  <c r="AA41" i="6"/>
  <c r="J42" i="6"/>
  <c r="K42" i="6"/>
  <c r="L42" i="6"/>
  <c r="M42" i="6"/>
  <c r="N42" i="6"/>
  <c r="O42" i="6"/>
  <c r="P42" i="6"/>
  <c r="Q42" i="6"/>
  <c r="R42" i="6"/>
  <c r="S42" i="6"/>
  <c r="T42" i="6"/>
  <c r="U42" i="6"/>
  <c r="V42" i="6"/>
  <c r="W42" i="6"/>
  <c r="X42" i="6"/>
  <c r="Y42" i="6"/>
  <c r="Z42" i="6"/>
  <c r="AA42" i="6"/>
  <c r="J43" i="6"/>
  <c r="K43" i="6"/>
  <c r="L43" i="6"/>
  <c r="M43" i="6"/>
  <c r="N43" i="6"/>
  <c r="O43" i="6"/>
  <c r="P43" i="6"/>
  <c r="Q43" i="6"/>
  <c r="R43" i="6"/>
  <c r="S43" i="6"/>
  <c r="T43" i="6"/>
  <c r="U43" i="6"/>
  <c r="V43" i="6"/>
  <c r="W43" i="6"/>
  <c r="X43" i="6"/>
  <c r="Y43" i="6"/>
  <c r="Z43" i="6"/>
  <c r="AA43" i="6"/>
  <c r="J44" i="6"/>
  <c r="K44" i="6"/>
  <c r="L44" i="6"/>
  <c r="M44" i="6"/>
  <c r="N44" i="6"/>
  <c r="O44" i="6"/>
  <c r="P44" i="6"/>
  <c r="Q44" i="6"/>
  <c r="R44" i="6"/>
  <c r="S44" i="6"/>
  <c r="T44" i="6"/>
  <c r="U44" i="6"/>
  <c r="V44" i="6"/>
  <c r="W44" i="6"/>
  <c r="X44" i="6"/>
  <c r="Y44" i="6"/>
  <c r="Z44" i="6"/>
  <c r="AA44" i="6"/>
  <c r="J45" i="6"/>
  <c r="K45" i="6"/>
  <c r="L45" i="6"/>
  <c r="M45" i="6"/>
  <c r="N45" i="6"/>
  <c r="O45" i="6"/>
  <c r="P45" i="6"/>
  <c r="Q45" i="6"/>
  <c r="R45" i="6"/>
  <c r="S45" i="6"/>
  <c r="T45" i="6"/>
  <c r="U45" i="6"/>
  <c r="V45" i="6"/>
  <c r="W45" i="6"/>
  <c r="X45" i="6"/>
  <c r="Y45" i="6"/>
  <c r="Z45" i="6"/>
  <c r="AA45" i="6"/>
  <c r="J46" i="6"/>
  <c r="K46" i="6"/>
  <c r="L46" i="6"/>
  <c r="M46" i="6"/>
  <c r="N46" i="6"/>
  <c r="O46" i="6"/>
  <c r="P46" i="6"/>
  <c r="Q46" i="6"/>
  <c r="R46" i="6"/>
  <c r="S46" i="6"/>
  <c r="T46" i="6"/>
  <c r="U46" i="6"/>
  <c r="V46" i="6"/>
  <c r="W46" i="6"/>
  <c r="X46" i="6"/>
  <c r="Y46" i="6"/>
  <c r="Z46" i="6"/>
  <c r="AA46" i="6"/>
  <c r="J47" i="6"/>
  <c r="K47" i="6"/>
  <c r="L47" i="6"/>
  <c r="M47" i="6"/>
  <c r="N47" i="6"/>
  <c r="O47" i="6"/>
  <c r="P47" i="6"/>
  <c r="Q47" i="6"/>
  <c r="R47" i="6"/>
  <c r="S47" i="6"/>
  <c r="T47" i="6"/>
  <c r="U47" i="6"/>
  <c r="V47" i="6"/>
  <c r="W47" i="6"/>
  <c r="X47" i="6"/>
  <c r="Y47" i="6"/>
  <c r="Z47" i="6"/>
  <c r="AA47" i="6"/>
  <c r="J48" i="6"/>
  <c r="K48" i="6"/>
  <c r="L48" i="6"/>
  <c r="M48" i="6"/>
  <c r="N48" i="6"/>
  <c r="O48" i="6"/>
  <c r="P48" i="6"/>
  <c r="Q48" i="6"/>
  <c r="R48" i="6"/>
  <c r="S48" i="6"/>
  <c r="T48" i="6"/>
  <c r="U48" i="6"/>
  <c r="V48" i="6"/>
  <c r="W48" i="6"/>
  <c r="X48" i="6"/>
  <c r="Y48" i="6"/>
  <c r="Z48" i="6"/>
  <c r="AA48" i="6"/>
  <c r="J49" i="6"/>
  <c r="K49" i="6"/>
  <c r="L49" i="6"/>
  <c r="M49" i="6"/>
  <c r="N49" i="6"/>
  <c r="O49" i="6"/>
  <c r="P49" i="6"/>
  <c r="Q49" i="6"/>
  <c r="R49" i="6"/>
  <c r="S49" i="6"/>
  <c r="T49" i="6"/>
  <c r="U49" i="6"/>
  <c r="V49" i="6"/>
  <c r="W49" i="6"/>
  <c r="X49" i="6"/>
  <c r="Y49" i="6"/>
  <c r="Z49" i="6"/>
  <c r="AA49" i="6"/>
  <c r="J50" i="6"/>
  <c r="K50" i="6"/>
  <c r="L50" i="6"/>
  <c r="M50" i="6"/>
  <c r="N50" i="6"/>
  <c r="O50" i="6"/>
  <c r="P50" i="6"/>
  <c r="Q50" i="6"/>
  <c r="R50" i="6"/>
  <c r="S50" i="6"/>
  <c r="T50" i="6"/>
  <c r="U50" i="6"/>
  <c r="V50" i="6"/>
  <c r="W50" i="6"/>
  <c r="X50" i="6"/>
  <c r="Y50" i="6"/>
  <c r="Z50" i="6"/>
  <c r="AA50" i="6"/>
  <c r="J51" i="6"/>
  <c r="K51" i="6"/>
  <c r="L51" i="6"/>
  <c r="M51" i="6"/>
  <c r="N51" i="6"/>
  <c r="O51" i="6"/>
  <c r="P51" i="6"/>
  <c r="Q51" i="6"/>
  <c r="R51" i="6"/>
  <c r="S51" i="6"/>
  <c r="T51" i="6"/>
  <c r="U51" i="6"/>
  <c r="V51" i="6"/>
  <c r="W51" i="6"/>
  <c r="X51" i="6"/>
  <c r="Y51" i="6"/>
  <c r="Z51" i="6"/>
  <c r="AA51" i="6"/>
  <c r="J52" i="6"/>
  <c r="K52" i="6"/>
  <c r="L52" i="6"/>
  <c r="M52" i="6"/>
  <c r="N52" i="6"/>
  <c r="O52" i="6"/>
  <c r="P52" i="6"/>
  <c r="Q52" i="6"/>
  <c r="R52" i="6"/>
  <c r="S52" i="6"/>
  <c r="T52" i="6"/>
  <c r="U52" i="6"/>
  <c r="V52" i="6"/>
  <c r="W52" i="6"/>
  <c r="X52" i="6"/>
  <c r="Y52" i="6"/>
  <c r="Z52" i="6"/>
  <c r="AA52" i="6"/>
  <c r="J53" i="6"/>
  <c r="K53" i="6"/>
  <c r="L53" i="6"/>
  <c r="M53" i="6"/>
  <c r="N53" i="6"/>
  <c r="O53" i="6"/>
  <c r="P53" i="6"/>
  <c r="Q53" i="6"/>
  <c r="R53" i="6"/>
  <c r="S53" i="6"/>
  <c r="T53" i="6"/>
  <c r="U53" i="6"/>
  <c r="V53" i="6"/>
  <c r="W53" i="6"/>
  <c r="X53" i="6"/>
  <c r="Y53" i="6"/>
  <c r="Z53" i="6"/>
  <c r="AA53" i="6"/>
  <c r="J54" i="6"/>
  <c r="K54" i="6"/>
  <c r="L54" i="6"/>
  <c r="M54" i="6"/>
  <c r="N54" i="6"/>
  <c r="O54" i="6"/>
  <c r="P54" i="6"/>
  <c r="Q54" i="6"/>
  <c r="R54" i="6"/>
  <c r="S54" i="6"/>
  <c r="T54" i="6"/>
  <c r="U54" i="6"/>
  <c r="V54" i="6"/>
  <c r="W54" i="6"/>
  <c r="X54" i="6"/>
  <c r="Y54" i="6"/>
  <c r="Z54" i="6"/>
  <c r="AA54" i="6"/>
  <c r="J55" i="6"/>
  <c r="K55" i="6"/>
  <c r="L55" i="6"/>
  <c r="M55" i="6"/>
  <c r="N55" i="6"/>
  <c r="O55" i="6"/>
  <c r="P55" i="6"/>
  <c r="Q55" i="6"/>
  <c r="R55" i="6"/>
  <c r="S55" i="6"/>
  <c r="T55" i="6"/>
  <c r="U55" i="6"/>
  <c r="V55" i="6"/>
  <c r="W55" i="6"/>
  <c r="X55" i="6"/>
  <c r="Y55" i="6"/>
  <c r="Z55" i="6"/>
  <c r="AA55" i="6"/>
  <c r="J56" i="6"/>
  <c r="K56" i="6"/>
  <c r="L56" i="6"/>
  <c r="M56" i="6"/>
  <c r="N56" i="6"/>
  <c r="O56" i="6"/>
  <c r="P56" i="6"/>
  <c r="Q56" i="6"/>
  <c r="R56" i="6"/>
  <c r="S56" i="6"/>
  <c r="T56" i="6"/>
  <c r="U56" i="6"/>
  <c r="V56" i="6"/>
  <c r="W56" i="6"/>
  <c r="X56" i="6"/>
  <c r="Y56" i="6"/>
  <c r="Z56" i="6"/>
  <c r="AA56" i="6"/>
  <c r="J57" i="6"/>
  <c r="K57" i="6"/>
  <c r="L57" i="6"/>
  <c r="M57" i="6"/>
  <c r="N57" i="6"/>
  <c r="O57" i="6"/>
  <c r="P57" i="6"/>
  <c r="Q57" i="6"/>
  <c r="R57" i="6"/>
  <c r="S57" i="6"/>
  <c r="T57" i="6"/>
  <c r="U57" i="6"/>
  <c r="V57" i="6"/>
  <c r="W57" i="6"/>
  <c r="X57" i="6"/>
  <c r="Y57" i="6"/>
  <c r="Z57" i="6"/>
  <c r="AA57" i="6"/>
  <c r="J58" i="6"/>
  <c r="K58" i="6"/>
  <c r="L58" i="6"/>
  <c r="M58" i="6"/>
  <c r="N58" i="6"/>
  <c r="O58" i="6"/>
  <c r="P58" i="6"/>
  <c r="Q58" i="6"/>
  <c r="R58" i="6"/>
  <c r="S58" i="6"/>
  <c r="T58" i="6"/>
  <c r="U58" i="6"/>
  <c r="V58" i="6"/>
  <c r="W58" i="6"/>
  <c r="X58" i="6"/>
  <c r="Y58" i="6"/>
  <c r="Z58" i="6"/>
  <c r="AA58" i="6"/>
  <c r="J59" i="6"/>
  <c r="K59" i="6"/>
  <c r="L59" i="6"/>
  <c r="M59" i="6"/>
  <c r="N59" i="6"/>
  <c r="O59" i="6"/>
  <c r="P59" i="6"/>
  <c r="Q59" i="6"/>
  <c r="R59" i="6"/>
  <c r="S59" i="6"/>
  <c r="T59" i="6"/>
  <c r="U59" i="6"/>
  <c r="V59" i="6"/>
  <c r="W59" i="6"/>
  <c r="X59" i="6"/>
  <c r="Y59" i="6"/>
  <c r="Z59" i="6"/>
  <c r="AA59" i="6"/>
  <c r="J60" i="6"/>
  <c r="K60" i="6"/>
  <c r="L60" i="6"/>
  <c r="M60" i="6"/>
  <c r="N60" i="6"/>
  <c r="O60" i="6"/>
  <c r="P60" i="6"/>
  <c r="Q60" i="6"/>
  <c r="R60" i="6"/>
  <c r="S60" i="6"/>
  <c r="T60" i="6"/>
  <c r="U60" i="6"/>
  <c r="V60" i="6"/>
  <c r="W60" i="6"/>
  <c r="X60" i="6"/>
  <c r="Y60" i="6"/>
  <c r="Z60" i="6"/>
  <c r="AA60" i="6"/>
  <c r="J61" i="6"/>
  <c r="K61" i="6"/>
  <c r="L61" i="6"/>
  <c r="M61" i="6"/>
  <c r="N61" i="6"/>
  <c r="O61" i="6"/>
  <c r="P61" i="6"/>
  <c r="Q61" i="6"/>
  <c r="R61" i="6"/>
  <c r="S61" i="6"/>
  <c r="T61" i="6"/>
  <c r="U61" i="6"/>
  <c r="V61" i="6"/>
  <c r="W61" i="6"/>
  <c r="X61" i="6"/>
  <c r="Y61" i="6"/>
  <c r="Z61" i="6"/>
  <c r="AA61" i="6"/>
  <c r="J62" i="6"/>
  <c r="K62" i="6"/>
  <c r="L62" i="6"/>
  <c r="M62" i="6"/>
  <c r="N62" i="6"/>
  <c r="O62" i="6"/>
  <c r="P62" i="6"/>
  <c r="Q62" i="6"/>
  <c r="R62" i="6"/>
  <c r="S62" i="6"/>
  <c r="T62" i="6"/>
  <c r="U62" i="6"/>
  <c r="V62" i="6"/>
  <c r="W62" i="6"/>
  <c r="X62" i="6"/>
  <c r="Y62" i="6"/>
  <c r="Z62" i="6"/>
  <c r="AA62" i="6"/>
  <c r="J63" i="6"/>
  <c r="K63" i="6"/>
  <c r="L63" i="6"/>
  <c r="M63" i="6"/>
  <c r="N63" i="6"/>
  <c r="O63" i="6"/>
  <c r="P63" i="6"/>
  <c r="Q63" i="6"/>
  <c r="R63" i="6"/>
  <c r="S63" i="6"/>
  <c r="T63" i="6"/>
  <c r="U63" i="6"/>
  <c r="V63" i="6"/>
  <c r="W63" i="6"/>
  <c r="X63" i="6"/>
  <c r="Y63" i="6"/>
  <c r="Z63" i="6"/>
  <c r="AA63" i="6"/>
  <c r="J64" i="6"/>
  <c r="K64" i="6"/>
  <c r="L64" i="6"/>
  <c r="M64" i="6"/>
  <c r="N64" i="6"/>
  <c r="O64" i="6"/>
  <c r="P64" i="6"/>
  <c r="Q64" i="6"/>
  <c r="R64" i="6"/>
  <c r="S64" i="6"/>
  <c r="T64" i="6"/>
  <c r="U64" i="6"/>
  <c r="V64" i="6"/>
  <c r="W64" i="6"/>
  <c r="X64" i="6"/>
  <c r="Y64" i="6"/>
  <c r="Z64" i="6"/>
  <c r="AA64" i="6"/>
  <c r="J65" i="6"/>
  <c r="K65" i="6"/>
  <c r="L65" i="6"/>
  <c r="M65" i="6"/>
  <c r="N65" i="6"/>
  <c r="O65" i="6"/>
  <c r="P65" i="6"/>
  <c r="Q65" i="6"/>
  <c r="R65" i="6"/>
  <c r="S65" i="6"/>
  <c r="T65" i="6"/>
  <c r="U65" i="6"/>
  <c r="V65" i="6"/>
  <c r="W65" i="6"/>
  <c r="X65" i="6"/>
  <c r="Y65" i="6"/>
  <c r="Z65" i="6"/>
  <c r="AA65" i="6"/>
  <c r="J66" i="6"/>
  <c r="K66" i="6"/>
  <c r="L66" i="6"/>
  <c r="M66" i="6"/>
  <c r="N66" i="6"/>
  <c r="O66" i="6"/>
  <c r="P66" i="6"/>
  <c r="Q66" i="6"/>
  <c r="R66" i="6"/>
  <c r="S66" i="6"/>
  <c r="T66" i="6"/>
  <c r="U66" i="6"/>
  <c r="V66" i="6"/>
  <c r="W66" i="6"/>
  <c r="X66" i="6"/>
  <c r="Y66" i="6"/>
  <c r="Z66" i="6"/>
  <c r="AA66" i="6"/>
  <c r="J67" i="6"/>
  <c r="K67" i="6"/>
  <c r="L67" i="6"/>
  <c r="M67" i="6"/>
  <c r="N67" i="6"/>
  <c r="O67" i="6"/>
  <c r="P67" i="6"/>
  <c r="Q67" i="6"/>
  <c r="R67" i="6"/>
  <c r="S67" i="6"/>
  <c r="T67" i="6"/>
  <c r="U67" i="6"/>
  <c r="V67" i="6"/>
  <c r="W67" i="6"/>
  <c r="X67" i="6"/>
  <c r="Y67" i="6"/>
  <c r="Z67" i="6"/>
  <c r="AA67" i="6"/>
  <c r="J68" i="6"/>
  <c r="K68" i="6"/>
  <c r="L68" i="6"/>
  <c r="M68" i="6"/>
  <c r="N68" i="6"/>
  <c r="O68" i="6"/>
  <c r="P68" i="6"/>
  <c r="Q68" i="6"/>
  <c r="R68" i="6"/>
  <c r="S68" i="6"/>
  <c r="T68" i="6"/>
  <c r="U68" i="6"/>
  <c r="V68" i="6"/>
  <c r="W68" i="6"/>
  <c r="X68" i="6"/>
  <c r="Y68" i="6"/>
  <c r="Z68" i="6"/>
  <c r="AA68" i="6"/>
  <c r="J69" i="6"/>
  <c r="K69" i="6"/>
  <c r="L69" i="6"/>
  <c r="M69" i="6"/>
  <c r="N69" i="6"/>
  <c r="O69" i="6"/>
  <c r="P69" i="6"/>
  <c r="Q69" i="6"/>
  <c r="R69" i="6"/>
  <c r="S69" i="6"/>
  <c r="T69" i="6"/>
  <c r="U69" i="6"/>
  <c r="V69" i="6"/>
  <c r="W69" i="6"/>
  <c r="X69" i="6"/>
  <c r="Y69" i="6"/>
  <c r="Z69" i="6"/>
  <c r="AA69" i="6"/>
  <c r="J70" i="6"/>
  <c r="K70" i="6"/>
  <c r="L70" i="6"/>
  <c r="M70" i="6"/>
  <c r="N70" i="6"/>
  <c r="O70" i="6"/>
  <c r="P70" i="6"/>
  <c r="Q70" i="6"/>
  <c r="R70" i="6"/>
  <c r="S70" i="6"/>
  <c r="T70" i="6"/>
  <c r="U70" i="6"/>
  <c r="V70" i="6"/>
  <c r="W70" i="6"/>
  <c r="X70" i="6"/>
  <c r="Y70" i="6"/>
  <c r="Z70" i="6"/>
  <c r="AA70" i="6"/>
  <c r="J71" i="6"/>
  <c r="K71" i="6"/>
  <c r="L71" i="6"/>
  <c r="M71" i="6"/>
  <c r="N71" i="6"/>
  <c r="O71" i="6"/>
  <c r="P71" i="6"/>
  <c r="Q71" i="6"/>
  <c r="R71" i="6"/>
  <c r="S71" i="6"/>
  <c r="T71" i="6"/>
  <c r="U71" i="6"/>
  <c r="V71" i="6"/>
  <c r="W71" i="6"/>
  <c r="X71" i="6"/>
  <c r="Y71" i="6"/>
  <c r="Z71" i="6"/>
  <c r="AA71" i="6"/>
  <c r="J72" i="6"/>
  <c r="K72" i="6"/>
  <c r="L72" i="6"/>
  <c r="M72" i="6"/>
  <c r="N72" i="6"/>
  <c r="O72" i="6"/>
  <c r="P72" i="6"/>
  <c r="Q72" i="6"/>
  <c r="R72" i="6"/>
  <c r="S72" i="6"/>
  <c r="T72" i="6"/>
  <c r="U72" i="6"/>
  <c r="V72" i="6"/>
  <c r="W72" i="6"/>
  <c r="X72" i="6"/>
  <c r="Y72" i="6"/>
  <c r="Z72" i="6"/>
  <c r="AA72" i="6"/>
  <c r="J73" i="6"/>
  <c r="K73" i="6"/>
  <c r="L73" i="6"/>
  <c r="M73" i="6"/>
  <c r="N73" i="6"/>
  <c r="O73" i="6"/>
  <c r="P73" i="6"/>
  <c r="Q73" i="6"/>
  <c r="R73" i="6"/>
  <c r="S73" i="6"/>
  <c r="T73" i="6"/>
  <c r="U73" i="6"/>
  <c r="V73" i="6"/>
  <c r="W73" i="6"/>
  <c r="X73" i="6"/>
  <c r="Y73" i="6"/>
  <c r="Z73" i="6"/>
  <c r="AA73" i="6"/>
  <c r="J74" i="6"/>
  <c r="K74" i="6"/>
  <c r="L74" i="6"/>
  <c r="M74" i="6"/>
  <c r="N74" i="6"/>
  <c r="O74" i="6"/>
  <c r="P74" i="6"/>
  <c r="Q74" i="6"/>
  <c r="R74" i="6"/>
  <c r="S74" i="6"/>
  <c r="T74" i="6"/>
  <c r="U74" i="6"/>
  <c r="V74" i="6"/>
  <c r="W74" i="6"/>
  <c r="X74" i="6"/>
  <c r="Y74" i="6"/>
  <c r="Z74" i="6"/>
  <c r="AA74" i="6"/>
  <c r="J75" i="6"/>
  <c r="K75" i="6"/>
  <c r="L75" i="6"/>
  <c r="M75" i="6"/>
  <c r="N75" i="6"/>
  <c r="O75" i="6"/>
  <c r="P75" i="6"/>
  <c r="Q75" i="6"/>
  <c r="R75" i="6"/>
  <c r="S75" i="6"/>
  <c r="T75" i="6"/>
  <c r="U75" i="6"/>
  <c r="V75" i="6"/>
  <c r="W75" i="6"/>
  <c r="X75" i="6"/>
  <c r="Y75" i="6"/>
  <c r="Z75" i="6"/>
  <c r="AA75" i="6"/>
  <c r="J76" i="6"/>
  <c r="K76" i="6"/>
  <c r="L76" i="6"/>
  <c r="M76" i="6"/>
  <c r="N76" i="6"/>
  <c r="O76" i="6"/>
  <c r="P76" i="6"/>
  <c r="Q76" i="6"/>
  <c r="R76" i="6"/>
  <c r="S76" i="6"/>
  <c r="T76" i="6"/>
  <c r="U76" i="6"/>
  <c r="V76" i="6"/>
  <c r="W76" i="6"/>
  <c r="X76" i="6"/>
  <c r="Y76" i="6"/>
  <c r="Z76" i="6"/>
  <c r="AA76" i="6"/>
  <c r="J77" i="6"/>
  <c r="K77" i="6"/>
  <c r="L77" i="6"/>
  <c r="M77" i="6"/>
  <c r="N77" i="6"/>
  <c r="O77" i="6"/>
  <c r="P77" i="6"/>
  <c r="Q77" i="6"/>
  <c r="R77" i="6"/>
  <c r="S77" i="6"/>
  <c r="T77" i="6"/>
  <c r="U77" i="6"/>
  <c r="V77" i="6"/>
  <c r="W77" i="6"/>
  <c r="X77" i="6"/>
  <c r="Y77" i="6"/>
  <c r="Z77" i="6"/>
  <c r="AA77" i="6"/>
  <c r="J78" i="6"/>
  <c r="K78" i="6"/>
  <c r="L78" i="6"/>
  <c r="M78" i="6"/>
  <c r="N78" i="6"/>
  <c r="O78" i="6"/>
  <c r="P78" i="6"/>
  <c r="Q78" i="6"/>
  <c r="R78" i="6"/>
  <c r="S78" i="6"/>
  <c r="T78" i="6"/>
  <c r="U78" i="6"/>
  <c r="V78" i="6"/>
  <c r="W78" i="6"/>
  <c r="X78" i="6"/>
  <c r="Y78" i="6"/>
  <c r="Z78" i="6"/>
  <c r="AA78" i="6"/>
  <c r="J79" i="6"/>
  <c r="K79" i="6"/>
  <c r="L79" i="6"/>
  <c r="M79" i="6"/>
  <c r="N79" i="6"/>
  <c r="O79" i="6"/>
  <c r="P79" i="6"/>
  <c r="Q79" i="6"/>
  <c r="R79" i="6"/>
  <c r="S79" i="6"/>
  <c r="T79" i="6"/>
  <c r="U79" i="6"/>
  <c r="V79" i="6"/>
  <c r="W79" i="6"/>
  <c r="X79" i="6"/>
  <c r="Y79" i="6"/>
  <c r="Z79" i="6"/>
  <c r="AA79" i="6"/>
  <c r="J80" i="6"/>
  <c r="K80" i="6"/>
  <c r="L80" i="6"/>
  <c r="M80" i="6"/>
  <c r="N80" i="6"/>
  <c r="O80" i="6"/>
  <c r="P80" i="6"/>
  <c r="Q80" i="6"/>
  <c r="R80" i="6"/>
  <c r="S80" i="6"/>
  <c r="T80" i="6"/>
  <c r="U80" i="6"/>
  <c r="V80" i="6"/>
  <c r="W80" i="6"/>
  <c r="X80" i="6"/>
  <c r="Y80" i="6"/>
  <c r="Z80" i="6"/>
  <c r="AA80" i="6"/>
  <c r="J81" i="6"/>
  <c r="K81" i="6"/>
  <c r="L81" i="6"/>
  <c r="M81" i="6"/>
  <c r="N81" i="6"/>
  <c r="O81" i="6"/>
  <c r="P81" i="6"/>
  <c r="Q81" i="6"/>
  <c r="R81" i="6"/>
  <c r="S81" i="6"/>
  <c r="T81" i="6"/>
  <c r="U81" i="6"/>
  <c r="V81" i="6"/>
  <c r="W81" i="6"/>
  <c r="X81" i="6"/>
  <c r="Y81" i="6"/>
  <c r="Z81" i="6"/>
  <c r="AA81" i="6"/>
  <c r="J82" i="6"/>
  <c r="K82" i="6"/>
  <c r="L82" i="6"/>
  <c r="M82" i="6"/>
  <c r="N82" i="6"/>
  <c r="O82" i="6"/>
  <c r="P82" i="6"/>
  <c r="Q82" i="6"/>
  <c r="R82" i="6"/>
  <c r="S82" i="6"/>
  <c r="T82" i="6"/>
  <c r="U82" i="6"/>
  <c r="V82" i="6"/>
  <c r="W82" i="6"/>
  <c r="X82" i="6"/>
  <c r="Y82" i="6"/>
  <c r="Z82" i="6"/>
  <c r="AA82" i="6"/>
  <c r="J83" i="6"/>
  <c r="K83" i="6"/>
  <c r="L83" i="6"/>
  <c r="M83" i="6"/>
  <c r="N83" i="6"/>
  <c r="O83" i="6"/>
  <c r="P83" i="6"/>
  <c r="Q83" i="6"/>
  <c r="R83" i="6"/>
  <c r="S83" i="6"/>
  <c r="T83" i="6"/>
  <c r="U83" i="6"/>
  <c r="V83" i="6"/>
  <c r="W83" i="6"/>
  <c r="X83" i="6"/>
  <c r="Y83" i="6"/>
  <c r="Z83" i="6"/>
  <c r="AA83" i="6"/>
  <c r="J84" i="6"/>
  <c r="K84" i="6"/>
  <c r="L84" i="6"/>
  <c r="M84" i="6"/>
  <c r="N84" i="6"/>
  <c r="O84" i="6"/>
  <c r="P84" i="6"/>
  <c r="Q84" i="6"/>
  <c r="R84" i="6"/>
  <c r="S84" i="6"/>
  <c r="T84" i="6"/>
  <c r="U84" i="6"/>
  <c r="V84" i="6"/>
  <c r="W84" i="6"/>
  <c r="X84" i="6"/>
  <c r="Y84" i="6"/>
  <c r="Z84" i="6"/>
  <c r="AA84" i="6"/>
  <c r="J85" i="6"/>
  <c r="K85" i="6"/>
  <c r="L85" i="6"/>
  <c r="M85" i="6"/>
  <c r="N85" i="6"/>
  <c r="O85" i="6"/>
  <c r="P85" i="6"/>
  <c r="Q85" i="6"/>
  <c r="R85" i="6"/>
  <c r="S85" i="6"/>
  <c r="T85" i="6"/>
  <c r="U85" i="6"/>
  <c r="V85" i="6"/>
  <c r="W85" i="6"/>
  <c r="X85" i="6"/>
  <c r="Y85" i="6"/>
  <c r="Z85" i="6"/>
  <c r="AA85" i="6"/>
  <c r="J86" i="6"/>
  <c r="K86" i="6"/>
  <c r="L86" i="6"/>
  <c r="M86" i="6"/>
  <c r="N86" i="6"/>
  <c r="O86" i="6"/>
  <c r="P86" i="6"/>
  <c r="Q86" i="6"/>
  <c r="R86" i="6"/>
  <c r="S86" i="6"/>
  <c r="T86" i="6"/>
  <c r="U86" i="6"/>
  <c r="V86" i="6"/>
  <c r="W86" i="6"/>
  <c r="X86" i="6"/>
  <c r="Y86" i="6"/>
  <c r="Z86" i="6"/>
  <c r="AA86" i="6"/>
  <c r="J87" i="6"/>
  <c r="K87" i="6"/>
  <c r="L87" i="6"/>
  <c r="M87" i="6"/>
  <c r="N87" i="6"/>
  <c r="O87" i="6"/>
  <c r="P87" i="6"/>
  <c r="Q87" i="6"/>
  <c r="R87" i="6"/>
  <c r="S87" i="6"/>
  <c r="T87" i="6"/>
  <c r="U87" i="6"/>
  <c r="V87" i="6"/>
  <c r="W87" i="6"/>
  <c r="X87" i="6"/>
  <c r="Y87" i="6"/>
  <c r="Z87" i="6"/>
  <c r="AA87" i="6"/>
  <c r="J88" i="6"/>
  <c r="K88" i="6"/>
  <c r="L88" i="6"/>
  <c r="M88" i="6"/>
  <c r="N88" i="6"/>
  <c r="O88" i="6"/>
  <c r="P88" i="6"/>
  <c r="Q88" i="6"/>
  <c r="R88" i="6"/>
  <c r="S88" i="6"/>
  <c r="T88" i="6"/>
  <c r="U88" i="6"/>
  <c r="V88" i="6"/>
  <c r="W88" i="6"/>
  <c r="X88" i="6"/>
  <c r="Y88" i="6"/>
  <c r="Z88" i="6"/>
  <c r="AA88" i="6"/>
  <c r="J89" i="6"/>
  <c r="K89" i="6"/>
  <c r="L89" i="6"/>
  <c r="M89" i="6"/>
  <c r="N89" i="6"/>
  <c r="O89" i="6"/>
  <c r="P89" i="6"/>
  <c r="Q89" i="6"/>
  <c r="R89" i="6"/>
  <c r="S89" i="6"/>
  <c r="T89" i="6"/>
  <c r="U89" i="6"/>
  <c r="V89" i="6"/>
  <c r="W89" i="6"/>
  <c r="X89" i="6"/>
  <c r="Y89" i="6"/>
  <c r="Z89" i="6"/>
  <c r="AA89" i="6"/>
  <c r="J90" i="6"/>
  <c r="K90" i="6"/>
  <c r="L90" i="6"/>
  <c r="M90" i="6"/>
  <c r="N90" i="6"/>
  <c r="O90" i="6"/>
  <c r="P90" i="6"/>
  <c r="Q90" i="6"/>
  <c r="R90" i="6"/>
  <c r="S90" i="6"/>
  <c r="T90" i="6"/>
  <c r="U90" i="6"/>
  <c r="V90" i="6"/>
  <c r="W90" i="6"/>
  <c r="X90" i="6"/>
  <c r="Y90" i="6"/>
  <c r="Z90" i="6"/>
  <c r="AA90" i="6"/>
  <c r="J91" i="6"/>
  <c r="K91" i="6"/>
  <c r="L91" i="6"/>
  <c r="M91" i="6"/>
  <c r="N91" i="6"/>
  <c r="O91" i="6"/>
  <c r="P91" i="6"/>
  <c r="Q91" i="6"/>
  <c r="R91" i="6"/>
  <c r="S91" i="6"/>
  <c r="T91" i="6"/>
  <c r="U91" i="6"/>
  <c r="V91" i="6"/>
  <c r="W91" i="6"/>
  <c r="X91" i="6"/>
  <c r="Y91" i="6"/>
  <c r="Z91" i="6"/>
  <c r="AA91" i="6"/>
  <c r="J92" i="6"/>
  <c r="K92" i="6"/>
  <c r="L92" i="6"/>
  <c r="M92" i="6"/>
  <c r="N92" i="6"/>
  <c r="O92" i="6"/>
  <c r="P92" i="6"/>
  <c r="Q92" i="6"/>
  <c r="R92" i="6"/>
  <c r="S92" i="6"/>
  <c r="T92" i="6"/>
  <c r="U92" i="6"/>
  <c r="V92" i="6"/>
  <c r="W92" i="6"/>
  <c r="X92" i="6"/>
  <c r="Y92" i="6"/>
  <c r="Z92" i="6"/>
  <c r="AA92" i="6"/>
  <c r="J93" i="6"/>
  <c r="K93" i="6"/>
  <c r="L93" i="6"/>
  <c r="M93" i="6"/>
  <c r="N93" i="6"/>
  <c r="O93" i="6"/>
  <c r="P93" i="6"/>
  <c r="Q93" i="6"/>
  <c r="R93" i="6"/>
  <c r="S93" i="6"/>
  <c r="T93" i="6"/>
  <c r="U93" i="6"/>
  <c r="V93" i="6"/>
  <c r="W93" i="6"/>
  <c r="X93" i="6"/>
  <c r="Y93" i="6"/>
  <c r="Z93" i="6"/>
  <c r="AA93" i="6"/>
  <c r="J94" i="6"/>
  <c r="K94" i="6"/>
  <c r="L94" i="6"/>
  <c r="M94" i="6"/>
  <c r="N94" i="6"/>
  <c r="O94" i="6"/>
  <c r="P94" i="6"/>
  <c r="Q94" i="6"/>
  <c r="R94" i="6"/>
  <c r="S94" i="6"/>
  <c r="T94" i="6"/>
  <c r="U94" i="6"/>
  <c r="V94" i="6"/>
  <c r="W94" i="6"/>
  <c r="X94" i="6"/>
  <c r="Y94" i="6"/>
  <c r="Z94" i="6"/>
  <c r="AA94" i="6"/>
  <c r="J95" i="6"/>
  <c r="K95" i="6"/>
  <c r="L95" i="6"/>
  <c r="M95" i="6"/>
  <c r="N95" i="6"/>
  <c r="O95" i="6"/>
  <c r="P95" i="6"/>
  <c r="Q95" i="6"/>
  <c r="R95" i="6"/>
  <c r="S95" i="6"/>
  <c r="T95" i="6"/>
  <c r="U95" i="6"/>
  <c r="V95" i="6"/>
  <c r="W95" i="6"/>
  <c r="X95" i="6"/>
  <c r="Y95" i="6"/>
  <c r="Z95" i="6"/>
  <c r="AA95" i="6"/>
  <c r="J96" i="6"/>
  <c r="K96" i="6"/>
  <c r="L96" i="6"/>
  <c r="M96" i="6"/>
  <c r="N96" i="6"/>
  <c r="O96" i="6"/>
  <c r="P96" i="6"/>
  <c r="Q96" i="6"/>
  <c r="R96" i="6"/>
  <c r="S96" i="6"/>
  <c r="T96" i="6"/>
  <c r="U96" i="6"/>
  <c r="V96" i="6"/>
  <c r="W96" i="6"/>
  <c r="X96" i="6"/>
  <c r="Y96" i="6"/>
  <c r="Z96" i="6"/>
  <c r="AA96" i="6"/>
  <c r="J97" i="6"/>
  <c r="K97" i="6"/>
  <c r="L97" i="6"/>
  <c r="M97" i="6"/>
  <c r="N97" i="6"/>
  <c r="O97" i="6"/>
  <c r="P97" i="6"/>
  <c r="Q97" i="6"/>
  <c r="R97" i="6"/>
  <c r="S97" i="6"/>
  <c r="T97" i="6"/>
  <c r="U97" i="6"/>
  <c r="V97" i="6"/>
  <c r="W97" i="6"/>
  <c r="X97" i="6"/>
  <c r="Y97" i="6"/>
  <c r="Z97" i="6"/>
  <c r="AA97" i="6"/>
  <c r="J98" i="6"/>
  <c r="K98" i="6"/>
  <c r="L98" i="6"/>
  <c r="M98" i="6"/>
  <c r="N98" i="6"/>
  <c r="O98" i="6"/>
  <c r="P98" i="6"/>
  <c r="Q98" i="6"/>
  <c r="R98" i="6"/>
  <c r="S98" i="6"/>
  <c r="T98" i="6"/>
  <c r="U98" i="6"/>
  <c r="V98" i="6"/>
  <c r="W98" i="6"/>
  <c r="X98" i="6"/>
  <c r="Y98" i="6"/>
  <c r="Z98" i="6"/>
  <c r="AA98" i="6"/>
  <c r="J99" i="6"/>
  <c r="K99" i="6"/>
  <c r="L99" i="6"/>
  <c r="M99" i="6"/>
  <c r="N99" i="6"/>
  <c r="O99" i="6"/>
  <c r="P99" i="6"/>
  <c r="Q99" i="6"/>
  <c r="R99" i="6"/>
  <c r="S99" i="6"/>
  <c r="T99" i="6"/>
  <c r="U99" i="6"/>
  <c r="V99" i="6"/>
  <c r="W99" i="6"/>
  <c r="X99" i="6"/>
  <c r="Y99" i="6"/>
  <c r="Z99" i="6"/>
  <c r="AA99" i="6"/>
  <c r="J100" i="6"/>
  <c r="K100" i="6"/>
  <c r="L100" i="6"/>
  <c r="M100" i="6"/>
  <c r="N100" i="6"/>
  <c r="O100" i="6"/>
  <c r="P100" i="6"/>
  <c r="Q100" i="6"/>
  <c r="R100" i="6"/>
  <c r="S100" i="6"/>
  <c r="T100" i="6"/>
  <c r="U100" i="6"/>
  <c r="V100" i="6"/>
  <c r="W100" i="6"/>
  <c r="X100" i="6"/>
  <c r="Y100" i="6"/>
  <c r="Z100" i="6"/>
  <c r="AA100" i="6"/>
  <c r="J101" i="6"/>
  <c r="K101" i="6"/>
  <c r="L101" i="6"/>
  <c r="M101" i="6"/>
  <c r="N101" i="6"/>
  <c r="O101" i="6"/>
  <c r="P101" i="6"/>
  <c r="Q101" i="6"/>
  <c r="R101" i="6"/>
  <c r="S101" i="6"/>
  <c r="T101" i="6"/>
  <c r="U101" i="6"/>
  <c r="V101" i="6"/>
  <c r="W101" i="6"/>
  <c r="X101" i="6"/>
  <c r="Y101" i="6"/>
  <c r="Z101" i="6"/>
  <c r="AA101" i="6"/>
  <c r="J102" i="6"/>
  <c r="K102" i="6"/>
  <c r="L102" i="6"/>
  <c r="M102" i="6"/>
  <c r="N102" i="6"/>
  <c r="O102" i="6"/>
  <c r="P102" i="6"/>
  <c r="Q102" i="6"/>
  <c r="R102" i="6"/>
  <c r="S102" i="6"/>
  <c r="T102" i="6"/>
  <c r="U102" i="6"/>
  <c r="V102" i="6"/>
  <c r="W102" i="6"/>
  <c r="X102" i="6"/>
  <c r="Y102" i="6"/>
  <c r="Z102" i="6"/>
  <c r="AA102" i="6"/>
  <c r="J103" i="6"/>
  <c r="K103" i="6"/>
  <c r="L103" i="6"/>
  <c r="M103" i="6"/>
  <c r="N103" i="6"/>
  <c r="O103" i="6"/>
  <c r="P103" i="6"/>
  <c r="Q103" i="6"/>
  <c r="R103" i="6"/>
  <c r="S103" i="6"/>
  <c r="T103" i="6"/>
  <c r="U103" i="6"/>
  <c r="V103" i="6"/>
  <c r="W103" i="6"/>
  <c r="X103" i="6"/>
  <c r="Y103" i="6"/>
  <c r="Z103" i="6"/>
  <c r="AA103" i="6"/>
  <c r="J104" i="6"/>
  <c r="K104" i="6"/>
  <c r="L104" i="6"/>
  <c r="M104" i="6"/>
  <c r="N104" i="6"/>
  <c r="O104" i="6"/>
  <c r="P104" i="6"/>
  <c r="Q104" i="6"/>
  <c r="R104" i="6"/>
  <c r="S104" i="6"/>
  <c r="T104" i="6"/>
  <c r="U104" i="6"/>
  <c r="V104" i="6"/>
  <c r="W104" i="6"/>
  <c r="X104" i="6"/>
  <c r="Y104" i="6"/>
  <c r="Z104" i="6"/>
  <c r="AA104" i="6"/>
  <c r="J105" i="6"/>
  <c r="K105" i="6"/>
  <c r="L105" i="6"/>
  <c r="M105" i="6"/>
  <c r="N105" i="6"/>
  <c r="O105" i="6"/>
  <c r="P105" i="6"/>
  <c r="Q105" i="6"/>
  <c r="R105" i="6"/>
  <c r="S105" i="6"/>
  <c r="T105" i="6"/>
  <c r="U105" i="6"/>
  <c r="V105" i="6"/>
  <c r="W105" i="6"/>
  <c r="X105" i="6"/>
  <c r="Y105" i="6"/>
  <c r="Z105" i="6"/>
  <c r="AA105" i="6"/>
  <c r="J106" i="6"/>
  <c r="K106" i="6"/>
  <c r="L106" i="6"/>
  <c r="M106" i="6"/>
  <c r="N106" i="6"/>
  <c r="O106" i="6"/>
  <c r="P106" i="6"/>
  <c r="Q106" i="6"/>
  <c r="R106" i="6"/>
  <c r="S106" i="6"/>
  <c r="T106" i="6"/>
  <c r="U106" i="6"/>
  <c r="V106" i="6"/>
  <c r="W106" i="6"/>
  <c r="X106" i="6"/>
  <c r="Y106" i="6"/>
  <c r="Z106" i="6"/>
  <c r="AA106" i="6"/>
  <c r="J107" i="6"/>
  <c r="K107" i="6"/>
  <c r="L107" i="6"/>
  <c r="M107" i="6"/>
  <c r="N107" i="6"/>
  <c r="O107" i="6"/>
  <c r="P107" i="6"/>
  <c r="Q107" i="6"/>
  <c r="R107" i="6"/>
  <c r="S107" i="6"/>
  <c r="T107" i="6"/>
  <c r="U107" i="6"/>
  <c r="V107" i="6"/>
  <c r="W107" i="6"/>
  <c r="X107" i="6"/>
  <c r="Y107" i="6"/>
  <c r="Z107" i="6"/>
  <c r="AA107" i="6"/>
  <c r="J108" i="6"/>
  <c r="K108" i="6"/>
  <c r="L108" i="6"/>
  <c r="M108" i="6"/>
  <c r="N108" i="6"/>
  <c r="O108" i="6"/>
  <c r="P108" i="6"/>
  <c r="Q108" i="6"/>
  <c r="R108" i="6"/>
  <c r="S108" i="6"/>
  <c r="T108" i="6"/>
  <c r="U108" i="6"/>
  <c r="V108" i="6"/>
  <c r="W108" i="6"/>
  <c r="X108" i="6"/>
  <c r="Y108" i="6"/>
  <c r="Z108" i="6"/>
  <c r="AA108" i="6"/>
  <c r="J109" i="6"/>
  <c r="K109" i="6"/>
  <c r="L109" i="6"/>
  <c r="M109" i="6"/>
  <c r="N109" i="6"/>
  <c r="O109" i="6"/>
  <c r="P109" i="6"/>
  <c r="Q109" i="6"/>
  <c r="R109" i="6"/>
  <c r="S109" i="6"/>
  <c r="T109" i="6"/>
  <c r="U109" i="6"/>
  <c r="V109" i="6"/>
  <c r="W109" i="6"/>
  <c r="X109" i="6"/>
  <c r="Y109" i="6"/>
  <c r="Z109" i="6"/>
  <c r="AA109" i="6"/>
  <c r="J110" i="6"/>
  <c r="K110" i="6"/>
  <c r="L110" i="6"/>
  <c r="M110" i="6"/>
  <c r="N110" i="6"/>
  <c r="O110" i="6"/>
  <c r="P110" i="6"/>
  <c r="Q110" i="6"/>
  <c r="R110" i="6"/>
  <c r="S110" i="6"/>
  <c r="T110" i="6"/>
  <c r="U110" i="6"/>
  <c r="V110" i="6"/>
  <c r="W110" i="6"/>
  <c r="X110" i="6"/>
  <c r="Y110" i="6"/>
  <c r="Z110" i="6"/>
  <c r="AA110" i="6"/>
  <c r="J111" i="6"/>
  <c r="K111" i="6"/>
  <c r="L111" i="6"/>
  <c r="M111" i="6"/>
  <c r="N111" i="6"/>
  <c r="O111" i="6"/>
  <c r="P111" i="6"/>
  <c r="Q111" i="6"/>
  <c r="R111" i="6"/>
  <c r="S111" i="6"/>
  <c r="T111" i="6"/>
  <c r="U111" i="6"/>
  <c r="V111" i="6"/>
  <c r="W111" i="6"/>
  <c r="X111" i="6"/>
  <c r="Y111" i="6"/>
  <c r="Z111" i="6"/>
  <c r="AA111" i="6"/>
  <c r="J112" i="6"/>
  <c r="K112" i="6"/>
  <c r="L112" i="6"/>
  <c r="M112" i="6"/>
  <c r="N112" i="6"/>
  <c r="O112" i="6"/>
  <c r="P112" i="6"/>
  <c r="Q112" i="6"/>
  <c r="R112" i="6"/>
  <c r="S112" i="6"/>
  <c r="T112" i="6"/>
  <c r="U112" i="6"/>
  <c r="V112" i="6"/>
  <c r="W112" i="6"/>
  <c r="X112" i="6"/>
  <c r="Y112" i="6"/>
  <c r="Z112" i="6"/>
  <c r="AA112" i="6"/>
  <c r="J113" i="6"/>
  <c r="K113" i="6"/>
  <c r="L113" i="6"/>
  <c r="M113" i="6"/>
  <c r="N113" i="6"/>
  <c r="O113" i="6"/>
  <c r="P113" i="6"/>
  <c r="Q113" i="6"/>
  <c r="R113" i="6"/>
  <c r="S113" i="6"/>
  <c r="T113" i="6"/>
  <c r="U113" i="6"/>
  <c r="V113" i="6"/>
  <c r="W113" i="6"/>
  <c r="X113" i="6"/>
  <c r="Y113" i="6"/>
  <c r="Z113" i="6"/>
  <c r="AA113" i="6"/>
  <c r="J114" i="6"/>
  <c r="K114" i="6"/>
  <c r="L114" i="6"/>
  <c r="M114" i="6"/>
  <c r="N114" i="6"/>
  <c r="O114" i="6"/>
  <c r="P114" i="6"/>
  <c r="Q114" i="6"/>
  <c r="R114" i="6"/>
  <c r="S114" i="6"/>
  <c r="T114" i="6"/>
  <c r="U114" i="6"/>
  <c r="V114" i="6"/>
  <c r="W114" i="6"/>
  <c r="X114" i="6"/>
  <c r="Y114" i="6"/>
  <c r="Z114" i="6"/>
  <c r="AA114" i="6"/>
  <c r="J115" i="6"/>
  <c r="K115" i="6"/>
  <c r="L115" i="6"/>
  <c r="M115" i="6"/>
  <c r="N115" i="6"/>
  <c r="O115" i="6"/>
  <c r="P115" i="6"/>
  <c r="Q115" i="6"/>
  <c r="R115" i="6"/>
  <c r="S115" i="6"/>
  <c r="T115" i="6"/>
  <c r="U115" i="6"/>
  <c r="V115" i="6"/>
  <c r="W115" i="6"/>
  <c r="X115" i="6"/>
  <c r="Y115" i="6"/>
  <c r="Z115" i="6"/>
  <c r="AA115" i="6"/>
  <c r="J116" i="6"/>
  <c r="K116" i="6"/>
  <c r="L116" i="6"/>
  <c r="M116" i="6"/>
  <c r="N116" i="6"/>
  <c r="O116" i="6"/>
  <c r="P116" i="6"/>
  <c r="Q116" i="6"/>
  <c r="R116" i="6"/>
  <c r="S116" i="6"/>
  <c r="T116" i="6"/>
  <c r="U116" i="6"/>
  <c r="V116" i="6"/>
  <c r="W116" i="6"/>
  <c r="X116" i="6"/>
  <c r="Y116" i="6"/>
  <c r="Z116" i="6"/>
  <c r="AA116" i="6"/>
  <c r="J117" i="6"/>
  <c r="K117" i="6"/>
  <c r="L117" i="6"/>
  <c r="M117" i="6"/>
  <c r="N117" i="6"/>
  <c r="O117" i="6"/>
  <c r="P117" i="6"/>
  <c r="Q117" i="6"/>
  <c r="R117" i="6"/>
  <c r="S117" i="6"/>
  <c r="T117" i="6"/>
  <c r="U117" i="6"/>
  <c r="V117" i="6"/>
  <c r="W117" i="6"/>
  <c r="X117" i="6"/>
  <c r="Y117" i="6"/>
  <c r="Z117" i="6"/>
  <c r="AA117" i="6"/>
  <c r="J118" i="6"/>
  <c r="K118" i="6"/>
  <c r="L118" i="6"/>
  <c r="M118" i="6"/>
  <c r="N118" i="6"/>
  <c r="O118" i="6"/>
  <c r="P118" i="6"/>
  <c r="Q118" i="6"/>
  <c r="R118" i="6"/>
  <c r="S118" i="6"/>
  <c r="T118" i="6"/>
  <c r="U118" i="6"/>
  <c r="V118" i="6"/>
  <c r="W118" i="6"/>
  <c r="X118" i="6"/>
  <c r="Y118" i="6"/>
  <c r="Z118" i="6"/>
  <c r="AA118" i="6"/>
  <c r="J119" i="6"/>
  <c r="K119" i="6"/>
  <c r="L119" i="6"/>
  <c r="M119" i="6"/>
  <c r="N119" i="6"/>
  <c r="O119" i="6"/>
  <c r="P119" i="6"/>
  <c r="Q119" i="6"/>
  <c r="R119" i="6"/>
  <c r="S119" i="6"/>
  <c r="T119" i="6"/>
  <c r="U119" i="6"/>
  <c r="V119" i="6"/>
  <c r="W119" i="6"/>
  <c r="X119" i="6"/>
  <c r="Y119" i="6"/>
  <c r="Z119" i="6"/>
  <c r="AA119" i="6"/>
  <c r="J120" i="6"/>
  <c r="K120" i="6"/>
  <c r="L120" i="6"/>
  <c r="M120" i="6"/>
  <c r="N120" i="6"/>
  <c r="O120" i="6"/>
  <c r="P120" i="6"/>
  <c r="Q120" i="6"/>
  <c r="R120" i="6"/>
  <c r="S120" i="6"/>
  <c r="T120" i="6"/>
  <c r="U120" i="6"/>
  <c r="V120" i="6"/>
  <c r="W120" i="6"/>
  <c r="X120" i="6"/>
  <c r="Y120" i="6"/>
  <c r="Z120" i="6"/>
  <c r="AA120" i="6"/>
  <c r="J121" i="6"/>
  <c r="K121" i="6"/>
  <c r="L121" i="6"/>
  <c r="M121" i="6"/>
  <c r="N121" i="6"/>
  <c r="O121" i="6"/>
  <c r="P121" i="6"/>
  <c r="Q121" i="6"/>
  <c r="R121" i="6"/>
  <c r="S121" i="6"/>
  <c r="T121" i="6"/>
  <c r="U121" i="6"/>
  <c r="V121" i="6"/>
  <c r="W121" i="6"/>
  <c r="X121" i="6"/>
  <c r="Y121" i="6"/>
  <c r="Z121" i="6"/>
  <c r="AA121" i="6"/>
  <c r="J122" i="6"/>
  <c r="K122" i="6"/>
  <c r="L122" i="6"/>
  <c r="M122" i="6"/>
  <c r="N122" i="6"/>
  <c r="O122" i="6"/>
  <c r="P122" i="6"/>
  <c r="Q122" i="6"/>
  <c r="R122" i="6"/>
  <c r="S122" i="6"/>
  <c r="T122" i="6"/>
  <c r="U122" i="6"/>
  <c r="V122" i="6"/>
  <c r="W122" i="6"/>
  <c r="X122" i="6"/>
  <c r="Y122" i="6"/>
  <c r="Z122" i="6"/>
  <c r="AA122" i="6"/>
  <c r="J123" i="6"/>
  <c r="K123" i="6"/>
  <c r="L123" i="6"/>
  <c r="M123" i="6"/>
  <c r="N123" i="6"/>
  <c r="O123" i="6"/>
  <c r="P123" i="6"/>
  <c r="Q123" i="6"/>
  <c r="R123" i="6"/>
  <c r="S123" i="6"/>
  <c r="T123" i="6"/>
  <c r="U123" i="6"/>
  <c r="V123" i="6"/>
  <c r="W123" i="6"/>
  <c r="X123" i="6"/>
  <c r="Y123" i="6"/>
  <c r="Z123" i="6"/>
  <c r="AA123" i="6"/>
  <c r="J124" i="6"/>
  <c r="K124" i="6"/>
  <c r="L124" i="6"/>
  <c r="M124" i="6"/>
  <c r="N124" i="6"/>
  <c r="O124" i="6"/>
  <c r="P124" i="6"/>
  <c r="Q124" i="6"/>
  <c r="R124" i="6"/>
  <c r="S124" i="6"/>
  <c r="T124" i="6"/>
  <c r="U124" i="6"/>
  <c r="V124" i="6"/>
  <c r="W124" i="6"/>
  <c r="X124" i="6"/>
  <c r="Y124" i="6"/>
  <c r="Z124" i="6"/>
  <c r="AA124" i="6"/>
  <c r="J125" i="6"/>
  <c r="K125" i="6"/>
  <c r="L125" i="6"/>
  <c r="M125" i="6"/>
  <c r="N125" i="6"/>
  <c r="O125" i="6"/>
  <c r="P125" i="6"/>
  <c r="Q125" i="6"/>
  <c r="R125" i="6"/>
  <c r="S125" i="6"/>
  <c r="T125" i="6"/>
  <c r="U125" i="6"/>
  <c r="V125" i="6"/>
  <c r="W125" i="6"/>
  <c r="X125" i="6"/>
  <c r="Y125" i="6"/>
  <c r="Z125" i="6"/>
  <c r="AA125" i="6"/>
  <c r="J126" i="6"/>
  <c r="K126" i="6"/>
  <c r="L126" i="6"/>
  <c r="M126" i="6"/>
  <c r="N126" i="6"/>
  <c r="O126" i="6"/>
  <c r="P126" i="6"/>
  <c r="Q126" i="6"/>
  <c r="R126" i="6"/>
  <c r="S126" i="6"/>
  <c r="T126" i="6"/>
  <c r="U126" i="6"/>
  <c r="V126" i="6"/>
  <c r="W126" i="6"/>
  <c r="X126" i="6"/>
  <c r="Y126" i="6"/>
  <c r="Z126" i="6"/>
  <c r="AA126" i="6"/>
  <c r="J127" i="6"/>
  <c r="K127" i="6"/>
  <c r="L127" i="6"/>
  <c r="M127" i="6"/>
  <c r="N127" i="6"/>
  <c r="O127" i="6"/>
  <c r="P127" i="6"/>
  <c r="Q127" i="6"/>
  <c r="R127" i="6"/>
  <c r="S127" i="6"/>
  <c r="T127" i="6"/>
  <c r="U127" i="6"/>
  <c r="V127" i="6"/>
  <c r="W127" i="6"/>
  <c r="X127" i="6"/>
  <c r="Y127" i="6"/>
  <c r="Z127" i="6"/>
  <c r="AA127" i="6"/>
  <c r="J128" i="6"/>
  <c r="K128" i="6"/>
  <c r="L128" i="6"/>
  <c r="M128" i="6"/>
  <c r="N128" i="6"/>
  <c r="O128" i="6"/>
  <c r="P128" i="6"/>
  <c r="Q128" i="6"/>
  <c r="R128" i="6"/>
  <c r="S128" i="6"/>
  <c r="T128" i="6"/>
  <c r="U128" i="6"/>
  <c r="V128" i="6"/>
  <c r="W128" i="6"/>
  <c r="X128" i="6"/>
  <c r="Y128" i="6"/>
  <c r="Z128" i="6"/>
  <c r="AA128" i="6"/>
  <c r="J129" i="6"/>
  <c r="K129" i="6"/>
  <c r="L129" i="6"/>
  <c r="M129" i="6"/>
  <c r="N129" i="6"/>
  <c r="O129" i="6"/>
  <c r="P129" i="6"/>
  <c r="Q129" i="6"/>
  <c r="R129" i="6"/>
  <c r="S129" i="6"/>
  <c r="T129" i="6"/>
  <c r="U129" i="6"/>
  <c r="V129" i="6"/>
  <c r="W129" i="6"/>
  <c r="X129" i="6"/>
  <c r="Y129" i="6"/>
  <c r="Z129" i="6"/>
  <c r="AA129" i="6"/>
  <c r="J130" i="6"/>
  <c r="K130" i="6"/>
  <c r="L130" i="6"/>
  <c r="M130" i="6"/>
  <c r="N130" i="6"/>
  <c r="O130" i="6"/>
  <c r="P130" i="6"/>
  <c r="Q130" i="6"/>
  <c r="R130" i="6"/>
  <c r="S130" i="6"/>
  <c r="T130" i="6"/>
  <c r="U130" i="6"/>
  <c r="V130" i="6"/>
  <c r="W130" i="6"/>
  <c r="X130" i="6"/>
  <c r="Y130" i="6"/>
  <c r="Z130" i="6"/>
  <c r="AA130" i="6"/>
  <c r="J131" i="6"/>
  <c r="K131" i="6"/>
  <c r="L131" i="6"/>
  <c r="M131" i="6"/>
  <c r="N131" i="6"/>
  <c r="O131" i="6"/>
  <c r="P131" i="6"/>
  <c r="Q131" i="6"/>
  <c r="R131" i="6"/>
  <c r="S131" i="6"/>
  <c r="T131" i="6"/>
  <c r="U131" i="6"/>
  <c r="V131" i="6"/>
  <c r="W131" i="6"/>
  <c r="X131" i="6"/>
  <c r="Y131" i="6"/>
  <c r="Z131" i="6"/>
  <c r="AA131" i="6"/>
  <c r="J132" i="6"/>
  <c r="K132" i="6"/>
  <c r="L132" i="6"/>
  <c r="M132" i="6"/>
  <c r="N132" i="6"/>
  <c r="O132" i="6"/>
  <c r="P132" i="6"/>
  <c r="Q132" i="6"/>
  <c r="R132" i="6"/>
  <c r="S132" i="6"/>
  <c r="T132" i="6"/>
  <c r="U132" i="6"/>
  <c r="V132" i="6"/>
  <c r="W132" i="6"/>
  <c r="X132" i="6"/>
  <c r="Y132" i="6"/>
  <c r="Z132" i="6"/>
  <c r="AA132" i="6"/>
  <c r="J133" i="6"/>
  <c r="K133" i="6"/>
  <c r="L133" i="6"/>
  <c r="M133" i="6"/>
  <c r="N133" i="6"/>
  <c r="O133" i="6"/>
  <c r="P133" i="6"/>
  <c r="Q133" i="6"/>
  <c r="R133" i="6"/>
  <c r="S133" i="6"/>
  <c r="T133" i="6"/>
  <c r="U133" i="6"/>
  <c r="V133" i="6"/>
  <c r="W133" i="6"/>
  <c r="X133" i="6"/>
  <c r="Y133" i="6"/>
  <c r="Z133" i="6"/>
  <c r="AA133" i="6"/>
  <c r="J134" i="6"/>
  <c r="K134" i="6"/>
  <c r="L134" i="6"/>
  <c r="M134" i="6"/>
  <c r="N134" i="6"/>
  <c r="O134" i="6"/>
  <c r="P134" i="6"/>
  <c r="Q134" i="6"/>
  <c r="R134" i="6"/>
  <c r="S134" i="6"/>
  <c r="T134" i="6"/>
  <c r="U134" i="6"/>
  <c r="V134" i="6"/>
  <c r="W134" i="6"/>
  <c r="X134" i="6"/>
  <c r="Y134" i="6"/>
  <c r="Z134" i="6"/>
  <c r="AA134" i="6"/>
  <c r="J135" i="6"/>
  <c r="K135" i="6"/>
  <c r="L135" i="6"/>
  <c r="M135" i="6"/>
  <c r="N135" i="6"/>
  <c r="O135" i="6"/>
  <c r="P135" i="6"/>
  <c r="Q135" i="6"/>
  <c r="R135" i="6"/>
  <c r="S135" i="6"/>
  <c r="T135" i="6"/>
  <c r="U135" i="6"/>
  <c r="V135" i="6"/>
  <c r="W135" i="6"/>
  <c r="X135" i="6"/>
  <c r="Y135" i="6"/>
  <c r="Z135" i="6"/>
  <c r="AA135" i="6"/>
  <c r="J136" i="6"/>
  <c r="K136" i="6"/>
  <c r="L136" i="6"/>
  <c r="M136" i="6"/>
  <c r="N136" i="6"/>
  <c r="O136" i="6"/>
  <c r="P136" i="6"/>
  <c r="Q136" i="6"/>
  <c r="R136" i="6"/>
  <c r="S136" i="6"/>
  <c r="T136" i="6"/>
  <c r="U136" i="6"/>
  <c r="V136" i="6"/>
  <c r="W136" i="6"/>
  <c r="X136" i="6"/>
  <c r="Y136" i="6"/>
  <c r="Z136" i="6"/>
  <c r="AA136" i="6"/>
  <c r="J137" i="6"/>
  <c r="K137" i="6"/>
  <c r="L137" i="6"/>
  <c r="M137" i="6"/>
  <c r="N137" i="6"/>
  <c r="O137" i="6"/>
  <c r="P137" i="6"/>
  <c r="Q137" i="6"/>
  <c r="R137" i="6"/>
  <c r="S137" i="6"/>
  <c r="T137" i="6"/>
  <c r="U137" i="6"/>
  <c r="V137" i="6"/>
  <c r="W137" i="6"/>
  <c r="X137" i="6"/>
  <c r="Y137" i="6"/>
  <c r="Z137" i="6"/>
  <c r="AA137" i="6"/>
  <c r="J138" i="6"/>
  <c r="K138" i="6"/>
  <c r="L138" i="6"/>
  <c r="M138" i="6"/>
  <c r="N138" i="6"/>
  <c r="O138" i="6"/>
  <c r="P138" i="6"/>
  <c r="Q138" i="6"/>
  <c r="R138" i="6"/>
  <c r="S138" i="6"/>
  <c r="T138" i="6"/>
  <c r="U138" i="6"/>
  <c r="V138" i="6"/>
  <c r="W138" i="6"/>
  <c r="X138" i="6"/>
  <c r="Y138" i="6"/>
  <c r="Z138" i="6"/>
  <c r="AA138" i="6"/>
  <c r="J139" i="6"/>
  <c r="K139" i="6"/>
  <c r="L139" i="6"/>
  <c r="M139" i="6"/>
  <c r="N139" i="6"/>
  <c r="O139" i="6"/>
  <c r="P139" i="6"/>
  <c r="Q139" i="6"/>
  <c r="R139" i="6"/>
  <c r="S139" i="6"/>
  <c r="T139" i="6"/>
  <c r="U139" i="6"/>
  <c r="V139" i="6"/>
  <c r="W139" i="6"/>
  <c r="X139" i="6"/>
  <c r="Y139" i="6"/>
  <c r="Z139" i="6"/>
  <c r="AA139" i="6"/>
  <c r="J140" i="6"/>
  <c r="K140" i="6"/>
  <c r="L140" i="6"/>
  <c r="M140" i="6"/>
  <c r="N140" i="6"/>
  <c r="O140" i="6"/>
  <c r="P140" i="6"/>
  <c r="Q140" i="6"/>
  <c r="R140" i="6"/>
  <c r="S140" i="6"/>
  <c r="T140" i="6"/>
  <c r="U140" i="6"/>
  <c r="V140" i="6"/>
  <c r="W140" i="6"/>
  <c r="X140" i="6"/>
  <c r="Y140" i="6"/>
  <c r="Z140" i="6"/>
  <c r="AA140" i="6"/>
  <c r="J141" i="6"/>
  <c r="K141" i="6"/>
  <c r="L141" i="6"/>
  <c r="M141" i="6"/>
  <c r="N141" i="6"/>
  <c r="O141" i="6"/>
  <c r="P141" i="6"/>
  <c r="Q141" i="6"/>
  <c r="R141" i="6"/>
  <c r="S141" i="6"/>
  <c r="T141" i="6"/>
  <c r="U141" i="6"/>
  <c r="V141" i="6"/>
  <c r="W141" i="6"/>
  <c r="X141" i="6"/>
  <c r="Y141" i="6"/>
  <c r="Z141" i="6"/>
  <c r="AA141" i="6"/>
  <c r="J142" i="6"/>
  <c r="K142" i="6"/>
  <c r="L142" i="6"/>
  <c r="M142" i="6"/>
  <c r="N142" i="6"/>
  <c r="O142" i="6"/>
  <c r="P142" i="6"/>
  <c r="Q142" i="6"/>
  <c r="R142" i="6"/>
  <c r="S142" i="6"/>
  <c r="T142" i="6"/>
  <c r="U142" i="6"/>
  <c r="V142" i="6"/>
  <c r="W142" i="6"/>
  <c r="X142" i="6"/>
  <c r="Y142" i="6"/>
  <c r="Z142" i="6"/>
  <c r="AA142" i="6"/>
  <c r="J143" i="6"/>
  <c r="K143" i="6"/>
  <c r="L143" i="6"/>
  <c r="M143" i="6"/>
  <c r="N143" i="6"/>
  <c r="O143" i="6"/>
  <c r="P143" i="6"/>
  <c r="Q143" i="6"/>
  <c r="R143" i="6"/>
  <c r="S143" i="6"/>
  <c r="T143" i="6"/>
  <c r="U143" i="6"/>
  <c r="V143" i="6"/>
  <c r="W143" i="6"/>
  <c r="X143" i="6"/>
  <c r="Y143" i="6"/>
  <c r="Z143" i="6"/>
  <c r="AA143" i="6"/>
  <c r="J144" i="6"/>
  <c r="K144" i="6"/>
  <c r="L144" i="6"/>
  <c r="M144" i="6"/>
  <c r="N144" i="6"/>
  <c r="O144" i="6"/>
  <c r="P144" i="6"/>
  <c r="Q144" i="6"/>
  <c r="R144" i="6"/>
  <c r="S144" i="6"/>
  <c r="T144" i="6"/>
  <c r="U144" i="6"/>
  <c r="V144" i="6"/>
  <c r="W144" i="6"/>
  <c r="X144" i="6"/>
  <c r="Y144" i="6"/>
  <c r="Z144" i="6"/>
  <c r="AA144" i="6"/>
  <c r="J145" i="6"/>
  <c r="K145" i="6"/>
  <c r="L145" i="6"/>
  <c r="M145" i="6"/>
  <c r="N145" i="6"/>
  <c r="O145" i="6"/>
  <c r="P145" i="6"/>
  <c r="Q145" i="6"/>
  <c r="R145" i="6"/>
  <c r="S145" i="6"/>
  <c r="T145" i="6"/>
  <c r="U145" i="6"/>
  <c r="V145" i="6"/>
  <c r="W145" i="6"/>
  <c r="X145" i="6"/>
  <c r="Y145" i="6"/>
  <c r="Z145" i="6"/>
  <c r="AA145" i="6"/>
  <c r="J146" i="6"/>
  <c r="K146" i="6"/>
  <c r="L146" i="6"/>
  <c r="M146" i="6"/>
  <c r="N146" i="6"/>
  <c r="O146" i="6"/>
  <c r="P146" i="6"/>
  <c r="Q146" i="6"/>
  <c r="R146" i="6"/>
  <c r="S146" i="6"/>
  <c r="T146" i="6"/>
  <c r="U146" i="6"/>
  <c r="V146" i="6"/>
  <c r="W146" i="6"/>
  <c r="X146" i="6"/>
  <c r="Y146" i="6"/>
  <c r="Z146" i="6"/>
  <c r="AA146" i="6"/>
  <c r="J147" i="6"/>
  <c r="K147" i="6"/>
  <c r="L147" i="6"/>
  <c r="M147" i="6"/>
  <c r="N147" i="6"/>
  <c r="O147" i="6"/>
  <c r="P147" i="6"/>
  <c r="Q147" i="6"/>
  <c r="R147" i="6"/>
  <c r="S147" i="6"/>
  <c r="T147" i="6"/>
  <c r="U147" i="6"/>
  <c r="V147" i="6"/>
  <c r="W147" i="6"/>
  <c r="X147" i="6"/>
  <c r="Y147" i="6"/>
  <c r="Z147" i="6"/>
  <c r="AA147" i="6"/>
  <c r="J148" i="6"/>
  <c r="K148" i="6"/>
  <c r="L148" i="6"/>
  <c r="M148" i="6"/>
  <c r="N148" i="6"/>
  <c r="O148" i="6"/>
  <c r="P148" i="6"/>
  <c r="Q148" i="6"/>
  <c r="R148" i="6"/>
  <c r="S148" i="6"/>
  <c r="T148" i="6"/>
  <c r="U148" i="6"/>
  <c r="V148" i="6"/>
  <c r="W148" i="6"/>
  <c r="X148" i="6"/>
  <c r="Y148" i="6"/>
  <c r="Z148" i="6"/>
  <c r="AA148" i="6"/>
  <c r="J149" i="6"/>
  <c r="K149" i="6"/>
  <c r="L149" i="6"/>
  <c r="M149" i="6"/>
  <c r="N149" i="6"/>
  <c r="O149" i="6"/>
  <c r="P149" i="6"/>
  <c r="Q149" i="6"/>
  <c r="R149" i="6"/>
  <c r="S149" i="6"/>
  <c r="T149" i="6"/>
  <c r="U149" i="6"/>
  <c r="V149" i="6"/>
  <c r="W149" i="6"/>
  <c r="X149" i="6"/>
  <c r="Y149" i="6"/>
  <c r="Z149" i="6"/>
  <c r="AA149" i="6"/>
  <c r="J150" i="6"/>
  <c r="K150" i="6"/>
  <c r="L150" i="6"/>
  <c r="M150" i="6"/>
  <c r="N150" i="6"/>
  <c r="O150" i="6"/>
  <c r="P150" i="6"/>
  <c r="Q150" i="6"/>
  <c r="R150" i="6"/>
  <c r="S150" i="6"/>
  <c r="T150" i="6"/>
  <c r="U150" i="6"/>
  <c r="V150" i="6"/>
  <c r="W150" i="6"/>
  <c r="X150" i="6"/>
  <c r="Y150" i="6"/>
  <c r="Z150" i="6"/>
  <c r="AA150" i="6"/>
  <c r="J151" i="6"/>
  <c r="K151" i="6"/>
  <c r="L151" i="6"/>
  <c r="M151" i="6"/>
  <c r="N151" i="6"/>
  <c r="O151" i="6"/>
  <c r="P151" i="6"/>
  <c r="Q151" i="6"/>
  <c r="R151" i="6"/>
  <c r="S151" i="6"/>
  <c r="T151" i="6"/>
  <c r="U151" i="6"/>
  <c r="V151" i="6"/>
  <c r="W151" i="6"/>
  <c r="X151" i="6"/>
  <c r="Y151" i="6"/>
  <c r="Z151" i="6"/>
  <c r="AA151" i="6"/>
  <c r="J152" i="6"/>
  <c r="K152" i="6"/>
  <c r="L152" i="6"/>
  <c r="M152" i="6"/>
  <c r="N152" i="6"/>
  <c r="O152" i="6"/>
  <c r="P152" i="6"/>
  <c r="Q152" i="6"/>
  <c r="R152" i="6"/>
  <c r="S152" i="6"/>
  <c r="T152" i="6"/>
  <c r="U152" i="6"/>
  <c r="V152" i="6"/>
  <c r="W152" i="6"/>
  <c r="X152" i="6"/>
  <c r="Y152" i="6"/>
  <c r="Z152" i="6"/>
  <c r="AA152" i="6"/>
  <c r="J153" i="6"/>
  <c r="K153" i="6"/>
  <c r="L153" i="6"/>
  <c r="M153" i="6"/>
  <c r="N153" i="6"/>
  <c r="O153" i="6"/>
  <c r="P153" i="6"/>
  <c r="Q153" i="6"/>
  <c r="R153" i="6"/>
  <c r="S153" i="6"/>
  <c r="T153" i="6"/>
  <c r="U153" i="6"/>
  <c r="V153" i="6"/>
  <c r="W153" i="6"/>
  <c r="X153" i="6"/>
  <c r="Y153" i="6"/>
  <c r="Z153" i="6"/>
  <c r="AA153" i="6"/>
  <c r="J154" i="6"/>
  <c r="K154" i="6"/>
  <c r="L154" i="6"/>
  <c r="M154" i="6"/>
  <c r="N154" i="6"/>
  <c r="O154" i="6"/>
  <c r="P154" i="6"/>
  <c r="Q154" i="6"/>
  <c r="R154" i="6"/>
  <c r="S154" i="6"/>
  <c r="T154" i="6"/>
  <c r="U154" i="6"/>
  <c r="V154" i="6"/>
  <c r="W154" i="6"/>
  <c r="X154" i="6"/>
  <c r="Y154" i="6"/>
  <c r="Z154" i="6"/>
  <c r="AA154" i="6"/>
  <c r="J155" i="6"/>
  <c r="K155" i="6"/>
  <c r="L155" i="6"/>
  <c r="M155" i="6"/>
  <c r="N155" i="6"/>
  <c r="O155" i="6"/>
  <c r="P155" i="6"/>
  <c r="Q155" i="6"/>
  <c r="R155" i="6"/>
  <c r="S155" i="6"/>
  <c r="T155" i="6"/>
  <c r="U155" i="6"/>
  <c r="V155" i="6"/>
  <c r="W155" i="6"/>
  <c r="X155" i="6"/>
  <c r="Y155" i="6"/>
  <c r="Z155" i="6"/>
  <c r="AA155" i="6"/>
  <c r="J156" i="6"/>
  <c r="K156" i="6"/>
  <c r="L156" i="6"/>
  <c r="M156" i="6"/>
  <c r="N156" i="6"/>
  <c r="O156" i="6"/>
  <c r="P156" i="6"/>
  <c r="Q156" i="6"/>
  <c r="R156" i="6"/>
  <c r="S156" i="6"/>
  <c r="T156" i="6"/>
  <c r="U156" i="6"/>
  <c r="V156" i="6"/>
  <c r="W156" i="6"/>
  <c r="X156" i="6"/>
  <c r="Y156" i="6"/>
  <c r="Z156" i="6"/>
  <c r="AA156" i="6"/>
  <c r="J157" i="6"/>
  <c r="K157" i="6"/>
  <c r="L157" i="6"/>
  <c r="M157" i="6"/>
  <c r="N157" i="6"/>
  <c r="O157" i="6"/>
  <c r="P157" i="6"/>
  <c r="Q157" i="6"/>
  <c r="R157" i="6"/>
  <c r="S157" i="6"/>
  <c r="T157" i="6"/>
  <c r="U157" i="6"/>
  <c r="V157" i="6"/>
  <c r="W157" i="6"/>
  <c r="X157" i="6"/>
  <c r="Y157" i="6"/>
  <c r="Z157" i="6"/>
  <c r="AA157" i="6"/>
  <c r="J158" i="6"/>
  <c r="K158" i="6"/>
  <c r="L158" i="6"/>
  <c r="M158" i="6"/>
  <c r="N158" i="6"/>
  <c r="O158" i="6"/>
  <c r="P158" i="6"/>
  <c r="Q158" i="6"/>
  <c r="R158" i="6"/>
  <c r="S158" i="6"/>
  <c r="T158" i="6"/>
  <c r="U158" i="6"/>
  <c r="V158" i="6"/>
  <c r="W158" i="6"/>
  <c r="X158" i="6"/>
  <c r="Y158" i="6"/>
  <c r="Z158" i="6"/>
  <c r="AA158" i="6"/>
  <c r="J159" i="6"/>
  <c r="K159" i="6"/>
  <c r="L159" i="6"/>
  <c r="M159" i="6"/>
  <c r="N159" i="6"/>
  <c r="O159" i="6"/>
  <c r="P159" i="6"/>
  <c r="Q159" i="6"/>
  <c r="R159" i="6"/>
  <c r="S159" i="6"/>
  <c r="T159" i="6"/>
  <c r="U159" i="6"/>
  <c r="V159" i="6"/>
  <c r="W159" i="6"/>
  <c r="X159" i="6"/>
  <c r="Y159" i="6"/>
  <c r="Z159" i="6"/>
  <c r="AA159" i="6"/>
  <c r="J160" i="6"/>
  <c r="K160" i="6"/>
  <c r="L160" i="6"/>
  <c r="M160" i="6"/>
  <c r="N160" i="6"/>
  <c r="O160" i="6"/>
  <c r="P160" i="6"/>
  <c r="Q160" i="6"/>
  <c r="R160" i="6"/>
  <c r="S160" i="6"/>
  <c r="T160" i="6"/>
  <c r="U160" i="6"/>
  <c r="V160" i="6"/>
  <c r="W160" i="6"/>
  <c r="X160" i="6"/>
  <c r="Y160" i="6"/>
  <c r="Z160" i="6"/>
  <c r="AA160" i="6"/>
  <c r="J161" i="6"/>
  <c r="K161" i="6"/>
  <c r="L161" i="6"/>
  <c r="M161" i="6"/>
  <c r="N161" i="6"/>
  <c r="O161" i="6"/>
  <c r="P161" i="6"/>
  <c r="Q161" i="6"/>
  <c r="R161" i="6"/>
  <c r="S161" i="6"/>
  <c r="T161" i="6"/>
  <c r="U161" i="6"/>
  <c r="V161" i="6"/>
  <c r="W161" i="6"/>
  <c r="X161" i="6"/>
  <c r="Y161" i="6"/>
  <c r="Z161" i="6"/>
  <c r="AA161" i="6"/>
  <c r="J162" i="6"/>
  <c r="K162" i="6"/>
  <c r="L162" i="6"/>
  <c r="M162" i="6"/>
  <c r="N162" i="6"/>
  <c r="O162" i="6"/>
  <c r="P162" i="6"/>
  <c r="Q162" i="6"/>
  <c r="R162" i="6"/>
  <c r="S162" i="6"/>
  <c r="T162" i="6"/>
  <c r="U162" i="6"/>
  <c r="V162" i="6"/>
  <c r="W162" i="6"/>
  <c r="X162" i="6"/>
  <c r="Y162" i="6"/>
  <c r="Z162" i="6"/>
  <c r="AA162" i="6"/>
  <c r="J163" i="6"/>
  <c r="K163" i="6"/>
  <c r="L163" i="6"/>
  <c r="M163" i="6"/>
  <c r="N163" i="6"/>
  <c r="O163" i="6"/>
  <c r="P163" i="6"/>
  <c r="Q163" i="6"/>
  <c r="R163" i="6"/>
  <c r="S163" i="6"/>
  <c r="T163" i="6"/>
  <c r="U163" i="6"/>
  <c r="V163" i="6"/>
  <c r="W163" i="6"/>
  <c r="X163" i="6"/>
  <c r="Y163" i="6"/>
  <c r="Z163" i="6"/>
  <c r="AA163" i="6"/>
  <c r="J164" i="6"/>
  <c r="K164" i="6"/>
  <c r="L164" i="6"/>
  <c r="M164" i="6"/>
  <c r="N164" i="6"/>
  <c r="O164" i="6"/>
  <c r="P164" i="6"/>
  <c r="Q164" i="6"/>
  <c r="R164" i="6"/>
  <c r="S164" i="6"/>
  <c r="T164" i="6"/>
  <c r="U164" i="6"/>
  <c r="V164" i="6"/>
  <c r="W164" i="6"/>
  <c r="X164" i="6"/>
  <c r="Y164" i="6"/>
  <c r="Z164" i="6"/>
  <c r="AA164" i="6"/>
  <c r="J165" i="6"/>
  <c r="K165" i="6"/>
  <c r="L165" i="6"/>
  <c r="M165" i="6"/>
  <c r="N165" i="6"/>
  <c r="O165" i="6"/>
  <c r="P165" i="6"/>
  <c r="Q165" i="6"/>
  <c r="R165" i="6"/>
  <c r="S165" i="6"/>
  <c r="T165" i="6"/>
  <c r="U165" i="6"/>
  <c r="V165" i="6"/>
  <c r="W165" i="6"/>
  <c r="X165" i="6"/>
  <c r="Y165" i="6"/>
  <c r="Z165" i="6"/>
  <c r="AA165" i="6"/>
  <c r="J166" i="6"/>
  <c r="K166" i="6"/>
  <c r="L166" i="6"/>
  <c r="M166" i="6"/>
  <c r="N166" i="6"/>
  <c r="O166" i="6"/>
  <c r="P166" i="6"/>
  <c r="Q166" i="6"/>
  <c r="R166" i="6"/>
  <c r="S166" i="6"/>
  <c r="T166" i="6"/>
  <c r="U166" i="6"/>
  <c r="V166" i="6"/>
  <c r="W166" i="6"/>
  <c r="X166" i="6"/>
  <c r="Y166" i="6"/>
  <c r="Z166" i="6"/>
  <c r="AA166" i="6"/>
  <c r="J167" i="6"/>
  <c r="K167" i="6"/>
  <c r="L167" i="6"/>
  <c r="M167" i="6"/>
  <c r="N167" i="6"/>
  <c r="O167" i="6"/>
  <c r="P167" i="6"/>
  <c r="Q167" i="6"/>
  <c r="R167" i="6"/>
  <c r="S167" i="6"/>
  <c r="T167" i="6"/>
  <c r="U167" i="6"/>
  <c r="V167" i="6"/>
  <c r="W167" i="6"/>
  <c r="X167" i="6"/>
  <c r="Y167" i="6"/>
  <c r="Z167" i="6"/>
  <c r="AA167" i="6"/>
  <c r="J168" i="6"/>
  <c r="K168" i="6"/>
  <c r="L168" i="6"/>
  <c r="M168" i="6"/>
  <c r="N168" i="6"/>
  <c r="O168" i="6"/>
  <c r="P168" i="6"/>
  <c r="Q168" i="6"/>
  <c r="R168" i="6"/>
  <c r="S168" i="6"/>
  <c r="T168" i="6"/>
  <c r="U168" i="6"/>
  <c r="V168" i="6"/>
  <c r="W168" i="6"/>
  <c r="X168" i="6"/>
  <c r="Y168" i="6"/>
  <c r="Z168" i="6"/>
  <c r="AA168" i="6"/>
  <c r="J169" i="6"/>
  <c r="K169" i="6"/>
  <c r="L169" i="6"/>
  <c r="M169" i="6"/>
  <c r="N169" i="6"/>
  <c r="O169" i="6"/>
  <c r="P169" i="6"/>
  <c r="Q169" i="6"/>
  <c r="R169" i="6"/>
  <c r="S169" i="6"/>
  <c r="T169" i="6"/>
  <c r="U169" i="6"/>
  <c r="V169" i="6"/>
  <c r="W169" i="6"/>
  <c r="X169" i="6"/>
  <c r="Y169" i="6"/>
  <c r="Z169" i="6"/>
  <c r="AA169" i="6"/>
  <c r="J170" i="6"/>
  <c r="K170" i="6"/>
  <c r="L170" i="6"/>
  <c r="M170" i="6"/>
  <c r="N170" i="6"/>
  <c r="O170" i="6"/>
  <c r="P170" i="6"/>
  <c r="Q170" i="6"/>
  <c r="R170" i="6"/>
  <c r="S170" i="6"/>
  <c r="T170" i="6"/>
  <c r="U170" i="6"/>
  <c r="V170" i="6"/>
  <c r="W170" i="6"/>
  <c r="X170" i="6"/>
  <c r="Y170" i="6"/>
  <c r="Z170" i="6"/>
  <c r="AA170" i="6"/>
  <c r="J171" i="6"/>
  <c r="K171" i="6"/>
  <c r="L171" i="6"/>
  <c r="M171" i="6"/>
  <c r="N171" i="6"/>
  <c r="O171" i="6"/>
  <c r="P171" i="6"/>
  <c r="Q171" i="6"/>
  <c r="R171" i="6"/>
  <c r="S171" i="6"/>
  <c r="T171" i="6"/>
  <c r="U171" i="6"/>
  <c r="V171" i="6"/>
  <c r="W171" i="6"/>
  <c r="X171" i="6"/>
  <c r="Y171" i="6"/>
  <c r="Z171" i="6"/>
  <c r="AA171" i="6"/>
  <c r="J172" i="6"/>
  <c r="K172" i="6"/>
  <c r="L172" i="6"/>
  <c r="M172" i="6"/>
  <c r="N172" i="6"/>
  <c r="O172" i="6"/>
  <c r="P172" i="6"/>
  <c r="Q172" i="6"/>
  <c r="R172" i="6"/>
  <c r="S172" i="6"/>
  <c r="T172" i="6"/>
  <c r="U172" i="6"/>
  <c r="V172" i="6"/>
  <c r="W172" i="6"/>
  <c r="X172" i="6"/>
  <c r="Y172" i="6"/>
  <c r="Z172" i="6"/>
  <c r="AA172" i="6"/>
  <c r="J173" i="6"/>
  <c r="K173" i="6"/>
  <c r="L173" i="6"/>
  <c r="M173" i="6"/>
  <c r="N173" i="6"/>
  <c r="O173" i="6"/>
  <c r="P173" i="6"/>
  <c r="Q173" i="6"/>
  <c r="R173" i="6"/>
  <c r="S173" i="6"/>
  <c r="T173" i="6"/>
  <c r="U173" i="6"/>
  <c r="V173" i="6"/>
  <c r="W173" i="6"/>
  <c r="X173" i="6"/>
  <c r="Y173" i="6"/>
  <c r="Z173" i="6"/>
  <c r="AA173" i="6"/>
  <c r="J174" i="6"/>
  <c r="K174" i="6"/>
  <c r="L174" i="6"/>
  <c r="M174" i="6"/>
  <c r="N174" i="6"/>
  <c r="O174" i="6"/>
  <c r="P174" i="6"/>
  <c r="Q174" i="6"/>
  <c r="R174" i="6"/>
  <c r="S174" i="6"/>
  <c r="T174" i="6"/>
  <c r="U174" i="6"/>
  <c r="V174" i="6"/>
  <c r="W174" i="6"/>
  <c r="X174" i="6"/>
  <c r="Y174" i="6"/>
  <c r="Z174" i="6"/>
  <c r="AA174" i="6"/>
  <c r="J175" i="6"/>
  <c r="K175" i="6"/>
  <c r="L175" i="6"/>
  <c r="M175" i="6"/>
  <c r="N175" i="6"/>
  <c r="O175" i="6"/>
  <c r="P175" i="6"/>
  <c r="Q175" i="6"/>
  <c r="R175" i="6"/>
  <c r="S175" i="6"/>
  <c r="T175" i="6"/>
  <c r="U175" i="6"/>
  <c r="V175" i="6"/>
  <c r="W175" i="6"/>
  <c r="X175" i="6"/>
  <c r="Y175" i="6"/>
  <c r="Z175" i="6"/>
  <c r="AA175" i="6"/>
  <c r="J176" i="6"/>
  <c r="K176" i="6"/>
  <c r="L176" i="6"/>
  <c r="M176" i="6"/>
  <c r="N176" i="6"/>
  <c r="O176" i="6"/>
  <c r="P176" i="6"/>
  <c r="Q176" i="6"/>
  <c r="R176" i="6"/>
  <c r="S176" i="6"/>
  <c r="T176" i="6"/>
  <c r="U176" i="6"/>
  <c r="V176" i="6"/>
  <c r="W176" i="6"/>
  <c r="X176" i="6"/>
  <c r="Y176" i="6"/>
  <c r="Z176" i="6"/>
  <c r="AA176" i="6"/>
  <c r="J177" i="6"/>
  <c r="K177" i="6"/>
  <c r="L177" i="6"/>
  <c r="M177" i="6"/>
  <c r="N177" i="6"/>
  <c r="O177" i="6"/>
  <c r="P177" i="6"/>
  <c r="Q177" i="6"/>
  <c r="R177" i="6"/>
  <c r="S177" i="6"/>
  <c r="T177" i="6"/>
  <c r="U177" i="6"/>
  <c r="V177" i="6"/>
  <c r="W177" i="6"/>
  <c r="X177" i="6"/>
  <c r="Y177" i="6"/>
  <c r="Z177" i="6"/>
  <c r="AA177" i="6"/>
  <c r="J178" i="6"/>
  <c r="K178" i="6"/>
  <c r="L178" i="6"/>
  <c r="M178" i="6"/>
  <c r="N178" i="6"/>
  <c r="O178" i="6"/>
  <c r="P178" i="6"/>
  <c r="Q178" i="6"/>
  <c r="R178" i="6"/>
  <c r="S178" i="6"/>
  <c r="T178" i="6"/>
  <c r="U178" i="6"/>
  <c r="V178" i="6"/>
  <c r="W178" i="6"/>
  <c r="X178" i="6"/>
  <c r="Y178" i="6"/>
  <c r="Z178" i="6"/>
  <c r="AA178" i="6"/>
  <c r="J179" i="6"/>
  <c r="K179" i="6"/>
  <c r="L179" i="6"/>
  <c r="M179" i="6"/>
  <c r="N179" i="6"/>
  <c r="O179" i="6"/>
  <c r="P179" i="6"/>
  <c r="Q179" i="6"/>
  <c r="R179" i="6"/>
  <c r="S179" i="6"/>
  <c r="T179" i="6"/>
  <c r="U179" i="6"/>
  <c r="V179" i="6"/>
  <c r="W179" i="6"/>
  <c r="X179" i="6"/>
  <c r="Y179" i="6"/>
  <c r="Z179" i="6"/>
  <c r="AA179" i="6"/>
  <c r="J180" i="6"/>
  <c r="K180" i="6"/>
  <c r="L180" i="6"/>
  <c r="M180" i="6"/>
  <c r="N180" i="6"/>
  <c r="O180" i="6"/>
  <c r="P180" i="6"/>
  <c r="Q180" i="6"/>
  <c r="R180" i="6"/>
  <c r="S180" i="6"/>
  <c r="T180" i="6"/>
  <c r="U180" i="6"/>
  <c r="V180" i="6"/>
  <c r="W180" i="6"/>
  <c r="X180" i="6"/>
  <c r="Y180" i="6"/>
  <c r="Z180" i="6"/>
  <c r="AA180" i="6"/>
  <c r="J181" i="6"/>
  <c r="K181" i="6"/>
  <c r="L181" i="6"/>
  <c r="M181" i="6"/>
  <c r="N181" i="6"/>
  <c r="O181" i="6"/>
  <c r="P181" i="6"/>
  <c r="Q181" i="6"/>
  <c r="R181" i="6"/>
  <c r="S181" i="6"/>
  <c r="T181" i="6"/>
  <c r="U181" i="6"/>
  <c r="V181" i="6"/>
  <c r="W181" i="6"/>
  <c r="X181" i="6"/>
  <c r="Y181" i="6"/>
  <c r="Z181" i="6"/>
  <c r="AA181" i="6"/>
  <c r="J182" i="6"/>
  <c r="K182" i="6"/>
  <c r="L182" i="6"/>
  <c r="M182" i="6"/>
  <c r="N182" i="6"/>
  <c r="O182" i="6"/>
  <c r="P182" i="6"/>
  <c r="Q182" i="6"/>
  <c r="R182" i="6"/>
  <c r="S182" i="6"/>
  <c r="T182" i="6"/>
  <c r="U182" i="6"/>
  <c r="V182" i="6"/>
  <c r="W182" i="6"/>
  <c r="X182" i="6"/>
  <c r="Y182" i="6"/>
  <c r="Z182" i="6"/>
  <c r="AA182" i="6"/>
  <c r="J183" i="6"/>
  <c r="K183" i="6"/>
  <c r="L183" i="6"/>
  <c r="M183" i="6"/>
  <c r="N183" i="6"/>
  <c r="O183" i="6"/>
  <c r="P183" i="6"/>
  <c r="Q183" i="6"/>
  <c r="R183" i="6"/>
  <c r="S183" i="6"/>
  <c r="T183" i="6"/>
  <c r="U183" i="6"/>
  <c r="V183" i="6"/>
  <c r="W183" i="6"/>
  <c r="X183" i="6"/>
  <c r="Y183" i="6"/>
  <c r="Z183" i="6"/>
  <c r="AA183" i="6"/>
  <c r="J184" i="6"/>
  <c r="K184" i="6"/>
  <c r="L184" i="6"/>
  <c r="M184" i="6"/>
  <c r="N184" i="6"/>
  <c r="O184" i="6"/>
  <c r="P184" i="6"/>
  <c r="Q184" i="6"/>
  <c r="R184" i="6"/>
  <c r="S184" i="6"/>
  <c r="T184" i="6"/>
  <c r="U184" i="6"/>
  <c r="V184" i="6"/>
  <c r="W184" i="6"/>
  <c r="X184" i="6"/>
  <c r="Y184" i="6"/>
  <c r="Z184" i="6"/>
  <c r="AA184" i="6"/>
  <c r="J185" i="6"/>
  <c r="K185" i="6"/>
  <c r="L185" i="6"/>
  <c r="M185" i="6"/>
  <c r="N185" i="6"/>
  <c r="O185" i="6"/>
  <c r="P185" i="6"/>
  <c r="Q185" i="6"/>
  <c r="R185" i="6"/>
  <c r="S185" i="6"/>
  <c r="T185" i="6"/>
  <c r="U185" i="6"/>
  <c r="V185" i="6"/>
  <c r="W185" i="6"/>
  <c r="X185" i="6"/>
  <c r="Y185" i="6"/>
  <c r="Z185" i="6"/>
  <c r="AA185" i="6"/>
  <c r="J186" i="6"/>
  <c r="K186" i="6"/>
  <c r="L186" i="6"/>
  <c r="M186" i="6"/>
  <c r="N186" i="6"/>
  <c r="O186" i="6"/>
  <c r="P186" i="6"/>
  <c r="Q186" i="6"/>
  <c r="R186" i="6"/>
  <c r="S186" i="6"/>
  <c r="T186" i="6"/>
  <c r="U186" i="6"/>
  <c r="V186" i="6"/>
  <c r="W186" i="6"/>
  <c r="X186" i="6"/>
  <c r="Y186" i="6"/>
  <c r="Z186" i="6"/>
  <c r="AA186" i="6"/>
  <c r="J187" i="6"/>
  <c r="K187" i="6"/>
  <c r="L187" i="6"/>
  <c r="M187" i="6"/>
  <c r="N187" i="6"/>
  <c r="O187" i="6"/>
  <c r="P187" i="6"/>
  <c r="Q187" i="6"/>
  <c r="R187" i="6"/>
  <c r="S187" i="6"/>
  <c r="T187" i="6"/>
  <c r="U187" i="6"/>
  <c r="V187" i="6"/>
  <c r="W187" i="6"/>
  <c r="X187" i="6"/>
  <c r="Y187" i="6"/>
  <c r="Z187" i="6"/>
  <c r="AA187" i="6"/>
  <c r="J188" i="6"/>
  <c r="K188" i="6"/>
  <c r="L188" i="6"/>
  <c r="M188" i="6"/>
  <c r="N188" i="6"/>
  <c r="O188" i="6"/>
  <c r="P188" i="6"/>
  <c r="Q188" i="6"/>
  <c r="R188" i="6"/>
  <c r="S188" i="6"/>
  <c r="T188" i="6"/>
  <c r="U188" i="6"/>
  <c r="V188" i="6"/>
  <c r="W188" i="6"/>
  <c r="X188" i="6"/>
  <c r="Y188" i="6"/>
  <c r="Z188" i="6"/>
  <c r="AA188" i="6"/>
  <c r="J189" i="6"/>
  <c r="K189" i="6"/>
  <c r="L189" i="6"/>
  <c r="M189" i="6"/>
  <c r="N189" i="6"/>
  <c r="O189" i="6"/>
  <c r="P189" i="6"/>
  <c r="Q189" i="6"/>
  <c r="R189" i="6"/>
  <c r="S189" i="6"/>
  <c r="T189" i="6"/>
  <c r="U189" i="6"/>
  <c r="V189" i="6"/>
  <c r="W189" i="6"/>
  <c r="X189" i="6"/>
  <c r="Y189" i="6"/>
  <c r="Z189" i="6"/>
  <c r="AA189" i="6"/>
  <c r="J190" i="6"/>
  <c r="K190" i="6"/>
  <c r="L190" i="6"/>
  <c r="M190" i="6"/>
  <c r="N190" i="6"/>
  <c r="O190" i="6"/>
  <c r="P190" i="6"/>
  <c r="Q190" i="6"/>
  <c r="R190" i="6"/>
  <c r="S190" i="6"/>
  <c r="T190" i="6"/>
  <c r="U190" i="6"/>
  <c r="V190" i="6"/>
  <c r="W190" i="6"/>
  <c r="X190" i="6"/>
  <c r="Y190" i="6"/>
  <c r="Z190" i="6"/>
  <c r="AA190" i="6"/>
  <c r="J191" i="6"/>
  <c r="K191" i="6"/>
  <c r="L191" i="6"/>
  <c r="M191" i="6"/>
  <c r="N191" i="6"/>
  <c r="O191" i="6"/>
  <c r="P191" i="6"/>
  <c r="Q191" i="6"/>
  <c r="R191" i="6"/>
  <c r="S191" i="6"/>
  <c r="T191" i="6"/>
  <c r="U191" i="6"/>
  <c r="V191" i="6"/>
  <c r="W191" i="6"/>
  <c r="X191" i="6"/>
  <c r="Y191" i="6"/>
  <c r="Z191" i="6"/>
  <c r="AA191" i="6"/>
  <c r="J192" i="6"/>
  <c r="K192" i="6"/>
  <c r="L192" i="6"/>
  <c r="M192" i="6"/>
  <c r="N192" i="6"/>
  <c r="O192" i="6"/>
  <c r="P192" i="6"/>
  <c r="Q192" i="6"/>
  <c r="R192" i="6"/>
  <c r="S192" i="6"/>
  <c r="T192" i="6"/>
  <c r="U192" i="6"/>
  <c r="V192" i="6"/>
  <c r="W192" i="6"/>
  <c r="X192" i="6"/>
  <c r="Y192" i="6"/>
  <c r="Z192" i="6"/>
  <c r="AA192" i="6"/>
  <c r="J193" i="6"/>
  <c r="K193" i="6"/>
  <c r="L193" i="6"/>
  <c r="M193" i="6"/>
  <c r="N193" i="6"/>
  <c r="O193" i="6"/>
  <c r="P193" i="6"/>
  <c r="Q193" i="6"/>
  <c r="R193" i="6"/>
  <c r="S193" i="6"/>
  <c r="T193" i="6"/>
  <c r="U193" i="6"/>
  <c r="V193" i="6"/>
  <c r="W193" i="6"/>
  <c r="X193" i="6"/>
  <c r="Y193" i="6"/>
  <c r="Z193" i="6"/>
  <c r="AA193" i="6"/>
  <c r="J194" i="6"/>
  <c r="K194" i="6"/>
  <c r="L194" i="6"/>
  <c r="M194" i="6"/>
  <c r="N194" i="6"/>
  <c r="O194" i="6"/>
  <c r="P194" i="6"/>
  <c r="Q194" i="6"/>
  <c r="R194" i="6"/>
  <c r="S194" i="6"/>
  <c r="T194" i="6"/>
  <c r="U194" i="6"/>
  <c r="V194" i="6"/>
  <c r="W194" i="6"/>
  <c r="X194" i="6"/>
  <c r="Y194" i="6"/>
  <c r="Z194" i="6"/>
  <c r="AA194" i="6"/>
  <c r="J195" i="6"/>
  <c r="K195" i="6"/>
  <c r="L195" i="6"/>
  <c r="M195" i="6"/>
  <c r="N195" i="6"/>
  <c r="O195" i="6"/>
  <c r="P195" i="6"/>
  <c r="Q195" i="6"/>
  <c r="R195" i="6"/>
  <c r="S195" i="6"/>
  <c r="T195" i="6"/>
  <c r="U195" i="6"/>
  <c r="V195" i="6"/>
  <c r="W195" i="6"/>
  <c r="X195" i="6"/>
  <c r="Y195" i="6"/>
  <c r="Z195" i="6"/>
  <c r="AA195" i="6"/>
  <c r="J196" i="6"/>
  <c r="K196" i="6"/>
  <c r="L196" i="6"/>
  <c r="M196" i="6"/>
  <c r="N196" i="6"/>
  <c r="O196" i="6"/>
  <c r="P196" i="6"/>
  <c r="Q196" i="6"/>
  <c r="R196" i="6"/>
  <c r="S196" i="6"/>
  <c r="T196" i="6"/>
  <c r="U196" i="6"/>
  <c r="V196" i="6"/>
  <c r="W196" i="6"/>
  <c r="X196" i="6"/>
  <c r="Y196" i="6"/>
  <c r="Z196" i="6"/>
  <c r="AA196" i="6"/>
  <c r="J197" i="6"/>
  <c r="K197" i="6"/>
  <c r="L197" i="6"/>
  <c r="M197" i="6"/>
  <c r="N197" i="6"/>
  <c r="O197" i="6"/>
  <c r="P197" i="6"/>
  <c r="Q197" i="6"/>
  <c r="R197" i="6"/>
  <c r="S197" i="6"/>
  <c r="T197" i="6"/>
  <c r="U197" i="6"/>
  <c r="V197" i="6"/>
  <c r="W197" i="6"/>
  <c r="X197" i="6"/>
  <c r="Y197" i="6"/>
  <c r="Z197" i="6"/>
  <c r="AA197" i="6"/>
  <c r="J198" i="6"/>
  <c r="K198" i="6"/>
  <c r="L198" i="6"/>
  <c r="M198" i="6"/>
  <c r="N198" i="6"/>
  <c r="O198" i="6"/>
  <c r="P198" i="6"/>
  <c r="Q198" i="6"/>
  <c r="R198" i="6"/>
  <c r="S198" i="6"/>
  <c r="T198" i="6"/>
  <c r="U198" i="6"/>
  <c r="V198" i="6"/>
  <c r="W198" i="6"/>
  <c r="X198" i="6"/>
  <c r="Y198" i="6"/>
  <c r="Z198" i="6"/>
  <c r="AA198" i="6"/>
  <c r="J199" i="6"/>
  <c r="K199" i="6"/>
  <c r="L199" i="6"/>
  <c r="M199" i="6"/>
  <c r="N199" i="6"/>
  <c r="O199" i="6"/>
  <c r="P199" i="6"/>
  <c r="Q199" i="6"/>
  <c r="R199" i="6"/>
  <c r="S199" i="6"/>
  <c r="T199" i="6"/>
  <c r="U199" i="6"/>
  <c r="V199" i="6"/>
  <c r="W199" i="6"/>
  <c r="X199" i="6"/>
  <c r="Y199" i="6"/>
  <c r="Z199" i="6"/>
  <c r="AA199" i="6"/>
  <c r="J200" i="6"/>
  <c r="K200" i="6"/>
  <c r="L200" i="6"/>
  <c r="M200" i="6"/>
  <c r="N200" i="6"/>
  <c r="O200" i="6"/>
  <c r="P200" i="6"/>
  <c r="Q200" i="6"/>
  <c r="R200" i="6"/>
  <c r="S200" i="6"/>
  <c r="T200" i="6"/>
  <c r="U200" i="6"/>
  <c r="V200" i="6"/>
  <c r="W200" i="6"/>
  <c r="X200" i="6"/>
  <c r="Y200" i="6"/>
  <c r="Z200" i="6"/>
  <c r="AA200" i="6"/>
  <c r="J201" i="6"/>
  <c r="K201" i="6"/>
  <c r="L201" i="6"/>
  <c r="M201" i="6"/>
  <c r="N201" i="6"/>
  <c r="O201" i="6"/>
  <c r="P201" i="6"/>
  <c r="Q201" i="6"/>
  <c r="R201" i="6"/>
  <c r="S201" i="6"/>
  <c r="T201" i="6"/>
  <c r="U201" i="6"/>
  <c r="V201" i="6"/>
  <c r="W201" i="6"/>
  <c r="X201" i="6"/>
  <c r="Y201" i="6"/>
  <c r="Z201" i="6"/>
  <c r="AA201" i="6"/>
  <c r="J202" i="6"/>
  <c r="K202" i="6"/>
  <c r="L202" i="6"/>
  <c r="M202" i="6"/>
  <c r="N202" i="6"/>
  <c r="O202" i="6"/>
  <c r="P202" i="6"/>
  <c r="Q202" i="6"/>
  <c r="R202" i="6"/>
  <c r="S202" i="6"/>
  <c r="T202" i="6"/>
  <c r="U202" i="6"/>
  <c r="V202" i="6"/>
  <c r="W202" i="6"/>
  <c r="X202" i="6"/>
  <c r="Y202" i="6"/>
  <c r="Z202" i="6"/>
  <c r="AA202" i="6"/>
  <c r="J203" i="6"/>
  <c r="K203" i="6"/>
  <c r="L203" i="6"/>
  <c r="M203" i="6"/>
  <c r="N203" i="6"/>
  <c r="O203" i="6"/>
  <c r="P203" i="6"/>
  <c r="Q203" i="6"/>
  <c r="R203" i="6"/>
  <c r="S203" i="6"/>
  <c r="T203" i="6"/>
  <c r="U203" i="6"/>
  <c r="V203" i="6"/>
  <c r="W203" i="6"/>
  <c r="X203" i="6"/>
  <c r="Y203" i="6"/>
  <c r="Z203" i="6"/>
  <c r="AA203" i="6"/>
  <c r="J204" i="6"/>
  <c r="K204" i="6"/>
  <c r="L204" i="6"/>
  <c r="M204" i="6"/>
  <c r="N204" i="6"/>
  <c r="O204" i="6"/>
  <c r="P204" i="6"/>
  <c r="Q204" i="6"/>
  <c r="R204" i="6"/>
  <c r="S204" i="6"/>
  <c r="T204" i="6"/>
  <c r="U204" i="6"/>
  <c r="V204" i="6"/>
  <c r="W204" i="6"/>
  <c r="X204" i="6"/>
  <c r="Y204" i="6"/>
  <c r="Z204" i="6"/>
  <c r="AA204" i="6"/>
  <c r="J205" i="6"/>
  <c r="K205" i="6"/>
  <c r="L205" i="6"/>
  <c r="M205" i="6"/>
  <c r="N205" i="6"/>
  <c r="O205" i="6"/>
  <c r="P205" i="6"/>
  <c r="Q205" i="6"/>
  <c r="R205" i="6"/>
  <c r="S205" i="6"/>
  <c r="T205" i="6"/>
  <c r="U205" i="6"/>
  <c r="V205" i="6"/>
  <c r="W205" i="6"/>
  <c r="X205" i="6"/>
  <c r="Y205" i="6"/>
  <c r="Z205" i="6"/>
  <c r="AA205" i="6"/>
  <c r="J206" i="6"/>
  <c r="K206" i="6"/>
  <c r="L206" i="6"/>
  <c r="M206" i="6"/>
  <c r="N206" i="6"/>
  <c r="O206" i="6"/>
  <c r="P206" i="6"/>
  <c r="Q206" i="6"/>
  <c r="R206" i="6"/>
  <c r="S206" i="6"/>
  <c r="T206" i="6"/>
  <c r="U206" i="6"/>
  <c r="V206" i="6"/>
  <c r="W206" i="6"/>
  <c r="X206" i="6"/>
  <c r="Y206" i="6"/>
  <c r="Z206" i="6"/>
  <c r="AA206" i="6"/>
  <c r="J207" i="6"/>
  <c r="K207" i="6"/>
  <c r="L207" i="6"/>
  <c r="M207" i="6"/>
  <c r="N207" i="6"/>
  <c r="O207" i="6"/>
  <c r="P207" i="6"/>
  <c r="Q207" i="6"/>
  <c r="R207" i="6"/>
  <c r="S207" i="6"/>
  <c r="T207" i="6"/>
  <c r="U207" i="6"/>
  <c r="V207" i="6"/>
  <c r="W207" i="6"/>
  <c r="X207" i="6"/>
  <c r="Y207" i="6"/>
  <c r="Z207" i="6"/>
  <c r="AA207" i="6"/>
  <c r="J208" i="6"/>
  <c r="K208" i="6"/>
  <c r="L208" i="6"/>
  <c r="M208" i="6"/>
  <c r="N208" i="6"/>
  <c r="O208" i="6"/>
  <c r="P208" i="6"/>
  <c r="Q208" i="6"/>
  <c r="R208" i="6"/>
  <c r="S208" i="6"/>
  <c r="T208" i="6"/>
  <c r="U208" i="6"/>
  <c r="V208" i="6"/>
  <c r="W208" i="6"/>
  <c r="X208" i="6"/>
  <c r="Y208" i="6"/>
  <c r="Z208" i="6"/>
  <c r="AA208" i="6"/>
  <c r="J209" i="6"/>
  <c r="K209" i="6"/>
  <c r="L209" i="6"/>
  <c r="M209" i="6"/>
  <c r="N209" i="6"/>
  <c r="O209" i="6"/>
  <c r="P209" i="6"/>
  <c r="Q209" i="6"/>
  <c r="R209" i="6"/>
  <c r="S209" i="6"/>
  <c r="T209" i="6"/>
  <c r="U209" i="6"/>
  <c r="V209" i="6"/>
  <c r="W209" i="6"/>
  <c r="X209" i="6"/>
  <c r="Y209" i="6"/>
  <c r="Z209" i="6"/>
  <c r="AA209" i="6"/>
  <c r="J210" i="6"/>
  <c r="K210" i="6"/>
  <c r="L210" i="6"/>
  <c r="M210" i="6"/>
  <c r="N210" i="6"/>
  <c r="O210" i="6"/>
  <c r="P210" i="6"/>
  <c r="Q210" i="6"/>
  <c r="R210" i="6"/>
  <c r="S210" i="6"/>
  <c r="T210" i="6"/>
  <c r="U210" i="6"/>
  <c r="V210" i="6"/>
  <c r="W210" i="6"/>
  <c r="X210" i="6"/>
  <c r="Y210" i="6"/>
  <c r="Z210" i="6"/>
  <c r="AA210" i="6"/>
  <c r="J211" i="6"/>
  <c r="K211" i="6"/>
  <c r="L211" i="6"/>
  <c r="M211" i="6"/>
  <c r="N211" i="6"/>
  <c r="O211" i="6"/>
  <c r="P211" i="6"/>
  <c r="Q211" i="6"/>
  <c r="R211" i="6"/>
  <c r="S211" i="6"/>
  <c r="T211" i="6"/>
  <c r="U211" i="6"/>
  <c r="V211" i="6"/>
  <c r="W211" i="6"/>
  <c r="X211" i="6"/>
  <c r="Y211" i="6"/>
  <c r="Z211" i="6"/>
  <c r="AA211" i="6"/>
  <c r="J212" i="6"/>
  <c r="K212" i="6"/>
  <c r="L212" i="6"/>
  <c r="M212" i="6"/>
  <c r="N212" i="6"/>
  <c r="O212" i="6"/>
  <c r="P212" i="6"/>
  <c r="Q212" i="6"/>
  <c r="R212" i="6"/>
  <c r="S212" i="6"/>
  <c r="T212" i="6"/>
  <c r="U212" i="6"/>
  <c r="V212" i="6"/>
  <c r="W212" i="6"/>
  <c r="X212" i="6"/>
  <c r="Y212" i="6"/>
  <c r="Z212" i="6"/>
  <c r="AA212" i="6"/>
  <c r="J213" i="6"/>
  <c r="K213" i="6"/>
  <c r="L213" i="6"/>
  <c r="M213" i="6"/>
  <c r="N213" i="6"/>
  <c r="O213" i="6"/>
  <c r="P213" i="6"/>
  <c r="Q213" i="6"/>
  <c r="R213" i="6"/>
  <c r="S213" i="6"/>
  <c r="T213" i="6"/>
  <c r="U213" i="6"/>
  <c r="V213" i="6"/>
  <c r="W213" i="6"/>
  <c r="X213" i="6"/>
  <c r="Y213" i="6"/>
  <c r="Z213" i="6"/>
  <c r="AA213" i="6"/>
  <c r="J214" i="6"/>
  <c r="K214" i="6"/>
  <c r="L214" i="6"/>
  <c r="M214" i="6"/>
  <c r="N214" i="6"/>
  <c r="O214" i="6"/>
  <c r="P214" i="6"/>
  <c r="Q214" i="6"/>
  <c r="R214" i="6"/>
  <c r="S214" i="6"/>
  <c r="T214" i="6"/>
  <c r="U214" i="6"/>
  <c r="V214" i="6"/>
  <c r="W214" i="6"/>
  <c r="X214" i="6"/>
  <c r="Y214" i="6"/>
  <c r="Z214" i="6"/>
  <c r="AA214" i="6"/>
  <c r="J215" i="6"/>
  <c r="K215" i="6"/>
  <c r="L215" i="6"/>
  <c r="M215" i="6"/>
  <c r="N215" i="6"/>
  <c r="O215" i="6"/>
  <c r="P215" i="6"/>
  <c r="Q215" i="6"/>
  <c r="R215" i="6"/>
  <c r="S215" i="6"/>
  <c r="T215" i="6"/>
  <c r="U215" i="6"/>
  <c r="V215" i="6"/>
  <c r="W215" i="6"/>
  <c r="X215" i="6"/>
  <c r="Y215" i="6"/>
  <c r="Z215" i="6"/>
  <c r="AA215" i="6"/>
  <c r="J216" i="6"/>
  <c r="K216" i="6"/>
  <c r="L216" i="6"/>
  <c r="M216" i="6"/>
  <c r="N216" i="6"/>
  <c r="O216" i="6"/>
  <c r="P216" i="6"/>
  <c r="Q216" i="6"/>
  <c r="R216" i="6"/>
  <c r="S216" i="6"/>
  <c r="T216" i="6"/>
  <c r="U216" i="6"/>
  <c r="V216" i="6"/>
  <c r="W216" i="6"/>
  <c r="X216" i="6"/>
  <c r="Y216" i="6"/>
  <c r="Z216" i="6"/>
  <c r="AA216" i="6"/>
  <c r="J217" i="6"/>
  <c r="K217" i="6"/>
  <c r="L217" i="6"/>
  <c r="M217" i="6"/>
  <c r="N217" i="6"/>
  <c r="O217" i="6"/>
  <c r="P217" i="6"/>
  <c r="Q217" i="6"/>
  <c r="R217" i="6"/>
  <c r="S217" i="6"/>
  <c r="T217" i="6"/>
  <c r="U217" i="6"/>
  <c r="V217" i="6"/>
  <c r="W217" i="6"/>
  <c r="X217" i="6"/>
  <c r="Y217" i="6"/>
  <c r="Z217" i="6"/>
  <c r="AA217" i="6"/>
  <c r="J218" i="6"/>
  <c r="K218" i="6"/>
  <c r="L218" i="6"/>
  <c r="M218" i="6"/>
  <c r="N218" i="6"/>
  <c r="O218" i="6"/>
  <c r="P218" i="6"/>
  <c r="Q218" i="6"/>
  <c r="R218" i="6"/>
  <c r="S218" i="6"/>
  <c r="T218" i="6"/>
  <c r="U218" i="6"/>
  <c r="V218" i="6"/>
  <c r="W218" i="6"/>
  <c r="X218" i="6"/>
  <c r="Y218" i="6"/>
  <c r="Z218" i="6"/>
  <c r="AA218" i="6"/>
  <c r="J219" i="6"/>
  <c r="K219" i="6"/>
  <c r="L219" i="6"/>
  <c r="M219" i="6"/>
  <c r="N219" i="6"/>
  <c r="O219" i="6"/>
  <c r="P219" i="6"/>
  <c r="Q219" i="6"/>
  <c r="R219" i="6"/>
  <c r="S219" i="6"/>
  <c r="T219" i="6"/>
  <c r="U219" i="6"/>
  <c r="V219" i="6"/>
  <c r="W219" i="6"/>
  <c r="X219" i="6"/>
  <c r="Y219" i="6"/>
  <c r="Z219" i="6"/>
  <c r="AA219" i="6"/>
  <c r="J220" i="6"/>
  <c r="K220" i="6"/>
  <c r="L220" i="6"/>
  <c r="M220" i="6"/>
  <c r="N220" i="6"/>
  <c r="O220" i="6"/>
  <c r="P220" i="6"/>
  <c r="Q220" i="6"/>
  <c r="R220" i="6"/>
  <c r="S220" i="6"/>
  <c r="T220" i="6"/>
  <c r="U220" i="6"/>
  <c r="V220" i="6"/>
  <c r="W220" i="6"/>
  <c r="X220" i="6"/>
  <c r="Y220" i="6"/>
  <c r="Z220" i="6"/>
  <c r="AA220" i="6"/>
  <c r="J221" i="6"/>
  <c r="K221" i="6"/>
  <c r="L221" i="6"/>
  <c r="M221" i="6"/>
  <c r="N221" i="6"/>
  <c r="O221" i="6"/>
  <c r="P221" i="6"/>
  <c r="Q221" i="6"/>
  <c r="R221" i="6"/>
  <c r="S221" i="6"/>
  <c r="T221" i="6"/>
  <c r="U221" i="6"/>
  <c r="V221" i="6"/>
  <c r="W221" i="6"/>
  <c r="X221" i="6"/>
  <c r="Y221" i="6"/>
  <c r="Z221" i="6"/>
  <c r="AA221" i="6"/>
  <c r="J222" i="6"/>
  <c r="K222" i="6"/>
  <c r="L222" i="6"/>
  <c r="M222" i="6"/>
  <c r="N222" i="6"/>
  <c r="O222" i="6"/>
  <c r="P222" i="6"/>
  <c r="Q222" i="6"/>
  <c r="R222" i="6"/>
  <c r="S222" i="6"/>
  <c r="T222" i="6"/>
  <c r="U222" i="6"/>
  <c r="V222" i="6"/>
  <c r="W222" i="6"/>
  <c r="X222" i="6"/>
  <c r="Y222" i="6"/>
  <c r="Z222" i="6"/>
  <c r="AA222" i="6"/>
  <c r="J223" i="6"/>
  <c r="K223" i="6"/>
  <c r="L223" i="6"/>
  <c r="M223" i="6"/>
  <c r="N223" i="6"/>
  <c r="O223" i="6"/>
  <c r="P223" i="6"/>
  <c r="Q223" i="6"/>
  <c r="R223" i="6"/>
  <c r="S223" i="6"/>
  <c r="T223" i="6"/>
  <c r="U223" i="6"/>
  <c r="V223" i="6"/>
  <c r="W223" i="6"/>
  <c r="X223" i="6"/>
  <c r="Y223" i="6"/>
  <c r="Z223" i="6"/>
  <c r="AA223" i="6"/>
  <c r="J224" i="6"/>
  <c r="K224" i="6"/>
  <c r="L224" i="6"/>
  <c r="M224" i="6"/>
  <c r="N224" i="6"/>
  <c r="O224" i="6"/>
  <c r="P224" i="6"/>
  <c r="Q224" i="6"/>
  <c r="R224" i="6"/>
  <c r="S224" i="6"/>
  <c r="T224" i="6"/>
  <c r="U224" i="6"/>
  <c r="V224" i="6"/>
  <c r="W224" i="6"/>
  <c r="X224" i="6"/>
  <c r="Y224" i="6"/>
  <c r="Z224" i="6"/>
  <c r="AA224" i="6"/>
  <c r="J225" i="6"/>
  <c r="K225" i="6"/>
  <c r="L225" i="6"/>
  <c r="M225" i="6"/>
  <c r="N225" i="6"/>
  <c r="O225" i="6"/>
  <c r="P225" i="6"/>
  <c r="Q225" i="6"/>
  <c r="R225" i="6"/>
  <c r="S225" i="6"/>
  <c r="T225" i="6"/>
  <c r="U225" i="6"/>
  <c r="V225" i="6"/>
  <c r="W225" i="6"/>
  <c r="X225" i="6"/>
  <c r="Y225" i="6"/>
  <c r="Z225" i="6"/>
  <c r="AA225" i="6"/>
  <c r="J226" i="6"/>
  <c r="K226" i="6"/>
  <c r="L226" i="6"/>
  <c r="M226" i="6"/>
  <c r="N226" i="6"/>
  <c r="O226" i="6"/>
  <c r="P226" i="6"/>
  <c r="Q226" i="6"/>
  <c r="R226" i="6"/>
  <c r="S226" i="6"/>
  <c r="T226" i="6"/>
  <c r="U226" i="6"/>
  <c r="V226" i="6"/>
  <c r="W226" i="6"/>
  <c r="X226" i="6"/>
  <c r="Y226" i="6"/>
  <c r="Z226" i="6"/>
  <c r="AA226" i="6"/>
  <c r="J227" i="6"/>
  <c r="K227" i="6"/>
  <c r="L227" i="6"/>
  <c r="M227" i="6"/>
  <c r="N227" i="6"/>
  <c r="O227" i="6"/>
  <c r="P227" i="6"/>
  <c r="Q227" i="6"/>
  <c r="R227" i="6"/>
  <c r="S227" i="6"/>
  <c r="T227" i="6"/>
  <c r="U227" i="6"/>
  <c r="V227" i="6"/>
  <c r="W227" i="6"/>
  <c r="X227" i="6"/>
  <c r="Y227" i="6"/>
  <c r="Z227" i="6"/>
  <c r="AA227" i="6"/>
  <c r="J228" i="6"/>
  <c r="K228" i="6"/>
  <c r="L228" i="6"/>
  <c r="M228" i="6"/>
  <c r="N228" i="6"/>
  <c r="O228" i="6"/>
  <c r="P228" i="6"/>
  <c r="Q228" i="6"/>
  <c r="R228" i="6"/>
  <c r="S228" i="6"/>
  <c r="T228" i="6"/>
  <c r="U228" i="6"/>
  <c r="V228" i="6"/>
  <c r="W228" i="6"/>
  <c r="X228" i="6"/>
  <c r="Y228" i="6"/>
  <c r="Z228" i="6"/>
  <c r="AA228" i="6"/>
  <c r="J229" i="6"/>
  <c r="K229" i="6"/>
  <c r="L229" i="6"/>
  <c r="M229" i="6"/>
  <c r="N229" i="6"/>
  <c r="O229" i="6"/>
  <c r="P229" i="6"/>
  <c r="Q229" i="6"/>
  <c r="R229" i="6"/>
  <c r="S229" i="6"/>
  <c r="T229" i="6"/>
  <c r="U229" i="6"/>
  <c r="V229" i="6"/>
  <c r="W229" i="6"/>
  <c r="X229" i="6"/>
  <c r="Y229" i="6"/>
  <c r="Z229" i="6"/>
  <c r="AA229" i="6"/>
  <c r="J230" i="6"/>
  <c r="K230" i="6"/>
  <c r="L230" i="6"/>
  <c r="M230" i="6"/>
  <c r="N230" i="6"/>
  <c r="O230" i="6"/>
  <c r="P230" i="6"/>
  <c r="Q230" i="6"/>
  <c r="R230" i="6"/>
  <c r="S230" i="6"/>
  <c r="T230" i="6"/>
  <c r="U230" i="6"/>
  <c r="V230" i="6"/>
  <c r="W230" i="6"/>
  <c r="X230" i="6"/>
  <c r="Y230" i="6"/>
  <c r="Z230" i="6"/>
  <c r="AA230" i="6"/>
  <c r="J231" i="6"/>
  <c r="K231" i="6"/>
  <c r="L231" i="6"/>
  <c r="M231" i="6"/>
  <c r="N231" i="6"/>
  <c r="O231" i="6"/>
  <c r="P231" i="6"/>
  <c r="Q231" i="6"/>
  <c r="R231" i="6"/>
  <c r="S231" i="6"/>
  <c r="T231" i="6"/>
  <c r="U231" i="6"/>
  <c r="V231" i="6"/>
  <c r="W231" i="6"/>
  <c r="X231" i="6"/>
  <c r="Y231" i="6"/>
  <c r="Z231" i="6"/>
  <c r="AA231" i="6"/>
  <c r="J232" i="6"/>
  <c r="K232" i="6"/>
  <c r="L232" i="6"/>
  <c r="M232" i="6"/>
  <c r="N232" i="6"/>
  <c r="O232" i="6"/>
  <c r="P232" i="6"/>
  <c r="Q232" i="6"/>
  <c r="R232" i="6"/>
  <c r="S232" i="6"/>
  <c r="T232" i="6"/>
  <c r="U232" i="6"/>
  <c r="V232" i="6"/>
  <c r="W232" i="6"/>
  <c r="X232" i="6"/>
  <c r="Y232" i="6"/>
  <c r="Z232" i="6"/>
  <c r="AA232" i="6"/>
  <c r="J233" i="6"/>
  <c r="K233" i="6"/>
  <c r="L233" i="6"/>
  <c r="M233" i="6"/>
  <c r="N233" i="6"/>
  <c r="O233" i="6"/>
  <c r="P233" i="6"/>
  <c r="Q233" i="6"/>
  <c r="R233" i="6"/>
  <c r="S233" i="6"/>
  <c r="T233" i="6"/>
  <c r="U233" i="6"/>
  <c r="V233" i="6"/>
  <c r="W233" i="6"/>
  <c r="X233" i="6"/>
  <c r="Y233" i="6"/>
  <c r="Z233" i="6"/>
  <c r="AA233" i="6"/>
  <c r="J234" i="6"/>
  <c r="K234" i="6"/>
  <c r="L234" i="6"/>
  <c r="M234" i="6"/>
  <c r="N234" i="6"/>
  <c r="O234" i="6"/>
  <c r="P234" i="6"/>
  <c r="Q234" i="6"/>
  <c r="R234" i="6"/>
  <c r="S234" i="6"/>
  <c r="T234" i="6"/>
  <c r="U234" i="6"/>
  <c r="V234" i="6"/>
  <c r="W234" i="6"/>
  <c r="X234" i="6"/>
  <c r="Y234" i="6"/>
  <c r="Z234" i="6"/>
  <c r="AA234" i="6"/>
  <c r="J235" i="6"/>
  <c r="K235" i="6"/>
  <c r="L235" i="6"/>
  <c r="M235" i="6"/>
  <c r="N235" i="6"/>
  <c r="O235" i="6"/>
  <c r="P235" i="6"/>
  <c r="Q235" i="6"/>
  <c r="R235" i="6"/>
  <c r="S235" i="6"/>
  <c r="T235" i="6"/>
  <c r="U235" i="6"/>
  <c r="V235" i="6"/>
  <c r="W235" i="6"/>
  <c r="X235" i="6"/>
  <c r="Y235" i="6"/>
  <c r="Z235" i="6"/>
  <c r="AA235" i="6"/>
  <c r="J236" i="6"/>
  <c r="K236" i="6"/>
  <c r="L236" i="6"/>
  <c r="M236" i="6"/>
  <c r="N236" i="6"/>
  <c r="O236" i="6"/>
  <c r="P236" i="6"/>
  <c r="Q236" i="6"/>
  <c r="R236" i="6"/>
  <c r="S236" i="6"/>
  <c r="T236" i="6"/>
  <c r="U236" i="6"/>
  <c r="V236" i="6"/>
  <c r="W236" i="6"/>
  <c r="X236" i="6"/>
  <c r="Y236" i="6"/>
  <c r="Z236" i="6"/>
  <c r="AA236" i="6"/>
  <c r="J237" i="6"/>
  <c r="K237" i="6"/>
  <c r="L237" i="6"/>
  <c r="M237" i="6"/>
  <c r="N237" i="6"/>
  <c r="O237" i="6"/>
  <c r="P237" i="6"/>
  <c r="Q237" i="6"/>
  <c r="R237" i="6"/>
  <c r="S237" i="6"/>
  <c r="T237" i="6"/>
  <c r="U237" i="6"/>
  <c r="V237" i="6"/>
  <c r="W237" i="6"/>
  <c r="X237" i="6"/>
  <c r="Y237" i="6"/>
  <c r="Z237" i="6"/>
  <c r="AA237" i="6"/>
  <c r="J238" i="6"/>
  <c r="K238" i="6"/>
  <c r="L238" i="6"/>
  <c r="M238" i="6"/>
  <c r="N238" i="6"/>
  <c r="O238" i="6"/>
  <c r="P238" i="6"/>
  <c r="Q238" i="6"/>
  <c r="R238" i="6"/>
  <c r="S238" i="6"/>
  <c r="T238" i="6"/>
  <c r="U238" i="6"/>
  <c r="V238" i="6"/>
  <c r="W238" i="6"/>
  <c r="X238" i="6"/>
  <c r="Y238" i="6"/>
  <c r="Z238" i="6"/>
  <c r="AA238" i="6"/>
  <c r="J239" i="6"/>
  <c r="K239" i="6"/>
  <c r="L239" i="6"/>
  <c r="M239" i="6"/>
  <c r="N239" i="6"/>
  <c r="O239" i="6"/>
  <c r="P239" i="6"/>
  <c r="Q239" i="6"/>
  <c r="R239" i="6"/>
  <c r="S239" i="6"/>
  <c r="T239" i="6"/>
  <c r="U239" i="6"/>
  <c r="V239" i="6"/>
  <c r="W239" i="6"/>
  <c r="X239" i="6"/>
  <c r="Y239" i="6"/>
  <c r="Z239" i="6"/>
  <c r="AA239" i="6"/>
  <c r="J240" i="6"/>
  <c r="K240" i="6"/>
  <c r="L240" i="6"/>
  <c r="M240" i="6"/>
  <c r="N240" i="6"/>
  <c r="O240" i="6"/>
  <c r="P240" i="6"/>
  <c r="Q240" i="6"/>
  <c r="R240" i="6"/>
  <c r="S240" i="6"/>
  <c r="T240" i="6"/>
  <c r="U240" i="6"/>
  <c r="V240" i="6"/>
  <c r="W240" i="6"/>
  <c r="X240" i="6"/>
  <c r="Y240" i="6"/>
  <c r="Z240" i="6"/>
  <c r="AA240" i="6"/>
  <c r="J241" i="6"/>
  <c r="K241" i="6"/>
  <c r="L241" i="6"/>
  <c r="M241" i="6"/>
  <c r="N241" i="6"/>
  <c r="O241" i="6"/>
  <c r="P241" i="6"/>
  <c r="Q241" i="6"/>
  <c r="R241" i="6"/>
  <c r="S241" i="6"/>
  <c r="T241" i="6"/>
  <c r="U241" i="6"/>
  <c r="V241" i="6"/>
  <c r="W241" i="6"/>
  <c r="X241" i="6"/>
  <c r="Y241" i="6"/>
  <c r="Z241" i="6"/>
  <c r="AA241" i="6"/>
  <c r="J242" i="6"/>
  <c r="K242" i="6"/>
  <c r="L242" i="6"/>
  <c r="M242" i="6"/>
  <c r="N242" i="6"/>
  <c r="O242" i="6"/>
  <c r="P242" i="6"/>
  <c r="Q242" i="6"/>
  <c r="R242" i="6"/>
  <c r="S242" i="6"/>
  <c r="T242" i="6"/>
  <c r="U242" i="6"/>
  <c r="V242" i="6"/>
  <c r="W242" i="6"/>
  <c r="X242" i="6"/>
  <c r="Y242" i="6"/>
  <c r="Z242" i="6"/>
  <c r="AA242" i="6"/>
  <c r="J243" i="6"/>
  <c r="K243" i="6"/>
  <c r="L243" i="6"/>
  <c r="M243" i="6"/>
  <c r="N243" i="6"/>
  <c r="O243" i="6"/>
  <c r="P243" i="6"/>
  <c r="Q243" i="6"/>
  <c r="R243" i="6"/>
  <c r="S243" i="6"/>
  <c r="T243" i="6"/>
  <c r="U243" i="6"/>
  <c r="V243" i="6"/>
  <c r="W243" i="6"/>
  <c r="X243" i="6"/>
  <c r="Y243" i="6"/>
  <c r="Z243" i="6"/>
  <c r="AA243" i="6"/>
  <c r="J244" i="6"/>
  <c r="K244" i="6"/>
  <c r="L244" i="6"/>
  <c r="M244" i="6"/>
  <c r="N244" i="6"/>
  <c r="O244" i="6"/>
  <c r="P244" i="6"/>
  <c r="Q244" i="6"/>
  <c r="R244" i="6"/>
  <c r="S244" i="6"/>
  <c r="T244" i="6"/>
  <c r="U244" i="6"/>
  <c r="V244" i="6"/>
  <c r="W244" i="6"/>
  <c r="X244" i="6"/>
  <c r="Y244" i="6"/>
  <c r="Z244" i="6"/>
  <c r="AA244" i="6"/>
  <c r="J245" i="6"/>
  <c r="K245" i="6"/>
  <c r="L245" i="6"/>
  <c r="M245" i="6"/>
  <c r="N245" i="6"/>
  <c r="O245" i="6"/>
  <c r="P245" i="6"/>
  <c r="Q245" i="6"/>
  <c r="R245" i="6"/>
  <c r="S245" i="6"/>
  <c r="T245" i="6"/>
  <c r="U245" i="6"/>
  <c r="V245" i="6"/>
  <c r="W245" i="6"/>
  <c r="X245" i="6"/>
  <c r="Y245" i="6"/>
  <c r="Z245" i="6"/>
  <c r="AA245" i="6"/>
  <c r="J246" i="6"/>
  <c r="K246" i="6"/>
  <c r="L246" i="6"/>
  <c r="M246" i="6"/>
  <c r="N246" i="6"/>
  <c r="O246" i="6"/>
  <c r="P246" i="6"/>
  <c r="Q246" i="6"/>
  <c r="R246" i="6"/>
  <c r="S246" i="6"/>
  <c r="T246" i="6"/>
  <c r="U246" i="6"/>
  <c r="V246" i="6"/>
  <c r="W246" i="6"/>
  <c r="X246" i="6"/>
  <c r="Y246" i="6"/>
  <c r="Z246" i="6"/>
  <c r="AA246" i="6"/>
  <c r="J247" i="6"/>
  <c r="K247" i="6"/>
  <c r="L247" i="6"/>
  <c r="M247" i="6"/>
  <c r="N247" i="6"/>
  <c r="O247" i="6"/>
  <c r="P247" i="6"/>
  <c r="Q247" i="6"/>
  <c r="R247" i="6"/>
  <c r="S247" i="6"/>
  <c r="T247" i="6"/>
  <c r="U247" i="6"/>
  <c r="V247" i="6"/>
  <c r="W247" i="6"/>
  <c r="X247" i="6"/>
  <c r="Y247" i="6"/>
  <c r="Z247" i="6"/>
  <c r="AA247" i="6"/>
  <c r="J248" i="6"/>
  <c r="K248" i="6"/>
  <c r="L248" i="6"/>
  <c r="M248" i="6"/>
  <c r="N248" i="6"/>
  <c r="O248" i="6"/>
  <c r="P248" i="6"/>
  <c r="Q248" i="6"/>
  <c r="R248" i="6"/>
  <c r="S248" i="6"/>
  <c r="T248" i="6"/>
  <c r="U248" i="6"/>
  <c r="V248" i="6"/>
  <c r="W248" i="6"/>
  <c r="X248" i="6"/>
  <c r="Y248" i="6"/>
  <c r="Z248" i="6"/>
  <c r="AA248" i="6"/>
  <c r="J249" i="6"/>
  <c r="K249" i="6"/>
  <c r="L249" i="6"/>
  <c r="M249" i="6"/>
  <c r="N249" i="6"/>
  <c r="O249" i="6"/>
  <c r="P249" i="6"/>
  <c r="Q249" i="6"/>
  <c r="R249" i="6"/>
  <c r="S249" i="6"/>
  <c r="T249" i="6"/>
  <c r="U249" i="6"/>
  <c r="V249" i="6"/>
  <c r="W249" i="6"/>
  <c r="X249" i="6"/>
  <c r="Y249" i="6"/>
  <c r="Z249" i="6"/>
  <c r="AA249" i="6"/>
  <c r="J250" i="6"/>
  <c r="K250" i="6"/>
  <c r="L250" i="6"/>
  <c r="M250" i="6"/>
  <c r="N250" i="6"/>
  <c r="O250" i="6"/>
  <c r="P250" i="6"/>
  <c r="Q250" i="6"/>
  <c r="R250" i="6"/>
  <c r="S250" i="6"/>
  <c r="T250" i="6"/>
  <c r="U250" i="6"/>
  <c r="V250" i="6"/>
  <c r="W250" i="6"/>
  <c r="X250" i="6"/>
  <c r="Y250" i="6"/>
  <c r="Z250" i="6"/>
  <c r="AA250" i="6"/>
  <c r="J251" i="6"/>
  <c r="K251" i="6"/>
  <c r="L251" i="6"/>
  <c r="M251" i="6"/>
  <c r="N251" i="6"/>
  <c r="O251" i="6"/>
  <c r="P251" i="6"/>
  <c r="Q251" i="6"/>
  <c r="R251" i="6"/>
  <c r="S251" i="6"/>
  <c r="T251" i="6"/>
  <c r="U251" i="6"/>
  <c r="V251" i="6"/>
  <c r="W251" i="6"/>
  <c r="X251" i="6"/>
  <c r="Y251" i="6"/>
  <c r="Z251" i="6"/>
  <c r="AA251" i="6"/>
  <c r="J252" i="6"/>
  <c r="K252" i="6"/>
  <c r="L252" i="6"/>
  <c r="M252" i="6"/>
  <c r="N252" i="6"/>
  <c r="O252" i="6"/>
  <c r="P252" i="6"/>
  <c r="Q252" i="6"/>
  <c r="R252" i="6"/>
  <c r="S252" i="6"/>
  <c r="T252" i="6"/>
  <c r="U252" i="6"/>
  <c r="V252" i="6"/>
  <c r="W252" i="6"/>
  <c r="X252" i="6"/>
  <c r="Y252" i="6"/>
  <c r="Z252" i="6"/>
  <c r="AA252" i="6"/>
  <c r="J253" i="6"/>
  <c r="K253" i="6"/>
  <c r="L253" i="6"/>
  <c r="M253" i="6"/>
  <c r="N253" i="6"/>
  <c r="O253" i="6"/>
  <c r="P253" i="6"/>
  <c r="Q253" i="6"/>
  <c r="R253" i="6"/>
  <c r="S253" i="6"/>
  <c r="T253" i="6"/>
  <c r="U253" i="6"/>
  <c r="V253" i="6"/>
  <c r="W253" i="6"/>
  <c r="X253" i="6"/>
  <c r="Y253" i="6"/>
  <c r="Z253" i="6"/>
  <c r="AA253" i="6"/>
  <c r="J254" i="6"/>
  <c r="K254" i="6"/>
  <c r="L254" i="6"/>
  <c r="M254" i="6"/>
  <c r="N254" i="6"/>
  <c r="O254" i="6"/>
  <c r="P254" i="6"/>
  <c r="Q254" i="6"/>
  <c r="R254" i="6"/>
  <c r="S254" i="6"/>
  <c r="T254" i="6"/>
  <c r="U254" i="6"/>
  <c r="V254" i="6"/>
  <c r="W254" i="6"/>
  <c r="X254" i="6"/>
  <c r="Y254" i="6"/>
  <c r="Z254" i="6"/>
  <c r="AA254" i="6"/>
  <c r="J255" i="6"/>
  <c r="K255" i="6"/>
  <c r="L255" i="6"/>
  <c r="M255" i="6"/>
  <c r="N255" i="6"/>
  <c r="O255" i="6"/>
  <c r="P255" i="6"/>
  <c r="Q255" i="6"/>
  <c r="R255" i="6"/>
  <c r="S255" i="6"/>
  <c r="T255" i="6"/>
  <c r="U255" i="6"/>
  <c r="V255" i="6"/>
  <c r="W255" i="6"/>
  <c r="X255" i="6"/>
  <c r="Y255" i="6"/>
  <c r="Z255" i="6"/>
  <c r="AA255" i="6"/>
  <c r="J256" i="6"/>
  <c r="K256" i="6"/>
  <c r="L256" i="6"/>
  <c r="M256" i="6"/>
  <c r="N256" i="6"/>
  <c r="O256" i="6"/>
  <c r="P256" i="6"/>
  <c r="Q256" i="6"/>
  <c r="R256" i="6"/>
  <c r="S256" i="6"/>
  <c r="T256" i="6"/>
  <c r="U256" i="6"/>
  <c r="V256" i="6"/>
  <c r="W256" i="6"/>
  <c r="X256" i="6"/>
  <c r="Y256" i="6"/>
  <c r="Z256" i="6"/>
  <c r="AA256" i="6"/>
  <c r="J257" i="6"/>
  <c r="K257" i="6"/>
  <c r="L257" i="6"/>
  <c r="M257" i="6"/>
  <c r="N257" i="6"/>
  <c r="O257" i="6"/>
  <c r="P257" i="6"/>
  <c r="Q257" i="6"/>
  <c r="R257" i="6"/>
  <c r="S257" i="6"/>
  <c r="T257" i="6"/>
  <c r="U257" i="6"/>
  <c r="V257" i="6"/>
  <c r="W257" i="6"/>
  <c r="X257" i="6"/>
  <c r="Y257" i="6"/>
  <c r="Z257" i="6"/>
  <c r="AA257" i="6"/>
  <c r="J258" i="6"/>
  <c r="K258" i="6"/>
  <c r="L258" i="6"/>
  <c r="M258" i="6"/>
  <c r="N258" i="6"/>
  <c r="O258" i="6"/>
  <c r="P258" i="6"/>
  <c r="Q258" i="6"/>
  <c r="R258" i="6"/>
  <c r="S258" i="6"/>
  <c r="T258" i="6"/>
  <c r="U258" i="6"/>
  <c r="V258" i="6"/>
  <c r="W258" i="6"/>
  <c r="X258" i="6"/>
  <c r="Y258" i="6"/>
  <c r="Z258" i="6"/>
  <c r="AA258" i="6"/>
  <c r="J259" i="6"/>
  <c r="K259" i="6"/>
  <c r="L259" i="6"/>
  <c r="M259" i="6"/>
  <c r="N259" i="6"/>
  <c r="O259" i="6"/>
  <c r="P259" i="6"/>
  <c r="Q259" i="6"/>
  <c r="R259" i="6"/>
  <c r="S259" i="6"/>
  <c r="T259" i="6"/>
  <c r="U259" i="6"/>
  <c r="V259" i="6"/>
  <c r="W259" i="6"/>
  <c r="X259" i="6"/>
  <c r="Y259" i="6"/>
  <c r="Z259" i="6"/>
  <c r="AA259" i="6"/>
  <c r="J260" i="6"/>
  <c r="K260" i="6"/>
  <c r="L260" i="6"/>
  <c r="M260" i="6"/>
  <c r="N260" i="6"/>
  <c r="O260" i="6"/>
  <c r="P260" i="6"/>
  <c r="Q260" i="6"/>
  <c r="R260" i="6"/>
  <c r="S260" i="6"/>
  <c r="T260" i="6"/>
  <c r="U260" i="6"/>
  <c r="V260" i="6"/>
  <c r="W260" i="6"/>
  <c r="X260" i="6"/>
  <c r="Y260" i="6"/>
  <c r="Z260" i="6"/>
  <c r="AA260" i="6"/>
  <c r="J261" i="6"/>
  <c r="K261" i="6"/>
  <c r="L261" i="6"/>
  <c r="M261" i="6"/>
  <c r="N261" i="6"/>
  <c r="O261" i="6"/>
  <c r="P261" i="6"/>
  <c r="Q261" i="6"/>
  <c r="R261" i="6"/>
  <c r="S261" i="6"/>
  <c r="T261" i="6"/>
  <c r="U261" i="6"/>
  <c r="V261" i="6"/>
  <c r="W261" i="6"/>
  <c r="X261" i="6"/>
  <c r="Y261" i="6"/>
  <c r="Z261" i="6"/>
  <c r="AA261" i="6"/>
  <c r="J262" i="6"/>
  <c r="K262" i="6"/>
  <c r="L262" i="6"/>
  <c r="M262" i="6"/>
  <c r="N262" i="6"/>
  <c r="O262" i="6"/>
  <c r="P262" i="6"/>
  <c r="Q262" i="6"/>
  <c r="R262" i="6"/>
  <c r="S262" i="6"/>
  <c r="T262" i="6"/>
  <c r="U262" i="6"/>
  <c r="V262" i="6"/>
  <c r="W262" i="6"/>
  <c r="X262" i="6"/>
  <c r="Y262" i="6"/>
  <c r="Z262" i="6"/>
  <c r="AA262" i="6"/>
  <c r="J263" i="6"/>
  <c r="K263" i="6"/>
  <c r="L263" i="6"/>
  <c r="M263" i="6"/>
  <c r="N263" i="6"/>
  <c r="O263" i="6"/>
  <c r="P263" i="6"/>
  <c r="Q263" i="6"/>
  <c r="R263" i="6"/>
  <c r="S263" i="6"/>
  <c r="T263" i="6"/>
  <c r="U263" i="6"/>
  <c r="V263" i="6"/>
  <c r="W263" i="6"/>
  <c r="X263" i="6"/>
  <c r="Y263" i="6"/>
  <c r="Z263" i="6"/>
  <c r="AA263" i="6"/>
  <c r="J264" i="6"/>
  <c r="K264" i="6"/>
  <c r="L264" i="6"/>
  <c r="M264" i="6"/>
  <c r="N264" i="6"/>
  <c r="O264" i="6"/>
  <c r="P264" i="6"/>
  <c r="Q264" i="6"/>
  <c r="R264" i="6"/>
  <c r="S264" i="6"/>
  <c r="T264" i="6"/>
  <c r="U264" i="6"/>
  <c r="V264" i="6"/>
  <c r="W264" i="6"/>
  <c r="X264" i="6"/>
  <c r="Y264" i="6"/>
  <c r="Z264" i="6"/>
  <c r="AA264" i="6"/>
  <c r="J265" i="6"/>
  <c r="K265" i="6"/>
  <c r="L265" i="6"/>
  <c r="M265" i="6"/>
  <c r="N265" i="6"/>
  <c r="O265" i="6"/>
  <c r="P265" i="6"/>
  <c r="Q265" i="6"/>
  <c r="R265" i="6"/>
  <c r="S265" i="6"/>
  <c r="T265" i="6"/>
  <c r="U265" i="6"/>
  <c r="V265" i="6"/>
  <c r="W265" i="6"/>
  <c r="X265" i="6"/>
  <c r="Y265" i="6"/>
  <c r="Z265" i="6"/>
  <c r="AA265" i="6"/>
  <c r="J266" i="6"/>
  <c r="K266" i="6"/>
  <c r="L266" i="6"/>
  <c r="M266" i="6"/>
  <c r="N266" i="6"/>
  <c r="O266" i="6"/>
  <c r="P266" i="6"/>
  <c r="Q266" i="6"/>
  <c r="R266" i="6"/>
  <c r="S266" i="6"/>
  <c r="T266" i="6"/>
  <c r="U266" i="6"/>
  <c r="V266" i="6"/>
  <c r="W266" i="6"/>
  <c r="X266" i="6"/>
  <c r="Y266" i="6"/>
  <c r="Z266" i="6"/>
  <c r="AA266" i="6"/>
  <c r="J267" i="6"/>
  <c r="K267" i="6"/>
  <c r="L267" i="6"/>
  <c r="M267" i="6"/>
  <c r="N267" i="6"/>
  <c r="O267" i="6"/>
  <c r="P267" i="6"/>
  <c r="Q267" i="6"/>
  <c r="R267" i="6"/>
  <c r="S267" i="6"/>
  <c r="T267" i="6"/>
  <c r="U267" i="6"/>
  <c r="V267" i="6"/>
  <c r="W267" i="6"/>
  <c r="X267" i="6"/>
  <c r="Y267" i="6"/>
  <c r="Z267" i="6"/>
  <c r="AA267" i="6"/>
  <c r="J268" i="6"/>
  <c r="K268" i="6"/>
  <c r="L268" i="6"/>
  <c r="M268" i="6"/>
  <c r="N268" i="6"/>
  <c r="O268" i="6"/>
  <c r="P268" i="6"/>
  <c r="Q268" i="6"/>
  <c r="R268" i="6"/>
  <c r="S268" i="6"/>
  <c r="T268" i="6"/>
  <c r="U268" i="6"/>
  <c r="V268" i="6"/>
  <c r="W268" i="6"/>
  <c r="X268" i="6"/>
  <c r="Y268" i="6"/>
  <c r="Z268" i="6"/>
  <c r="AA268" i="6"/>
  <c r="J269" i="6"/>
  <c r="K269" i="6"/>
  <c r="L269" i="6"/>
  <c r="M269" i="6"/>
  <c r="N269" i="6"/>
  <c r="O269" i="6"/>
  <c r="P269" i="6"/>
  <c r="Q269" i="6"/>
  <c r="R269" i="6"/>
  <c r="S269" i="6"/>
  <c r="T269" i="6"/>
  <c r="U269" i="6"/>
  <c r="V269" i="6"/>
  <c r="W269" i="6"/>
  <c r="X269" i="6"/>
  <c r="Y269" i="6"/>
  <c r="Z269" i="6"/>
  <c r="AA269" i="6"/>
  <c r="J270" i="6"/>
  <c r="K270" i="6"/>
  <c r="L270" i="6"/>
  <c r="M270" i="6"/>
  <c r="N270" i="6"/>
  <c r="O270" i="6"/>
  <c r="P270" i="6"/>
  <c r="Q270" i="6"/>
  <c r="R270" i="6"/>
  <c r="S270" i="6"/>
  <c r="T270" i="6"/>
  <c r="U270" i="6"/>
  <c r="V270" i="6"/>
  <c r="W270" i="6"/>
  <c r="X270" i="6"/>
  <c r="Y270" i="6"/>
  <c r="Z270" i="6"/>
  <c r="AA270" i="6"/>
  <c r="J271" i="6"/>
  <c r="K271" i="6"/>
  <c r="L271" i="6"/>
  <c r="M271" i="6"/>
  <c r="N271" i="6"/>
  <c r="O271" i="6"/>
  <c r="P271" i="6"/>
  <c r="Q271" i="6"/>
  <c r="R271" i="6"/>
  <c r="S271" i="6"/>
  <c r="T271" i="6"/>
  <c r="U271" i="6"/>
  <c r="V271" i="6"/>
  <c r="W271" i="6"/>
  <c r="X271" i="6"/>
  <c r="Y271" i="6"/>
  <c r="Z271" i="6"/>
  <c r="AA271" i="6"/>
  <c r="J272" i="6"/>
  <c r="K272" i="6"/>
  <c r="L272" i="6"/>
  <c r="M272" i="6"/>
  <c r="N272" i="6"/>
  <c r="O272" i="6"/>
  <c r="P272" i="6"/>
  <c r="Q272" i="6"/>
  <c r="R272" i="6"/>
  <c r="S272" i="6"/>
  <c r="T272" i="6"/>
  <c r="U272" i="6"/>
  <c r="V272" i="6"/>
  <c r="W272" i="6"/>
  <c r="X272" i="6"/>
  <c r="Y272" i="6"/>
  <c r="Z272" i="6"/>
  <c r="AA272" i="6"/>
  <c r="J273" i="6"/>
  <c r="K273" i="6"/>
  <c r="L273" i="6"/>
  <c r="M273" i="6"/>
  <c r="N273" i="6"/>
  <c r="O273" i="6"/>
  <c r="P273" i="6"/>
  <c r="Q273" i="6"/>
  <c r="R273" i="6"/>
  <c r="S273" i="6"/>
  <c r="T273" i="6"/>
  <c r="U273" i="6"/>
  <c r="V273" i="6"/>
  <c r="W273" i="6"/>
  <c r="X273" i="6"/>
  <c r="Y273" i="6"/>
  <c r="Z273" i="6"/>
  <c r="AA273" i="6"/>
  <c r="J274" i="6"/>
  <c r="K274" i="6"/>
  <c r="L274" i="6"/>
  <c r="M274" i="6"/>
  <c r="N274" i="6"/>
  <c r="O274" i="6"/>
  <c r="P274" i="6"/>
  <c r="Q274" i="6"/>
  <c r="R274" i="6"/>
  <c r="S274" i="6"/>
  <c r="T274" i="6"/>
  <c r="U274" i="6"/>
  <c r="V274" i="6"/>
  <c r="W274" i="6"/>
  <c r="X274" i="6"/>
  <c r="Y274" i="6"/>
  <c r="Z274" i="6"/>
  <c r="AA274" i="6"/>
  <c r="J275" i="6"/>
  <c r="K275" i="6"/>
  <c r="L275" i="6"/>
  <c r="M275" i="6"/>
  <c r="N275" i="6"/>
  <c r="O275" i="6"/>
  <c r="P275" i="6"/>
  <c r="Q275" i="6"/>
  <c r="R275" i="6"/>
  <c r="S275" i="6"/>
  <c r="T275" i="6"/>
  <c r="U275" i="6"/>
  <c r="V275" i="6"/>
  <c r="W275" i="6"/>
  <c r="X275" i="6"/>
  <c r="Y275" i="6"/>
  <c r="Z275" i="6"/>
  <c r="AA275" i="6"/>
  <c r="J276" i="6"/>
  <c r="K276" i="6"/>
  <c r="L276" i="6"/>
  <c r="M276" i="6"/>
  <c r="N276" i="6"/>
  <c r="O276" i="6"/>
  <c r="P276" i="6"/>
  <c r="Q276" i="6"/>
  <c r="R276" i="6"/>
  <c r="S276" i="6"/>
  <c r="T276" i="6"/>
  <c r="U276" i="6"/>
  <c r="V276" i="6"/>
  <c r="W276" i="6"/>
  <c r="X276" i="6"/>
  <c r="Y276" i="6"/>
  <c r="Z276" i="6"/>
  <c r="AA276" i="6"/>
  <c r="J277" i="6"/>
  <c r="K277" i="6"/>
  <c r="L277" i="6"/>
  <c r="M277" i="6"/>
  <c r="N277" i="6"/>
  <c r="O277" i="6"/>
  <c r="P277" i="6"/>
  <c r="Q277" i="6"/>
  <c r="R277" i="6"/>
  <c r="S277" i="6"/>
  <c r="T277" i="6"/>
  <c r="U277" i="6"/>
  <c r="V277" i="6"/>
  <c r="W277" i="6"/>
  <c r="X277" i="6"/>
  <c r="Y277" i="6"/>
  <c r="Z277" i="6"/>
  <c r="AA277" i="6"/>
  <c r="J278" i="6"/>
  <c r="K278" i="6"/>
  <c r="L278" i="6"/>
  <c r="M278" i="6"/>
  <c r="N278" i="6"/>
  <c r="O278" i="6"/>
  <c r="P278" i="6"/>
  <c r="Q278" i="6"/>
  <c r="R278" i="6"/>
  <c r="S278" i="6"/>
  <c r="T278" i="6"/>
  <c r="U278" i="6"/>
  <c r="V278" i="6"/>
  <c r="W278" i="6"/>
  <c r="X278" i="6"/>
  <c r="Y278" i="6"/>
  <c r="Z278" i="6"/>
  <c r="AA278" i="6"/>
  <c r="J279" i="6"/>
  <c r="K279" i="6"/>
  <c r="L279" i="6"/>
  <c r="M279" i="6"/>
  <c r="N279" i="6"/>
  <c r="O279" i="6"/>
  <c r="P279" i="6"/>
  <c r="Q279" i="6"/>
  <c r="R279" i="6"/>
  <c r="S279" i="6"/>
  <c r="T279" i="6"/>
  <c r="U279" i="6"/>
  <c r="V279" i="6"/>
  <c r="W279" i="6"/>
  <c r="X279" i="6"/>
  <c r="Y279" i="6"/>
  <c r="Z279" i="6"/>
  <c r="AA279" i="6"/>
  <c r="J280" i="6"/>
  <c r="K280" i="6"/>
  <c r="L280" i="6"/>
  <c r="M280" i="6"/>
  <c r="N280" i="6"/>
  <c r="O280" i="6"/>
  <c r="P280" i="6"/>
  <c r="Q280" i="6"/>
  <c r="R280" i="6"/>
  <c r="S280" i="6"/>
  <c r="T280" i="6"/>
  <c r="U280" i="6"/>
  <c r="V280" i="6"/>
  <c r="W280" i="6"/>
  <c r="X280" i="6"/>
  <c r="Y280" i="6"/>
  <c r="Z280" i="6"/>
  <c r="AA280" i="6"/>
  <c r="J281" i="6"/>
  <c r="K281" i="6"/>
  <c r="L281" i="6"/>
  <c r="M281" i="6"/>
  <c r="N281" i="6"/>
  <c r="O281" i="6"/>
  <c r="P281" i="6"/>
  <c r="Q281" i="6"/>
  <c r="R281" i="6"/>
  <c r="S281" i="6"/>
  <c r="T281" i="6"/>
  <c r="U281" i="6"/>
  <c r="V281" i="6"/>
  <c r="W281" i="6"/>
  <c r="X281" i="6"/>
  <c r="Y281" i="6"/>
  <c r="Z281" i="6"/>
  <c r="AA281" i="6"/>
  <c r="J282" i="6"/>
  <c r="K282" i="6"/>
  <c r="L282" i="6"/>
  <c r="M282" i="6"/>
  <c r="N282" i="6"/>
  <c r="O282" i="6"/>
  <c r="P282" i="6"/>
  <c r="Q282" i="6"/>
  <c r="R282" i="6"/>
  <c r="S282" i="6"/>
  <c r="T282" i="6"/>
  <c r="U282" i="6"/>
  <c r="V282" i="6"/>
  <c r="W282" i="6"/>
  <c r="X282" i="6"/>
  <c r="Y282" i="6"/>
  <c r="Z282" i="6"/>
  <c r="AA282" i="6"/>
  <c r="J283" i="6"/>
  <c r="K283" i="6"/>
  <c r="L283" i="6"/>
  <c r="M283" i="6"/>
  <c r="N283" i="6"/>
  <c r="O283" i="6"/>
  <c r="P283" i="6"/>
  <c r="Q283" i="6"/>
  <c r="R283" i="6"/>
  <c r="S283" i="6"/>
  <c r="T283" i="6"/>
  <c r="U283" i="6"/>
  <c r="V283" i="6"/>
  <c r="W283" i="6"/>
  <c r="X283" i="6"/>
  <c r="Y283" i="6"/>
  <c r="Z283" i="6"/>
  <c r="AA283" i="6"/>
  <c r="J284" i="6"/>
  <c r="K284" i="6"/>
  <c r="L284" i="6"/>
  <c r="M284" i="6"/>
  <c r="N284" i="6"/>
  <c r="O284" i="6"/>
  <c r="P284" i="6"/>
  <c r="Q284" i="6"/>
  <c r="R284" i="6"/>
  <c r="S284" i="6"/>
  <c r="T284" i="6"/>
  <c r="U284" i="6"/>
  <c r="V284" i="6"/>
  <c r="W284" i="6"/>
  <c r="X284" i="6"/>
  <c r="Y284" i="6"/>
  <c r="Z284" i="6"/>
  <c r="AA284" i="6"/>
  <c r="J285" i="6"/>
  <c r="K285" i="6"/>
  <c r="L285" i="6"/>
  <c r="M285" i="6"/>
  <c r="N285" i="6"/>
  <c r="O285" i="6"/>
  <c r="P285" i="6"/>
  <c r="Q285" i="6"/>
  <c r="R285" i="6"/>
  <c r="S285" i="6"/>
  <c r="T285" i="6"/>
  <c r="U285" i="6"/>
  <c r="V285" i="6"/>
  <c r="W285" i="6"/>
  <c r="X285" i="6"/>
  <c r="Y285" i="6"/>
  <c r="Z285" i="6"/>
  <c r="AA285" i="6"/>
  <c r="J286" i="6"/>
  <c r="K286" i="6"/>
  <c r="L286" i="6"/>
  <c r="M286" i="6"/>
  <c r="N286" i="6"/>
  <c r="O286" i="6"/>
  <c r="P286" i="6"/>
  <c r="Q286" i="6"/>
  <c r="R286" i="6"/>
  <c r="S286" i="6"/>
  <c r="T286" i="6"/>
  <c r="U286" i="6"/>
  <c r="V286" i="6"/>
  <c r="W286" i="6"/>
  <c r="X286" i="6"/>
  <c r="Y286" i="6"/>
  <c r="Z286" i="6"/>
  <c r="AA286" i="6"/>
  <c r="J287" i="6"/>
  <c r="K287" i="6"/>
  <c r="L287" i="6"/>
  <c r="M287" i="6"/>
  <c r="N287" i="6"/>
  <c r="O287" i="6"/>
  <c r="P287" i="6"/>
  <c r="Q287" i="6"/>
  <c r="R287" i="6"/>
  <c r="S287" i="6"/>
  <c r="T287" i="6"/>
  <c r="U287" i="6"/>
  <c r="V287" i="6"/>
  <c r="W287" i="6"/>
  <c r="X287" i="6"/>
  <c r="Y287" i="6"/>
  <c r="Z287" i="6"/>
  <c r="AA287" i="6"/>
  <c r="J288" i="6"/>
  <c r="K288" i="6"/>
  <c r="L288" i="6"/>
  <c r="M288" i="6"/>
  <c r="N288" i="6"/>
  <c r="O288" i="6"/>
  <c r="P288" i="6"/>
  <c r="Q288" i="6"/>
  <c r="R288" i="6"/>
  <c r="S288" i="6"/>
  <c r="T288" i="6"/>
  <c r="U288" i="6"/>
  <c r="V288" i="6"/>
  <c r="W288" i="6"/>
  <c r="X288" i="6"/>
  <c r="Y288" i="6"/>
  <c r="Z288" i="6"/>
  <c r="AA288" i="6"/>
  <c r="J289" i="6"/>
  <c r="K289" i="6"/>
  <c r="L289" i="6"/>
  <c r="M289" i="6"/>
  <c r="N289" i="6"/>
  <c r="O289" i="6"/>
  <c r="P289" i="6"/>
  <c r="Q289" i="6"/>
  <c r="R289" i="6"/>
  <c r="S289" i="6"/>
  <c r="T289" i="6"/>
  <c r="U289" i="6"/>
  <c r="V289" i="6"/>
  <c r="W289" i="6"/>
  <c r="X289" i="6"/>
  <c r="Y289" i="6"/>
  <c r="Z289" i="6"/>
  <c r="AA289" i="6"/>
  <c r="J290" i="6"/>
  <c r="K290" i="6"/>
  <c r="L290" i="6"/>
  <c r="M290" i="6"/>
  <c r="N290" i="6"/>
  <c r="O290" i="6"/>
  <c r="P290" i="6"/>
  <c r="Q290" i="6"/>
  <c r="R290" i="6"/>
  <c r="S290" i="6"/>
  <c r="T290" i="6"/>
  <c r="U290" i="6"/>
  <c r="V290" i="6"/>
  <c r="W290" i="6"/>
  <c r="X290" i="6"/>
  <c r="Y290" i="6"/>
  <c r="Z290" i="6"/>
  <c r="AA290" i="6"/>
  <c r="J291" i="6"/>
  <c r="K291" i="6"/>
  <c r="L291" i="6"/>
  <c r="M291" i="6"/>
  <c r="N291" i="6"/>
  <c r="O291" i="6"/>
  <c r="P291" i="6"/>
  <c r="Q291" i="6"/>
  <c r="R291" i="6"/>
  <c r="S291" i="6"/>
  <c r="T291" i="6"/>
  <c r="U291" i="6"/>
  <c r="V291" i="6"/>
  <c r="W291" i="6"/>
  <c r="X291" i="6"/>
  <c r="Y291" i="6"/>
  <c r="Z291" i="6"/>
  <c r="AA291" i="6"/>
  <c r="J292" i="6"/>
  <c r="K292" i="6"/>
  <c r="L292" i="6"/>
  <c r="M292" i="6"/>
  <c r="N292" i="6"/>
  <c r="O292" i="6"/>
  <c r="P292" i="6"/>
  <c r="Q292" i="6"/>
  <c r="R292" i="6"/>
  <c r="S292" i="6"/>
  <c r="T292" i="6"/>
  <c r="U292" i="6"/>
  <c r="V292" i="6"/>
  <c r="W292" i="6"/>
  <c r="X292" i="6"/>
  <c r="Y292" i="6"/>
  <c r="Z292" i="6"/>
  <c r="AA292" i="6"/>
  <c r="J293" i="6"/>
  <c r="K293" i="6"/>
  <c r="L293" i="6"/>
  <c r="M293" i="6"/>
  <c r="N293" i="6"/>
  <c r="O293" i="6"/>
  <c r="P293" i="6"/>
  <c r="Q293" i="6"/>
  <c r="R293" i="6"/>
  <c r="S293" i="6"/>
  <c r="T293" i="6"/>
  <c r="U293" i="6"/>
  <c r="V293" i="6"/>
  <c r="W293" i="6"/>
  <c r="X293" i="6"/>
  <c r="Y293" i="6"/>
  <c r="Z293" i="6"/>
  <c r="AA293" i="6"/>
  <c r="J294" i="6"/>
  <c r="K294" i="6"/>
  <c r="L294" i="6"/>
  <c r="M294" i="6"/>
  <c r="N294" i="6"/>
  <c r="O294" i="6"/>
  <c r="P294" i="6"/>
  <c r="Q294" i="6"/>
  <c r="R294" i="6"/>
  <c r="S294" i="6"/>
  <c r="T294" i="6"/>
  <c r="U294" i="6"/>
  <c r="V294" i="6"/>
  <c r="W294" i="6"/>
  <c r="X294" i="6"/>
  <c r="Y294" i="6"/>
  <c r="Z294" i="6"/>
  <c r="AA294" i="6"/>
  <c r="J295" i="6"/>
  <c r="K295" i="6"/>
  <c r="L295" i="6"/>
  <c r="M295" i="6"/>
  <c r="N295" i="6"/>
  <c r="O295" i="6"/>
  <c r="P295" i="6"/>
  <c r="Q295" i="6"/>
  <c r="R295" i="6"/>
  <c r="S295" i="6"/>
  <c r="T295" i="6"/>
  <c r="U295" i="6"/>
  <c r="V295" i="6"/>
  <c r="W295" i="6"/>
  <c r="X295" i="6"/>
  <c r="Y295" i="6"/>
  <c r="Z295" i="6"/>
  <c r="AA295" i="6"/>
  <c r="J296" i="6"/>
  <c r="K296" i="6"/>
  <c r="L296" i="6"/>
  <c r="M296" i="6"/>
  <c r="N296" i="6"/>
  <c r="O296" i="6"/>
  <c r="P296" i="6"/>
  <c r="Q296" i="6"/>
  <c r="R296" i="6"/>
  <c r="S296" i="6"/>
  <c r="T296" i="6"/>
  <c r="U296" i="6"/>
  <c r="V296" i="6"/>
  <c r="W296" i="6"/>
  <c r="X296" i="6"/>
  <c r="Y296" i="6"/>
  <c r="Z296" i="6"/>
  <c r="AA296" i="6"/>
  <c r="J297" i="6"/>
  <c r="K297" i="6"/>
  <c r="L297" i="6"/>
  <c r="M297" i="6"/>
  <c r="N297" i="6"/>
  <c r="O297" i="6"/>
  <c r="P297" i="6"/>
  <c r="Q297" i="6"/>
  <c r="R297" i="6"/>
  <c r="S297" i="6"/>
  <c r="T297" i="6"/>
  <c r="U297" i="6"/>
  <c r="V297" i="6"/>
  <c r="W297" i="6"/>
  <c r="X297" i="6"/>
  <c r="Y297" i="6"/>
  <c r="Z297" i="6"/>
  <c r="AA297" i="6"/>
  <c r="J298" i="6"/>
  <c r="K298" i="6"/>
  <c r="L298" i="6"/>
  <c r="M298" i="6"/>
  <c r="N298" i="6"/>
  <c r="O298" i="6"/>
  <c r="P298" i="6"/>
  <c r="Q298" i="6"/>
  <c r="R298" i="6"/>
  <c r="S298" i="6"/>
  <c r="T298" i="6"/>
  <c r="U298" i="6"/>
  <c r="V298" i="6"/>
  <c r="W298" i="6"/>
  <c r="X298" i="6"/>
  <c r="Y298" i="6"/>
  <c r="Z298" i="6"/>
  <c r="AA298" i="6"/>
  <c r="J299" i="6"/>
  <c r="K299" i="6"/>
  <c r="L299" i="6"/>
  <c r="M299" i="6"/>
  <c r="N299" i="6"/>
  <c r="O299" i="6"/>
  <c r="P299" i="6"/>
  <c r="Q299" i="6"/>
  <c r="R299" i="6"/>
  <c r="S299" i="6"/>
  <c r="T299" i="6"/>
  <c r="U299" i="6"/>
  <c r="V299" i="6"/>
  <c r="W299" i="6"/>
  <c r="X299" i="6"/>
  <c r="Y299" i="6"/>
  <c r="Z299" i="6"/>
  <c r="AA299" i="6"/>
  <c r="J300" i="6"/>
  <c r="K300" i="6"/>
  <c r="L300" i="6"/>
  <c r="M300" i="6"/>
  <c r="N300" i="6"/>
  <c r="O300" i="6"/>
  <c r="P300" i="6"/>
  <c r="Q300" i="6"/>
  <c r="R300" i="6"/>
  <c r="S300" i="6"/>
  <c r="T300" i="6"/>
  <c r="U300" i="6"/>
  <c r="V300" i="6"/>
  <c r="W300" i="6"/>
  <c r="X300" i="6"/>
  <c r="Y300" i="6"/>
  <c r="Z300" i="6"/>
  <c r="AA300" i="6"/>
  <c r="J301" i="6"/>
  <c r="K301" i="6"/>
  <c r="L301" i="6"/>
  <c r="M301" i="6"/>
  <c r="N301" i="6"/>
  <c r="O301" i="6"/>
  <c r="P301" i="6"/>
  <c r="Q301" i="6"/>
  <c r="R301" i="6"/>
  <c r="S301" i="6"/>
  <c r="T301" i="6"/>
  <c r="U301" i="6"/>
  <c r="V301" i="6"/>
  <c r="W301" i="6"/>
  <c r="X301" i="6"/>
  <c r="Y301" i="6"/>
  <c r="Z301" i="6"/>
  <c r="AA301" i="6"/>
  <c r="J302" i="6"/>
  <c r="K302" i="6"/>
  <c r="L302" i="6"/>
  <c r="M302" i="6"/>
  <c r="N302" i="6"/>
  <c r="O302" i="6"/>
  <c r="P302" i="6"/>
  <c r="Q302" i="6"/>
  <c r="R302" i="6"/>
  <c r="S302" i="6"/>
  <c r="T302" i="6"/>
  <c r="U302" i="6"/>
  <c r="V302" i="6"/>
  <c r="W302" i="6"/>
  <c r="X302" i="6"/>
  <c r="Y302" i="6"/>
  <c r="Z302" i="6"/>
  <c r="AA302" i="6"/>
  <c r="J303" i="6"/>
  <c r="K303" i="6"/>
  <c r="L303" i="6"/>
  <c r="M303" i="6"/>
  <c r="N303" i="6"/>
  <c r="O303" i="6"/>
  <c r="P303" i="6"/>
  <c r="Q303" i="6"/>
  <c r="R303" i="6"/>
  <c r="S303" i="6"/>
  <c r="T303" i="6"/>
  <c r="U303" i="6"/>
  <c r="V303" i="6"/>
  <c r="W303" i="6"/>
  <c r="X303" i="6"/>
  <c r="Y303" i="6"/>
  <c r="Z303" i="6"/>
  <c r="AA303" i="6"/>
  <c r="J304" i="6"/>
  <c r="K304" i="6"/>
  <c r="L304" i="6"/>
  <c r="M304" i="6"/>
  <c r="N304" i="6"/>
  <c r="O304" i="6"/>
  <c r="P304" i="6"/>
  <c r="Q304" i="6"/>
  <c r="R304" i="6"/>
  <c r="S304" i="6"/>
  <c r="T304" i="6"/>
  <c r="U304" i="6"/>
  <c r="V304" i="6"/>
  <c r="W304" i="6"/>
  <c r="X304" i="6"/>
  <c r="Y304" i="6"/>
  <c r="Z304" i="6"/>
  <c r="AA304" i="6"/>
  <c r="J305" i="6"/>
  <c r="K305" i="6"/>
  <c r="L305" i="6"/>
  <c r="M305" i="6"/>
  <c r="N305" i="6"/>
  <c r="O305" i="6"/>
  <c r="P305" i="6"/>
  <c r="Q305" i="6"/>
  <c r="R305" i="6"/>
  <c r="S305" i="6"/>
  <c r="T305" i="6"/>
  <c r="U305" i="6"/>
  <c r="V305" i="6"/>
  <c r="W305" i="6"/>
  <c r="X305" i="6"/>
  <c r="Y305" i="6"/>
  <c r="Z305" i="6"/>
  <c r="AA305" i="6"/>
  <c r="J306" i="6"/>
  <c r="K306" i="6"/>
  <c r="L306" i="6"/>
  <c r="M306" i="6"/>
  <c r="N306" i="6"/>
  <c r="O306" i="6"/>
  <c r="P306" i="6"/>
  <c r="Q306" i="6"/>
  <c r="R306" i="6"/>
  <c r="S306" i="6"/>
  <c r="T306" i="6"/>
  <c r="U306" i="6"/>
  <c r="V306" i="6"/>
  <c r="W306" i="6"/>
  <c r="X306" i="6"/>
  <c r="Y306" i="6"/>
  <c r="Z306" i="6"/>
  <c r="AA306" i="6"/>
  <c r="J307" i="6"/>
  <c r="K307" i="6"/>
  <c r="L307" i="6"/>
  <c r="M307" i="6"/>
  <c r="N307" i="6"/>
  <c r="O307" i="6"/>
  <c r="P307" i="6"/>
  <c r="Q307" i="6"/>
  <c r="R307" i="6"/>
  <c r="S307" i="6"/>
  <c r="T307" i="6"/>
  <c r="U307" i="6"/>
  <c r="V307" i="6"/>
  <c r="W307" i="6"/>
  <c r="X307" i="6"/>
  <c r="Y307" i="6"/>
  <c r="Z307" i="6"/>
  <c r="AA307" i="6"/>
  <c r="J308" i="6"/>
  <c r="K308" i="6"/>
  <c r="L308" i="6"/>
  <c r="M308" i="6"/>
  <c r="N308" i="6"/>
  <c r="O308" i="6"/>
  <c r="P308" i="6"/>
  <c r="Q308" i="6"/>
  <c r="R308" i="6"/>
  <c r="S308" i="6"/>
  <c r="T308" i="6"/>
  <c r="U308" i="6"/>
  <c r="V308" i="6"/>
  <c r="W308" i="6"/>
  <c r="X308" i="6"/>
  <c r="Y308" i="6"/>
  <c r="Z308" i="6"/>
  <c r="AA308" i="6"/>
  <c r="J309" i="6"/>
  <c r="K309" i="6"/>
  <c r="L309" i="6"/>
  <c r="M309" i="6"/>
  <c r="N309" i="6"/>
  <c r="O309" i="6"/>
  <c r="P309" i="6"/>
  <c r="Q309" i="6"/>
  <c r="R309" i="6"/>
  <c r="S309" i="6"/>
  <c r="T309" i="6"/>
  <c r="U309" i="6"/>
  <c r="V309" i="6"/>
  <c r="W309" i="6"/>
  <c r="X309" i="6"/>
  <c r="Y309" i="6"/>
  <c r="Z309" i="6"/>
  <c r="AA309" i="6"/>
  <c r="J310" i="6"/>
  <c r="K310" i="6"/>
  <c r="L310" i="6"/>
  <c r="M310" i="6"/>
  <c r="N310" i="6"/>
  <c r="O310" i="6"/>
  <c r="P310" i="6"/>
  <c r="Q310" i="6"/>
  <c r="R310" i="6"/>
  <c r="S310" i="6"/>
  <c r="T310" i="6"/>
  <c r="U310" i="6"/>
  <c r="V310" i="6"/>
  <c r="W310" i="6"/>
  <c r="X310" i="6"/>
  <c r="Y310" i="6"/>
  <c r="Z310" i="6"/>
  <c r="AA310" i="6"/>
  <c r="J311" i="6"/>
  <c r="K311" i="6"/>
  <c r="L311" i="6"/>
  <c r="M311" i="6"/>
  <c r="N311" i="6"/>
  <c r="O311" i="6"/>
  <c r="P311" i="6"/>
  <c r="Q311" i="6"/>
  <c r="R311" i="6"/>
  <c r="S311" i="6"/>
  <c r="T311" i="6"/>
  <c r="U311" i="6"/>
  <c r="V311" i="6"/>
  <c r="W311" i="6"/>
  <c r="X311" i="6"/>
  <c r="Y311" i="6"/>
  <c r="Z311" i="6"/>
  <c r="AA311" i="6"/>
  <c r="J312" i="6"/>
  <c r="K312" i="6"/>
  <c r="L312" i="6"/>
  <c r="M312" i="6"/>
  <c r="N312" i="6"/>
  <c r="O312" i="6"/>
  <c r="P312" i="6"/>
  <c r="Q312" i="6"/>
  <c r="R312" i="6"/>
  <c r="S312" i="6"/>
  <c r="T312" i="6"/>
  <c r="U312" i="6"/>
  <c r="V312" i="6"/>
  <c r="W312" i="6"/>
  <c r="X312" i="6"/>
  <c r="Y312" i="6"/>
  <c r="Z312" i="6"/>
  <c r="AA312" i="6"/>
  <c r="J313" i="6"/>
  <c r="K313" i="6"/>
  <c r="L313" i="6"/>
  <c r="M313" i="6"/>
  <c r="N313" i="6"/>
  <c r="O313" i="6"/>
  <c r="P313" i="6"/>
  <c r="Q313" i="6"/>
  <c r="R313" i="6"/>
  <c r="S313" i="6"/>
  <c r="T313" i="6"/>
  <c r="U313" i="6"/>
  <c r="V313" i="6"/>
  <c r="W313" i="6"/>
  <c r="X313" i="6"/>
  <c r="Y313" i="6"/>
  <c r="Z313" i="6"/>
  <c r="AA313" i="6"/>
  <c r="J314" i="6"/>
  <c r="K314" i="6"/>
  <c r="L314" i="6"/>
  <c r="M314" i="6"/>
  <c r="N314" i="6"/>
  <c r="O314" i="6"/>
  <c r="P314" i="6"/>
  <c r="Q314" i="6"/>
  <c r="R314" i="6"/>
  <c r="S314" i="6"/>
  <c r="T314" i="6"/>
  <c r="U314" i="6"/>
  <c r="V314" i="6"/>
  <c r="W314" i="6"/>
  <c r="X314" i="6"/>
  <c r="Y314" i="6"/>
  <c r="Z314" i="6"/>
  <c r="AA314" i="6"/>
  <c r="J315" i="6"/>
  <c r="K315" i="6"/>
  <c r="L315" i="6"/>
  <c r="M315" i="6"/>
  <c r="N315" i="6"/>
  <c r="O315" i="6"/>
  <c r="P315" i="6"/>
  <c r="Q315" i="6"/>
  <c r="R315" i="6"/>
  <c r="S315" i="6"/>
  <c r="T315" i="6"/>
  <c r="U315" i="6"/>
  <c r="V315" i="6"/>
  <c r="W315" i="6"/>
  <c r="X315" i="6"/>
  <c r="Y315" i="6"/>
  <c r="Z315" i="6"/>
  <c r="AA315" i="6"/>
  <c r="J316" i="6"/>
  <c r="K316" i="6"/>
  <c r="L316" i="6"/>
  <c r="M316" i="6"/>
  <c r="N316" i="6"/>
  <c r="O316" i="6"/>
  <c r="P316" i="6"/>
  <c r="Q316" i="6"/>
  <c r="R316" i="6"/>
  <c r="S316" i="6"/>
  <c r="T316" i="6"/>
  <c r="U316" i="6"/>
  <c r="V316" i="6"/>
  <c r="W316" i="6"/>
  <c r="X316" i="6"/>
  <c r="Y316" i="6"/>
  <c r="Z316" i="6"/>
  <c r="AA316" i="6"/>
  <c r="J317" i="6"/>
  <c r="K317" i="6"/>
  <c r="L317" i="6"/>
  <c r="M317" i="6"/>
  <c r="N317" i="6"/>
  <c r="O317" i="6"/>
  <c r="P317" i="6"/>
  <c r="Q317" i="6"/>
  <c r="R317" i="6"/>
  <c r="S317" i="6"/>
  <c r="T317" i="6"/>
  <c r="U317" i="6"/>
  <c r="V317" i="6"/>
  <c r="W317" i="6"/>
  <c r="X317" i="6"/>
  <c r="Y317" i="6"/>
  <c r="Z317" i="6"/>
  <c r="AA317" i="6"/>
  <c r="J318" i="6"/>
  <c r="K318" i="6"/>
  <c r="L318" i="6"/>
  <c r="M318" i="6"/>
  <c r="N318" i="6"/>
  <c r="O318" i="6"/>
  <c r="P318" i="6"/>
  <c r="Q318" i="6"/>
  <c r="R318" i="6"/>
  <c r="S318" i="6"/>
  <c r="T318" i="6"/>
  <c r="U318" i="6"/>
  <c r="V318" i="6"/>
  <c r="W318" i="6"/>
  <c r="X318" i="6"/>
  <c r="Y318" i="6"/>
  <c r="Z318" i="6"/>
  <c r="AA318" i="6"/>
  <c r="J319" i="6"/>
  <c r="K319" i="6"/>
  <c r="L319" i="6"/>
  <c r="M319" i="6"/>
  <c r="N319" i="6"/>
  <c r="O319" i="6"/>
  <c r="P319" i="6"/>
  <c r="Q319" i="6"/>
  <c r="R319" i="6"/>
  <c r="S319" i="6"/>
  <c r="T319" i="6"/>
  <c r="U319" i="6"/>
  <c r="V319" i="6"/>
  <c r="W319" i="6"/>
  <c r="X319" i="6"/>
  <c r="Y319" i="6"/>
  <c r="Z319" i="6"/>
  <c r="AA319" i="6"/>
  <c r="J320" i="6"/>
  <c r="K320" i="6"/>
  <c r="L320" i="6"/>
  <c r="M320" i="6"/>
  <c r="N320" i="6"/>
  <c r="O320" i="6"/>
  <c r="P320" i="6"/>
  <c r="Q320" i="6"/>
  <c r="R320" i="6"/>
  <c r="S320" i="6"/>
  <c r="T320" i="6"/>
  <c r="U320" i="6"/>
  <c r="V320" i="6"/>
  <c r="W320" i="6"/>
  <c r="X320" i="6"/>
  <c r="Y320" i="6"/>
  <c r="Z320" i="6"/>
  <c r="AA320" i="6"/>
  <c r="J321" i="6"/>
  <c r="K321" i="6"/>
  <c r="L321" i="6"/>
  <c r="M321" i="6"/>
  <c r="N321" i="6"/>
  <c r="O321" i="6"/>
  <c r="P321" i="6"/>
  <c r="Q321" i="6"/>
  <c r="R321" i="6"/>
  <c r="S321" i="6"/>
  <c r="T321" i="6"/>
  <c r="U321" i="6"/>
  <c r="V321" i="6"/>
  <c r="W321" i="6"/>
  <c r="X321" i="6"/>
  <c r="Y321" i="6"/>
  <c r="Z321" i="6"/>
  <c r="AA321" i="6"/>
  <c r="J322" i="6"/>
  <c r="K322" i="6"/>
  <c r="L322" i="6"/>
  <c r="M322" i="6"/>
  <c r="N322" i="6"/>
  <c r="O322" i="6"/>
  <c r="P322" i="6"/>
  <c r="Q322" i="6"/>
  <c r="R322" i="6"/>
  <c r="S322" i="6"/>
  <c r="T322" i="6"/>
  <c r="U322" i="6"/>
  <c r="V322" i="6"/>
  <c r="W322" i="6"/>
  <c r="X322" i="6"/>
  <c r="Y322" i="6"/>
  <c r="Z322" i="6"/>
  <c r="AA322" i="6"/>
  <c r="J323" i="6"/>
  <c r="K323" i="6"/>
  <c r="L323" i="6"/>
  <c r="M323" i="6"/>
  <c r="N323" i="6"/>
  <c r="O323" i="6"/>
  <c r="P323" i="6"/>
  <c r="Q323" i="6"/>
  <c r="R323" i="6"/>
  <c r="S323" i="6"/>
  <c r="T323" i="6"/>
  <c r="U323" i="6"/>
  <c r="V323" i="6"/>
  <c r="W323" i="6"/>
  <c r="X323" i="6"/>
  <c r="Y323" i="6"/>
  <c r="Z323" i="6"/>
  <c r="AA323" i="6"/>
  <c r="J324" i="6"/>
  <c r="K324" i="6"/>
  <c r="L324" i="6"/>
  <c r="M324" i="6"/>
  <c r="N324" i="6"/>
  <c r="O324" i="6"/>
  <c r="P324" i="6"/>
  <c r="Q324" i="6"/>
  <c r="R324" i="6"/>
  <c r="S324" i="6"/>
  <c r="T324" i="6"/>
  <c r="U324" i="6"/>
  <c r="V324" i="6"/>
  <c r="W324" i="6"/>
  <c r="X324" i="6"/>
  <c r="Y324" i="6"/>
  <c r="Z324" i="6"/>
  <c r="AA324" i="6"/>
  <c r="J325" i="6"/>
  <c r="K325" i="6"/>
  <c r="L325" i="6"/>
  <c r="M325" i="6"/>
  <c r="N325" i="6"/>
  <c r="O325" i="6"/>
  <c r="P325" i="6"/>
  <c r="Q325" i="6"/>
  <c r="R325" i="6"/>
  <c r="S325" i="6"/>
  <c r="T325" i="6"/>
  <c r="U325" i="6"/>
  <c r="V325" i="6"/>
  <c r="W325" i="6"/>
  <c r="X325" i="6"/>
  <c r="Y325" i="6"/>
  <c r="Z325" i="6"/>
  <c r="AA325" i="6"/>
  <c r="J326" i="6"/>
  <c r="K326" i="6"/>
  <c r="L326" i="6"/>
  <c r="M326" i="6"/>
  <c r="N326" i="6"/>
  <c r="O326" i="6"/>
  <c r="P326" i="6"/>
  <c r="Q326" i="6"/>
  <c r="R326" i="6"/>
  <c r="S326" i="6"/>
  <c r="T326" i="6"/>
  <c r="U326" i="6"/>
  <c r="V326" i="6"/>
  <c r="W326" i="6"/>
  <c r="X326" i="6"/>
  <c r="Y326" i="6"/>
  <c r="Z326" i="6"/>
  <c r="AA326" i="6"/>
  <c r="J327" i="6"/>
  <c r="K327" i="6"/>
  <c r="L327" i="6"/>
  <c r="M327" i="6"/>
  <c r="N327" i="6"/>
  <c r="O327" i="6"/>
  <c r="P327" i="6"/>
  <c r="Q327" i="6"/>
  <c r="R327" i="6"/>
  <c r="S327" i="6"/>
  <c r="T327" i="6"/>
  <c r="U327" i="6"/>
  <c r="V327" i="6"/>
  <c r="W327" i="6"/>
  <c r="X327" i="6"/>
  <c r="Y327" i="6"/>
  <c r="Z327" i="6"/>
  <c r="AA327" i="6"/>
  <c r="J328" i="6"/>
  <c r="K328" i="6"/>
  <c r="L328" i="6"/>
  <c r="M328" i="6"/>
  <c r="N328" i="6"/>
  <c r="O328" i="6"/>
  <c r="P328" i="6"/>
  <c r="Q328" i="6"/>
  <c r="R328" i="6"/>
  <c r="S328" i="6"/>
  <c r="T328" i="6"/>
  <c r="U328" i="6"/>
  <c r="V328" i="6"/>
  <c r="W328" i="6"/>
  <c r="X328" i="6"/>
  <c r="Y328" i="6"/>
  <c r="Z328" i="6"/>
  <c r="AA328" i="6"/>
  <c r="J329" i="6"/>
  <c r="K329" i="6"/>
  <c r="L329" i="6"/>
  <c r="M329" i="6"/>
  <c r="N329" i="6"/>
  <c r="O329" i="6"/>
  <c r="P329" i="6"/>
  <c r="Q329" i="6"/>
  <c r="R329" i="6"/>
  <c r="S329" i="6"/>
  <c r="T329" i="6"/>
  <c r="U329" i="6"/>
  <c r="V329" i="6"/>
  <c r="W329" i="6"/>
  <c r="X329" i="6"/>
  <c r="Y329" i="6"/>
  <c r="Z329" i="6"/>
  <c r="AA329" i="6"/>
  <c r="J330" i="6"/>
  <c r="K330" i="6"/>
  <c r="L330" i="6"/>
  <c r="M330" i="6"/>
  <c r="N330" i="6"/>
  <c r="O330" i="6"/>
  <c r="P330" i="6"/>
  <c r="Q330" i="6"/>
  <c r="R330" i="6"/>
  <c r="S330" i="6"/>
  <c r="T330" i="6"/>
  <c r="U330" i="6"/>
  <c r="V330" i="6"/>
  <c r="W330" i="6"/>
  <c r="X330" i="6"/>
  <c r="Y330" i="6"/>
  <c r="Z330" i="6"/>
  <c r="AA330" i="6"/>
  <c r="J331" i="6"/>
  <c r="K331" i="6"/>
  <c r="L331" i="6"/>
  <c r="M331" i="6"/>
  <c r="N331" i="6"/>
  <c r="O331" i="6"/>
  <c r="P331" i="6"/>
  <c r="Q331" i="6"/>
  <c r="R331" i="6"/>
  <c r="S331" i="6"/>
  <c r="T331" i="6"/>
  <c r="U331" i="6"/>
  <c r="V331" i="6"/>
  <c r="W331" i="6"/>
  <c r="X331" i="6"/>
  <c r="Y331" i="6"/>
  <c r="Z331" i="6"/>
  <c r="AA331" i="6"/>
  <c r="J332" i="6"/>
  <c r="K332" i="6"/>
  <c r="L332" i="6"/>
  <c r="M332" i="6"/>
  <c r="N332" i="6"/>
  <c r="O332" i="6"/>
  <c r="P332" i="6"/>
  <c r="Q332" i="6"/>
  <c r="R332" i="6"/>
  <c r="S332" i="6"/>
  <c r="T332" i="6"/>
  <c r="U332" i="6"/>
  <c r="V332" i="6"/>
  <c r="W332" i="6"/>
  <c r="X332" i="6"/>
  <c r="Y332" i="6"/>
  <c r="Z332" i="6"/>
  <c r="AA332" i="6"/>
  <c r="J333" i="6"/>
  <c r="K333" i="6"/>
  <c r="L333" i="6"/>
  <c r="M333" i="6"/>
  <c r="N333" i="6"/>
  <c r="O333" i="6"/>
  <c r="P333" i="6"/>
  <c r="Q333" i="6"/>
  <c r="R333" i="6"/>
  <c r="S333" i="6"/>
  <c r="T333" i="6"/>
  <c r="U333" i="6"/>
  <c r="V333" i="6"/>
  <c r="W333" i="6"/>
  <c r="X333" i="6"/>
  <c r="Y333" i="6"/>
  <c r="Z333" i="6"/>
  <c r="AA333" i="6"/>
  <c r="J334" i="6"/>
  <c r="K334" i="6"/>
  <c r="L334" i="6"/>
  <c r="M334" i="6"/>
  <c r="N334" i="6"/>
  <c r="O334" i="6"/>
  <c r="P334" i="6"/>
  <c r="Q334" i="6"/>
  <c r="R334" i="6"/>
  <c r="S334" i="6"/>
  <c r="T334" i="6"/>
  <c r="U334" i="6"/>
  <c r="V334" i="6"/>
  <c r="W334" i="6"/>
  <c r="X334" i="6"/>
  <c r="Y334" i="6"/>
  <c r="Z334" i="6"/>
  <c r="AA334" i="6"/>
  <c r="J335" i="6"/>
  <c r="K335" i="6"/>
  <c r="L335" i="6"/>
  <c r="M335" i="6"/>
  <c r="N335" i="6"/>
  <c r="O335" i="6"/>
  <c r="P335" i="6"/>
  <c r="Q335" i="6"/>
  <c r="R335" i="6"/>
  <c r="S335" i="6"/>
  <c r="T335" i="6"/>
  <c r="U335" i="6"/>
  <c r="V335" i="6"/>
  <c r="W335" i="6"/>
  <c r="X335" i="6"/>
  <c r="Y335" i="6"/>
  <c r="Z335" i="6"/>
  <c r="AA335" i="6"/>
  <c r="J336" i="6"/>
  <c r="K336" i="6"/>
  <c r="L336" i="6"/>
  <c r="M336" i="6"/>
  <c r="N336" i="6"/>
  <c r="O336" i="6"/>
  <c r="P336" i="6"/>
  <c r="Q336" i="6"/>
  <c r="R336" i="6"/>
  <c r="S336" i="6"/>
  <c r="T336" i="6"/>
  <c r="U336" i="6"/>
  <c r="V336" i="6"/>
  <c r="W336" i="6"/>
  <c r="X336" i="6"/>
  <c r="Y336" i="6"/>
  <c r="Z336" i="6"/>
  <c r="AA336" i="6"/>
  <c r="J337" i="6"/>
  <c r="K337" i="6"/>
  <c r="L337" i="6"/>
  <c r="M337" i="6"/>
  <c r="N337" i="6"/>
  <c r="O337" i="6"/>
  <c r="P337" i="6"/>
  <c r="Q337" i="6"/>
  <c r="R337" i="6"/>
  <c r="S337" i="6"/>
  <c r="T337" i="6"/>
  <c r="U337" i="6"/>
  <c r="V337" i="6"/>
  <c r="W337" i="6"/>
  <c r="X337" i="6"/>
  <c r="Y337" i="6"/>
  <c r="Z337" i="6"/>
  <c r="AA337" i="6"/>
  <c r="J338" i="6"/>
  <c r="K338" i="6"/>
  <c r="L338" i="6"/>
  <c r="M338" i="6"/>
  <c r="N338" i="6"/>
  <c r="O338" i="6"/>
  <c r="P338" i="6"/>
  <c r="Q338" i="6"/>
  <c r="R338" i="6"/>
  <c r="S338" i="6"/>
  <c r="T338" i="6"/>
  <c r="U338" i="6"/>
  <c r="V338" i="6"/>
  <c r="W338" i="6"/>
  <c r="X338" i="6"/>
  <c r="Y338" i="6"/>
  <c r="Z338" i="6"/>
  <c r="AA338" i="6"/>
  <c r="J339" i="6"/>
  <c r="K339" i="6"/>
  <c r="L339" i="6"/>
  <c r="M339" i="6"/>
  <c r="N339" i="6"/>
  <c r="O339" i="6"/>
  <c r="P339" i="6"/>
  <c r="Q339" i="6"/>
  <c r="R339" i="6"/>
  <c r="S339" i="6"/>
  <c r="T339" i="6"/>
  <c r="U339" i="6"/>
  <c r="V339" i="6"/>
  <c r="W339" i="6"/>
  <c r="X339" i="6"/>
  <c r="Y339" i="6"/>
  <c r="Z339" i="6"/>
  <c r="AA339" i="6"/>
  <c r="J340" i="6"/>
  <c r="K340" i="6"/>
  <c r="L340" i="6"/>
  <c r="M340" i="6"/>
  <c r="N340" i="6"/>
  <c r="O340" i="6"/>
  <c r="P340" i="6"/>
  <c r="Q340" i="6"/>
  <c r="R340" i="6"/>
  <c r="S340" i="6"/>
  <c r="T340" i="6"/>
  <c r="U340" i="6"/>
  <c r="V340" i="6"/>
  <c r="W340" i="6"/>
  <c r="X340" i="6"/>
  <c r="Y340" i="6"/>
  <c r="Z340" i="6"/>
  <c r="AA340" i="6"/>
  <c r="J341" i="6"/>
  <c r="K341" i="6"/>
  <c r="L341" i="6"/>
  <c r="M341" i="6"/>
  <c r="N341" i="6"/>
  <c r="O341" i="6"/>
  <c r="P341" i="6"/>
  <c r="Q341" i="6"/>
  <c r="R341" i="6"/>
  <c r="S341" i="6"/>
  <c r="T341" i="6"/>
  <c r="U341" i="6"/>
  <c r="V341" i="6"/>
  <c r="W341" i="6"/>
  <c r="X341" i="6"/>
  <c r="Y341" i="6"/>
  <c r="Z341" i="6"/>
  <c r="AA341" i="6"/>
  <c r="J342" i="6"/>
  <c r="K342" i="6"/>
  <c r="L342" i="6"/>
  <c r="M342" i="6"/>
  <c r="N342" i="6"/>
  <c r="O342" i="6"/>
  <c r="P342" i="6"/>
  <c r="Q342" i="6"/>
  <c r="R342" i="6"/>
  <c r="S342" i="6"/>
  <c r="T342" i="6"/>
  <c r="U342" i="6"/>
  <c r="V342" i="6"/>
  <c r="W342" i="6"/>
  <c r="X342" i="6"/>
  <c r="Y342" i="6"/>
  <c r="Z342" i="6"/>
  <c r="AA342" i="6"/>
  <c r="J343" i="6"/>
  <c r="K343" i="6"/>
  <c r="L343" i="6"/>
  <c r="M343" i="6"/>
  <c r="N343" i="6"/>
  <c r="O343" i="6"/>
  <c r="P343" i="6"/>
  <c r="Q343" i="6"/>
  <c r="R343" i="6"/>
  <c r="S343" i="6"/>
  <c r="T343" i="6"/>
  <c r="U343" i="6"/>
  <c r="V343" i="6"/>
  <c r="W343" i="6"/>
  <c r="X343" i="6"/>
  <c r="Y343" i="6"/>
  <c r="Z343" i="6"/>
  <c r="AA343" i="6"/>
  <c r="J344" i="6"/>
  <c r="K344" i="6"/>
  <c r="L344" i="6"/>
  <c r="M344" i="6"/>
  <c r="N344" i="6"/>
  <c r="O344" i="6"/>
  <c r="P344" i="6"/>
  <c r="Q344" i="6"/>
  <c r="R344" i="6"/>
  <c r="S344" i="6"/>
  <c r="T344" i="6"/>
  <c r="U344" i="6"/>
  <c r="V344" i="6"/>
  <c r="W344" i="6"/>
  <c r="X344" i="6"/>
  <c r="Y344" i="6"/>
  <c r="Z344" i="6"/>
  <c r="AA344" i="6"/>
  <c r="J345" i="6"/>
  <c r="K345" i="6"/>
  <c r="L345" i="6"/>
  <c r="M345" i="6"/>
  <c r="N345" i="6"/>
  <c r="O345" i="6"/>
  <c r="P345" i="6"/>
  <c r="Q345" i="6"/>
  <c r="R345" i="6"/>
  <c r="S345" i="6"/>
  <c r="T345" i="6"/>
  <c r="U345" i="6"/>
  <c r="V345" i="6"/>
  <c r="W345" i="6"/>
  <c r="X345" i="6"/>
  <c r="Y345" i="6"/>
  <c r="Z345" i="6"/>
  <c r="AA345" i="6"/>
  <c r="J346" i="6"/>
  <c r="K346" i="6"/>
  <c r="L346" i="6"/>
  <c r="M346" i="6"/>
  <c r="N346" i="6"/>
  <c r="O346" i="6"/>
  <c r="P346" i="6"/>
  <c r="Q346" i="6"/>
  <c r="R346" i="6"/>
  <c r="S346" i="6"/>
  <c r="T346" i="6"/>
  <c r="U346" i="6"/>
  <c r="V346" i="6"/>
  <c r="W346" i="6"/>
  <c r="X346" i="6"/>
  <c r="Y346" i="6"/>
  <c r="Z346" i="6"/>
  <c r="AA346" i="6"/>
  <c r="J347" i="6"/>
  <c r="K347" i="6"/>
  <c r="L347" i="6"/>
  <c r="M347" i="6"/>
  <c r="N347" i="6"/>
  <c r="O347" i="6"/>
  <c r="P347" i="6"/>
  <c r="Q347" i="6"/>
  <c r="R347" i="6"/>
  <c r="S347" i="6"/>
  <c r="T347" i="6"/>
  <c r="U347" i="6"/>
  <c r="V347" i="6"/>
  <c r="W347" i="6"/>
  <c r="X347" i="6"/>
  <c r="Y347" i="6"/>
  <c r="Z347" i="6"/>
  <c r="AA347" i="6"/>
  <c r="J348" i="6"/>
  <c r="K348" i="6"/>
  <c r="L348" i="6"/>
  <c r="M348" i="6"/>
  <c r="N348" i="6"/>
  <c r="O348" i="6"/>
  <c r="P348" i="6"/>
  <c r="Q348" i="6"/>
  <c r="R348" i="6"/>
  <c r="S348" i="6"/>
  <c r="T348" i="6"/>
  <c r="U348" i="6"/>
  <c r="V348" i="6"/>
  <c r="W348" i="6"/>
  <c r="X348" i="6"/>
  <c r="Y348" i="6"/>
  <c r="Z348" i="6"/>
  <c r="AA348" i="6"/>
  <c r="J349" i="6"/>
  <c r="K349" i="6"/>
  <c r="L349" i="6"/>
  <c r="M349" i="6"/>
  <c r="N349" i="6"/>
  <c r="O349" i="6"/>
  <c r="P349" i="6"/>
  <c r="Q349" i="6"/>
  <c r="R349" i="6"/>
  <c r="S349" i="6"/>
  <c r="T349" i="6"/>
  <c r="U349" i="6"/>
  <c r="V349" i="6"/>
  <c r="W349" i="6"/>
  <c r="X349" i="6"/>
  <c r="Y349" i="6"/>
  <c r="Z349" i="6"/>
  <c r="AA349" i="6"/>
  <c r="J350" i="6"/>
  <c r="K350" i="6"/>
  <c r="L350" i="6"/>
  <c r="M350" i="6"/>
  <c r="N350" i="6"/>
  <c r="O350" i="6"/>
  <c r="P350" i="6"/>
  <c r="Q350" i="6"/>
  <c r="R350" i="6"/>
  <c r="S350" i="6"/>
  <c r="T350" i="6"/>
  <c r="U350" i="6"/>
  <c r="V350" i="6"/>
  <c r="W350" i="6"/>
  <c r="X350" i="6"/>
  <c r="Y350" i="6"/>
  <c r="Z350" i="6"/>
  <c r="AA350" i="6"/>
  <c r="J351" i="6"/>
  <c r="K351" i="6"/>
  <c r="L351" i="6"/>
  <c r="M351" i="6"/>
  <c r="N351" i="6"/>
  <c r="O351" i="6"/>
  <c r="P351" i="6"/>
  <c r="Q351" i="6"/>
  <c r="R351" i="6"/>
  <c r="S351" i="6"/>
  <c r="T351" i="6"/>
  <c r="U351" i="6"/>
  <c r="V351" i="6"/>
  <c r="W351" i="6"/>
  <c r="X351" i="6"/>
  <c r="Y351" i="6"/>
  <c r="Z351" i="6"/>
  <c r="AA351" i="6"/>
  <c r="J352" i="6"/>
  <c r="K352" i="6"/>
  <c r="L352" i="6"/>
  <c r="M352" i="6"/>
  <c r="N352" i="6"/>
  <c r="O352" i="6"/>
  <c r="P352" i="6"/>
  <c r="Q352" i="6"/>
  <c r="R352" i="6"/>
  <c r="S352" i="6"/>
  <c r="T352" i="6"/>
  <c r="U352" i="6"/>
  <c r="V352" i="6"/>
  <c r="W352" i="6"/>
  <c r="X352" i="6"/>
  <c r="Y352" i="6"/>
  <c r="Z352" i="6"/>
  <c r="AA352" i="6"/>
  <c r="J353" i="6"/>
  <c r="K353" i="6"/>
  <c r="L353" i="6"/>
  <c r="M353" i="6"/>
  <c r="N353" i="6"/>
  <c r="O353" i="6"/>
  <c r="P353" i="6"/>
  <c r="Q353" i="6"/>
  <c r="R353" i="6"/>
  <c r="S353" i="6"/>
  <c r="T353" i="6"/>
  <c r="U353" i="6"/>
  <c r="V353" i="6"/>
  <c r="W353" i="6"/>
  <c r="X353" i="6"/>
  <c r="Y353" i="6"/>
  <c r="Z353" i="6"/>
  <c r="AA353" i="6"/>
  <c r="J354" i="6"/>
  <c r="K354" i="6"/>
  <c r="L354" i="6"/>
  <c r="M354" i="6"/>
  <c r="N354" i="6"/>
  <c r="O354" i="6"/>
  <c r="P354" i="6"/>
  <c r="Q354" i="6"/>
  <c r="R354" i="6"/>
  <c r="S354" i="6"/>
  <c r="T354" i="6"/>
  <c r="U354" i="6"/>
  <c r="V354" i="6"/>
  <c r="W354" i="6"/>
  <c r="X354" i="6"/>
  <c r="Y354" i="6"/>
  <c r="Z354" i="6"/>
  <c r="AA354" i="6"/>
  <c r="J355" i="6"/>
  <c r="K355" i="6"/>
  <c r="L355" i="6"/>
  <c r="M355" i="6"/>
  <c r="N355" i="6"/>
  <c r="O355" i="6"/>
  <c r="P355" i="6"/>
  <c r="Q355" i="6"/>
  <c r="R355" i="6"/>
  <c r="S355" i="6"/>
  <c r="T355" i="6"/>
  <c r="U355" i="6"/>
  <c r="V355" i="6"/>
  <c r="W355" i="6"/>
  <c r="X355" i="6"/>
  <c r="Y355" i="6"/>
  <c r="Z355" i="6"/>
  <c r="AA355" i="6"/>
  <c r="J356" i="6"/>
  <c r="K356" i="6"/>
  <c r="L356" i="6"/>
  <c r="M356" i="6"/>
  <c r="N356" i="6"/>
  <c r="O356" i="6"/>
  <c r="P356" i="6"/>
  <c r="Q356" i="6"/>
  <c r="R356" i="6"/>
  <c r="S356" i="6"/>
  <c r="T356" i="6"/>
  <c r="U356" i="6"/>
  <c r="V356" i="6"/>
  <c r="W356" i="6"/>
  <c r="X356" i="6"/>
  <c r="Y356" i="6"/>
  <c r="Z356" i="6"/>
  <c r="AA356" i="6"/>
  <c r="J357" i="6"/>
  <c r="K357" i="6"/>
  <c r="L357" i="6"/>
  <c r="M357" i="6"/>
  <c r="N357" i="6"/>
  <c r="O357" i="6"/>
  <c r="P357" i="6"/>
  <c r="Q357" i="6"/>
  <c r="R357" i="6"/>
  <c r="S357" i="6"/>
  <c r="T357" i="6"/>
  <c r="U357" i="6"/>
  <c r="V357" i="6"/>
  <c r="W357" i="6"/>
  <c r="X357" i="6"/>
  <c r="Y357" i="6"/>
  <c r="Z357" i="6"/>
  <c r="AA357" i="6"/>
  <c r="J358" i="6"/>
  <c r="K358" i="6"/>
  <c r="L358" i="6"/>
  <c r="M358" i="6"/>
  <c r="N358" i="6"/>
  <c r="O358" i="6"/>
  <c r="P358" i="6"/>
  <c r="Q358" i="6"/>
  <c r="R358" i="6"/>
  <c r="S358" i="6"/>
  <c r="T358" i="6"/>
  <c r="U358" i="6"/>
  <c r="V358" i="6"/>
  <c r="W358" i="6"/>
  <c r="X358" i="6"/>
  <c r="Y358" i="6"/>
  <c r="Z358" i="6"/>
  <c r="AA358" i="6"/>
  <c r="J359" i="6"/>
  <c r="K359" i="6"/>
  <c r="L359" i="6"/>
  <c r="M359" i="6"/>
  <c r="N359" i="6"/>
  <c r="O359" i="6"/>
  <c r="P359" i="6"/>
  <c r="Q359" i="6"/>
  <c r="R359" i="6"/>
  <c r="S359" i="6"/>
  <c r="T359" i="6"/>
  <c r="U359" i="6"/>
  <c r="V359" i="6"/>
  <c r="W359" i="6"/>
  <c r="X359" i="6"/>
  <c r="Y359" i="6"/>
  <c r="Z359" i="6"/>
  <c r="AA359" i="6"/>
  <c r="J360" i="6"/>
  <c r="K360" i="6"/>
  <c r="L360" i="6"/>
  <c r="M360" i="6"/>
  <c r="N360" i="6"/>
  <c r="O360" i="6"/>
  <c r="P360" i="6"/>
  <c r="Q360" i="6"/>
  <c r="R360" i="6"/>
  <c r="S360" i="6"/>
  <c r="T360" i="6"/>
  <c r="U360" i="6"/>
  <c r="V360" i="6"/>
  <c r="W360" i="6"/>
  <c r="X360" i="6"/>
  <c r="Y360" i="6"/>
  <c r="Z360" i="6"/>
  <c r="AA360" i="6"/>
  <c r="J361" i="6"/>
  <c r="K361" i="6"/>
  <c r="L361" i="6"/>
  <c r="M361" i="6"/>
  <c r="N361" i="6"/>
  <c r="O361" i="6"/>
  <c r="P361" i="6"/>
  <c r="Q361" i="6"/>
  <c r="R361" i="6"/>
  <c r="S361" i="6"/>
  <c r="T361" i="6"/>
  <c r="U361" i="6"/>
  <c r="V361" i="6"/>
  <c r="W361" i="6"/>
  <c r="X361" i="6"/>
  <c r="Y361" i="6"/>
  <c r="Z361" i="6"/>
  <c r="AA361" i="6"/>
  <c r="J362" i="6"/>
  <c r="K362" i="6"/>
  <c r="L362" i="6"/>
  <c r="M362" i="6"/>
  <c r="N362" i="6"/>
  <c r="O362" i="6"/>
  <c r="P362" i="6"/>
  <c r="Q362" i="6"/>
  <c r="R362" i="6"/>
  <c r="S362" i="6"/>
  <c r="T362" i="6"/>
  <c r="U362" i="6"/>
  <c r="V362" i="6"/>
  <c r="W362" i="6"/>
  <c r="X362" i="6"/>
  <c r="Y362" i="6"/>
  <c r="Z362" i="6"/>
  <c r="AA362" i="6"/>
  <c r="J363" i="6"/>
  <c r="K363" i="6"/>
  <c r="L363" i="6"/>
  <c r="M363" i="6"/>
  <c r="N363" i="6"/>
  <c r="O363" i="6"/>
  <c r="P363" i="6"/>
  <c r="Q363" i="6"/>
  <c r="R363" i="6"/>
  <c r="S363" i="6"/>
  <c r="T363" i="6"/>
  <c r="U363" i="6"/>
  <c r="V363" i="6"/>
  <c r="W363" i="6"/>
  <c r="X363" i="6"/>
  <c r="Y363" i="6"/>
  <c r="Z363" i="6"/>
  <c r="AA363" i="6"/>
  <c r="J364" i="6"/>
  <c r="K364" i="6"/>
  <c r="L364" i="6"/>
  <c r="M364" i="6"/>
  <c r="N364" i="6"/>
  <c r="O364" i="6"/>
  <c r="P364" i="6"/>
  <c r="Q364" i="6"/>
  <c r="R364" i="6"/>
  <c r="S364" i="6"/>
  <c r="T364" i="6"/>
  <c r="U364" i="6"/>
  <c r="V364" i="6"/>
  <c r="W364" i="6"/>
  <c r="X364" i="6"/>
  <c r="Y364" i="6"/>
  <c r="Z364" i="6"/>
  <c r="AA364" i="6"/>
  <c r="J365" i="6"/>
  <c r="K365" i="6"/>
  <c r="L365" i="6"/>
  <c r="M365" i="6"/>
  <c r="N365" i="6"/>
  <c r="O365" i="6"/>
  <c r="P365" i="6"/>
  <c r="Q365" i="6"/>
  <c r="R365" i="6"/>
  <c r="S365" i="6"/>
  <c r="T365" i="6"/>
  <c r="U365" i="6"/>
  <c r="V365" i="6"/>
  <c r="W365" i="6"/>
  <c r="X365" i="6"/>
  <c r="Y365" i="6"/>
  <c r="Z365" i="6"/>
  <c r="AA365" i="6"/>
  <c r="J366" i="6"/>
  <c r="K366" i="6"/>
  <c r="L366" i="6"/>
  <c r="M366" i="6"/>
  <c r="N366" i="6"/>
  <c r="O366" i="6"/>
  <c r="P366" i="6"/>
  <c r="Q366" i="6"/>
  <c r="R366" i="6"/>
  <c r="S366" i="6"/>
  <c r="T366" i="6"/>
  <c r="U366" i="6"/>
  <c r="V366" i="6"/>
  <c r="W366" i="6"/>
  <c r="X366" i="6"/>
  <c r="Y366" i="6"/>
  <c r="Z366" i="6"/>
  <c r="AA366" i="6"/>
  <c r="J367" i="6"/>
  <c r="K367" i="6"/>
  <c r="L367" i="6"/>
  <c r="M367" i="6"/>
  <c r="N367" i="6"/>
  <c r="O367" i="6"/>
  <c r="P367" i="6"/>
  <c r="Q367" i="6"/>
  <c r="R367" i="6"/>
  <c r="S367" i="6"/>
  <c r="T367" i="6"/>
  <c r="U367" i="6"/>
  <c r="V367" i="6"/>
  <c r="W367" i="6"/>
  <c r="X367" i="6"/>
  <c r="Y367" i="6"/>
  <c r="Z367" i="6"/>
  <c r="AA367" i="6"/>
  <c r="J368" i="6"/>
  <c r="K368" i="6"/>
  <c r="L368" i="6"/>
  <c r="M368" i="6"/>
  <c r="N368" i="6"/>
  <c r="O368" i="6"/>
  <c r="P368" i="6"/>
  <c r="Q368" i="6"/>
  <c r="R368" i="6"/>
  <c r="S368" i="6"/>
  <c r="T368" i="6"/>
  <c r="U368" i="6"/>
  <c r="V368" i="6"/>
  <c r="W368" i="6"/>
  <c r="X368" i="6"/>
  <c r="Y368" i="6"/>
  <c r="Z368" i="6"/>
  <c r="AA368" i="6"/>
  <c r="J369" i="6"/>
  <c r="K369" i="6"/>
  <c r="L369" i="6"/>
  <c r="M369" i="6"/>
  <c r="N369" i="6"/>
  <c r="O369" i="6"/>
  <c r="P369" i="6"/>
  <c r="Q369" i="6"/>
  <c r="R369" i="6"/>
  <c r="S369" i="6"/>
  <c r="T369" i="6"/>
  <c r="U369" i="6"/>
  <c r="V369" i="6"/>
  <c r="W369" i="6"/>
  <c r="X369" i="6"/>
  <c r="Y369" i="6"/>
  <c r="Z369" i="6"/>
  <c r="AA369" i="6"/>
  <c r="J370" i="6"/>
  <c r="K370" i="6"/>
  <c r="L370" i="6"/>
  <c r="M370" i="6"/>
  <c r="N370" i="6"/>
  <c r="O370" i="6"/>
  <c r="P370" i="6"/>
  <c r="Q370" i="6"/>
  <c r="R370" i="6"/>
  <c r="S370" i="6"/>
  <c r="T370" i="6"/>
  <c r="U370" i="6"/>
  <c r="V370" i="6"/>
  <c r="W370" i="6"/>
  <c r="X370" i="6"/>
  <c r="Y370" i="6"/>
  <c r="Z370" i="6"/>
  <c r="AA370" i="6"/>
  <c r="J371" i="6"/>
  <c r="K371" i="6"/>
  <c r="L371" i="6"/>
  <c r="M371" i="6"/>
  <c r="N371" i="6"/>
  <c r="O371" i="6"/>
  <c r="P371" i="6"/>
  <c r="Q371" i="6"/>
  <c r="R371" i="6"/>
  <c r="S371" i="6"/>
  <c r="T371" i="6"/>
  <c r="U371" i="6"/>
  <c r="V371" i="6"/>
  <c r="W371" i="6"/>
  <c r="X371" i="6"/>
  <c r="Y371" i="6"/>
  <c r="Z371" i="6"/>
  <c r="AA371" i="6"/>
  <c r="J372" i="6"/>
  <c r="K372" i="6"/>
  <c r="L372" i="6"/>
  <c r="M372" i="6"/>
  <c r="N372" i="6"/>
  <c r="O372" i="6"/>
  <c r="P372" i="6"/>
  <c r="Q372" i="6"/>
  <c r="R372" i="6"/>
  <c r="S372" i="6"/>
  <c r="T372" i="6"/>
  <c r="U372" i="6"/>
  <c r="V372" i="6"/>
  <c r="W372" i="6"/>
  <c r="X372" i="6"/>
  <c r="Y372" i="6"/>
  <c r="Z372" i="6"/>
  <c r="AA372" i="6"/>
  <c r="J373" i="6"/>
  <c r="K373" i="6"/>
  <c r="L373" i="6"/>
  <c r="M373" i="6"/>
  <c r="N373" i="6"/>
  <c r="O373" i="6"/>
  <c r="P373" i="6"/>
  <c r="Q373" i="6"/>
  <c r="R373" i="6"/>
  <c r="S373" i="6"/>
  <c r="T373" i="6"/>
  <c r="U373" i="6"/>
  <c r="V373" i="6"/>
  <c r="W373" i="6"/>
  <c r="X373" i="6"/>
  <c r="Y373" i="6"/>
  <c r="Z373" i="6"/>
  <c r="AA373" i="6"/>
  <c r="J374" i="6"/>
  <c r="K374" i="6"/>
  <c r="L374" i="6"/>
  <c r="M374" i="6"/>
  <c r="N374" i="6"/>
  <c r="O374" i="6"/>
  <c r="P374" i="6"/>
  <c r="Q374" i="6"/>
  <c r="R374" i="6"/>
  <c r="S374" i="6"/>
  <c r="T374" i="6"/>
  <c r="U374" i="6"/>
  <c r="V374" i="6"/>
  <c r="W374" i="6"/>
  <c r="X374" i="6"/>
  <c r="Y374" i="6"/>
  <c r="Z374" i="6"/>
  <c r="AA374" i="6"/>
  <c r="J375" i="6"/>
  <c r="K375" i="6"/>
  <c r="L375" i="6"/>
  <c r="M375" i="6"/>
  <c r="N375" i="6"/>
  <c r="O375" i="6"/>
  <c r="P375" i="6"/>
  <c r="Q375" i="6"/>
  <c r="R375" i="6"/>
  <c r="S375" i="6"/>
  <c r="T375" i="6"/>
  <c r="U375" i="6"/>
  <c r="V375" i="6"/>
  <c r="W375" i="6"/>
  <c r="X375" i="6"/>
  <c r="Y375" i="6"/>
  <c r="Z375" i="6"/>
  <c r="AA375" i="6"/>
  <c r="J376" i="6"/>
  <c r="K376" i="6"/>
  <c r="L376" i="6"/>
  <c r="M376" i="6"/>
  <c r="N376" i="6"/>
  <c r="O376" i="6"/>
  <c r="P376" i="6"/>
  <c r="Q376" i="6"/>
  <c r="R376" i="6"/>
  <c r="S376" i="6"/>
  <c r="T376" i="6"/>
  <c r="U376" i="6"/>
  <c r="V376" i="6"/>
  <c r="W376" i="6"/>
  <c r="X376" i="6"/>
  <c r="Y376" i="6"/>
  <c r="Z376" i="6"/>
  <c r="AA376" i="6"/>
  <c r="J377" i="6"/>
  <c r="K377" i="6"/>
  <c r="L377" i="6"/>
  <c r="M377" i="6"/>
  <c r="N377" i="6"/>
  <c r="O377" i="6"/>
  <c r="P377" i="6"/>
  <c r="Q377" i="6"/>
  <c r="R377" i="6"/>
  <c r="S377" i="6"/>
  <c r="T377" i="6"/>
  <c r="U377" i="6"/>
  <c r="V377" i="6"/>
  <c r="W377" i="6"/>
  <c r="X377" i="6"/>
  <c r="Y377" i="6"/>
  <c r="Z377" i="6"/>
  <c r="AA377" i="6"/>
  <c r="J378" i="6"/>
  <c r="K378" i="6"/>
  <c r="L378" i="6"/>
  <c r="M378" i="6"/>
  <c r="N378" i="6"/>
  <c r="O378" i="6"/>
  <c r="P378" i="6"/>
  <c r="Q378" i="6"/>
  <c r="R378" i="6"/>
  <c r="S378" i="6"/>
  <c r="T378" i="6"/>
  <c r="U378" i="6"/>
  <c r="V378" i="6"/>
  <c r="W378" i="6"/>
  <c r="X378" i="6"/>
  <c r="Y378" i="6"/>
  <c r="Z378" i="6"/>
  <c r="AA378" i="6"/>
  <c r="J379" i="6"/>
  <c r="K379" i="6"/>
  <c r="L379" i="6"/>
  <c r="M379" i="6"/>
  <c r="N379" i="6"/>
  <c r="O379" i="6"/>
  <c r="P379" i="6"/>
  <c r="Q379" i="6"/>
  <c r="R379" i="6"/>
  <c r="S379" i="6"/>
  <c r="T379" i="6"/>
  <c r="U379" i="6"/>
  <c r="V379" i="6"/>
  <c r="W379" i="6"/>
  <c r="X379" i="6"/>
  <c r="Y379" i="6"/>
  <c r="Z379" i="6"/>
  <c r="AA379" i="6"/>
  <c r="J380" i="6"/>
  <c r="K380" i="6"/>
  <c r="L380" i="6"/>
  <c r="M380" i="6"/>
  <c r="N380" i="6"/>
  <c r="O380" i="6"/>
  <c r="P380" i="6"/>
  <c r="Q380" i="6"/>
  <c r="R380" i="6"/>
  <c r="S380" i="6"/>
  <c r="T380" i="6"/>
  <c r="U380" i="6"/>
  <c r="V380" i="6"/>
  <c r="W380" i="6"/>
  <c r="X380" i="6"/>
  <c r="Y380" i="6"/>
  <c r="Z380" i="6"/>
  <c r="AA380" i="6"/>
  <c r="J381" i="6"/>
  <c r="K381" i="6"/>
  <c r="L381" i="6"/>
  <c r="M381" i="6"/>
  <c r="N381" i="6"/>
  <c r="O381" i="6"/>
  <c r="P381" i="6"/>
  <c r="Q381" i="6"/>
  <c r="R381" i="6"/>
  <c r="S381" i="6"/>
  <c r="T381" i="6"/>
  <c r="U381" i="6"/>
  <c r="V381" i="6"/>
  <c r="W381" i="6"/>
  <c r="X381" i="6"/>
  <c r="Y381" i="6"/>
  <c r="Z381" i="6"/>
  <c r="AA381" i="6"/>
  <c r="J382" i="6"/>
  <c r="K382" i="6"/>
  <c r="L382" i="6"/>
  <c r="M382" i="6"/>
  <c r="N382" i="6"/>
  <c r="O382" i="6"/>
  <c r="P382" i="6"/>
  <c r="Q382" i="6"/>
  <c r="R382" i="6"/>
  <c r="S382" i="6"/>
  <c r="T382" i="6"/>
  <c r="U382" i="6"/>
  <c r="V382" i="6"/>
  <c r="W382" i="6"/>
  <c r="X382" i="6"/>
  <c r="Y382" i="6"/>
  <c r="Z382" i="6"/>
  <c r="AA382" i="6"/>
  <c r="J383" i="6"/>
  <c r="K383" i="6"/>
  <c r="L383" i="6"/>
  <c r="M383" i="6"/>
  <c r="N383" i="6"/>
  <c r="O383" i="6"/>
  <c r="P383" i="6"/>
  <c r="Q383" i="6"/>
  <c r="R383" i="6"/>
  <c r="S383" i="6"/>
  <c r="T383" i="6"/>
  <c r="U383" i="6"/>
  <c r="V383" i="6"/>
  <c r="W383" i="6"/>
  <c r="X383" i="6"/>
  <c r="Y383" i="6"/>
  <c r="Z383" i="6"/>
  <c r="AA383" i="6"/>
  <c r="J384" i="6"/>
  <c r="K384" i="6"/>
  <c r="L384" i="6"/>
  <c r="M384" i="6"/>
  <c r="N384" i="6"/>
  <c r="O384" i="6"/>
  <c r="P384" i="6"/>
  <c r="Q384" i="6"/>
  <c r="R384" i="6"/>
  <c r="S384" i="6"/>
  <c r="T384" i="6"/>
  <c r="U384" i="6"/>
  <c r="V384" i="6"/>
  <c r="W384" i="6"/>
  <c r="X384" i="6"/>
  <c r="Y384" i="6"/>
  <c r="Z384" i="6"/>
  <c r="AA384" i="6"/>
  <c r="J385" i="6"/>
  <c r="K385" i="6"/>
  <c r="L385" i="6"/>
  <c r="M385" i="6"/>
  <c r="N385" i="6"/>
  <c r="O385" i="6"/>
  <c r="P385" i="6"/>
  <c r="Q385" i="6"/>
  <c r="R385" i="6"/>
  <c r="S385" i="6"/>
  <c r="T385" i="6"/>
  <c r="U385" i="6"/>
  <c r="V385" i="6"/>
  <c r="W385" i="6"/>
  <c r="X385" i="6"/>
  <c r="Y385" i="6"/>
  <c r="Z385" i="6"/>
  <c r="AA385" i="6"/>
  <c r="J386" i="6"/>
  <c r="K386" i="6"/>
  <c r="L386" i="6"/>
  <c r="M386" i="6"/>
  <c r="N386" i="6"/>
  <c r="O386" i="6"/>
  <c r="P386" i="6"/>
  <c r="Q386" i="6"/>
  <c r="R386" i="6"/>
  <c r="S386" i="6"/>
  <c r="T386" i="6"/>
  <c r="U386" i="6"/>
  <c r="V386" i="6"/>
  <c r="W386" i="6"/>
  <c r="X386" i="6"/>
  <c r="Y386" i="6"/>
  <c r="Z386" i="6"/>
  <c r="AA386" i="6"/>
  <c r="J387" i="6"/>
  <c r="K387" i="6"/>
  <c r="L387" i="6"/>
  <c r="M387" i="6"/>
  <c r="N387" i="6"/>
  <c r="O387" i="6"/>
  <c r="P387" i="6"/>
  <c r="Q387" i="6"/>
  <c r="R387" i="6"/>
  <c r="S387" i="6"/>
  <c r="T387" i="6"/>
  <c r="U387" i="6"/>
  <c r="V387" i="6"/>
  <c r="W387" i="6"/>
  <c r="X387" i="6"/>
  <c r="Y387" i="6"/>
  <c r="Z387" i="6"/>
  <c r="AA387" i="6"/>
  <c r="J388" i="6"/>
  <c r="K388" i="6"/>
  <c r="L388" i="6"/>
  <c r="M388" i="6"/>
  <c r="N388" i="6"/>
  <c r="O388" i="6"/>
  <c r="P388" i="6"/>
  <c r="Q388" i="6"/>
  <c r="R388" i="6"/>
  <c r="S388" i="6"/>
  <c r="T388" i="6"/>
  <c r="U388" i="6"/>
  <c r="V388" i="6"/>
  <c r="W388" i="6"/>
  <c r="X388" i="6"/>
  <c r="Y388" i="6"/>
  <c r="Z388" i="6"/>
  <c r="AA388" i="6"/>
  <c r="J389" i="6"/>
  <c r="K389" i="6"/>
  <c r="L389" i="6"/>
  <c r="M389" i="6"/>
  <c r="N389" i="6"/>
  <c r="O389" i="6"/>
  <c r="P389" i="6"/>
  <c r="Q389" i="6"/>
  <c r="R389" i="6"/>
  <c r="S389" i="6"/>
  <c r="T389" i="6"/>
  <c r="U389" i="6"/>
  <c r="V389" i="6"/>
  <c r="W389" i="6"/>
  <c r="X389" i="6"/>
  <c r="Y389" i="6"/>
  <c r="Z389" i="6"/>
  <c r="AA389" i="6"/>
  <c r="J390" i="6"/>
  <c r="K390" i="6"/>
  <c r="L390" i="6"/>
  <c r="M390" i="6"/>
  <c r="N390" i="6"/>
  <c r="O390" i="6"/>
  <c r="P390" i="6"/>
  <c r="Q390" i="6"/>
  <c r="R390" i="6"/>
  <c r="S390" i="6"/>
  <c r="T390" i="6"/>
  <c r="U390" i="6"/>
  <c r="V390" i="6"/>
  <c r="W390" i="6"/>
  <c r="X390" i="6"/>
  <c r="Y390" i="6"/>
  <c r="Z390" i="6"/>
  <c r="AA390" i="6"/>
  <c r="J391" i="6"/>
  <c r="K391" i="6"/>
  <c r="L391" i="6"/>
  <c r="M391" i="6"/>
  <c r="N391" i="6"/>
  <c r="O391" i="6"/>
  <c r="P391" i="6"/>
  <c r="Q391" i="6"/>
  <c r="R391" i="6"/>
  <c r="S391" i="6"/>
  <c r="T391" i="6"/>
  <c r="U391" i="6"/>
  <c r="V391" i="6"/>
  <c r="W391" i="6"/>
  <c r="X391" i="6"/>
  <c r="Y391" i="6"/>
  <c r="Z391" i="6"/>
  <c r="AA391" i="6"/>
  <c r="J392" i="6"/>
  <c r="K392" i="6"/>
  <c r="L392" i="6"/>
  <c r="M392" i="6"/>
  <c r="N392" i="6"/>
  <c r="O392" i="6"/>
  <c r="P392" i="6"/>
  <c r="Q392" i="6"/>
  <c r="R392" i="6"/>
  <c r="S392" i="6"/>
  <c r="T392" i="6"/>
  <c r="U392" i="6"/>
  <c r="V392" i="6"/>
  <c r="W392" i="6"/>
  <c r="X392" i="6"/>
  <c r="Y392" i="6"/>
  <c r="Z392" i="6"/>
  <c r="AA392" i="6"/>
  <c r="J393" i="6"/>
  <c r="K393" i="6"/>
  <c r="L393" i="6"/>
  <c r="M393" i="6"/>
  <c r="N393" i="6"/>
  <c r="O393" i="6"/>
  <c r="P393" i="6"/>
  <c r="Q393" i="6"/>
  <c r="R393" i="6"/>
  <c r="S393" i="6"/>
  <c r="T393" i="6"/>
  <c r="U393" i="6"/>
  <c r="V393" i="6"/>
  <c r="W393" i="6"/>
  <c r="X393" i="6"/>
  <c r="Y393" i="6"/>
  <c r="Z393" i="6"/>
  <c r="AA393" i="6"/>
  <c r="J394" i="6"/>
  <c r="K394" i="6"/>
  <c r="L394" i="6"/>
  <c r="M394" i="6"/>
  <c r="N394" i="6"/>
  <c r="O394" i="6"/>
  <c r="P394" i="6"/>
  <c r="Q394" i="6"/>
  <c r="R394" i="6"/>
  <c r="S394" i="6"/>
  <c r="T394" i="6"/>
  <c r="U394" i="6"/>
  <c r="V394" i="6"/>
  <c r="W394" i="6"/>
  <c r="X394" i="6"/>
  <c r="Y394" i="6"/>
  <c r="Z394" i="6"/>
  <c r="AA394" i="6"/>
  <c r="J395" i="6"/>
  <c r="K395" i="6"/>
  <c r="L395" i="6"/>
  <c r="M395" i="6"/>
  <c r="N395" i="6"/>
  <c r="O395" i="6"/>
  <c r="P395" i="6"/>
  <c r="Q395" i="6"/>
  <c r="R395" i="6"/>
  <c r="S395" i="6"/>
  <c r="T395" i="6"/>
  <c r="U395" i="6"/>
  <c r="V395" i="6"/>
  <c r="W395" i="6"/>
  <c r="X395" i="6"/>
  <c r="Y395" i="6"/>
  <c r="Z395" i="6"/>
  <c r="AA395" i="6"/>
  <c r="J396" i="6"/>
  <c r="K396" i="6"/>
  <c r="L396" i="6"/>
  <c r="M396" i="6"/>
  <c r="N396" i="6"/>
  <c r="O396" i="6"/>
  <c r="P396" i="6"/>
  <c r="Q396" i="6"/>
  <c r="R396" i="6"/>
  <c r="S396" i="6"/>
  <c r="T396" i="6"/>
  <c r="U396" i="6"/>
  <c r="V396" i="6"/>
  <c r="W396" i="6"/>
  <c r="X396" i="6"/>
  <c r="Y396" i="6"/>
  <c r="Z396" i="6"/>
  <c r="AA396" i="6"/>
  <c r="J397" i="6"/>
  <c r="K397" i="6"/>
  <c r="L397" i="6"/>
  <c r="M397" i="6"/>
  <c r="N397" i="6"/>
  <c r="O397" i="6"/>
  <c r="P397" i="6"/>
  <c r="Q397" i="6"/>
  <c r="R397" i="6"/>
  <c r="S397" i="6"/>
  <c r="T397" i="6"/>
  <c r="U397" i="6"/>
  <c r="V397" i="6"/>
  <c r="W397" i="6"/>
  <c r="X397" i="6"/>
  <c r="Y397" i="6"/>
  <c r="Z397" i="6"/>
  <c r="AA397" i="6"/>
  <c r="J398" i="6"/>
  <c r="K398" i="6"/>
  <c r="L398" i="6"/>
  <c r="M398" i="6"/>
  <c r="N398" i="6"/>
  <c r="O398" i="6"/>
  <c r="P398" i="6"/>
  <c r="Q398" i="6"/>
  <c r="R398" i="6"/>
  <c r="S398" i="6"/>
  <c r="T398" i="6"/>
  <c r="U398" i="6"/>
  <c r="V398" i="6"/>
  <c r="W398" i="6"/>
  <c r="X398" i="6"/>
  <c r="Y398" i="6"/>
  <c r="Z398" i="6"/>
  <c r="AA398" i="6"/>
  <c r="J399" i="6"/>
  <c r="K399" i="6"/>
  <c r="L399" i="6"/>
  <c r="M399" i="6"/>
  <c r="N399" i="6"/>
  <c r="O399" i="6"/>
  <c r="P399" i="6"/>
  <c r="Q399" i="6"/>
  <c r="R399" i="6"/>
  <c r="S399" i="6"/>
  <c r="T399" i="6"/>
  <c r="U399" i="6"/>
  <c r="V399" i="6"/>
  <c r="W399" i="6"/>
  <c r="X399" i="6"/>
  <c r="Y399" i="6"/>
  <c r="Z399" i="6"/>
  <c r="AA399" i="6"/>
  <c r="J400" i="6"/>
  <c r="K400" i="6"/>
  <c r="L400" i="6"/>
  <c r="M400" i="6"/>
  <c r="N400" i="6"/>
  <c r="O400" i="6"/>
  <c r="P400" i="6"/>
  <c r="Q400" i="6"/>
  <c r="R400" i="6"/>
  <c r="S400" i="6"/>
  <c r="T400" i="6"/>
  <c r="U400" i="6"/>
  <c r="V400" i="6"/>
  <c r="W400" i="6"/>
  <c r="X400" i="6"/>
  <c r="Y400" i="6"/>
  <c r="Z400" i="6"/>
  <c r="AA400" i="6"/>
  <c r="J401" i="6"/>
  <c r="K401" i="6"/>
  <c r="L401" i="6"/>
  <c r="M401" i="6"/>
  <c r="N401" i="6"/>
  <c r="O401" i="6"/>
  <c r="P401" i="6"/>
  <c r="Q401" i="6"/>
  <c r="R401" i="6"/>
  <c r="S401" i="6"/>
  <c r="T401" i="6"/>
  <c r="U401" i="6"/>
  <c r="V401" i="6"/>
  <c r="W401" i="6"/>
  <c r="X401" i="6"/>
  <c r="Y401" i="6"/>
  <c r="Z401" i="6"/>
  <c r="AA401" i="6"/>
  <c r="J402" i="6"/>
  <c r="K402" i="6"/>
  <c r="L402" i="6"/>
  <c r="M402" i="6"/>
  <c r="N402" i="6"/>
  <c r="O402" i="6"/>
  <c r="P402" i="6"/>
  <c r="Q402" i="6"/>
  <c r="R402" i="6"/>
  <c r="S402" i="6"/>
  <c r="T402" i="6"/>
  <c r="U402" i="6"/>
  <c r="V402" i="6"/>
  <c r="W402" i="6"/>
  <c r="X402" i="6"/>
  <c r="Y402" i="6"/>
  <c r="Z402" i="6"/>
  <c r="AA402" i="6"/>
  <c r="J403" i="6"/>
  <c r="K403" i="6"/>
  <c r="L403" i="6"/>
  <c r="M403" i="6"/>
  <c r="N403" i="6"/>
  <c r="O403" i="6"/>
  <c r="P403" i="6"/>
  <c r="Q403" i="6"/>
  <c r="R403" i="6"/>
  <c r="S403" i="6"/>
  <c r="T403" i="6"/>
  <c r="U403" i="6"/>
  <c r="V403" i="6"/>
  <c r="W403" i="6"/>
  <c r="X403" i="6"/>
  <c r="Y403" i="6"/>
  <c r="Z403" i="6"/>
  <c r="AA403" i="6"/>
  <c r="J404" i="6"/>
  <c r="K404" i="6"/>
  <c r="L404" i="6"/>
  <c r="M404" i="6"/>
  <c r="N404" i="6"/>
  <c r="O404" i="6"/>
  <c r="P404" i="6"/>
  <c r="Q404" i="6"/>
  <c r="R404" i="6"/>
  <c r="S404" i="6"/>
  <c r="T404" i="6"/>
  <c r="U404" i="6"/>
  <c r="V404" i="6"/>
  <c r="W404" i="6"/>
  <c r="X404" i="6"/>
  <c r="Y404" i="6"/>
  <c r="Z404" i="6"/>
  <c r="AA404" i="6"/>
  <c r="J405" i="6"/>
  <c r="K405" i="6"/>
  <c r="L405" i="6"/>
  <c r="M405" i="6"/>
  <c r="N405" i="6"/>
  <c r="O405" i="6"/>
  <c r="P405" i="6"/>
  <c r="Q405" i="6"/>
  <c r="R405" i="6"/>
  <c r="S405" i="6"/>
  <c r="T405" i="6"/>
  <c r="U405" i="6"/>
  <c r="V405" i="6"/>
  <c r="W405" i="6"/>
  <c r="X405" i="6"/>
  <c r="Y405" i="6"/>
  <c r="Z405" i="6"/>
  <c r="AA405" i="6"/>
  <c r="J406" i="6"/>
  <c r="K406" i="6"/>
  <c r="L406" i="6"/>
  <c r="M406" i="6"/>
  <c r="N406" i="6"/>
  <c r="O406" i="6"/>
  <c r="P406" i="6"/>
  <c r="Q406" i="6"/>
  <c r="R406" i="6"/>
  <c r="S406" i="6"/>
  <c r="T406" i="6"/>
  <c r="U406" i="6"/>
  <c r="V406" i="6"/>
  <c r="W406" i="6"/>
  <c r="X406" i="6"/>
  <c r="Y406" i="6"/>
  <c r="Z406" i="6"/>
  <c r="AA406" i="6"/>
  <c r="J407" i="6"/>
  <c r="K407" i="6"/>
  <c r="L407" i="6"/>
  <c r="M407" i="6"/>
  <c r="N407" i="6"/>
  <c r="O407" i="6"/>
  <c r="P407" i="6"/>
  <c r="Q407" i="6"/>
  <c r="R407" i="6"/>
  <c r="S407" i="6"/>
  <c r="T407" i="6"/>
  <c r="U407" i="6"/>
  <c r="V407" i="6"/>
  <c r="W407" i="6"/>
  <c r="X407" i="6"/>
  <c r="Y407" i="6"/>
  <c r="Z407" i="6"/>
  <c r="AA407" i="6"/>
  <c r="J408" i="6"/>
  <c r="K408" i="6"/>
  <c r="L408" i="6"/>
  <c r="M408" i="6"/>
  <c r="N408" i="6"/>
  <c r="O408" i="6"/>
  <c r="P408" i="6"/>
  <c r="Q408" i="6"/>
  <c r="R408" i="6"/>
  <c r="S408" i="6"/>
  <c r="T408" i="6"/>
  <c r="U408" i="6"/>
  <c r="V408" i="6"/>
  <c r="W408" i="6"/>
  <c r="X408" i="6"/>
  <c r="Y408" i="6"/>
  <c r="Z408" i="6"/>
  <c r="AA408" i="6"/>
  <c r="J409" i="6"/>
  <c r="K409" i="6"/>
  <c r="L409" i="6"/>
  <c r="M409" i="6"/>
  <c r="N409" i="6"/>
  <c r="O409" i="6"/>
  <c r="P409" i="6"/>
  <c r="Q409" i="6"/>
  <c r="R409" i="6"/>
  <c r="S409" i="6"/>
  <c r="T409" i="6"/>
  <c r="U409" i="6"/>
  <c r="V409" i="6"/>
  <c r="W409" i="6"/>
  <c r="X409" i="6"/>
  <c r="Y409" i="6"/>
  <c r="Z409" i="6"/>
  <c r="AA409" i="6"/>
  <c r="J410" i="6"/>
  <c r="K410" i="6"/>
  <c r="L410" i="6"/>
  <c r="M410" i="6"/>
  <c r="N410" i="6"/>
  <c r="O410" i="6"/>
  <c r="P410" i="6"/>
  <c r="Q410" i="6"/>
  <c r="R410" i="6"/>
  <c r="S410" i="6"/>
  <c r="T410" i="6"/>
  <c r="U410" i="6"/>
  <c r="V410" i="6"/>
  <c r="W410" i="6"/>
  <c r="X410" i="6"/>
  <c r="Y410" i="6"/>
  <c r="Z410" i="6"/>
  <c r="AA410" i="6"/>
  <c r="J411" i="6"/>
  <c r="K411" i="6"/>
  <c r="L411" i="6"/>
  <c r="M411" i="6"/>
  <c r="N411" i="6"/>
  <c r="O411" i="6"/>
  <c r="P411" i="6"/>
  <c r="Q411" i="6"/>
  <c r="R411" i="6"/>
  <c r="S411" i="6"/>
  <c r="T411" i="6"/>
  <c r="U411" i="6"/>
  <c r="V411" i="6"/>
  <c r="W411" i="6"/>
  <c r="X411" i="6"/>
  <c r="Y411" i="6"/>
  <c r="Z411" i="6"/>
  <c r="AA411" i="6"/>
  <c r="J412" i="6"/>
  <c r="K412" i="6"/>
  <c r="L412" i="6"/>
  <c r="M412" i="6"/>
  <c r="N412" i="6"/>
  <c r="O412" i="6"/>
  <c r="P412" i="6"/>
  <c r="Q412" i="6"/>
  <c r="R412" i="6"/>
  <c r="S412" i="6"/>
  <c r="T412" i="6"/>
  <c r="U412" i="6"/>
  <c r="V412" i="6"/>
  <c r="W412" i="6"/>
  <c r="X412" i="6"/>
  <c r="Y412" i="6"/>
  <c r="Z412" i="6"/>
  <c r="AA412" i="6"/>
  <c r="J413" i="6"/>
  <c r="K413" i="6"/>
  <c r="L413" i="6"/>
  <c r="M413" i="6"/>
  <c r="N413" i="6"/>
  <c r="O413" i="6"/>
  <c r="P413" i="6"/>
  <c r="Q413" i="6"/>
  <c r="R413" i="6"/>
  <c r="S413" i="6"/>
  <c r="T413" i="6"/>
  <c r="U413" i="6"/>
  <c r="V413" i="6"/>
  <c r="W413" i="6"/>
  <c r="X413" i="6"/>
  <c r="Y413" i="6"/>
  <c r="Z413" i="6"/>
  <c r="AA413" i="6"/>
  <c r="J414" i="6"/>
  <c r="K414" i="6"/>
  <c r="L414" i="6"/>
  <c r="M414" i="6"/>
  <c r="N414" i="6"/>
  <c r="O414" i="6"/>
  <c r="P414" i="6"/>
  <c r="Q414" i="6"/>
  <c r="R414" i="6"/>
  <c r="S414" i="6"/>
  <c r="T414" i="6"/>
  <c r="U414" i="6"/>
  <c r="V414" i="6"/>
  <c r="W414" i="6"/>
  <c r="X414" i="6"/>
  <c r="Y414" i="6"/>
  <c r="Z414" i="6"/>
  <c r="AA414" i="6"/>
  <c r="J415" i="6"/>
  <c r="K415" i="6"/>
  <c r="L415" i="6"/>
  <c r="M415" i="6"/>
  <c r="N415" i="6"/>
  <c r="O415" i="6"/>
  <c r="P415" i="6"/>
  <c r="Q415" i="6"/>
  <c r="R415" i="6"/>
  <c r="S415" i="6"/>
  <c r="T415" i="6"/>
  <c r="U415" i="6"/>
  <c r="V415" i="6"/>
  <c r="W415" i="6"/>
  <c r="X415" i="6"/>
  <c r="Y415" i="6"/>
  <c r="Z415" i="6"/>
  <c r="AA415" i="6"/>
  <c r="J416" i="6"/>
  <c r="K416" i="6"/>
  <c r="L416" i="6"/>
  <c r="M416" i="6"/>
  <c r="N416" i="6"/>
  <c r="O416" i="6"/>
  <c r="P416" i="6"/>
  <c r="Q416" i="6"/>
  <c r="R416" i="6"/>
  <c r="S416" i="6"/>
  <c r="T416" i="6"/>
  <c r="U416" i="6"/>
  <c r="V416" i="6"/>
  <c r="W416" i="6"/>
  <c r="X416" i="6"/>
  <c r="Y416" i="6"/>
  <c r="Z416" i="6"/>
  <c r="AA416" i="6"/>
  <c r="J417" i="6"/>
  <c r="K417" i="6"/>
  <c r="L417" i="6"/>
  <c r="M417" i="6"/>
  <c r="N417" i="6"/>
  <c r="O417" i="6"/>
  <c r="P417" i="6"/>
  <c r="Q417" i="6"/>
  <c r="R417" i="6"/>
  <c r="S417" i="6"/>
  <c r="T417" i="6"/>
  <c r="U417" i="6"/>
  <c r="V417" i="6"/>
  <c r="W417" i="6"/>
  <c r="X417" i="6"/>
  <c r="Y417" i="6"/>
  <c r="Z417" i="6"/>
  <c r="AA417" i="6"/>
  <c r="J418" i="6"/>
  <c r="K418" i="6"/>
  <c r="L418" i="6"/>
  <c r="M418" i="6"/>
  <c r="N418" i="6"/>
  <c r="O418" i="6"/>
  <c r="P418" i="6"/>
  <c r="Q418" i="6"/>
  <c r="R418" i="6"/>
  <c r="S418" i="6"/>
  <c r="T418" i="6"/>
  <c r="U418" i="6"/>
  <c r="V418" i="6"/>
  <c r="W418" i="6"/>
  <c r="X418" i="6"/>
  <c r="Y418" i="6"/>
  <c r="Z418" i="6"/>
  <c r="AA418" i="6"/>
  <c r="J419" i="6"/>
  <c r="K419" i="6"/>
  <c r="L419" i="6"/>
  <c r="M419" i="6"/>
  <c r="N419" i="6"/>
  <c r="O419" i="6"/>
  <c r="P419" i="6"/>
  <c r="Q419" i="6"/>
  <c r="R419" i="6"/>
  <c r="S419" i="6"/>
  <c r="T419" i="6"/>
  <c r="U419" i="6"/>
  <c r="V419" i="6"/>
  <c r="W419" i="6"/>
  <c r="X419" i="6"/>
  <c r="Y419" i="6"/>
  <c r="Z419" i="6"/>
  <c r="AA419" i="6"/>
  <c r="J420" i="6"/>
  <c r="K420" i="6"/>
  <c r="L420" i="6"/>
  <c r="M420" i="6"/>
  <c r="N420" i="6"/>
  <c r="O420" i="6"/>
  <c r="P420" i="6"/>
  <c r="Q420" i="6"/>
  <c r="R420" i="6"/>
  <c r="S420" i="6"/>
  <c r="T420" i="6"/>
  <c r="U420" i="6"/>
  <c r="V420" i="6"/>
  <c r="W420" i="6"/>
  <c r="X420" i="6"/>
  <c r="Y420" i="6"/>
  <c r="Z420" i="6"/>
  <c r="AA420" i="6"/>
  <c r="J421" i="6"/>
  <c r="K421" i="6"/>
  <c r="L421" i="6"/>
  <c r="M421" i="6"/>
  <c r="N421" i="6"/>
  <c r="O421" i="6"/>
  <c r="P421" i="6"/>
  <c r="Q421" i="6"/>
  <c r="R421" i="6"/>
  <c r="S421" i="6"/>
  <c r="T421" i="6"/>
  <c r="U421" i="6"/>
  <c r="V421" i="6"/>
  <c r="W421" i="6"/>
  <c r="X421" i="6"/>
  <c r="Y421" i="6"/>
  <c r="Z421" i="6"/>
  <c r="AA421" i="6"/>
  <c r="J422" i="6"/>
  <c r="K422" i="6"/>
  <c r="L422" i="6"/>
  <c r="M422" i="6"/>
  <c r="N422" i="6"/>
  <c r="O422" i="6"/>
  <c r="P422" i="6"/>
  <c r="Q422" i="6"/>
  <c r="R422" i="6"/>
  <c r="S422" i="6"/>
  <c r="T422" i="6"/>
  <c r="U422" i="6"/>
  <c r="V422" i="6"/>
  <c r="W422" i="6"/>
  <c r="X422" i="6"/>
  <c r="Y422" i="6"/>
  <c r="Z422" i="6"/>
  <c r="AA422" i="6"/>
  <c r="J423" i="6"/>
  <c r="K423" i="6"/>
  <c r="L423" i="6"/>
  <c r="M423" i="6"/>
  <c r="N423" i="6"/>
  <c r="O423" i="6"/>
  <c r="P423" i="6"/>
  <c r="Q423" i="6"/>
  <c r="R423" i="6"/>
  <c r="S423" i="6"/>
  <c r="T423" i="6"/>
  <c r="U423" i="6"/>
  <c r="V423" i="6"/>
  <c r="W423" i="6"/>
  <c r="X423" i="6"/>
  <c r="Y423" i="6"/>
  <c r="Z423" i="6"/>
  <c r="AA423" i="6"/>
  <c r="J424" i="6"/>
  <c r="K424" i="6"/>
  <c r="L424" i="6"/>
  <c r="M424" i="6"/>
  <c r="N424" i="6"/>
  <c r="O424" i="6"/>
  <c r="P424" i="6"/>
  <c r="Q424" i="6"/>
  <c r="R424" i="6"/>
  <c r="S424" i="6"/>
  <c r="T424" i="6"/>
  <c r="U424" i="6"/>
  <c r="V424" i="6"/>
  <c r="W424" i="6"/>
  <c r="X424" i="6"/>
  <c r="Y424" i="6"/>
  <c r="Z424" i="6"/>
  <c r="AA424" i="6"/>
  <c r="J425" i="6"/>
  <c r="K425" i="6"/>
  <c r="L425" i="6"/>
  <c r="M425" i="6"/>
  <c r="N425" i="6"/>
  <c r="O425" i="6"/>
  <c r="P425" i="6"/>
  <c r="Q425" i="6"/>
  <c r="R425" i="6"/>
  <c r="S425" i="6"/>
  <c r="T425" i="6"/>
  <c r="U425" i="6"/>
  <c r="V425" i="6"/>
  <c r="W425" i="6"/>
  <c r="X425" i="6"/>
  <c r="Y425" i="6"/>
  <c r="Z425" i="6"/>
  <c r="AA425" i="6"/>
  <c r="J426" i="6"/>
  <c r="K426" i="6"/>
  <c r="L426" i="6"/>
  <c r="M426" i="6"/>
  <c r="N426" i="6"/>
  <c r="O426" i="6"/>
  <c r="P426" i="6"/>
  <c r="Q426" i="6"/>
  <c r="R426" i="6"/>
  <c r="S426" i="6"/>
  <c r="T426" i="6"/>
  <c r="U426" i="6"/>
  <c r="V426" i="6"/>
  <c r="W426" i="6"/>
  <c r="X426" i="6"/>
  <c r="Y426" i="6"/>
  <c r="Z426" i="6"/>
  <c r="AA426" i="6"/>
  <c r="J427" i="6"/>
  <c r="K427" i="6"/>
  <c r="L427" i="6"/>
  <c r="M427" i="6"/>
  <c r="N427" i="6"/>
  <c r="O427" i="6"/>
  <c r="P427" i="6"/>
  <c r="Q427" i="6"/>
  <c r="R427" i="6"/>
  <c r="S427" i="6"/>
  <c r="T427" i="6"/>
  <c r="U427" i="6"/>
  <c r="V427" i="6"/>
  <c r="W427" i="6"/>
  <c r="X427" i="6"/>
  <c r="Y427" i="6"/>
  <c r="Z427" i="6"/>
  <c r="AA427" i="6"/>
  <c r="J428" i="6"/>
  <c r="K428" i="6"/>
  <c r="L428" i="6"/>
  <c r="M428" i="6"/>
  <c r="N428" i="6"/>
  <c r="O428" i="6"/>
  <c r="P428" i="6"/>
  <c r="Q428" i="6"/>
  <c r="R428" i="6"/>
  <c r="S428" i="6"/>
  <c r="T428" i="6"/>
  <c r="U428" i="6"/>
  <c r="V428" i="6"/>
  <c r="W428" i="6"/>
  <c r="X428" i="6"/>
  <c r="Y428" i="6"/>
  <c r="Z428" i="6"/>
  <c r="AA428" i="6"/>
  <c r="J429" i="6"/>
  <c r="K429" i="6"/>
  <c r="L429" i="6"/>
  <c r="M429" i="6"/>
  <c r="N429" i="6"/>
  <c r="O429" i="6"/>
  <c r="P429" i="6"/>
  <c r="Q429" i="6"/>
  <c r="R429" i="6"/>
  <c r="S429" i="6"/>
  <c r="T429" i="6"/>
  <c r="U429" i="6"/>
  <c r="V429" i="6"/>
  <c r="W429" i="6"/>
  <c r="X429" i="6"/>
  <c r="Y429" i="6"/>
  <c r="Z429" i="6"/>
  <c r="AA429" i="6"/>
  <c r="J430" i="6"/>
  <c r="K430" i="6"/>
  <c r="L430" i="6"/>
  <c r="M430" i="6"/>
  <c r="N430" i="6"/>
  <c r="O430" i="6"/>
  <c r="P430" i="6"/>
  <c r="Q430" i="6"/>
  <c r="R430" i="6"/>
  <c r="S430" i="6"/>
  <c r="T430" i="6"/>
  <c r="U430" i="6"/>
  <c r="V430" i="6"/>
  <c r="W430" i="6"/>
  <c r="X430" i="6"/>
  <c r="Y430" i="6"/>
  <c r="Z430" i="6"/>
  <c r="AA430" i="6"/>
  <c r="J431" i="6"/>
  <c r="K431" i="6"/>
  <c r="L431" i="6"/>
  <c r="M431" i="6"/>
  <c r="N431" i="6"/>
  <c r="O431" i="6"/>
  <c r="P431" i="6"/>
  <c r="Q431" i="6"/>
  <c r="R431" i="6"/>
  <c r="S431" i="6"/>
  <c r="T431" i="6"/>
  <c r="U431" i="6"/>
  <c r="V431" i="6"/>
  <c r="W431" i="6"/>
  <c r="X431" i="6"/>
  <c r="Y431" i="6"/>
  <c r="Z431" i="6"/>
  <c r="AA431" i="6"/>
  <c r="J432" i="6"/>
  <c r="K432" i="6"/>
  <c r="L432" i="6"/>
  <c r="M432" i="6"/>
  <c r="N432" i="6"/>
  <c r="O432" i="6"/>
  <c r="P432" i="6"/>
  <c r="Q432" i="6"/>
  <c r="R432" i="6"/>
  <c r="S432" i="6"/>
  <c r="T432" i="6"/>
  <c r="U432" i="6"/>
  <c r="V432" i="6"/>
  <c r="W432" i="6"/>
  <c r="X432" i="6"/>
  <c r="Y432" i="6"/>
  <c r="Z432" i="6"/>
  <c r="AA432" i="6"/>
  <c r="J433" i="6"/>
  <c r="K433" i="6"/>
  <c r="L433" i="6"/>
  <c r="M433" i="6"/>
  <c r="N433" i="6"/>
  <c r="O433" i="6"/>
  <c r="P433" i="6"/>
  <c r="Q433" i="6"/>
  <c r="R433" i="6"/>
  <c r="S433" i="6"/>
  <c r="T433" i="6"/>
  <c r="U433" i="6"/>
  <c r="V433" i="6"/>
  <c r="W433" i="6"/>
  <c r="X433" i="6"/>
  <c r="Y433" i="6"/>
  <c r="Z433" i="6"/>
  <c r="AA433" i="6"/>
  <c r="J434" i="6"/>
  <c r="K434" i="6"/>
  <c r="L434" i="6"/>
  <c r="M434" i="6"/>
  <c r="N434" i="6"/>
  <c r="O434" i="6"/>
  <c r="P434" i="6"/>
  <c r="Q434" i="6"/>
  <c r="R434" i="6"/>
  <c r="S434" i="6"/>
  <c r="T434" i="6"/>
  <c r="U434" i="6"/>
  <c r="V434" i="6"/>
  <c r="W434" i="6"/>
  <c r="X434" i="6"/>
  <c r="Y434" i="6"/>
  <c r="Z434" i="6"/>
  <c r="AA434" i="6"/>
  <c r="J435" i="6"/>
  <c r="K435" i="6"/>
  <c r="L435" i="6"/>
  <c r="M435" i="6"/>
  <c r="N435" i="6"/>
  <c r="O435" i="6"/>
  <c r="P435" i="6"/>
  <c r="Q435" i="6"/>
  <c r="R435" i="6"/>
  <c r="S435" i="6"/>
  <c r="T435" i="6"/>
  <c r="U435" i="6"/>
  <c r="V435" i="6"/>
  <c r="W435" i="6"/>
  <c r="X435" i="6"/>
  <c r="Y435" i="6"/>
  <c r="Z435" i="6"/>
  <c r="AA435" i="6"/>
  <c r="J436" i="6"/>
  <c r="K436" i="6"/>
  <c r="L436" i="6"/>
  <c r="M436" i="6"/>
  <c r="N436" i="6"/>
  <c r="O436" i="6"/>
  <c r="P436" i="6"/>
  <c r="Q436" i="6"/>
  <c r="R436" i="6"/>
  <c r="S436" i="6"/>
  <c r="T436" i="6"/>
  <c r="U436" i="6"/>
  <c r="V436" i="6"/>
  <c r="W436" i="6"/>
  <c r="X436" i="6"/>
  <c r="Y436" i="6"/>
  <c r="Z436" i="6"/>
  <c r="AA436" i="6"/>
  <c r="J437" i="6"/>
  <c r="K437" i="6"/>
  <c r="L437" i="6"/>
  <c r="M437" i="6"/>
  <c r="N437" i="6"/>
  <c r="O437" i="6"/>
  <c r="P437" i="6"/>
  <c r="Q437" i="6"/>
  <c r="R437" i="6"/>
  <c r="S437" i="6"/>
  <c r="T437" i="6"/>
  <c r="U437" i="6"/>
  <c r="V437" i="6"/>
  <c r="W437" i="6"/>
  <c r="X437" i="6"/>
  <c r="Y437" i="6"/>
  <c r="Z437" i="6"/>
  <c r="AA437" i="6"/>
  <c r="J438" i="6"/>
  <c r="K438" i="6"/>
  <c r="L438" i="6"/>
  <c r="M438" i="6"/>
  <c r="N438" i="6"/>
  <c r="O438" i="6"/>
  <c r="P438" i="6"/>
  <c r="Q438" i="6"/>
  <c r="R438" i="6"/>
  <c r="S438" i="6"/>
  <c r="T438" i="6"/>
  <c r="U438" i="6"/>
  <c r="V438" i="6"/>
  <c r="W438" i="6"/>
  <c r="X438" i="6"/>
  <c r="Y438" i="6"/>
  <c r="Z438" i="6"/>
  <c r="AA438" i="6"/>
  <c r="J439" i="6"/>
  <c r="K439" i="6"/>
  <c r="L439" i="6"/>
  <c r="M439" i="6"/>
  <c r="N439" i="6"/>
  <c r="O439" i="6"/>
  <c r="P439" i="6"/>
  <c r="Q439" i="6"/>
  <c r="R439" i="6"/>
  <c r="S439" i="6"/>
  <c r="T439" i="6"/>
  <c r="U439" i="6"/>
  <c r="V439" i="6"/>
  <c r="W439" i="6"/>
  <c r="X439" i="6"/>
  <c r="Y439" i="6"/>
  <c r="Z439" i="6"/>
  <c r="AA439" i="6"/>
  <c r="J440" i="6"/>
  <c r="K440" i="6"/>
  <c r="L440" i="6"/>
  <c r="M440" i="6"/>
  <c r="N440" i="6"/>
  <c r="O440" i="6"/>
  <c r="P440" i="6"/>
  <c r="Q440" i="6"/>
  <c r="R440" i="6"/>
  <c r="S440" i="6"/>
  <c r="T440" i="6"/>
  <c r="U440" i="6"/>
  <c r="V440" i="6"/>
  <c r="W440" i="6"/>
  <c r="X440" i="6"/>
  <c r="Y440" i="6"/>
  <c r="Z440" i="6"/>
  <c r="AA440" i="6"/>
  <c r="J441" i="6"/>
  <c r="K441" i="6"/>
  <c r="L441" i="6"/>
  <c r="M441" i="6"/>
  <c r="N441" i="6"/>
  <c r="O441" i="6"/>
  <c r="P441" i="6"/>
  <c r="Q441" i="6"/>
  <c r="R441" i="6"/>
  <c r="S441" i="6"/>
  <c r="T441" i="6"/>
  <c r="U441" i="6"/>
  <c r="V441" i="6"/>
  <c r="W441" i="6"/>
  <c r="X441" i="6"/>
  <c r="Y441" i="6"/>
  <c r="Z441" i="6"/>
  <c r="AA441" i="6"/>
  <c r="J442" i="6"/>
  <c r="K442" i="6"/>
  <c r="L442" i="6"/>
  <c r="M442" i="6"/>
  <c r="N442" i="6"/>
  <c r="O442" i="6"/>
  <c r="P442" i="6"/>
  <c r="Q442" i="6"/>
  <c r="R442" i="6"/>
  <c r="S442" i="6"/>
  <c r="T442" i="6"/>
  <c r="U442" i="6"/>
  <c r="V442" i="6"/>
  <c r="W442" i="6"/>
  <c r="X442" i="6"/>
  <c r="Y442" i="6"/>
  <c r="Z442" i="6"/>
  <c r="AA442" i="6"/>
  <c r="J443" i="6"/>
  <c r="K443" i="6"/>
  <c r="L443" i="6"/>
  <c r="M443" i="6"/>
  <c r="N443" i="6"/>
  <c r="O443" i="6"/>
  <c r="P443" i="6"/>
  <c r="Q443" i="6"/>
  <c r="R443" i="6"/>
  <c r="S443" i="6"/>
  <c r="T443" i="6"/>
  <c r="U443" i="6"/>
  <c r="V443" i="6"/>
  <c r="W443" i="6"/>
  <c r="X443" i="6"/>
  <c r="Y443" i="6"/>
  <c r="Z443" i="6"/>
  <c r="AA443" i="6"/>
  <c r="J444" i="6"/>
  <c r="K444" i="6"/>
  <c r="L444" i="6"/>
  <c r="M444" i="6"/>
  <c r="N444" i="6"/>
  <c r="O444" i="6"/>
  <c r="P444" i="6"/>
  <c r="Q444" i="6"/>
  <c r="R444" i="6"/>
  <c r="S444" i="6"/>
  <c r="T444" i="6"/>
  <c r="U444" i="6"/>
  <c r="V444" i="6"/>
  <c r="W444" i="6"/>
  <c r="X444" i="6"/>
  <c r="Y444" i="6"/>
  <c r="Z444" i="6"/>
  <c r="AA444" i="6"/>
  <c r="J445" i="6"/>
  <c r="K445" i="6"/>
  <c r="L445" i="6"/>
  <c r="M445" i="6"/>
  <c r="N445" i="6"/>
  <c r="O445" i="6"/>
  <c r="P445" i="6"/>
  <c r="Q445" i="6"/>
  <c r="R445" i="6"/>
  <c r="S445" i="6"/>
  <c r="T445" i="6"/>
  <c r="U445" i="6"/>
  <c r="V445" i="6"/>
  <c r="W445" i="6"/>
  <c r="X445" i="6"/>
  <c r="Y445" i="6"/>
  <c r="Z445" i="6"/>
  <c r="AA445" i="6"/>
  <c r="J446" i="6"/>
  <c r="K446" i="6"/>
  <c r="L446" i="6"/>
  <c r="M446" i="6"/>
  <c r="N446" i="6"/>
  <c r="O446" i="6"/>
  <c r="P446" i="6"/>
  <c r="Q446" i="6"/>
  <c r="R446" i="6"/>
  <c r="S446" i="6"/>
  <c r="T446" i="6"/>
  <c r="U446" i="6"/>
  <c r="V446" i="6"/>
  <c r="W446" i="6"/>
  <c r="X446" i="6"/>
  <c r="Y446" i="6"/>
  <c r="Z446" i="6"/>
  <c r="AA446" i="6"/>
  <c r="J447" i="6"/>
  <c r="K447" i="6"/>
  <c r="L447" i="6"/>
  <c r="M447" i="6"/>
  <c r="N447" i="6"/>
  <c r="O447" i="6"/>
  <c r="P447" i="6"/>
  <c r="Q447" i="6"/>
  <c r="R447" i="6"/>
  <c r="S447" i="6"/>
  <c r="T447" i="6"/>
  <c r="U447" i="6"/>
  <c r="V447" i="6"/>
  <c r="W447" i="6"/>
  <c r="X447" i="6"/>
  <c r="Y447" i="6"/>
  <c r="Z447" i="6"/>
  <c r="AA447" i="6"/>
  <c r="J448" i="6"/>
  <c r="K448" i="6"/>
  <c r="L448" i="6"/>
  <c r="M448" i="6"/>
  <c r="N448" i="6"/>
  <c r="O448" i="6"/>
  <c r="P448" i="6"/>
  <c r="Q448" i="6"/>
  <c r="R448" i="6"/>
  <c r="S448" i="6"/>
  <c r="T448" i="6"/>
  <c r="U448" i="6"/>
  <c r="V448" i="6"/>
  <c r="W448" i="6"/>
  <c r="X448" i="6"/>
  <c r="Y448" i="6"/>
  <c r="Z448" i="6"/>
  <c r="AA448" i="6"/>
  <c r="J449" i="6"/>
  <c r="K449" i="6"/>
  <c r="L449" i="6"/>
  <c r="M449" i="6"/>
  <c r="N449" i="6"/>
  <c r="O449" i="6"/>
  <c r="P449" i="6"/>
  <c r="Q449" i="6"/>
  <c r="R449" i="6"/>
  <c r="S449" i="6"/>
  <c r="T449" i="6"/>
  <c r="U449" i="6"/>
  <c r="V449" i="6"/>
  <c r="W449" i="6"/>
  <c r="X449" i="6"/>
  <c r="Y449" i="6"/>
  <c r="Z449" i="6"/>
  <c r="AA449" i="6"/>
  <c r="J450" i="6"/>
  <c r="K450" i="6"/>
  <c r="L450" i="6"/>
  <c r="M450" i="6"/>
  <c r="N450" i="6"/>
  <c r="O450" i="6"/>
  <c r="P450" i="6"/>
  <c r="Q450" i="6"/>
  <c r="R450" i="6"/>
  <c r="S450" i="6"/>
  <c r="T450" i="6"/>
  <c r="U450" i="6"/>
  <c r="V450" i="6"/>
  <c r="W450" i="6"/>
  <c r="X450" i="6"/>
  <c r="Y450" i="6"/>
  <c r="Z450" i="6"/>
  <c r="AA450" i="6"/>
  <c r="J451" i="6"/>
  <c r="K451" i="6"/>
  <c r="L451" i="6"/>
  <c r="M451" i="6"/>
  <c r="N451" i="6"/>
  <c r="O451" i="6"/>
  <c r="P451" i="6"/>
  <c r="Q451" i="6"/>
  <c r="R451" i="6"/>
  <c r="S451" i="6"/>
  <c r="T451" i="6"/>
  <c r="U451" i="6"/>
  <c r="V451" i="6"/>
  <c r="W451" i="6"/>
  <c r="X451" i="6"/>
  <c r="Y451" i="6"/>
  <c r="Z451" i="6"/>
  <c r="AA451" i="6"/>
  <c r="J452" i="6"/>
  <c r="K452" i="6"/>
  <c r="L452" i="6"/>
  <c r="M452" i="6"/>
  <c r="N452" i="6"/>
  <c r="O452" i="6"/>
  <c r="P452" i="6"/>
  <c r="Q452" i="6"/>
  <c r="R452" i="6"/>
  <c r="S452" i="6"/>
  <c r="T452" i="6"/>
  <c r="U452" i="6"/>
  <c r="V452" i="6"/>
  <c r="W452" i="6"/>
  <c r="X452" i="6"/>
  <c r="Y452" i="6"/>
  <c r="Z452" i="6"/>
  <c r="AA452" i="6"/>
  <c r="J453" i="6"/>
  <c r="K453" i="6"/>
  <c r="L453" i="6"/>
  <c r="M453" i="6"/>
  <c r="N453" i="6"/>
  <c r="O453" i="6"/>
  <c r="P453" i="6"/>
  <c r="Q453" i="6"/>
  <c r="R453" i="6"/>
  <c r="S453" i="6"/>
  <c r="T453" i="6"/>
  <c r="U453" i="6"/>
  <c r="V453" i="6"/>
  <c r="W453" i="6"/>
  <c r="X453" i="6"/>
  <c r="Y453" i="6"/>
  <c r="Z453" i="6"/>
  <c r="AA453" i="6"/>
  <c r="J454" i="6"/>
  <c r="K454" i="6"/>
  <c r="L454" i="6"/>
  <c r="M454" i="6"/>
  <c r="N454" i="6"/>
  <c r="O454" i="6"/>
  <c r="P454" i="6"/>
  <c r="Q454" i="6"/>
  <c r="R454" i="6"/>
  <c r="S454" i="6"/>
  <c r="T454" i="6"/>
  <c r="U454" i="6"/>
  <c r="V454" i="6"/>
  <c r="W454" i="6"/>
  <c r="X454" i="6"/>
  <c r="Y454" i="6"/>
  <c r="Z454" i="6"/>
  <c r="AA454" i="6"/>
  <c r="J455" i="6"/>
  <c r="K455" i="6"/>
  <c r="L455" i="6"/>
  <c r="M455" i="6"/>
  <c r="N455" i="6"/>
  <c r="O455" i="6"/>
  <c r="P455" i="6"/>
  <c r="Q455" i="6"/>
  <c r="R455" i="6"/>
  <c r="S455" i="6"/>
  <c r="T455" i="6"/>
  <c r="U455" i="6"/>
  <c r="V455" i="6"/>
  <c r="W455" i="6"/>
  <c r="X455" i="6"/>
  <c r="Y455" i="6"/>
  <c r="Z455" i="6"/>
  <c r="AA455" i="6"/>
  <c r="J456" i="6"/>
  <c r="K456" i="6"/>
  <c r="L456" i="6"/>
  <c r="M456" i="6"/>
  <c r="N456" i="6"/>
  <c r="O456" i="6"/>
  <c r="P456" i="6"/>
  <c r="Q456" i="6"/>
  <c r="R456" i="6"/>
  <c r="S456" i="6"/>
  <c r="T456" i="6"/>
  <c r="U456" i="6"/>
  <c r="V456" i="6"/>
  <c r="W456" i="6"/>
  <c r="X456" i="6"/>
  <c r="Y456" i="6"/>
  <c r="Z456" i="6"/>
  <c r="AA456" i="6"/>
  <c r="J457" i="6"/>
  <c r="K457" i="6"/>
  <c r="L457" i="6"/>
  <c r="M457" i="6"/>
  <c r="N457" i="6"/>
  <c r="O457" i="6"/>
  <c r="P457" i="6"/>
  <c r="Q457" i="6"/>
  <c r="R457" i="6"/>
  <c r="S457" i="6"/>
  <c r="T457" i="6"/>
  <c r="U457" i="6"/>
  <c r="V457" i="6"/>
  <c r="W457" i="6"/>
  <c r="X457" i="6"/>
  <c r="Y457" i="6"/>
  <c r="Z457" i="6"/>
  <c r="AA457" i="6"/>
  <c r="J458" i="6"/>
  <c r="K458" i="6"/>
  <c r="L458" i="6"/>
  <c r="M458" i="6"/>
  <c r="N458" i="6"/>
  <c r="O458" i="6"/>
  <c r="P458" i="6"/>
  <c r="Q458" i="6"/>
  <c r="R458" i="6"/>
  <c r="S458" i="6"/>
  <c r="T458" i="6"/>
  <c r="U458" i="6"/>
  <c r="V458" i="6"/>
  <c r="W458" i="6"/>
  <c r="X458" i="6"/>
  <c r="Y458" i="6"/>
  <c r="Z458" i="6"/>
  <c r="AA458" i="6"/>
  <c r="J459" i="6"/>
  <c r="K459" i="6"/>
  <c r="L459" i="6"/>
  <c r="M459" i="6"/>
  <c r="N459" i="6"/>
  <c r="O459" i="6"/>
  <c r="P459" i="6"/>
  <c r="Q459" i="6"/>
  <c r="R459" i="6"/>
  <c r="S459" i="6"/>
  <c r="T459" i="6"/>
  <c r="U459" i="6"/>
  <c r="V459" i="6"/>
  <c r="W459" i="6"/>
  <c r="X459" i="6"/>
  <c r="Y459" i="6"/>
  <c r="Z459" i="6"/>
  <c r="AA459" i="6"/>
  <c r="J460" i="6"/>
  <c r="K460" i="6"/>
  <c r="L460" i="6"/>
  <c r="M460" i="6"/>
  <c r="N460" i="6"/>
  <c r="O460" i="6"/>
  <c r="P460" i="6"/>
  <c r="Q460" i="6"/>
  <c r="R460" i="6"/>
  <c r="S460" i="6"/>
  <c r="T460" i="6"/>
  <c r="U460" i="6"/>
  <c r="V460" i="6"/>
  <c r="W460" i="6"/>
  <c r="X460" i="6"/>
  <c r="Y460" i="6"/>
  <c r="Z460" i="6"/>
  <c r="AA460" i="6"/>
  <c r="J461" i="6"/>
  <c r="K461" i="6"/>
  <c r="L461" i="6"/>
  <c r="M461" i="6"/>
  <c r="N461" i="6"/>
  <c r="O461" i="6"/>
  <c r="P461" i="6"/>
  <c r="Q461" i="6"/>
  <c r="R461" i="6"/>
  <c r="S461" i="6"/>
  <c r="T461" i="6"/>
  <c r="U461" i="6"/>
  <c r="V461" i="6"/>
  <c r="W461" i="6"/>
  <c r="X461" i="6"/>
  <c r="Y461" i="6"/>
  <c r="Z461" i="6"/>
  <c r="AA461" i="6"/>
  <c r="J462" i="6"/>
  <c r="K462" i="6"/>
  <c r="L462" i="6"/>
  <c r="M462" i="6"/>
  <c r="N462" i="6"/>
  <c r="O462" i="6"/>
  <c r="P462" i="6"/>
  <c r="Q462" i="6"/>
  <c r="R462" i="6"/>
  <c r="S462" i="6"/>
  <c r="T462" i="6"/>
  <c r="U462" i="6"/>
  <c r="V462" i="6"/>
  <c r="W462" i="6"/>
  <c r="X462" i="6"/>
  <c r="Y462" i="6"/>
  <c r="Z462" i="6"/>
  <c r="AA462" i="6"/>
  <c r="J463" i="6"/>
  <c r="K463" i="6"/>
  <c r="L463" i="6"/>
  <c r="M463" i="6"/>
  <c r="N463" i="6"/>
  <c r="O463" i="6"/>
  <c r="P463" i="6"/>
  <c r="Q463" i="6"/>
  <c r="R463" i="6"/>
  <c r="S463" i="6"/>
  <c r="T463" i="6"/>
  <c r="U463" i="6"/>
  <c r="V463" i="6"/>
  <c r="W463" i="6"/>
  <c r="X463" i="6"/>
  <c r="Y463" i="6"/>
  <c r="Z463" i="6"/>
  <c r="AA463" i="6"/>
  <c r="J464" i="6"/>
  <c r="K464" i="6"/>
  <c r="L464" i="6"/>
  <c r="M464" i="6"/>
  <c r="N464" i="6"/>
  <c r="O464" i="6"/>
  <c r="P464" i="6"/>
  <c r="Q464" i="6"/>
  <c r="R464" i="6"/>
  <c r="S464" i="6"/>
  <c r="T464" i="6"/>
  <c r="U464" i="6"/>
  <c r="V464" i="6"/>
  <c r="W464" i="6"/>
  <c r="X464" i="6"/>
  <c r="Y464" i="6"/>
  <c r="Z464" i="6"/>
  <c r="AA464" i="6"/>
  <c r="J465" i="6"/>
  <c r="K465" i="6"/>
  <c r="L465" i="6"/>
  <c r="M465" i="6"/>
  <c r="N465" i="6"/>
  <c r="O465" i="6"/>
  <c r="P465" i="6"/>
  <c r="Q465" i="6"/>
  <c r="R465" i="6"/>
  <c r="S465" i="6"/>
  <c r="T465" i="6"/>
  <c r="U465" i="6"/>
  <c r="V465" i="6"/>
  <c r="W465" i="6"/>
  <c r="X465" i="6"/>
  <c r="Y465" i="6"/>
  <c r="Z465" i="6"/>
  <c r="AA465" i="6"/>
  <c r="J466" i="6"/>
  <c r="K466" i="6"/>
  <c r="L466" i="6"/>
  <c r="M466" i="6"/>
  <c r="N466" i="6"/>
  <c r="O466" i="6"/>
  <c r="P466" i="6"/>
  <c r="Q466" i="6"/>
  <c r="R466" i="6"/>
  <c r="S466" i="6"/>
  <c r="T466" i="6"/>
  <c r="U466" i="6"/>
  <c r="V466" i="6"/>
  <c r="W466" i="6"/>
  <c r="X466" i="6"/>
  <c r="Y466" i="6"/>
  <c r="Z466" i="6"/>
  <c r="AA466" i="6"/>
  <c r="J467" i="6"/>
  <c r="K467" i="6"/>
  <c r="L467" i="6"/>
  <c r="M467" i="6"/>
  <c r="N467" i="6"/>
  <c r="O467" i="6"/>
  <c r="P467" i="6"/>
  <c r="Q467" i="6"/>
  <c r="R467" i="6"/>
  <c r="S467" i="6"/>
  <c r="T467" i="6"/>
  <c r="U467" i="6"/>
  <c r="V467" i="6"/>
  <c r="W467" i="6"/>
  <c r="X467" i="6"/>
  <c r="Y467" i="6"/>
  <c r="Z467" i="6"/>
  <c r="AA467" i="6"/>
  <c r="J468" i="6"/>
  <c r="K468" i="6"/>
  <c r="L468" i="6"/>
  <c r="M468" i="6"/>
  <c r="N468" i="6"/>
  <c r="O468" i="6"/>
  <c r="P468" i="6"/>
  <c r="Q468" i="6"/>
  <c r="R468" i="6"/>
  <c r="S468" i="6"/>
  <c r="T468" i="6"/>
  <c r="U468" i="6"/>
  <c r="V468" i="6"/>
  <c r="W468" i="6"/>
  <c r="X468" i="6"/>
  <c r="Y468" i="6"/>
  <c r="Z468" i="6"/>
  <c r="AA468" i="6"/>
  <c r="J469" i="6"/>
  <c r="K469" i="6"/>
  <c r="L469" i="6"/>
  <c r="M469" i="6"/>
  <c r="N469" i="6"/>
  <c r="O469" i="6"/>
  <c r="P469" i="6"/>
  <c r="Q469" i="6"/>
  <c r="R469" i="6"/>
  <c r="S469" i="6"/>
  <c r="T469" i="6"/>
  <c r="U469" i="6"/>
  <c r="V469" i="6"/>
  <c r="W469" i="6"/>
  <c r="X469" i="6"/>
  <c r="Y469" i="6"/>
  <c r="Z469" i="6"/>
  <c r="AA469" i="6"/>
  <c r="J470" i="6"/>
  <c r="K470" i="6"/>
  <c r="L470" i="6"/>
  <c r="M470" i="6"/>
  <c r="N470" i="6"/>
  <c r="O470" i="6"/>
  <c r="P470" i="6"/>
  <c r="Q470" i="6"/>
  <c r="R470" i="6"/>
  <c r="S470" i="6"/>
  <c r="T470" i="6"/>
  <c r="U470" i="6"/>
  <c r="V470" i="6"/>
  <c r="W470" i="6"/>
  <c r="X470" i="6"/>
  <c r="Y470" i="6"/>
  <c r="Z470" i="6"/>
  <c r="AA470" i="6"/>
  <c r="J471" i="6"/>
  <c r="K471" i="6"/>
  <c r="L471" i="6"/>
  <c r="M471" i="6"/>
  <c r="N471" i="6"/>
  <c r="O471" i="6"/>
  <c r="P471" i="6"/>
  <c r="Q471" i="6"/>
  <c r="R471" i="6"/>
  <c r="S471" i="6"/>
  <c r="T471" i="6"/>
  <c r="U471" i="6"/>
  <c r="V471" i="6"/>
  <c r="W471" i="6"/>
  <c r="X471" i="6"/>
  <c r="Y471" i="6"/>
  <c r="Z471" i="6"/>
  <c r="AA471" i="6"/>
  <c r="J472" i="6"/>
  <c r="K472" i="6"/>
  <c r="L472" i="6"/>
  <c r="M472" i="6"/>
  <c r="N472" i="6"/>
  <c r="O472" i="6"/>
  <c r="P472" i="6"/>
  <c r="Q472" i="6"/>
  <c r="R472" i="6"/>
  <c r="S472" i="6"/>
  <c r="T472" i="6"/>
  <c r="U472" i="6"/>
  <c r="V472" i="6"/>
  <c r="W472" i="6"/>
  <c r="X472" i="6"/>
  <c r="Y472" i="6"/>
  <c r="Z472" i="6"/>
  <c r="AA472" i="6"/>
  <c r="J473" i="6"/>
  <c r="K473" i="6"/>
  <c r="L473" i="6"/>
  <c r="M473" i="6"/>
  <c r="N473" i="6"/>
  <c r="O473" i="6"/>
  <c r="P473" i="6"/>
  <c r="Q473" i="6"/>
  <c r="R473" i="6"/>
  <c r="S473" i="6"/>
  <c r="T473" i="6"/>
  <c r="U473" i="6"/>
  <c r="V473" i="6"/>
  <c r="W473" i="6"/>
  <c r="X473" i="6"/>
  <c r="Y473" i="6"/>
  <c r="Z473" i="6"/>
  <c r="AA473" i="6"/>
  <c r="J474" i="6"/>
  <c r="K474" i="6"/>
  <c r="L474" i="6"/>
  <c r="M474" i="6"/>
  <c r="N474" i="6"/>
  <c r="O474" i="6"/>
  <c r="P474" i="6"/>
  <c r="Q474" i="6"/>
  <c r="R474" i="6"/>
  <c r="S474" i="6"/>
  <c r="T474" i="6"/>
  <c r="U474" i="6"/>
  <c r="V474" i="6"/>
  <c r="W474" i="6"/>
  <c r="X474" i="6"/>
  <c r="Y474" i="6"/>
  <c r="Z474" i="6"/>
  <c r="AA474" i="6"/>
  <c r="J475" i="6"/>
  <c r="K475" i="6"/>
  <c r="L475" i="6"/>
  <c r="M475" i="6"/>
  <c r="N475" i="6"/>
  <c r="O475" i="6"/>
  <c r="P475" i="6"/>
  <c r="Q475" i="6"/>
  <c r="R475" i="6"/>
  <c r="S475" i="6"/>
  <c r="T475" i="6"/>
  <c r="U475" i="6"/>
  <c r="V475" i="6"/>
  <c r="W475" i="6"/>
  <c r="X475" i="6"/>
  <c r="Y475" i="6"/>
  <c r="Z475" i="6"/>
  <c r="AA475" i="6"/>
  <c r="J476" i="6"/>
  <c r="K476" i="6"/>
  <c r="L476" i="6"/>
  <c r="M476" i="6"/>
  <c r="N476" i="6"/>
  <c r="O476" i="6"/>
  <c r="P476" i="6"/>
  <c r="Q476" i="6"/>
  <c r="R476" i="6"/>
  <c r="S476" i="6"/>
  <c r="T476" i="6"/>
  <c r="U476" i="6"/>
  <c r="V476" i="6"/>
  <c r="W476" i="6"/>
  <c r="X476" i="6"/>
  <c r="Y476" i="6"/>
  <c r="Z476" i="6"/>
  <c r="AA476" i="6"/>
  <c r="J477" i="6"/>
  <c r="K477" i="6"/>
  <c r="L477" i="6"/>
  <c r="M477" i="6"/>
  <c r="N477" i="6"/>
  <c r="O477" i="6"/>
  <c r="P477" i="6"/>
  <c r="Q477" i="6"/>
  <c r="R477" i="6"/>
  <c r="S477" i="6"/>
  <c r="T477" i="6"/>
  <c r="U477" i="6"/>
  <c r="V477" i="6"/>
  <c r="W477" i="6"/>
  <c r="X477" i="6"/>
  <c r="Y477" i="6"/>
  <c r="Z477" i="6"/>
  <c r="AA477" i="6"/>
  <c r="J478" i="6"/>
  <c r="K478" i="6"/>
  <c r="L478" i="6"/>
  <c r="M478" i="6"/>
  <c r="N478" i="6"/>
  <c r="O478" i="6"/>
  <c r="P478" i="6"/>
  <c r="Q478" i="6"/>
  <c r="R478" i="6"/>
  <c r="S478" i="6"/>
  <c r="T478" i="6"/>
  <c r="U478" i="6"/>
  <c r="V478" i="6"/>
  <c r="W478" i="6"/>
  <c r="X478" i="6"/>
  <c r="Y478" i="6"/>
  <c r="Z478" i="6"/>
  <c r="AA478" i="6"/>
  <c r="J479" i="6"/>
  <c r="K479" i="6"/>
  <c r="L479" i="6"/>
  <c r="M479" i="6"/>
  <c r="N479" i="6"/>
  <c r="O479" i="6"/>
  <c r="P479" i="6"/>
  <c r="Q479" i="6"/>
  <c r="R479" i="6"/>
  <c r="S479" i="6"/>
  <c r="T479" i="6"/>
  <c r="U479" i="6"/>
  <c r="V479" i="6"/>
  <c r="W479" i="6"/>
  <c r="X479" i="6"/>
  <c r="Y479" i="6"/>
  <c r="Z479" i="6"/>
  <c r="AA479" i="6"/>
  <c r="J480" i="6"/>
  <c r="K480" i="6"/>
  <c r="L480" i="6"/>
  <c r="M480" i="6"/>
  <c r="N480" i="6"/>
  <c r="O480" i="6"/>
  <c r="P480" i="6"/>
  <c r="Q480" i="6"/>
  <c r="R480" i="6"/>
  <c r="S480" i="6"/>
  <c r="T480" i="6"/>
  <c r="U480" i="6"/>
  <c r="V480" i="6"/>
  <c r="W480" i="6"/>
  <c r="X480" i="6"/>
  <c r="Y480" i="6"/>
  <c r="Z480" i="6"/>
  <c r="AA480" i="6"/>
  <c r="J481" i="6"/>
  <c r="K481" i="6"/>
  <c r="L481" i="6"/>
  <c r="M481" i="6"/>
  <c r="N481" i="6"/>
  <c r="O481" i="6"/>
  <c r="P481" i="6"/>
  <c r="Q481" i="6"/>
  <c r="R481" i="6"/>
  <c r="S481" i="6"/>
  <c r="T481" i="6"/>
  <c r="U481" i="6"/>
  <c r="V481" i="6"/>
  <c r="W481" i="6"/>
  <c r="X481" i="6"/>
  <c r="Y481" i="6"/>
  <c r="Z481" i="6"/>
  <c r="AA481" i="6"/>
  <c r="J482" i="6"/>
  <c r="K482" i="6"/>
  <c r="L482" i="6"/>
  <c r="M482" i="6"/>
  <c r="N482" i="6"/>
  <c r="O482" i="6"/>
  <c r="P482" i="6"/>
  <c r="Q482" i="6"/>
  <c r="R482" i="6"/>
  <c r="S482" i="6"/>
  <c r="T482" i="6"/>
  <c r="U482" i="6"/>
  <c r="V482" i="6"/>
  <c r="W482" i="6"/>
  <c r="X482" i="6"/>
  <c r="Y482" i="6"/>
  <c r="Z482" i="6"/>
  <c r="AA482" i="6"/>
  <c r="J483" i="6"/>
  <c r="K483" i="6"/>
  <c r="L483" i="6"/>
  <c r="M483" i="6"/>
  <c r="N483" i="6"/>
  <c r="O483" i="6"/>
  <c r="P483" i="6"/>
  <c r="Q483" i="6"/>
  <c r="R483" i="6"/>
  <c r="S483" i="6"/>
  <c r="T483" i="6"/>
  <c r="U483" i="6"/>
  <c r="V483" i="6"/>
  <c r="W483" i="6"/>
  <c r="X483" i="6"/>
  <c r="Y483" i="6"/>
  <c r="Z483" i="6"/>
  <c r="AA483" i="6"/>
  <c r="J484" i="6"/>
  <c r="K484" i="6"/>
  <c r="L484" i="6"/>
  <c r="M484" i="6"/>
  <c r="N484" i="6"/>
  <c r="O484" i="6"/>
  <c r="P484" i="6"/>
  <c r="Q484" i="6"/>
  <c r="R484" i="6"/>
  <c r="S484" i="6"/>
  <c r="T484" i="6"/>
  <c r="U484" i="6"/>
  <c r="V484" i="6"/>
  <c r="W484" i="6"/>
  <c r="X484" i="6"/>
  <c r="Y484" i="6"/>
  <c r="Z484" i="6"/>
  <c r="AA484" i="6"/>
  <c r="J485" i="6"/>
  <c r="K485" i="6"/>
  <c r="L485" i="6"/>
  <c r="M485" i="6"/>
  <c r="N485" i="6"/>
  <c r="O485" i="6"/>
  <c r="P485" i="6"/>
  <c r="Q485" i="6"/>
  <c r="R485" i="6"/>
  <c r="S485" i="6"/>
  <c r="T485" i="6"/>
  <c r="U485" i="6"/>
  <c r="V485" i="6"/>
  <c r="W485" i="6"/>
  <c r="X485" i="6"/>
  <c r="Y485" i="6"/>
  <c r="Z485" i="6"/>
  <c r="AA485" i="6"/>
  <c r="J486" i="6"/>
  <c r="K486" i="6"/>
  <c r="L486" i="6"/>
  <c r="M486" i="6"/>
  <c r="N486" i="6"/>
  <c r="O486" i="6"/>
  <c r="P486" i="6"/>
  <c r="Q486" i="6"/>
  <c r="R486" i="6"/>
  <c r="S486" i="6"/>
  <c r="T486" i="6"/>
  <c r="U486" i="6"/>
  <c r="V486" i="6"/>
  <c r="W486" i="6"/>
  <c r="X486" i="6"/>
  <c r="Y486" i="6"/>
  <c r="Z486" i="6"/>
  <c r="AA486" i="6"/>
  <c r="J487" i="6"/>
  <c r="K487" i="6"/>
  <c r="L487" i="6"/>
  <c r="M487" i="6"/>
  <c r="N487" i="6"/>
  <c r="O487" i="6"/>
  <c r="P487" i="6"/>
  <c r="Q487" i="6"/>
  <c r="R487" i="6"/>
  <c r="S487" i="6"/>
  <c r="T487" i="6"/>
  <c r="U487" i="6"/>
  <c r="V487" i="6"/>
  <c r="W487" i="6"/>
  <c r="X487" i="6"/>
  <c r="Y487" i="6"/>
  <c r="Z487" i="6"/>
  <c r="AA487" i="6"/>
  <c r="J488" i="6"/>
  <c r="K488" i="6"/>
  <c r="L488" i="6"/>
  <c r="M488" i="6"/>
  <c r="N488" i="6"/>
  <c r="O488" i="6"/>
  <c r="P488" i="6"/>
  <c r="Q488" i="6"/>
  <c r="R488" i="6"/>
  <c r="S488" i="6"/>
  <c r="T488" i="6"/>
  <c r="U488" i="6"/>
  <c r="V488" i="6"/>
  <c r="W488" i="6"/>
  <c r="X488" i="6"/>
  <c r="Y488" i="6"/>
  <c r="Z488" i="6"/>
  <c r="AA488" i="6"/>
  <c r="J489" i="6"/>
  <c r="K489" i="6"/>
  <c r="L489" i="6"/>
  <c r="M489" i="6"/>
  <c r="N489" i="6"/>
  <c r="O489" i="6"/>
  <c r="P489" i="6"/>
  <c r="Q489" i="6"/>
  <c r="R489" i="6"/>
  <c r="S489" i="6"/>
  <c r="T489" i="6"/>
  <c r="U489" i="6"/>
  <c r="V489" i="6"/>
  <c r="W489" i="6"/>
  <c r="X489" i="6"/>
  <c r="Y489" i="6"/>
  <c r="Z489" i="6"/>
  <c r="AA489" i="6"/>
  <c r="J490" i="6"/>
  <c r="K490" i="6"/>
  <c r="L490" i="6"/>
  <c r="M490" i="6"/>
  <c r="N490" i="6"/>
  <c r="O490" i="6"/>
  <c r="P490" i="6"/>
  <c r="Q490" i="6"/>
  <c r="R490" i="6"/>
  <c r="S490" i="6"/>
  <c r="T490" i="6"/>
  <c r="U490" i="6"/>
  <c r="V490" i="6"/>
  <c r="W490" i="6"/>
  <c r="X490" i="6"/>
  <c r="Y490" i="6"/>
  <c r="Z490" i="6"/>
  <c r="AA490" i="6"/>
  <c r="J491" i="6"/>
  <c r="K491" i="6"/>
  <c r="L491" i="6"/>
  <c r="M491" i="6"/>
  <c r="N491" i="6"/>
  <c r="O491" i="6"/>
  <c r="P491" i="6"/>
  <c r="Q491" i="6"/>
  <c r="R491" i="6"/>
  <c r="S491" i="6"/>
  <c r="T491" i="6"/>
  <c r="U491" i="6"/>
  <c r="V491" i="6"/>
  <c r="W491" i="6"/>
  <c r="X491" i="6"/>
  <c r="Y491" i="6"/>
  <c r="Z491" i="6"/>
  <c r="AA491" i="6"/>
  <c r="J492" i="6"/>
  <c r="K492" i="6"/>
  <c r="L492" i="6"/>
  <c r="M492" i="6"/>
  <c r="N492" i="6"/>
  <c r="O492" i="6"/>
  <c r="P492" i="6"/>
  <c r="Q492" i="6"/>
  <c r="R492" i="6"/>
  <c r="S492" i="6"/>
  <c r="T492" i="6"/>
  <c r="U492" i="6"/>
  <c r="V492" i="6"/>
  <c r="W492" i="6"/>
  <c r="X492" i="6"/>
  <c r="Y492" i="6"/>
  <c r="Z492" i="6"/>
  <c r="AA492" i="6"/>
  <c r="J493" i="6"/>
  <c r="K493" i="6"/>
  <c r="L493" i="6"/>
  <c r="M493" i="6"/>
  <c r="N493" i="6"/>
  <c r="O493" i="6"/>
  <c r="P493" i="6"/>
  <c r="Q493" i="6"/>
  <c r="R493" i="6"/>
  <c r="S493" i="6"/>
  <c r="T493" i="6"/>
  <c r="U493" i="6"/>
  <c r="V493" i="6"/>
  <c r="W493" i="6"/>
  <c r="X493" i="6"/>
  <c r="Y493" i="6"/>
  <c r="Z493" i="6"/>
  <c r="AA493" i="6"/>
  <c r="J494" i="6"/>
  <c r="K494" i="6"/>
  <c r="L494" i="6"/>
  <c r="M494" i="6"/>
  <c r="N494" i="6"/>
  <c r="O494" i="6"/>
  <c r="P494" i="6"/>
  <c r="Q494" i="6"/>
  <c r="R494" i="6"/>
  <c r="S494" i="6"/>
  <c r="T494" i="6"/>
  <c r="U494" i="6"/>
  <c r="V494" i="6"/>
  <c r="W494" i="6"/>
  <c r="X494" i="6"/>
  <c r="Y494" i="6"/>
  <c r="Z494" i="6"/>
  <c r="AA494" i="6"/>
  <c r="J495" i="6"/>
  <c r="K495" i="6"/>
  <c r="L495" i="6"/>
  <c r="M495" i="6"/>
  <c r="N495" i="6"/>
  <c r="O495" i="6"/>
  <c r="P495" i="6"/>
  <c r="Q495" i="6"/>
  <c r="R495" i="6"/>
  <c r="S495" i="6"/>
  <c r="T495" i="6"/>
  <c r="U495" i="6"/>
  <c r="V495" i="6"/>
  <c r="W495" i="6"/>
  <c r="X495" i="6"/>
  <c r="Y495" i="6"/>
  <c r="Z495" i="6"/>
  <c r="AA495" i="6"/>
  <c r="J496" i="6"/>
  <c r="K496" i="6"/>
  <c r="L496" i="6"/>
  <c r="M496" i="6"/>
  <c r="N496" i="6"/>
  <c r="O496" i="6"/>
  <c r="P496" i="6"/>
  <c r="Q496" i="6"/>
  <c r="R496" i="6"/>
  <c r="S496" i="6"/>
  <c r="T496" i="6"/>
  <c r="U496" i="6"/>
  <c r="V496" i="6"/>
  <c r="W496" i="6"/>
  <c r="X496" i="6"/>
  <c r="Y496" i="6"/>
  <c r="Z496" i="6"/>
  <c r="AA496" i="6"/>
  <c r="J497" i="6"/>
  <c r="K497" i="6"/>
  <c r="L497" i="6"/>
  <c r="M497" i="6"/>
  <c r="N497" i="6"/>
  <c r="O497" i="6"/>
  <c r="P497" i="6"/>
  <c r="Q497" i="6"/>
  <c r="R497" i="6"/>
  <c r="S497" i="6"/>
  <c r="T497" i="6"/>
  <c r="U497" i="6"/>
  <c r="V497" i="6"/>
  <c r="W497" i="6"/>
  <c r="X497" i="6"/>
  <c r="Y497" i="6"/>
  <c r="Z497" i="6"/>
  <c r="AA497" i="6"/>
  <c r="J498" i="6"/>
  <c r="K498" i="6"/>
  <c r="L498" i="6"/>
  <c r="M498" i="6"/>
  <c r="N498" i="6"/>
  <c r="O498" i="6"/>
  <c r="P498" i="6"/>
  <c r="Q498" i="6"/>
  <c r="R498" i="6"/>
  <c r="S498" i="6"/>
  <c r="T498" i="6"/>
  <c r="U498" i="6"/>
  <c r="V498" i="6"/>
  <c r="W498" i="6"/>
  <c r="X498" i="6"/>
  <c r="Y498" i="6"/>
  <c r="Z498" i="6"/>
  <c r="AA498" i="6"/>
  <c r="J499" i="6"/>
  <c r="K499" i="6"/>
  <c r="L499" i="6"/>
  <c r="M499" i="6"/>
  <c r="N499" i="6"/>
  <c r="O499" i="6"/>
  <c r="P499" i="6"/>
  <c r="Q499" i="6"/>
  <c r="R499" i="6"/>
  <c r="S499" i="6"/>
  <c r="T499" i="6"/>
  <c r="U499" i="6"/>
  <c r="V499" i="6"/>
  <c r="W499" i="6"/>
  <c r="X499" i="6"/>
  <c r="Y499" i="6"/>
  <c r="Z499" i="6"/>
  <c r="AA499" i="6"/>
  <c r="J500" i="6"/>
  <c r="K500" i="6"/>
  <c r="L500" i="6"/>
  <c r="M500" i="6"/>
  <c r="N500" i="6"/>
  <c r="O500" i="6"/>
  <c r="P500" i="6"/>
  <c r="Q500" i="6"/>
  <c r="R500" i="6"/>
  <c r="S500" i="6"/>
  <c r="T500" i="6"/>
  <c r="U500" i="6"/>
  <c r="V500" i="6"/>
  <c r="W500" i="6"/>
  <c r="X500" i="6"/>
  <c r="Y500" i="6"/>
  <c r="Z500" i="6"/>
  <c r="AA500" i="6"/>
  <c r="J501" i="6"/>
  <c r="K501" i="6"/>
  <c r="L501" i="6"/>
  <c r="M501" i="6"/>
  <c r="N501" i="6"/>
  <c r="O501" i="6"/>
  <c r="P501" i="6"/>
  <c r="Q501" i="6"/>
  <c r="R501" i="6"/>
  <c r="S501" i="6"/>
  <c r="T501" i="6"/>
  <c r="U501" i="6"/>
  <c r="V501" i="6"/>
  <c r="W501" i="6"/>
  <c r="X501" i="6"/>
  <c r="Y501" i="6"/>
  <c r="Z501" i="6"/>
  <c r="AA501" i="6"/>
  <c r="J502" i="6"/>
  <c r="K502" i="6"/>
  <c r="L502" i="6"/>
  <c r="M502" i="6"/>
  <c r="N502" i="6"/>
  <c r="O502" i="6"/>
  <c r="P502" i="6"/>
  <c r="Q502" i="6"/>
  <c r="R502" i="6"/>
  <c r="S502" i="6"/>
  <c r="T502" i="6"/>
  <c r="U502" i="6"/>
  <c r="V502" i="6"/>
  <c r="W502" i="6"/>
  <c r="X502" i="6"/>
  <c r="Y502" i="6"/>
  <c r="Z502" i="6"/>
  <c r="AA502" i="6"/>
  <c r="J503" i="6"/>
  <c r="K503" i="6"/>
  <c r="L503" i="6"/>
  <c r="M503" i="6"/>
  <c r="N503" i="6"/>
  <c r="O503" i="6"/>
  <c r="P503" i="6"/>
  <c r="Q503" i="6"/>
  <c r="R503" i="6"/>
  <c r="S503" i="6"/>
  <c r="T503" i="6"/>
  <c r="U503" i="6"/>
  <c r="V503" i="6"/>
  <c r="W503" i="6"/>
  <c r="X503" i="6"/>
  <c r="Y503" i="6"/>
  <c r="Z503" i="6"/>
  <c r="AA503" i="6"/>
  <c r="J504" i="6"/>
  <c r="K504" i="6"/>
  <c r="L504" i="6"/>
  <c r="M504" i="6"/>
  <c r="N504" i="6"/>
  <c r="O504" i="6"/>
  <c r="P504" i="6"/>
  <c r="Q504" i="6"/>
  <c r="R504" i="6"/>
  <c r="S504" i="6"/>
  <c r="T504" i="6"/>
  <c r="U504" i="6"/>
  <c r="V504" i="6"/>
  <c r="W504" i="6"/>
  <c r="X504" i="6"/>
  <c r="Y504" i="6"/>
  <c r="Z504" i="6"/>
  <c r="AA504" i="6"/>
  <c r="J505" i="6"/>
  <c r="K505" i="6"/>
  <c r="L505" i="6"/>
  <c r="M505" i="6"/>
  <c r="N505" i="6"/>
  <c r="O505" i="6"/>
  <c r="P505" i="6"/>
  <c r="Q505" i="6"/>
  <c r="R505" i="6"/>
  <c r="S505" i="6"/>
  <c r="T505" i="6"/>
  <c r="U505" i="6"/>
  <c r="V505" i="6"/>
  <c r="W505" i="6"/>
  <c r="X505" i="6"/>
  <c r="Y505" i="6"/>
  <c r="Z505" i="6"/>
  <c r="AA505" i="6"/>
  <c r="J506" i="6"/>
  <c r="K506" i="6"/>
  <c r="L506" i="6"/>
  <c r="M506" i="6"/>
  <c r="N506" i="6"/>
  <c r="O506" i="6"/>
  <c r="P506" i="6"/>
  <c r="Q506" i="6"/>
  <c r="R506" i="6"/>
  <c r="S506" i="6"/>
  <c r="T506" i="6"/>
  <c r="U506" i="6"/>
  <c r="V506" i="6"/>
  <c r="W506" i="6"/>
  <c r="X506" i="6"/>
  <c r="Y506" i="6"/>
  <c r="Z506" i="6"/>
  <c r="AA506" i="6"/>
  <c r="J507" i="6"/>
  <c r="K507" i="6"/>
  <c r="L507" i="6"/>
  <c r="M507" i="6"/>
  <c r="N507" i="6"/>
  <c r="O507" i="6"/>
  <c r="P507" i="6"/>
  <c r="Q507" i="6"/>
  <c r="R507" i="6"/>
  <c r="S507" i="6"/>
  <c r="T507" i="6"/>
  <c r="U507" i="6"/>
  <c r="V507" i="6"/>
  <c r="W507" i="6"/>
  <c r="X507" i="6"/>
  <c r="Y507" i="6"/>
  <c r="Z507" i="6"/>
  <c r="AA507" i="6"/>
  <c r="J508" i="6"/>
  <c r="K508" i="6"/>
  <c r="L508" i="6"/>
  <c r="M508" i="6"/>
  <c r="N508" i="6"/>
  <c r="O508" i="6"/>
  <c r="P508" i="6"/>
  <c r="Q508" i="6"/>
  <c r="R508" i="6"/>
  <c r="S508" i="6"/>
  <c r="T508" i="6"/>
  <c r="U508" i="6"/>
  <c r="V508" i="6"/>
  <c r="W508" i="6"/>
  <c r="X508" i="6"/>
  <c r="Y508" i="6"/>
  <c r="Z508" i="6"/>
  <c r="AA508" i="6"/>
  <c r="J509" i="6"/>
  <c r="K509" i="6"/>
  <c r="L509" i="6"/>
  <c r="M509" i="6"/>
  <c r="N509" i="6"/>
  <c r="O509" i="6"/>
  <c r="P509" i="6"/>
  <c r="Q509" i="6"/>
  <c r="R509" i="6"/>
  <c r="S509" i="6"/>
  <c r="T509" i="6"/>
  <c r="U509" i="6"/>
  <c r="V509" i="6"/>
  <c r="W509" i="6"/>
  <c r="X509" i="6"/>
  <c r="Y509" i="6"/>
  <c r="Z509" i="6"/>
  <c r="AA509" i="6"/>
  <c r="J510" i="6"/>
  <c r="K510" i="6"/>
  <c r="L510" i="6"/>
  <c r="M510" i="6"/>
  <c r="N510" i="6"/>
  <c r="O510" i="6"/>
  <c r="P510" i="6"/>
  <c r="Q510" i="6"/>
  <c r="R510" i="6"/>
  <c r="S510" i="6"/>
  <c r="T510" i="6"/>
  <c r="U510" i="6"/>
  <c r="V510" i="6"/>
  <c r="W510" i="6"/>
  <c r="X510" i="6"/>
  <c r="Y510" i="6"/>
  <c r="Z510" i="6"/>
  <c r="AA510" i="6"/>
  <c r="J511" i="6"/>
  <c r="K511" i="6"/>
  <c r="L511" i="6"/>
  <c r="M511" i="6"/>
  <c r="N511" i="6"/>
  <c r="O511" i="6"/>
  <c r="P511" i="6"/>
  <c r="Q511" i="6"/>
  <c r="R511" i="6"/>
  <c r="S511" i="6"/>
  <c r="T511" i="6"/>
  <c r="U511" i="6"/>
  <c r="V511" i="6"/>
  <c r="W511" i="6"/>
  <c r="X511" i="6"/>
  <c r="Y511" i="6"/>
  <c r="Z511" i="6"/>
  <c r="AA511" i="6"/>
  <c r="J512" i="6"/>
  <c r="K512" i="6"/>
  <c r="L512" i="6"/>
  <c r="M512" i="6"/>
  <c r="N512" i="6"/>
  <c r="O512" i="6"/>
  <c r="P512" i="6"/>
  <c r="Q512" i="6"/>
  <c r="R512" i="6"/>
  <c r="S512" i="6"/>
  <c r="T512" i="6"/>
  <c r="U512" i="6"/>
  <c r="V512" i="6"/>
  <c r="W512" i="6"/>
  <c r="X512" i="6"/>
  <c r="Y512" i="6"/>
  <c r="Z512" i="6"/>
  <c r="AA512" i="6"/>
  <c r="J513" i="6"/>
  <c r="K513" i="6"/>
  <c r="L513" i="6"/>
  <c r="M513" i="6"/>
  <c r="N513" i="6"/>
  <c r="O513" i="6"/>
  <c r="P513" i="6"/>
  <c r="Q513" i="6"/>
  <c r="R513" i="6"/>
  <c r="S513" i="6"/>
  <c r="T513" i="6"/>
  <c r="U513" i="6"/>
  <c r="V513" i="6"/>
  <c r="W513" i="6"/>
  <c r="X513" i="6"/>
  <c r="Y513" i="6"/>
  <c r="Z513" i="6"/>
  <c r="AA513" i="6"/>
  <c r="J514" i="6"/>
  <c r="K514" i="6"/>
  <c r="L514" i="6"/>
  <c r="M514" i="6"/>
  <c r="N514" i="6"/>
  <c r="O514" i="6"/>
  <c r="P514" i="6"/>
  <c r="Q514" i="6"/>
  <c r="R514" i="6"/>
  <c r="S514" i="6"/>
  <c r="T514" i="6"/>
  <c r="U514" i="6"/>
  <c r="V514" i="6"/>
  <c r="W514" i="6"/>
  <c r="X514" i="6"/>
  <c r="Y514" i="6"/>
  <c r="Z514" i="6"/>
  <c r="AA514" i="6"/>
  <c r="J515" i="6"/>
  <c r="K515" i="6"/>
  <c r="L515" i="6"/>
  <c r="M515" i="6"/>
  <c r="N515" i="6"/>
  <c r="O515" i="6"/>
  <c r="P515" i="6"/>
  <c r="Q515" i="6"/>
  <c r="R515" i="6"/>
  <c r="S515" i="6"/>
  <c r="T515" i="6"/>
  <c r="U515" i="6"/>
  <c r="V515" i="6"/>
  <c r="W515" i="6"/>
  <c r="X515" i="6"/>
  <c r="Y515" i="6"/>
  <c r="Z515" i="6"/>
  <c r="AA515" i="6"/>
  <c r="J516" i="6"/>
  <c r="K516" i="6"/>
  <c r="L516" i="6"/>
  <c r="M516" i="6"/>
  <c r="N516" i="6"/>
  <c r="O516" i="6"/>
  <c r="P516" i="6"/>
  <c r="Q516" i="6"/>
  <c r="R516" i="6"/>
  <c r="S516" i="6"/>
  <c r="T516" i="6"/>
  <c r="U516" i="6"/>
  <c r="V516" i="6"/>
  <c r="W516" i="6"/>
  <c r="X516" i="6"/>
  <c r="Y516" i="6"/>
  <c r="Z516" i="6"/>
  <c r="AA516" i="6"/>
  <c r="J517" i="6"/>
  <c r="K517" i="6"/>
  <c r="L517" i="6"/>
  <c r="M517" i="6"/>
  <c r="N517" i="6"/>
  <c r="O517" i="6"/>
  <c r="P517" i="6"/>
  <c r="Q517" i="6"/>
  <c r="R517" i="6"/>
  <c r="S517" i="6"/>
  <c r="T517" i="6"/>
  <c r="U517" i="6"/>
  <c r="V517" i="6"/>
  <c r="W517" i="6"/>
  <c r="X517" i="6"/>
  <c r="Y517" i="6"/>
  <c r="Z517" i="6"/>
  <c r="AA517" i="6"/>
  <c r="J518" i="6"/>
  <c r="K518" i="6"/>
  <c r="L518" i="6"/>
  <c r="M518" i="6"/>
  <c r="N518" i="6"/>
  <c r="O518" i="6"/>
  <c r="P518" i="6"/>
  <c r="Q518" i="6"/>
  <c r="R518" i="6"/>
  <c r="S518" i="6"/>
  <c r="T518" i="6"/>
  <c r="U518" i="6"/>
  <c r="V518" i="6"/>
  <c r="W518" i="6"/>
  <c r="X518" i="6"/>
  <c r="Y518" i="6"/>
  <c r="Z518" i="6"/>
  <c r="AA518" i="6"/>
  <c r="J519" i="6"/>
  <c r="K519" i="6"/>
  <c r="L519" i="6"/>
  <c r="M519" i="6"/>
  <c r="N519" i="6"/>
  <c r="O519" i="6"/>
  <c r="P519" i="6"/>
  <c r="Q519" i="6"/>
  <c r="R519" i="6"/>
  <c r="S519" i="6"/>
  <c r="T519" i="6"/>
  <c r="U519" i="6"/>
  <c r="V519" i="6"/>
  <c r="W519" i="6"/>
  <c r="X519" i="6"/>
  <c r="Y519" i="6"/>
  <c r="Z519" i="6"/>
  <c r="AA519" i="6"/>
  <c r="J520" i="6"/>
  <c r="K520" i="6"/>
  <c r="L520" i="6"/>
  <c r="M520" i="6"/>
  <c r="N520" i="6"/>
  <c r="O520" i="6"/>
  <c r="P520" i="6"/>
  <c r="Q520" i="6"/>
  <c r="R520" i="6"/>
  <c r="S520" i="6"/>
  <c r="T520" i="6"/>
  <c r="U520" i="6"/>
  <c r="V520" i="6"/>
  <c r="W520" i="6"/>
  <c r="X520" i="6"/>
  <c r="Y520" i="6"/>
  <c r="Z520" i="6"/>
  <c r="AA520" i="6"/>
  <c r="J521" i="6"/>
  <c r="K521" i="6"/>
  <c r="L521" i="6"/>
  <c r="M521" i="6"/>
  <c r="N521" i="6"/>
  <c r="O521" i="6"/>
  <c r="P521" i="6"/>
  <c r="Q521" i="6"/>
  <c r="R521" i="6"/>
  <c r="S521" i="6"/>
  <c r="T521" i="6"/>
  <c r="U521" i="6"/>
  <c r="V521" i="6"/>
  <c r="W521" i="6"/>
  <c r="X521" i="6"/>
  <c r="Y521" i="6"/>
  <c r="Z521" i="6"/>
  <c r="AA521" i="6"/>
  <c r="J522" i="6"/>
  <c r="K522" i="6"/>
  <c r="L522" i="6"/>
  <c r="M522" i="6"/>
  <c r="N522" i="6"/>
  <c r="O522" i="6"/>
  <c r="P522" i="6"/>
  <c r="Q522" i="6"/>
  <c r="R522" i="6"/>
  <c r="S522" i="6"/>
  <c r="T522" i="6"/>
  <c r="U522" i="6"/>
  <c r="V522" i="6"/>
  <c r="W522" i="6"/>
  <c r="X522" i="6"/>
  <c r="Y522" i="6"/>
  <c r="Z522" i="6"/>
  <c r="AA522" i="6"/>
  <c r="J523" i="6"/>
  <c r="K523" i="6"/>
  <c r="L523" i="6"/>
  <c r="M523" i="6"/>
  <c r="N523" i="6"/>
  <c r="O523" i="6"/>
  <c r="P523" i="6"/>
  <c r="Q523" i="6"/>
  <c r="R523" i="6"/>
  <c r="S523" i="6"/>
  <c r="T523" i="6"/>
  <c r="U523" i="6"/>
  <c r="V523" i="6"/>
  <c r="W523" i="6"/>
  <c r="X523" i="6"/>
  <c r="Y523" i="6"/>
  <c r="Z523" i="6"/>
  <c r="AA523" i="6"/>
  <c r="J524" i="6"/>
  <c r="K524" i="6"/>
  <c r="L524" i="6"/>
  <c r="M524" i="6"/>
  <c r="N524" i="6"/>
  <c r="O524" i="6"/>
  <c r="P524" i="6"/>
  <c r="Q524" i="6"/>
  <c r="R524" i="6"/>
  <c r="S524" i="6"/>
  <c r="T524" i="6"/>
  <c r="U524" i="6"/>
  <c r="V524" i="6"/>
  <c r="W524" i="6"/>
  <c r="X524" i="6"/>
  <c r="Y524" i="6"/>
  <c r="Z524" i="6"/>
  <c r="AA524" i="6"/>
  <c r="J525" i="6"/>
  <c r="K525" i="6"/>
  <c r="L525" i="6"/>
  <c r="M525" i="6"/>
  <c r="N525" i="6"/>
  <c r="O525" i="6"/>
  <c r="P525" i="6"/>
  <c r="Q525" i="6"/>
  <c r="R525" i="6"/>
  <c r="S525" i="6"/>
  <c r="T525" i="6"/>
  <c r="U525" i="6"/>
  <c r="V525" i="6"/>
  <c r="W525" i="6"/>
  <c r="X525" i="6"/>
  <c r="Y525" i="6"/>
  <c r="Z525" i="6"/>
  <c r="AA525" i="6"/>
  <c r="J526" i="6"/>
  <c r="K526" i="6"/>
  <c r="L526" i="6"/>
  <c r="M526" i="6"/>
  <c r="N526" i="6"/>
  <c r="O526" i="6"/>
  <c r="P526" i="6"/>
  <c r="Q526" i="6"/>
  <c r="R526" i="6"/>
  <c r="S526" i="6"/>
  <c r="T526" i="6"/>
  <c r="U526" i="6"/>
  <c r="V526" i="6"/>
  <c r="W526" i="6"/>
  <c r="X526" i="6"/>
  <c r="Y526" i="6"/>
  <c r="Z526" i="6"/>
  <c r="AA526" i="6"/>
  <c r="J527" i="6"/>
  <c r="K527" i="6"/>
  <c r="L527" i="6"/>
  <c r="M527" i="6"/>
  <c r="N527" i="6"/>
  <c r="O527" i="6"/>
  <c r="P527" i="6"/>
  <c r="Q527" i="6"/>
  <c r="R527" i="6"/>
  <c r="S527" i="6"/>
  <c r="T527" i="6"/>
  <c r="U527" i="6"/>
  <c r="V527" i="6"/>
  <c r="W527" i="6"/>
  <c r="X527" i="6"/>
  <c r="Y527" i="6"/>
  <c r="Z527" i="6"/>
  <c r="AA527" i="6"/>
  <c r="J528" i="6"/>
  <c r="K528" i="6"/>
  <c r="L528" i="6"/>
  <c r="M528" i="6"/>
  <c r="N528" i="6"/>
  <c r="O528" i="6"/>
  <c r="P528" i="6"/>
  <c r="Q528" i="6"/>
  <c r="R528" i="6"/>
  <c r="S528" i="6"/>
  <c r="T528" i="6"/>
  <c r="U528" i="6"/>
  <c r="V528" i="6"/>
  <c r="W528" i="6"/>
  <c r="X528" i="6"/>
  <c r="Y528" i="6"/>
  <c r="Z528" i="6"/>
  <c r="AA528" i="6"/>
  <c r="J529" i="6"/>
  <c r="K529" i="6"/>
  <c r="L529" i="6"/>
  <c r="M529" i="6"/>
  <c r="N529" i="6"/>
  <c r="O529" i="6"/>
  <c r="P529" i="6"/>
  <c r="Q529" i="6"/>
  <c r="R529" i="6"/>
  <c r="S529" i="6"/>
  <c r="T529" i="6"/>
  <c r="U529" i="6"/>
  <c r="V529" i="6"/>
  <c r="W529" i="6"/>
  <c r="X529" i="6"/>
  <c r="Y529" i="6"/>
  <c r="Z529" i="6"/>
  <c r="AA529" i="6"/>
  <c r="J530" i="6"/>
  <c r="K530" i="6"/>
  <c r="L530" i="6"/>
  <c r="M530" i="6"/>
  <c r="N530" i="6"/>
  <c r="O530" i="6"/>
  <c r="P530" i="6"/>
  <c r="Q530" i="6"/>
  <c r="R530" i="6"/>
  <c r="S530" i="6"/>
  <c r="T530" i="6"/>
  <c r="U530" i="6"/>
  <c r="V530" i="6"/>
  <c r="W530" i="6"/>
  <c r="X530" i="6"/>
  <c r="Y530" i="6"/>
  <c r="Z530" i="6"/>
  <c r="AA530" i="6"/>
  <c r="J531" i="6"/>
  <c r="K531" i="6"/>
  <c r="L531" i="6"/>
  <c r="M531" i="6"/>
  <c r="N531" i="6"/>
  <c r="O531" i="6"/>
  <c r="P531" i="6"/>
  <c r="Q531" i="6"/>
  <c r="R531" i="6"/>
  <c r="S531" i="6"/>
  <c r="T531" i="6"/>
  <c r="U531" i="6"/>
  <c r="V531" i="6"/>
  <c r="W531" i="6"/>
  <c r="X531" i="6"/>
  <c r="Y531" i="6"/>
  <c r="Z531" i="6"/>
  <c r="AA531" i="6"/>
  <c r="J532" i="6"/>
  <c r="K532" i="6"/>
  <c r="L532" i="6"/>
  <c r="M532" i="6"/>
  <c r="N532" i="6"/>
  <c r="O532" i="6"/>
  <c r="P532" i="6"/>
  <c r="Q532" i="6"/>
  <c r="R532" i="6"/>
  <c r="S532" i="6"/>
  <c r="T532" i="6"/>
  <c r="U532" i="6"/>
  <c r="V532" i="6"/>
  <c r="W532" i="6"/>
  <c r="X532" i="6"/>
  <c r="Y532" i="6"/>
  <c r="Z532" i="6"/>
  <c r="AA532" i="6"/>
  <c r="J533" i="6"/>
  <c r="K533" i="6"/>
  <c r="L533" i="6"/>
  <c r="M533" i="6"/>
  <c r="N533" i="6"/>
  <c r="O533" i="6"/>
  <c r="P533" i="6"/>
  <c r="Q533" i="6"/>
  <c r="R533" i="6"/>
  <c r="S533" i="6"/>
  <c r="T533" i="6"/>
  <c r="U533" i="6"/>
  <c r="V533" i="6"/>
  <c r="W533" i="6"/>
  <c r="X533" i="6"/>
  <c r="Y533" i="6"/>
  <c r="Z533" i="6"/>
  <c r="AA533" i="6"/>
  <c r="J534" i="6"/>
  <c r="K534" i="6"/>
  <c r="L534" i="6"/>
  <c r="M534" i="6"/>
  <c r="N534" i="6"/>
  <c r="O534" i="6"/>
  <c r="P534" i="6"/>
  <c r="Q534" i="6"/>
  <c r="R534" i="6"/>
  <c r="S534" i="6"/>
  <c r="T534" i="6"/>
  <c r="U534" i="6"/>
  <c r="V534" i="6"/>
  <c r="W534" i="6"/>
  <c r="X534" i="6"/>
  <c r="Y534" i="6"/>
  <c r="Z534" i="6"/>
  <c r="AA534" i="6"/>
  <c r="J535" i="6"/>
  <c r="K535" i="6"/>
  <c r="L535" i="6"/>
  <c r="M535" i="6"/>
  <c r="N535" i="6"/>
  <c r="O535" i="6"/>
  <c r="P535" i="6"/>
  <c r="Q535" i="6"/>
  <c r="R535" i="6"/>
  <c r="S535" i="6"/>
  <c r="T535" i="6"/>
  <c r="U535" i="6"/>
  <c r="V535" i="6"/>
  <c r="W535" i="6"/>
  <c r="X535" i="6"/>
  <c r="Y535" i="6"/>
  <c r="Z535" i="6"/>
  <c r="AA535" i="6"/>
  <c r="J536" i="6"/>
  <c r="K536" i="6"/>
  <c r="L536" i="6"/>
  <c r="M536" i="6"/>
  <c r="N536" i="6"/>
  <c r="O536" i="6"/>
  <c r="P536" i="6"/>
  <c r="Q536" i="6"/>
  <c r="R536" i="6"/>
  <c r="S536" i="6"/>
  <c r="T536" i="6"/>
  <c r="U536" i="6"/>
  <c r="V536" i="6"/>
  <c r="W536" i="6"/>
  <c r="X536" i="6"/>
  <c r="Y536" i="6"/>
  <c r="Z536" i="6"/>
  <c r="AA536" i="6"/>
  <c r="J537" i="6"/>
  <c r="K537" i="6"/>
  <c r="L537" i="6"/>
  <c r="M537" i="6"/>
  <c r="N537" i="6"/>
  <c r="O537" i="6"/>
  <c r="P537" i="6"/>
  <c r="Q537" i="6"/>
  <c r="R537" i="6"/>
  <c r="S537" i="6"/>
  <c r="T537" i="6"/>
  <c r="U537" i="6"/>
  <c r="V537" i="6"/>
  <c r="W537" i="6"/>
  <c r="X537" i="6"/>
  <c r="Y537" i="6"/>
  <c r="Z537" i="6"/>
  <c r="AA537" i="6"/>
  <c r="J538" i="6"/>
  <c r="K538" i="6"/>
  <c r="L538" i="6"/>
  <c r="M538" i="6"/>
  <c r="N538" i="6"/>
  <c r="O538" i="6"/>
  <c r="P538" i="6"/>
  <c r="Q538" i="6"/>
  <c r="R538" i="6"/>
  <c r="S538" i="6"/>
  <c r="T538" i="6"/>
  <c r="U538" i="6"/>
  <c r="V538" i="6"/>
  <c r="W538" i="6"/>
  <c r="X538" i="6"/>
  <c r="Y538" i="6"/>
  <c r="Z538" i="6"/>
  <c r="AA538" i="6"/>
  <c r="J539" i="6"/>
  <c r="K539" i="6"/>
  <c r="L539" i="6"/>
  <c r="M539" i="6"/>
  <c r="N539" i="6"/>
  <c r="O539" i="6"/>
  <c r="P539" i="6"/>
  <c r="Q539" i="6"/>
  <c r="R539" i="6"/>
  <c r="S539" i="6"/>
  <c r="T539" i="6"/>
  <c r="U539" i="6"/>
  <c r="V539" i="6"/>
  <c r="W539" i="6"/>
  <c r="X539" i="6"/>
  <c r="Y539" i="6"/>
  <c r="Z539" i="6"/>
  <c r="AA539" i="6"/>
  <c r="J540" i="6"/>
  <c r="K540" i="6"/>
  <c r="L540" i="6"/>
  <c r="M540" i="6"/>
  <c r="N540" i="6"/>
  <c r="O540" i="6"/>
  <c r="P540" i="6"/>
  <c r="Q540" i="6"/>
  <c r="R540" i="6"/>
  <c r="S540" i="6"/>
  <c r="T540" i="6"/>
  <c r="U540" i="6"/>
  <c r="V540" i="6"/>
  <c r="W540" i="6"/>
  <c r="X540" i="6"/>
  <c r="Y540" i="6"/>
  <c r="Z540" i="6"/>
  <c r="AA540" i="6"/>
  <c r="J541" i="6"/>
  <c r="K541" i="6"/>
  <c r="L541" i="6"/>
  <c r="M541" i="6"/>
  <c r="N541" i="6"/>
  <c r="O541" i="6"/>
  <c r="P541" i="6"/>
  <c r="Q541" i="6"/>
  <c r="R541" i="6"/>
  <c r="S541" i="6"/>
  <c r="T541" i="6"/>
  <c r="U541" i="6"/>
  <c r="V541" i="6"/>
  <c r="W541" i="6"/>
  <c r="X541" i="6"/>
  <c r="Y541" i="6"/>
  <c r="Z541" i="6"/>
  <c r="AA541" i="6"/>
  <c r="J542" i="6"/>
  <c r="K542" i="6"/>
  <c r="L542" i="6"/>
  <c r="M542" i="6"/>
  <c r="N542" i="6"/>
  <c r="O542" i="6"/>
  <c r="P542" i="6"/>
  <c r="Q542" i="6"/>
  <c r="R542" i="6"/>
  <c r="S542" i="6"/>
  <c r="T542" i="6"/>
  <c r="U542" i="6"/>
  <c r="V542" i="6"/>
  <c r="W542" i="6"/>
  <c r="X542" i="6"/>
  <c r="Y542" i="6"/>
  <c r="Z542" i="6"/>
  <c r="AA542" i="6"/>
  <c r="J543" i="6"/>
  <c r="K543" i="6"/>
  <c r="L543" i="6"/>
  <c r="M543" i="6"/>
  <c r="N543" i="6"/>
  <c r="O543" i="6"/>
  <c r="P543" i="6"/>
  <c r="Q543" i="6"/>
  <c r="R543" i="6"/>
  <c r="S543" i="6"/>
  <c r="T543" i="6"/>
  <c r="U543" i="6"/>
  <c r="V543" i="6"/>
  <c r="W543" i="6"/>
  <c r="X543" i="6"/>
  <c r="Y543" i="6"/>
  <c r="Z543" i="6"/>
  <c r="AA543" i="6"/>
  <c r="J544" i="6"/>
  <c r="K544" i="6"/>
  <c r="L544" i="6"/>
  <c r="M544" i="6"/>
  <c r="N544" i="6"/>
  <c r="O544" i="6"/>
  <c r="P544" i="6"/>
  <c r="Q544" i="6"/>
  <c r="R544" i="6"/>
  <c r="S544" i="6"/>
  <c r="T544" i="6"/>
  <c r="U544" i="6"/>
  <c r="V544" i="6"/>
  <c r="W544" i="6"/>
  <c r="X544" i="6"/>
  <c r="Y544" i="6"/>
  <c r="Z544" i="6"/>
  <c r="AA544" i="6"/>
  <c r="J545" i="6"/>
  <c r="K545" i="6"/>
  <c r="L545" i="6"/>
  <c r="M545" i="6"/>
  <c r="N545" i="6"/>
  <c r="O545" i="6"/>
  <c r="P545" i="6"/>
  <c r="Q545" i="6"/>
  <c r="R545" i="6"/>
  <c r="S545" i="6"/>
  <c r="T545" i="6"/>
  <c r="U545" i="6"/>
  <c r="V545" i="6"/>
  <c r="W545" i="6"/>
  <c r="X545" i="6"/>
  <c r="Y545" i="6"/>
  <c r="Z545" i="6"/>
  <c r="AA545" i="6"/>
  <c r="J546" i="6"/>
  <c r="K546" i="6"/>
  <c r="L546" i="6"/>
  <c r="M546" i="6"/>
  <c r="N546" i="6"/>
  <c r="O546" i="6"/>
  <c r="P546" i="6"/>
  <c r="Q546" i="6"/>
  <c r="R546" i="6"/>
  <c r="S546" i="6"/>
  <c r="T546" i="6"/>
  <c r="U546" i="6"/>
  <c r="V546" i="6"/>
  <c r="W546" i="6"/>
  <c r="X546" i="6"/>
  <c r="Y546" i="6"/>
  <c r="Z546" i="6"/>
  <c r="AA546" i="6"/>
  <c r="J547" i="6"/>
  <c r="K547" i="6"/>
  <c r="L547" i="6"/>
  <c r="M547" i="6"/>
  <c r="N547" i="6"/>
  <c r="O547" i="6"/>
  <c r="P547" i="6"/>
  <c r="Q547" i="6"/>
  <c r="R547" i="6"/>
  <c r="S547" i="6"/>
  <c r="T547" i="6"/>
  <c r="U547" i="6"/>
  <c r="V547" i="6"/>
  <c r="W547" i="6"/>
  <c r="X547" i="6"/>
  <c r="Y547" i="6"/>
  <c r="Z547" i="6"/>
  <c r="AA547" i="6"/>
  <c r="J548" i="6"/>
  <c r="K548" i="6"/>
  <c r="L548" i="6"/>
  <c r="M548" i="6"/>
  <c r="N548" i="6"/>
  <c r="O548" i="6"/>
  <c r="P548" i="6"/>
  <c r="Q548" i="6"/>
  <c r="R548" i="6"/>
  <c r="S548" i="6"/>
  <c r="T548" i="6"/>
  <c r="U548" i="6"/>
  <c r="V548" i="6"/>
  <c r="W548" i="6"/>
  <c r="X548" i="6"/>
  <c r="Y548" i="6"/>
  <c r="Z548" i="6"/>
  <c r="AA548" i="6"/>
  <c r="J549" i="6"/>
  <c r="K549" i="6"/>
  <c r="L549" i="6"/>
  <c r="M549" i="6"/>
  <c r="N549" i="6"/>
  <c r="O549" i="6"/>
  <c r="P549" i="6"/>
  <c r="Q549" i="6"/>
  <c r="R549" i="6"/>
  <c r="S549" i="6"/>
  <c r="T549" i="6"/>
  <c r="U549" i="6"/>
  <c r="V549" i="6"/>
  <c r="W549" i="6"/>
  <c r="X549" i="6"/>
  <c r="Y549" i="6"/>
  <c r="Z549" i="6"/>
  <c r="AA549" i="6"/>
  <c r="J550" i="6"/>
  <c r="K550" i="6"/>
  <c r="L550" i="6"/>
  <c r="M550" i="6"/>
  <c r="N550" i="6"/>
  <c r="O550" i="6"/>
  <c r="P550" i="6"/>
  <c r="Q550" i="6"/>
  <c r="R550" i="6"/>
  <c r="S550" i="6"/>
  <c r="T550" i="6"/>
  <c r="U550" i="6"/>
  <c r="V550" i="6"/>
  <c r="W550" i="6"/>
  <c r="X550" i="6"/>
  <c r="Y550" i="6"/>
  <c r="Z550" i="6"/>
  <c r="AA550" i="6"/>
  <c r="J551" i="6"/>
  <c r="K551" i="6"/>
  <c r="L551" i="6"/>
  <c r="M551" i="6"/>
  <c r="N551" i="6"/>
  <c r="O551" i="6"/>
  <c r="P551" i="6"/>
  <c r="Q551" i="6"/>
  <c r="R551" i="6"/>
  <c r="S551" i="6"/>
  <c r="T551" i="6"/>
  <c r="U551" i="6"/>
  <c r="V551" i="6"/>
  <c r="W551" i="6"/>
  <c r="X551" i="6"/>
  <c r="Y551" i="6"/>
  <c r="Z551" i="6"/>
  <c r="AA551" i="6"/>
  <c r="J552" i="6"/>
  <c r="K552" i="6"/>
  <c r="L552" i="6"/>
  <c r="M552" i="6"/>
  <c r="N552" i="6"/>
  <c r="O552" i="6"/>
  <c r="P552" i="6"/>
  <c r="Q552" i="6"/>
  <c r="R552" i="6"/>
  <c r="S552" i="6"/>
  <c r="T552" i="6"/>
  <c r="U552" i="6"/>
  <c r="V552" i="6"/>
  <c r="W552" i="6"/>
  <c r="X552" i="6"/>
  <c r="Y552" i="6"/>
  <c r="Z552" i="6"/>
  <c r="AA552" i="6"/>
  <c r="J553" i="6"/>
  <c r="K553" i="6"/>
  <c r="L553" i="6"/>
  <c r="M553" i="6"/>
  <c r="N553" i="6"/>
  <c r="O553" i="6"/>
  <c r="P553" i="6"/>
  <c r="Q553" i="6"/>
  <c r="R553" i="6"/>
  <c r="S553" i="6"/>
  <c r="T553" i="6"/>
  <c r="U553" i="6"/>
  <c r="V553" i="6"/>
  <c r="W553" i="6"/>
  <c r="X553" i="6"/>
  <c r="Y553" i="6"/>
  <c r="Z553" i="6"/>
  <c r="AA553" i="6"/>
  <c r="J554" i="6"/>
  <c r="K554" i="6"/>
  <c r="L554" i="6"/>
  <c r="M554" i="6"/>
  <c r="N554" i="6"/>
  <c r="O554" i="6"/>
  <c r="P554" i="6"/>
  <c r="Q554" i="6"/>
  <c r="R554" i="6"/>
  <c r="S554" i="6"/>
  <c r="T554" i="6"/>
  <c r="U554" i="6"/>
  <c r="V554" i="6"/>
  <c r="W554" i="6"/>
  <c r="X554" i="6"/>
  <c r="Y554" i="6"/>
  <c r="Z554" i="6"/>
  <c r="AA554" i="6"/>
  <c r="J555" i="6"/>
  <c r="K555" i="6"/>
  <c r="L555" i="6"/>
  <c r="M555" i="6"/>
  <c r="N555" i="6"/>
  <c r="O555" i="6"/>
  <c r="P555" i="6"/>
  <c r="Q555" i="6"/>
  <c r="R555" i="6"/>
  <c r="S555" i="6"/>
  <c r="T555" i="6"/>
  <c r="U555" i="6"/>
  <c r="V555" i="6"/>
  <c r="W555" i="6"/>
  <c r="X555" i="6"/>
  <c r="Y555" i="6"/>
  <c r="Z555" i="6"/>
  <c r="AA555" i="6"/>
  <c r="J556" i="6"/>
  <c r="K556" i="6"/>
  <c r="L556" i="6"/>
  <c r="M556" i="6"/>
  <c r="N556" i="6"/>
  <c r="O556" i="6"/>
  <c r="P556" i="6"/>
  <c r="Q556" i="6"/>
  <c r="R556" i="6"/>
  <c r="S556" i="6"/>
  <c r="T556" i="6"/>
  <c r="U556" i="6"/>
  <c r="V556" i="6"/>
  <c r="W556" i="6"/>
  <c r="X556" i="6"/>
  <c r="Y556" i="6"/>
  <c r="Z556" i="6"/>
  <c r="AA556" i="6"/>
  <c r="J557" i="6"/>
  <c r="K557" i="6"/>
  <c r="L557" i="6"/>
  <c r="M557" i="6"/>
  <c r="N557" i="6"/>
  <c r="O557" i="6"/>
  <c r="P557" i="6"/>
  <c r="Q557" i="6"/>
  <c r="R557" i="6"/>
  <c r="S557" i="6"/>
  <c r="T557" i="6"/>
  <c r="U557" i="6"/>
  <c r="V557" i="6"/>
  <c r="W557" i="6"/>
  <c r="X557" i="6"/>
  <c r="Y557" i="6"/>
  <c r="Z557" i="6"/>
  <c r="AA557" i="6"/>
  <c r="J558" i="6"/>
  <c r="K558" i="6"/>
  <c r="L558" i="6"/>
  <c r="M558" i="6"/>
  <c r="N558" i="6"/>
  <c r="O558" i="6"/>
  <c r="P558" i="6"/>
  <c r="Q558" i="6"/>
  <c r="R558" i="6"/>
  <c r="S558" i="6"/>
  <c r="T558" i="6"/>
  <c r="U558" i="6"/>
  <c r="V558" i="6"/>
  <c r="W558" i="6"/>
  <c r="X558" i="6"/>
  <c r="Y558" i="6"/>
  <c r="Z558" i="6"/>
  <c r="AA558" i="6"/>
  <c r="J559" i="6"/>
  <c r="K559" i="6"/>
  <c r="L559" i="6"/>
  <c r="M559" i="6"/>
  <c r="N559" i="6"/>
  <c r="O559" i="6"/>
  <c r="P559" i="6"/>
  <c r="Q559" i="6"/>
  <c r="R559" i="6"/>
  <c r="S559" i="6"/>
  <c r="T559" i="6"/>
  <c r="U559" i="6"/>
  <c r="V559" i="6"/>
  <c r="W559" i="6"/>
  <c r="X559" i="6"/>
  <c r="Y559" i="6"/>
  <c r="Z559" i="6"/>
  <c r="AA559" i="6"/>
  <c r="J560" i="6"/>
  <c r="K560" i="6"/>
  <c r="L560" i="6"/>
  <c r="M560" i="6"/>
  <c r="N560" i="6"/>
  <c r="O560" i="6"/>
  <c r="P560" i="6"/>
  <c r="Q560" i="6"/>
  <c r="R560" i="6"/>
  <c r="S560" i="6"/>
  <c r="T560" i="6"/>
  <c r="U560" i="6"/>
  <c r="V560" i="6"/>
  <c r="W560" i="6"/>
  <c r="X560" i="6"/>
  <c r="Y560" i="6"/>
  <c r="Z560" i="6"/>
  <c r="AA560" i="6"/>
  <c r="J561" i="6"/>
  <c r="K561" i="6"/>
  <c r="L561" i="6"/>
  <c r="M561" i="6"/>
  <c r="N561" i="6"/>
  <c r="O561" i="6"/>
  <c r="P561" i="6"/>
  <c r="Q561" i="6"/>
  <c r="R561" i="6"/>
  <c r="S561" i="6"/>
  <c r="T561" i="6"/>
  <c r="U561" i="6"/>
  <c r="V561" i="6"/>
  <c r="W561" i="6"/>
  <c r="X561" i="6"/>
  <c r="Y561" i="6"/>
  <c r="Z561" i="6"/>
  <c r="AA561" i="6"/>
  <c r="J562" i="6"/>
  <c r="K562" i="6"/>
  <c r="L562" i="6"/>
  <c r="M562" i="6"/>
  <c r="N562" i="6"/>
  <c r="O562" i="6"/>
  <c r="P562" i="6"/>
  <c r="Q562" i="6"/>
  <c r="R562" i="6"/>
  <c r="S562" i="6"/>
  <c r="T562" i="6"/>
  <c r="U562" i="6"/>
  <c r="V562" i="6"/>
  <c r="W562" i="6"/>
  <c r="X562" i="6"/>
  <c r="Y562" i="6"/>
  <c r="Z562" i="6"/>
  <c r="AA562" i="6"/>
  <c r="J563" i="6"/>
  <c r="K563" i="6"/>
  <c r="L563" i="6"/>
  <c r="M563" i="6"/>
  <c r="N563" i="6"/>
  <c r="O563" i="6"/>
  <c r="P563" i="6"/>
  <c r="Q563" i="6"/>
  <c r="R563" i="6"/>
  <c r="S563" i="6"/>
  <c r="T563" i="6"/>
  <c r="U563" i="6"/>
  <c r="V563" i="6"/>
  <c r="W563" i="6"/>
  <c r="X563" i="6"/>
  <c r="Y563" i="6"/>
  <c r="Z563" i="6"/>
  <c r="AA563" i="6"/>
  <c r="J564" i="6"/>
  <c r="K564" i="6"/>
  <c r="L564" i="6"/>
  <c r="M564" i="6"/>
  <c r="N564" i="6"/>
  <c r="O564" i="6"/>
  <c r="P564" i="6"/>
  <c r="Q564" i="6"/>
  <c r="R564" i="6"/>
  <c r="S564" i="6"/>
  <c r="T564" i="6"/>
  <c r="U564" i="6"/>
  <c r="V564" i="6"/>
  <c r="W564" i="6"/>
  <c r="X564" i="6"/>
  <c r="Y564" i="6"/>
  <c r="Z564" i="6"/>
  <c r="AA564" i="6"/>
  <c r="J565" i="6"/>
  <c r="K565" i="6"/>
  <c r="L565" i="6"/>
  <c r="M565" i="6"/>
  <c r="N565" i="6"/>
  <c r="O565" i="6"/>
  <c r="P565" i="6"/>
  <c r="Q565" i="6"/>
  <c r="R565" i="6"/>
  <c r="S565" i="6"/>
  <c r="T565" i="6"/>
  <c r="U565" i="6"/>
  <c r="V565" i="6"/>
  <c r="W565" i="6"/>
  <c r="X565" i="6"/>
  <c r="Y565" i="6"/>
  <c r="Z565" i="6"/>
  <c r="AA565" i="6"/>
  <c r="J566" i="6"/>
  <c r="K566" i="6"/>
  <c r="L566" i="6"/>
  <c r="M566" i="6"/>
  <c r="N566" i="6"/>
  <c r="O566" i="6"/>
  <c r="P566" i="6"/>
  <c r="Q566" i="6"/>
  <c r="R566" i="6"/>
  <c r="S566" i="6"/>
  <c r="T566" i="6"/>
  <c r="U566" i="6"/>
  <c r="V566" i="6"/>
  <c r="W566" i="6"/>
  <c r="X566" i="6"/>
  <c r="Y566" i="6"/>
  <c r="Z566" i="6"/>
  <c r="AA566" i="6"/>
  <c r="J567" i="6"/>
  <c r="K567" i="6"/>
  <c r="L567" i="6"/>
  <c r="M567" i="6"/>
  <c r="N567" i="6"/>
  <c r="O567" i="6"/>
  <c r="P567" i="6"/>
  <c r="Q567" i="6"/>
  <c r="R567" i="6"/>
  <c r="S567" i="6"/>
  <c r="T567" i="6"/>
  <c r="U567" i="6"/>
  <c r="V567" i="6"/>
  <c r="W567" i="6"/>
  <c r="X567" i="6"/>
  <c r="Y567" i="6"/>
  <c r="Z567" i="6"/>
  <c r="AA567" i="6"/>
  <c r="J568" i="6"/>
  <c r="K568" i="6"/>
  <c r="L568" i="6"/>
  <c r="M568" i="6"/>
  <c r="N568" i="6"/>
  <c r="O568" i="6"/>
  <c r="P568" i="6"/>
  <c r="Q568" i="6"/>
  <c r="R568" i="6"/>
  <c r="S568" i="6"/>
  <c r="T568" i="6"/>
  <c r="U568" i="6"/>
  <c r="V568" i="6"/>
  <c r="W568" i="6"/>
  <c r="X568" i="6"/>
  <c r="Y568" i="6"/>
  <c r="Z568" i="6"/>
  <c r="AA568" i="6"/>
  <c r="J569" i="6"/>
  <c r="K569" i="6"/>
  <c r="L569" i="6"/>
  <c r="M569" i="6"/>
  <c r="N569" i="6"/>
  <c r="O569" i="6"/>
  <c r="P569" i="6"/>
  <c r="Q569" i="6"/>
  <c r="R569" i="6"/>
  <c r="S569" i="6"/>
  <c r="T569" i="6"/>
  <c r="U569" i="6"/>
  <c r="V569" i="6"/>
  <c r="W569" i="6"/>
  <c r="X569" i="6"/>
  <c r="Y569" i="6"/>
  <c r="Z569" i="6"/>
  <c r="AA569" i="6"/>
  <c r="J570" i="6"/>
  <c r="K570" i="6"/>
  <c r="L570" i="6"/>
  <c r="M570" i="6"/>
  <c r="N570" i="6"/>
  <c r="O570" i="6"/>
  <c r="P570" i="6"/>
  <c r="Q570" i="6"/>
  <c r="R570" i="6"/>
  <c r="S570" i="6"/>
  <c r="T570" i="6"/>
  <c r="U570" i="6"/>
  <c r="V570" i="6"/>
  <c r="W570" i="6"/>
  <c r="X570" i="6"/>
  <c r="Y570" i="6"/>
  <c r="Z570" i="6"/>
  <c r="AA570" i="6"/>
  <c r="J571" i="6"/>
  <c r="K571" i="6"/>
  <c r="L571" i="6"/>
  <c r="M571" i="6"/>
  <c r="N571" i="6"/>
  <c r="O571" i="6"/>
  <c r="P571" i="6"/>
  <c r="Q571" i="6"/>
  <c r="R571" i="6"/>
  <c r="S571" i="6"/>
  <c r="T571" i="6"/>
  <c r="U571" i="6"/>
  <c r="V571" i="6"/>
  <c r="W571" i="6"/>
  <c r="X571" i="6"/>
  <c r="Y571" i="6"/>
  <c r="Z571" i="6"/>
  <c r="AA571" i="6"/>
  <c r="J572" i="6"/>
  <c r="K572" i="6"/>
  <c r="L572" i="6"/>
  <c r="M572" i="6"/>
  <c r="N572" i="6"/>
  <c r="O572" i="6"/>
  <c r="P572" i="6"/>
  <c r="Q572" i="6"/>
  <c r="R572" i="6"/>
  <c r="S572" i="6"/>
  <c r="T572" i="6"/>
  <c r="U572" i="6"/>
  <c r="V572" i="6"/>
  <c r="W572" i="6"/>
  <c r="X572" i="6"/>
  <c r="Y572" i="6"/>
  <c r="Z572" i="6"/>
  <c r="AA572" i="6"/>
  <c r="J573" i="6"/>
  <c r="K573" i="6"/>
  <c r="L573" i="6"/>
  <c r="M573" i="6"/>
  <c r="N573" i="6"/>
  <c r="O573" i="6"/>
  <c r="P573" i="6"/>
  <c r="Q573" i="6"/>
  <c r="R573" i="6"/>
  <c r="S573" i="6"/>
  <c r="T573" i="6"/>
  <c r="U573" i="6"/>
  <c r="V573" i="6"/>
  <c r="W573" i="6"/>
  <c r="X573" i="6"/>
  <c r="Y573" i="6"/>
  <c r="Z573" i="6"/>
  <c r="AA573" i="6"/>
  <c r="J574" i="6"/>
  <c r="K574" i="6"/>
  <c r="L574" i="6"/>
  <c r="M574" i="6"/>
  <c r="N574" i="6"/>
  <c r="O574" i="6"/>
  <c r="P574" i="6"/>
  <c r="Q574" i="6"/>
  <c r="R574" i="6"/>
  <c r="S574" i="6"/>
  <c r="T574" i="6"/>
  <c r="U574" i="6"/>
  <c r="V574" i="6"/>
  <c r="W574" i="6"/>
  <c r="X574" i="6"/>
  <c r="Y574" i="6"/>
  <c r="Z574" i="6"/>
  <c r="AA574" i="6"/>
  <c r="J575" i="6"/>
  <c r="K575" i="6"/>
  <c r="L575" i="6"/>
  <c r="M575" i="6"/>
  <c r="N575" i="6"/>
  <c r="O575" i="6"/>
  <c r="P575" i="6"/>
  <c r="Q575" i="6"/>
  <c r="R575" i="6"/>
  <c r="S575" i="6"/>
  <c r="T575" i="6"/>
  <c r="U575" i="6"/>
  <c r="V575" i="6"/>
  <c r="W575" i="6"/>
  <c r="X575" i="6"/>
  <c r="Y575" i="6"/>
  <c r="Z575" i="6"/>
  <c r="AA575" i="6"/>
  <c r="J576" i="6"/>
  <c r="K576" i="6"/>
  <c r="L576" i="6"/>
  <c r="M576" i="6"/>
  <c r="N576" i="6"/>
  <c r="O576" i="6"/>
  <c r="P576" i="6"/>
  <c r="Q576" i="6"/>
  <c r="R576" i="6"/>
  <c r="S576" i="6"/>
  <c r="T576" i="6"/>
  <c r="U576" i="6"/>
  <c r="V576" i="6"/>
  <c r="W576" i="6"/>
  <c r="X576" i="6"/>
  <c r="Y576" i="6"/>
  <c r="Z576" i="6"/>
  <c r="AA576" i="6"/>
  <c r="J577" i="6"/>
  <c r="K577" i="6"/>
  <c r="L577" i="6"/>
  <c r="M577" i="6"/>
  <c r="N577" i="6"/>
  <c r="O577" i="6"/>
  <c r="P577" i="6"/>
  <c r="Q577" i="6"/>
  <c r="R577" i="6"/>
  <c r="S577" i="6"/>
  <c r="T577" i="6"/>
  <c r="U577" i="6"/>
  <c r="V577" i="6"/>
  <c r="W577" i="6"/>
  <c r="X577" i="6"/>
  <c r="Y577" i="6"/>
  <c r="Z577" i="6"/>
  <c r="AA577" i="6"/>
  <c r="J578" i="6"/>
  <c r="K578" i="6"/>
  <c r="L578" i="6"/>
  <c r="M578" i="6"/>
  <c r="N578" i="6"/>
  <c r="O578" i="6"/>
  <c r="P578" i="6"/>
  <c r="Q578" i="6"/>
  <c r="R578" i="6"/>
  <c r="S578" i="6"/>
  <c r="T578" i="6"/>
  <c r="U578" i="6"/>
  <c r="V578" i="6"/>
  <c r="W578" i="6"/>
  <c r="X578" i="6"/>
  <c r="Y578" i="6"/>
  <c r="Z578" i="6"/>
  <c r="AA578" i="6"/>
  <c r="J579" i="6"/>
  <c r="K579" i="6"/>
  <c r="L579" i="6"/>
  <c r="M579" i="6"/>
  <c r="N579" i="6"/>
  <c r="O579" i="6"/>
  <c r="P579" i="6"/>
  <c r="Q579" i="6"/>
  <c r="R579" i="6"/>
  <c r="S579" i="6"/>
  <c r="T579" i="6"/>
  <c r="U579" i="6"/>
  <c r="V579" i="6"/>
  <c r="W579" i="6"/>
  <c r="X579" i="6"/>
  <c r="Y579" i="6"/>
  <c r="Z579" i="6"/>
  <c r="AA579" i="6"/>
  <c r="J580" i="6"/>
  <c r="K580" i="6"/>
  <c r="L580" i="6"/>
  <c r="M580" i="6"/>
  <c r="N580" i="6"/>
  <c r="O580" i="6"/>
  <c r="P580" i="6"/>
  <c r="Q580" i="6"/>
  <c r="R580" i="6"/>
  <c r="S580" i="6"/>
  <c r="T580" i="6"/>
  <c r="U580" i="6"/>
  <c r="V580" i="6"/>
  <c r="W580" i="6"/>
  <c r="X580" i="6"/>
  <c r="Y580" i="6"/>
  <c r="Z580" i="6"/>
  <c r="AA580" i="6"/>
  <c r="J581" i="6"/>
  <c r="K581" i="6"/>
  <c r="L581" i="6"/>
  <c r="M581" i="6"/>
  <c r="N581" i="6"/>
  <c r="O581" i="6"/>
  <c r="P581" i="6"/>
  <c r="Q581" i="6"/>
  <c r="R581" i="6"/>
  <c r="S581" i="6"/>
  <c r="T581" i="6"/>
  <c r="U581" i="6"/>
  <c r="V581" i="6"/>
  <c r="W581" i="6"/>
  <c r="X581" i="6"/>
  <c r="Y581" i="6"/>
  <c r="Z581" i="6"/>
  <c r="AA581" i="6"/>
  <c r="J582" i="6"/>
  <c r="K582" i="6"/>
  <c r="L582" i="6"/>
  <c r="M582" i="6"/>
  <c r="N582" i="6"/>
  <c r="O582" i="6"/>
  <c r="P582" i="6"/>
  <c r="Q582" i="6"/>
  <c r="R582" i="6"/>
  <c r="S582" i="6"/>
  <c r="T582" i="6"/>
  <c r="U582" i="6"/>
  <c r="V582" i="6"/>
  <c r="W582" i="6"/>
  <c r="X582" i="6"/>
  <c r="Y582" i="6"/>
  <c r="Z582" i="6"/>
  <c r="AA582" i="6"/>
  <c r="J583" i="6"/>
  <c r="K583" i="6"/>
  <c r="L583" i="6"/>
  <c r="M583" i="6"/>
  <c r="N583" i="6"/>
  <c r="O583" i="6"/>
  <c r="P583" i="6"/>
  <c r="Q583" i="6"/>
  <c r="R583" i="6"/>
  <c r="S583" i="6"/>
  <c r="T583" i="6"/>
  <c r="U583" i="6"/>
  <c r="V583" i="6"/>
  <c r="W583" i="6"/>
  <c r="X583" i="6"/>
  <c r="Y583" i="6"/>
  <c r="Z583" i="6"/>
  <c r="AA583" i="6"/>
  <c r="J584" i="6"/>
  <c r="K584" i="6"/>
  <c r="L584" i="6"/>
  <c r="M584" i="6"/>
  <c r="N584" i="6"/>
  <c r="O584" i="6"/>
  <c r="P584" i="6"/>
  <c r="Q584" i="6"/>
  <c r="R584" i="6"/>
  <c r="S584" i="6"/>
  <c r="T584" i="6"/>
  <c r="U584" i="6"/>
  <c r="V584" i="6"/>
  <c r="W584" i="6"/>
  <c r="X584" i="6"/>
  <c r="Y584" i="6"/>
  <c r="Z584" i="6"/>
  <c r="AA584" i="6"/>
  <c r="J585" i="6"/>
  <c r="K585" i="6"/>
  <c r="L585" i="6"/>
  <c r="M585" i="6"/>
  <c r="N585" i="6"/>
  <c r="O585" i="6"/>
  <c r="P585" i="6"/>
  <c r="Q585" i="6"/>
  <c r="R585" i="6"/>
  <c r="S585" i="6"/>
  <c r="T585" i="6"/>
  <c r="U585" i="6"/>
  <c r="V585" i="6"/>
  <c r="W585" i="6"/>
  <c r="X585" i="6"/>
  <c r="Y585" i="6"/>
  <c r="Z585" i="6"/>
  <c r="AA585" i="6"/>
  <c r="J586" i="6"/>
  <c r="K586" i="6"/>
  <c r="L586" i="6"/>
  <c r="M586" i="6"/>
  <c r="N586" i="6"/>
  <c r="O586" i="6"/>
  <c r="P586" i="6"/>
  <c r="Q586" i="6"/>
  <c r="R586" i="6"/>
  <c r="S586" i="6"/>
  <c r="T586" i="6"/>
  <c r="U586" i="6"/>
  <c r="V586" i="6"/>
  <c r="W586" i="6"/>
  <c r="X586" i="6"/>
  <c r="Y586" i="6"/>
  <c r="Z586" i="6"/>
  <c r="AA586" i="6"/>
  <c r="J587" i="6"/>
  <c r="K587" i="6"/>
  <c r="L587" i="6"/>
  <c r="M587" i="6"/>
  <c r="N587" i="6"/>
  <c r="O587" i="6"/>
  <c r="P587" i="6"/>
  <c r="Q587" i="6"/>
  <c r="R587" i="6"/>
  <c r="S587" i="6"/>
  <c r="T587" i="6"/>
  <c r="U587" i="6"/>
  <c r="V587" i="6"/>
  <c r="W587" i="6"/>
  <c r="X587" i="6"/>
  <c r="Y587" i="6"/>
  <c r="Z587" i="6"/>
  <c r="AA587" i="6"/>
  <c r="J588" i="6"/>
  <c r="K588" i="6"/>
  <c r="L588" i="6"/>
  <c r="M588" i="6"/>
  <c r="N588" i="6"/>
  <c r="O588" i="6"/>
  <c r="P588" i="6"/>
  <c r="Q588" i="6"/>
  <c r="R588" i="6"/>
  <c r="S588" i="6"/>
  <c r="T588" i="6"/>
  <c r="U588" i="6"/>
  <c r="V588" i="6"/>
  <c r="W588" i="6"/>
  <c r="X588" i="6"/>
  <c r="Y588" i="6"/>
  <c r="Z588" i="6"/>
  <c r="AA588" i="6"/>
  <c r="J589" i="6"/>
  <c r="K589" i="6"/>
  <c r="L589" i="6"/>
  <c r="M589" i="6"/>
  <c r="N589" i="6"/>
  <c r="O589" i="6"/>
  <c r="P589" i="6"/>
  <c r="Q589" i="6"/>
  <c r="R589" i="6"/>
  <c r="S589" i="6"/>
  <c r="T589" i="6"/>
  <c r="U589" i="6"/>
  <c r="V589" i="6"/>
  <c r="W589" i="6"/>
  <c r="X589" i="6"/>
  <c r="Y589" i="6"/>
  <c r="Z589" i="6"/>
  <c r="AA589" i="6"/>
  <c r="J590" i="6"/>
  <c r="K590" i="6"/>
  <c r="L590" i="6"/>
  <c r="M590" i="6"/>
  <c r="N590" i="6"/>
  <c r="O590" i="6"/>
  <c r="P590" i="6"/>
  <c r="Q590" i="6"/>
  <c r="R590" i="6"/>
  <c r="S590" i="6"/>
  <c r="T590" i="6"/>
  <c r="U590" i="6"/>
  <c r="V590" i="6"/>
  <c r="W590" i="6"/>
  <c r="X590" i="6"/>
  <c r="Y590" i="6"/>
  <c r="Z590" i="6"/>
  <c r="AA590" i="6"/>
  <c r="J591" i="6"/>
  <c r="K591" i="6"/>
  <c r="L591" i="6"/>
  <c r="M591" i="6"/>
  <c r="N591" i="6"/>
  <c r="O591" i="6"/>
  <c r="P591" i="6"/>
  <c r="Q591" i="6"/>
  <c r="R591" i="6"/>
  <c r="S591" i="6"/>
  <c r="T591" i="6"/>
  <c r="U591" i="6"/>
  <c r="V591" i="6"/>
  <c r="W591" i="6"/>
  <c r="X591" i="6"/>
  <c r="Y591" i="6"/>
  <c r="Z591" i="6"/>
  <c r="AA591" i="6"/>
  <c r="J592" i="6"/>
  <c r="K592" i="6"/>
  <c r="L592" i="6"/>
  <c r="M592" i="6"/>
  <c r="N592" i="6"/>
  <c r="O592" i="6"/>
  <c r="P592" i="6"/>
  <c r="Q592" i="6"/>
  <c r="R592" i="6"/>
  <c r="S592" i="6"/>
  <c r="T592" i="6"/>
  <c r="U592" i="6"/>
  <c r="V592" i="6"/>
  <c r="W592" i="6"/>
  <c r="X592" i="6"/>
  <c r="Y592" i="6"/>
  <c r="Z592" i="6"/>
  <c r="AA592" i="6"/>
  <c r="J593" i="6"/>
  <c r="K593" i="6"/>
  <c r="L593" i="6"/>
  <c r="M593" i="6"/>
  <c r="N593" i="6"/>
  <c r="O593" i="6"/>
  <c r="P593" i="6"/>
  <c r="Q593" i="6"/>
  <c r="R593" i="6"/>
  <c r="S593" i="6"/>
  <c r="T593" i="6"/>
  <c r="U593" i="6"/>
  <c r="V593" i="6"/>
  <c r="W593" i="6"/>
  <c r="X593" i="6"/>
  <c r="Y593" i="6"/>
  <c r="Z593" i="6"/>
  <c r="AA593" i="6"/>
  <c r="J594" i="6"/>
  <c r="K594" i="6"/>
  <c r="L594" i="6"/>
  <c r="M594" i="6"/>
  <c r="N594" i="6"/>
  <c r="O594" i="6"/>
  <c r="P594" i="6"/>
  <c r="Q594" i="6"/>
  <c r="R594" i="6"/>
  <c r="S594" i="6"/>
  <c r="T594" i="6"/>
  <c r="U594" i="6"/>
  <c r="V594" i="6"/>
  <c r="W594" i="6"/>
  <c r="X594" i="6"/>
  <c r="Y594" i="6"/>
  <c r="Z594" i="6"/>
  <c r="AA594" i="6"/>
  <c r="J595" i="6"/>
  <c r="K595" i="6"/>
  <c r="L595" i="6"/>
  <c r="M595" i="6"/>
  <c r="N595" i="6"/>
  <c r="O595" i="6"/>
  <c r="P595" i="6"/>
  <c r="Q595" i="6"/>
  <c r="R595" i="6"/>
  <c r="S595" i="6"/>
  <c r="T595" i="6"/>
  <c r="U595" i="6"/>
  <c r="V595" i="6"/>
  <c r="W595" i="6"/>
  <c r="X595" i="6"/>
  <c r="Y595" i="6"/>
  <c r="Z595" i="6"/>
  <c r="AA595" i="6"/>
  <c r="J596" i="6"/>
  <c r="K596" i="6"/>
  <c r="L596" i="6"/>
  <c r="M596" i="6"/>
  <c r="N596" i="6"/>
  <c r="O596" i="6"/>
  <c r="P596" i="6"/>
  <c r="Q596" i="6"/>
  <c r="R596" i="6"/>
  <c r="S596" i="6"/>
  <c r="T596" i="6"/>
  <c r="U596" i="6"/>
  <c r="V596" i="6"/>
  <c r="W596" i="6"/>
  <c r="X596" i="6"/>
  <c r="Y596" i="6"/>
  <c r="Z596" i="6"/>
  <c r="AA596" i="6"/>
  <c r="J597" i="6"/>
  <c r="K597" i="6"/>
  <c r="L597" i="6"/>
  <c r="M597" i="6"/>
  <c r="N597" i="6"/>
  <c r="O597" i="6"/>
  <c r="P597" i="6"/>
  <c r="Q597" i="6"/>
  <c r="R597" i="6"/>
  <c r="S597" i="6"/>
  <c r="T597" i="6"/>
  <c r="U597" i="6"/>
  <c r="V597" i="6"/>
  <c r="W597" i="6"/>
  <c r="X597" i="6"/>
  <c r="Y597" i="6"/>
  <c r="Z597" i="6"/>
  <c r="AA597" i="6"/>
  <c r="J598" i="6"/>
  <c r="K598" i="6"/>
  <c r="L598" i="6"/>
  <c r="M598" i="6"/>
  <c r="N598" i="6"/>
  <c r="O598" i="6"/>
  <c r="P598" i="6"/>
  <c r="Q598" i="6"/>
  <c r="R598" i="6"/>
  <c r="S598" i="6"/>
  <c r="T598" i="6"/>
  <c r="U598" i="6"/>
  <c r="V598" i="6"/>
  <c r="W598" i="6"/>
  <c r="X598" i="6"/>
  <c r="Y598" i="6"/>
  <c r="Z598" i="6"/>
  <c r="AA598" i="6"/>
  <c r="J599" i="6"/>
  <c r="K599" i="6"/>
  <c r="L599" i="6"/>
  <c r="M599" i="6"/>
  <c r="N599" i="6"/>
  <c r="O599" i="6"/>
  <c r="P599" i="6"/>
  <c r="Q599" i="6"/>
  <c r="R599" i="6"/>
  <c r="S599" i="6"/>
  <c r="T599" i="6"/>
  <c r="U599" i="6"/>
  <c r="V599" i="6"/>
  <c r="W599" i="6"/>
  <c r="X599" i="6"/>
  <c r="Y599" i="6"/>
  <c r="Z599" i="6"/>
  <c r="AA599" i="6"/>
  <c r="J600" i="6"/>
  <c r="K600" i="6"/>
  <c r="L600" i="6"/>
  <c r="M600" i="6"/>
  <c r="N600" i="6"/>
  <c r="O600" i="6"/>
  <c r="P600" i="6"/>
  <c r="Q600" i="6"/>
  <c r="R600" i="6"/>
  <c r="S600" i="6"/>
  <c r="T600" i="6"/>
  <c r="U600" i="6"/>
  <c r="V600" i="6"/>
  <c r="W600" i="6"/>
  <c r="X600" i="6"/>
  <c r="Y600" i="6"/>
  <c r="Z600" i="6"/>
  <c r="AA600" i="6"/>
  <c r="J601" i="6"/>
  <c r="K601" i="6"/>
  <c r="L601" i="6"/>
  <c r="M601" i="6"/>
  <c r="N601" i="6"/>
  <c r="O601" i="6"/>
  <c r="P601" i="6"/>
  <c r="Q601" i="6"/>
  <c r="R601" i="6"/>
  <c r="S601" i="6"/>
  <c r="T601" i="6"/>
  <c r="U601" i="6"/>
  <c r="V601" i="6"/>
  <c r="W601" i="6"/>
  <c r="X601" i="6"/>
  <c r="Y601" i="6"/>
  <c r="Z601" i="6"/>
  <c r="AA601" i="6"/>
  <c r="J602" i="6"/>
  <c r="K602" i="6"/>
  <c r="L602" i="6"/>
  <c r="M602" i="6"/>
  <c r="N602" i="6"/>
  <c r="O602" i="6"/>
  <c r="P602" i="6"/>
  <c r="Q602" i="6"/>
  <c r="R602" i="6"/>
  <c r="S602" i="6"/>
  <c r="T602" i="6"/>
  <c r="U602" i="6"/>
  <c r="V602" i="6"/>
  <c r="W602" i="6"/>
  <c r="X602" i="6"/>
  <c r="Y602" i="6"/>
  <c r="Z602" i="6"/>
  <c r="AA602" i="6"/>
  <c r="J603" i="6"/>
  <c r="K603" i="6"/>
  <c r="L603" i="6"/>
  <c r="M603" i="6"/>
  <c r="N603" i="6"/>
  <c r="O603" i="6"/>
  <c r="P603" i="6"/>
  <c r="Q603" i="6"/>
  <c r="R603" i="6"/>
  <c r="S603" i="6"/>
  <c r="T603" i="6"/>
  <c r="U603" i="6"/>
  <c r="V603" i="6"/>
  <c r="W603" i="6"/>
  <c r="X603" i="6"/>
  <c r="Y603" i="6"/>
  <c r="Z603" i="6"/>
  <c r="AA603" i="6"/>
  <c r="J604" i="6"/>
  <c r="K604" i="6"/>
  <c r="L604" i="6"/>
  <c r="M604" i="6"/>
  <c r="N604" i="6"/>
  <c r="O604" i="6"/>
  <c r="P604" i="6"/>
  <c r="Q604" i="6"/>
  <c r="R604" i="6"/>
  <c r="S604" i="6"/>
  <c r="T604" i="6"/>
  <c r="U604" i="6"/>
  <c r="V604" i="6"/>
  <c r="W604" i="6"/>
  <c r="X604" i="6"/>
  <c r="Y604" i="6"/>
  <c r="Z604" i="6"/>
  <c r="AA604" i="6"/>
  <c r="J605" i="6"/>
  <c r="K605" i="6"/>
  <c r="L605" i="6"/>
  <c r="M605" i="6"/>
  <c r="N605" i="6"/>
  <c r="O605" i="6"/>
  <c r="P605" i="6"/>
  <c r="Q605" i="6"/>
  <c r="R605" i="6"/>
  <c r="S605" i="6"/>
  <c r="T605" i="6"/>
  <c r="U605" i="6"/>
  <c r="V605" i="6"/>
  <c r="W605" i="6"/>
  <c r="X605" i="6"/>
  <c r="Y605" i="6"/>
  <c r="Z605" i="6"/>
  <c r="AA605" i="6"/>
  <c r="J606" i="6"/>
  <c r="K606" i="6"/>
  <c r="L606" i="6"/>
  <c r="M606" i="6"/>
  <c r="N606" i="6"/>
  <c r="O606" i="6"/>
  <c r="P606" i="6"/>
  <c r="Q606" i="6"/>
  <c r="R606" i="6"/>
  <c r="S606" i="6"/>
  <c r="T606" i="6"/>
  <c r="U606" i="6"/>
  <c r="V606" i="6"/>
  <c r="W606" i="6"/>
  <c r="X606" i="6"/>
  <c r="Y606" i="6"/>
  <c r="Z606" i="6"/>
  <c r="AA606" i="6"/>
  <c r="J607" i="6"/>
  <c r="K607" i="6"/>
  <c r="L607" i="6"/>
  <c r="M607" i="6"/>
  <c r="N607" i="6"/>
  <c r="O607" i="6"/>
  <c r="P607" i="6"/>
  <c r="Q607" i="6"/>
  <c r="R607" i="6"/>
  <c r="S607" i="6"/>
  <c r="T607" i="6"/>
  <c r="U607" i="6"/>
  <c r="V607" i="6"/>
  <c r="W607" i="6"/>
  <c r="X607" i="6"/>
  <c r="Y607" i="6"/>
  <c r="Z607" i="6"/>
  <c r="AA607" i="6"/>
  <c r="J608" i="6"/>
  <c r="K608" i="6"/>
  <c r="L608" i="6"/>
  <c r="M608" i="6"/>
  <c r="N608" i="6"/>
  <c r="O608" i="6"/>
  <c r="P608" i="6"/>
  <c r="Q608" i="6"/>
  <c r="R608" i="6"/>
  <c r="S608" i="6"/>
  <c r="T608" i="6"/>
  <c r="U608" i="6"/>
  <c r="V608" i="6"/>
  <c r="W608" i="6"/>
  <c r="X608" i="6"/>
  <c r="Y608" i="6"/>
  <c r="Z608" i="6"/>
  <c r="AA608" i="6"/>
  <c r="J609" i="6"/>
  <c r="K609" i="6"/>
  <c r="L609" i="6"/>
  <c r="M609" i="6"/>
  <c r="N609" i="6"/>
  <c r="O609" i="6"/>
  <c r="P609" i="6"/>
  <c r="Q609" i="6"/>
  <c r="R609" i="6"/>
  <c r="S609" i="6"/>
  <c r="T609" i="6"/>
  <c r="U609" i="6"/>
  <c r="V609" i="6"/>
  <c r="W609" i="6"/>
  <c r="X609" i="6"/>
  <c r="Y609" i="6"/>
  <c r="Z609" i="6"/>
  <c r="AA609" i="6"/>
  <c r="J610" i="6"/>
  <c r="K610" i="6"/>
  <c r="L610" i="6"/>
  <c r="M610" i="6"/>
  <c r="N610" i="6"/>
  <c r="O610" i="6"/>
  <c r="P610" i="6"/>
  <c r="Q610" i="6"/>
  <c r="R610" i="6"/>
  <c r="S610" i="6"/>
  <c r="T610" i="6"/>
  <c r="U610" i="6"/>
  <c r="V610" i="6"/>
  <c r="W610" i="6"/>
  <c r="X610" i="6"/>
  <c r="Y610" i="6"/>
  <c r="Z610" i="6"/>
  <c r="AA610" i="6"/>
  <c r="J611" i="6"/>
  <c r="K611" i="6"/>
  <c r="L611" i="6"/>
  <c r="M611" i="6"/>
  <c r="N611" i="6"/>
  <c r="O611" i="6"/>
  <c r="P611" i="6"/>
  <c r="Q611" i="6"/>
  <c r="R611" i="6"/>
  <c r="S611" i="6"/>
  <c r="T611" i="6"/>
  <c r="U611" i="6"/>
  <c r="V611" i="6"/>
  <c r="W611" i="6"/>
  <c r="X611" i="6"/>
  <c r="Y611" i="6"/>
  <c r="Z611" i="6"/>
  <c r="AA611" i="6"/>
  <c r="J612" i="6"/>
  <c r="K612" i="6"/>
  <c r="L612" i="6"/>
  <c r="M612" i="6"/>
  <c r="N612" i="6"/>
  <c r="O612" i="6"/>
  <c r="P612" i="6"/>
  <c r="Q612" i="6"/>
  <c r="R612" i="6"/>
  <c r="S612" i="6"/>
  <c r="T612" i="6"/>
  <c r="U612" i="6"/>
  <c r="V612" i="6"/>
  <c r="W612" i="6"/>
  <c r="X612" i="6"/>
  <c r="Y612" i="6"/>
  <c r="Z612" i="6"/>
  <c r="AA612" i="6"/>
  <c r="J613" i="6"/>
  <c r="K613" i="6"/>
  <c r="L613" i="6"/>
  <c r="M613" i="6"/>
  <c r="N613" i="6"/>
  <c r="O613" i="6"/>
  <c r="P613" i="6"/>
  <c r="Q613" i="6"/>
  <c r="R613" i="6"/>
  <c r="S613" i="6"/>
  <c r="T613" i="6"/>
  <c r="U613" i="6"/>
  <c r="V613" i="6"/>
  <c r="W613" i="6"/>
  <c r="X613" i="6"/>
  <c r="Y613" i="6"/>
  <c r="Z613" i="6"/>
  <c r="AA613" i="6"/>
  <c r="J614" i="6"/>
  <c r="K614" i="6"/>
  <c r="L614" i="6"/>
  <c r="M614" i="6"/>
  <c r="N614" i="6"/>
  <c r="O614" i="6"/>
  <c r="P614" i="6"/>
  <c r="Q614" i="6"/>
  <c r="R614" i="6"/>
  <c r="S614" i="6"/>
  <c r="T614" i="6"/>
  <c r="U614" i="6"/>
  <c r="V614" i="6"/>
  <c r="W614" i="6"/>
  <c r="X614" i="6"/>
  <c r="Y614" i="6"/>
  <c r="Z614" i="6"/>
  <c r="AA614" i="6"/>
  <c r="J615" i="6"/>
  <c r="K615" i="6"/>
  <c r="L615" i="6"/>
  <c r="M615" i="6"/>
  <c r="N615" i="6"/>
  <c r="O615" i="6"/>
  <c r="P615" i="6"/>
  <c r="Q615" i="6"/>
  <c r="R615" i="6"/>
  <c r="S615" i="6"/>
  <c r="T615" i="6"/>
  <c r="U615" i="6"/>
  <c r="V615" i="6"/>
  <c r="W615" i="6"/>
  <c r="X615" i="6"/>
  <c r="Y615" i="6"/>
  <c r="Z615" i="6"/>
  <c r="AA615" i="6"/>
  <c r="J616" i="6"/>
  <c r="K616" i="6"/>
  <c r="L616" i="6"/>
  <c r="M616" i="6"/>
  <c r="N616" i="6"/>
  <c r="O616" i="6"/>
  <c r="P616" i="6"/>
  <c r="Q616" i="6"/>
  <c r="R616" i="6"/>
  <c r="S616" i="6"/>
  <c r="T616" i="6"/>
  <c r="U616" i="6"/>
  <c r="V616" i="6"/>
  <c r="W616" i="6"/>
  <c r="X616" i="6"/>
  <c r="Y616" i="6"/>
  <c r="Z616" i="6"/>
  <c r="AA616" i="6"/>
  <c r="J617" i="6"/>
  <c r="K617" i="6"/>
  <c r="L617" i="6"/>
  <c r="M617" i="6"/>
  <c r="N617" i="6"/>
  <c r="O617" i="6"/>
  <c r="P617" i="6"/>
  <c r="Q617" i="6"/>
  <c r="R617" i="6"/>
  <c r="S617" i="6"/>
  <c r="T617" i="6"/>
  <c r="U617" i="6"/>
  <c r="V617" i="6"/>
  <c r="W617" i="6"/>
  <c r="X617" i="6"/>
  <c r="Y617" i="6"/>
  <c r="Z617" i="6"/>
  <c r="AA617" i="6"/>
  <c r="J618" i="6"/>
  <c r="K618" i="6"/>
  <c r="L618" i="6"/>
  <c r="M618" i="6"/>
  <c r="N618" i="6"/>
  <c r="O618" i="6"/>
  <c r="P618" i="6"/>
  <c r="Q618" i="6"/>
  <c r="R618" i="6"/>
  <c r="S618" i="6"/>
  <c r="T618" i="6"/>
  <c r="U618" i="6"/>
  <c r="V618" i="6"/>
  <c r="W618" i="6"/>
  <c r="X618" i="6"/>
  <c r="Y618" i="6"/>
  <c r="Z618" i="6"/>
  <c r="AA618" i="6"/>
  <c r="J619" i="6"/>
  <c r="K619" i="6"/>
  <c r="L619" i="6"/>
  <c r="M619" i="6"/>
  <c r="N619" i="6"/>
  <c r="O619" i="6"/>
  <c r="P619" i="6"/>
  <c r="Q619" i="6"/>
  <c r="R619" i="6"/>
  <c r="S619" i="6"/>
  <c r="T619" i="6"/>
  <c r="U619" i="6"/>
  <c r="V619" i="6"/>
  <c r="W619" i="6"/>
  <c r="X619" i="6"/>
  <c r="Y619" i="6"/>
  <c r="Z619" i="6"/>
  <c r="AA619" i="6"/>
  <c r="J620" i="6"/>
  <c r="K620" i="6"/>
  <c r="L620" i="6"/>
  <c r="M620" i="6"/>
  <c r="N620" i="6"/>
  <c r="O620" i="6"/>
  <c r="P620" i="6"/>
  <c r="Q620" i="6"/>
  <c r="R620" i="6"/>
  <c r="S620" i="6"/>
  <c r="T620" i="6"/>
  <c r="U620" i="6"/>
  <c r="V620" i="6"/>
  <c r="W620" i="6"/>
  <c r="X620" i="6"/>
  <c r="Y620" i="6"/>
  <c r="Z620" i="6"/>
  <c r="AA620" i="6"/>
  <c r="J621" i="6"/>
  <c r="K621" i="6"/>
  <c r="L621" i="6"/>
  <c r="M621" i="6"/>
  <c r="N621" i="6"/>
  <c r="O621" i="6"/>
  <c r="P621" i="6"/>
  <c r="Q621" i="6"/>
  <c r="R621" i="6"/>
  <c r="S621" i="6"/>
  <c r="T621" i="6"/>
  <c r="U621" i="6"/>
  <c r="V621" i="6"/>
  <c r="W621" i="6"/>
  <c r="X621" i="6"/>
  <c r="Y621" i="6"/>
  <c r="Z621" i="6"/>
  <c r="AA621" i="6"/>
  <c r="J622" i="6"/>
  <c r="K622" i="6"/>
  <c r="L622" i="6"/>
  <c r="M622" i="6"/>
  <c r="N622" i="6"/>
  <c r="O622" i="6"/>
  <c r="P622" i="6"/>
  <c r="Q622" i="6"/>
  <c r="R622" i="6"/>
  <c r="S622" i="6"/>
  <c r="T622" i="6"/>
  <c r="U622" i="6"/>
  <c r="V622" i="6"/>
  <c r="W622" i="6"/>
  <c r="X622" i="6"/>
  <c r="Y622" i="6"/>
  <c r="Z622" i="6"/>
  <c r="AA622" i="6"/>
  <c r="J623" i="6"/>
  <c r="K623" i="6"/>
  <c r="L623" i="6"/>
  <c r="M623" i="6"/>
  <c r="N623" i="6"/>
  <c r="O623" i="6"/>
  <c r="P623" i="6"/>
  <c r="Q623" i="6"/>
  <c r="R623" i="6"/>
  <c r="S623" i="6"/>
  <c r="T623" i="6"/>
  <c r="U623" i="6"/>
  <c r="V623" i="6"/>
  <c r="W623" i="6"/>
  <c r="X623" i="6"/>
  <c r="Y623" i="6"/>
  <c r="Z623" i="6"/>
  <c r="AA623" i="6"/>
  <c r="J624" i="6"/>
  <c r="K624" i="6"/>
  <c r="L624" i="6"/>
  <c r="M624" i="6"/>
  <c r="N624" i="6"/>
  <c r="O624" i="6"/>
  <c r="P624" i="6"/>
  <c r="Q624" i="6"/>
  <c r="R624" i="6"/>
  <c r="S624" i="6"/>
  <c r="T624" i="6"/>
  <c r="U624" i="6"/>
  <c r="V624" i="6"/>
  <c r="W624" i="6"/>
  <c r="X624" i="6"/>
  <c r="Y624" i="6"/>
  <c r="Z624" i="6"/>
  <c r="AA624" i="6"/>
  <c r="J625" i="6"/>
  <c r="K625" i="6"/>
  <c r="L625" i="6"/>
  <c r="M625" i="6"/>
  <c r="N625" i="6"/>
  <c r="O625" i="6"/>
  <c r="P625" i="6"/>
  <c r="Q625" i="6"/>
  <c r="R625" i="6"/>
  <c r="S625" i="6"/>
  <c r="T625" i="6"/>
  <c r="U625" i="6"/>
  <c r="V625" i="6"/>
  <c r="W625" i="6"/>
  <c r="X625" i="6"/>
  <c r="Y625" i="6"/>
  <c r="Z625" i="6"/>
  <c r="AA625" i="6"/>
  <c r="J626" i="6"/>
  <c r="K626" i="6"/>
  <c r="L626" i="6"/>
  <c r="M626" i="6"/>
  <c r="N626" i="6"/>
  <c r="O626" i="6"/>
  <c r="P626" i="6"/>
  <c r="Q626" i="6"/>
  <c r="R626" i="6"/>
  <c r="S626" i="6"/>
  <c r="T626" i="6"/>
  <c r="U626" i="6"/>
  <c r="V626" i="6"/>
  <c r="W626" i="6"/>
  <c r="X626" i="6"/>
  <c r="Y626" i="6"/>
  <c r="Z626" i="6"/>
  <c r="AA626" i="6"/>
  <c r="J627" i="6"/>
  <c r="K627" i="6"/>
  <c r="L627" i="6"/>
  <c r="M627" i="6"/>
  <c r="N627" i="6"/>
  <c r="O627" i="6"/>
  <c r="P627" i="6"/>
  <c r="Q627" i="6"/>
  <c r="R627" i="6"/>
  <c r="S627" i="6"/>
  <c r="T627" i="6"/>
  <c r="U627" i="6"/>
  <c r="V627" i="6"/>
  <c r="W627" i="6"/>
  <c r="X627" i="6"/>
  <c r="Y627" i="6"/>
  <c r="Z627" i="6"/>
  <c r="AA627" i="6"/>
  <c r="J628" i="6"/>
  <c r="K628" i="6"/>
  <c r="L628" i="6"/>
  <c r="M628" i="6"/>
  <c r="N628" i="6"/>
  <c r="O628" i="6"/>
  <c r="P628" i="6"/>
  <c r="Q628" i="6"/>
  <c r="R628" i="6"/>
  <c r="S628" i="6"/>
  <c r="T628" i="6"/>
  <c r="U628" i="6"/>
  <c r="V628" i="6"/>
  <c r="W628" i="6"/>
  <c r="X628" i="6"/>
  <c r="Y628" i="6"/>
  <c r="Z628" i="6"/>
  <c r="AA628" i="6"/>
  <c r="J629" i="6"/>
  <c r="K629" i="6"/>
  <c r="L629" i="6"/>
  <c r="M629" i="6"/>
  <c r="N629" i="6"/>
  <c r="O629" i="6"/>
  <c r="P629" i="6"/>
  <c r="Q629" i="6"/>
  <c r="R629" i="6"/>
  <c r="S629" i="6"/>
  <c r="T629" i="6"/>
  <c r="U629" i="6"/>
  <c r="V629" i="6"/>
  <c r="W629" i="6"/>
  <c r="X629" i="6"/>
  <c r="Y629" i="6"/>
  <c r="Z629" i="6"/>
  <c r="AA629" i="6"/>
  <c r="J630" i="6"/>
  <c r="K630" i="6"/>
  <c r="L630" i="6"/>
  <c r="M630" i="6"/>
  <c r="N630" i="6"/>
  <c r="O630" i="6"/>
  <c r="P630" i="6"/>
  <c r="Q630" i="6"/>
  <c r="R630" i="6"/>
  <c r="S630" i="6"/>
  <c r="T630" i="6"/>
  <c r="U630" i="6"/>
  <c r="V630" i="6"/>
  <c r="W630" i="6"/>
  <c r="X630" i="6"/>
  <c r="Y630" i="6"/>
  <c r="Z630" i="6"/>
  <c r="AA630" i="6"/>
  <c r="J631" i="6"/>
  <c r="K631" i="6"/>
  <c r="L631" i="6"/>
  <c r="M631" i="6"/>
  <c r="N631" i="6"/>
  <c r="O631" i="6"/>
  <c r="P631" i="6"/>
  <c r="Q631" i="6"/>
  <c r="R631" i="6"/>
  <c r="S631" i="6"/>
  <c r="T631" i="6"/>
  <c r="U631" i="6"/>
  <c r="V631" i="6"/>
  <c r="W631" i="6"/>
  <c r="X631" i="6"/>
  <c r="Y631" i="6"/>
  <c r="Z631" i="6"/>
  <c r="AA631" i="6"/>
  <c r="J632" i="6"/>
  <c r="K632" i="6"/>
  <c r="L632" i="6"/>
  <c r="M632" i="6"/>
  <c r="N632" i="6"/>
  <c r="O632" i="6"/>
  <c r="P632" i="6"/>
  <c r="Q632" i="6"/>
  <c r="R632" i="6"/>
  <c r="S632" i="6"/>
  <c r="T632" i="6"/>
  <c r="U632" i="6"/>
  <c r="V632" i="6"/>
  <c r="W632" i="6"/>
  <c r="X632" i="6"/>
  <c r="Y632" i="6"/>
  <c r="Z632" i="6"/>
  <c r="AA632" i="6"/>
  <c r="J633" i="6"/>
  <c r="K633" i="6"/>
  <c r="L633" i="6"/>
  <c r="M633" i="6"/>
  <c r="N633" i="6"/>
  <c r="O633" i="6"/>
  <c r="P633" i="6"/>
  <c r="Q633" i="6"/>
  <c r="R633" i="6"/>
  <c r="S633" i="6"/>
  <c r="T633" i="6"/>
  <c r="U633" i="6"/>
  <c r="V633" i="6"/>
  <c r="W633" i="6"/>
  <c r="X633" i="6"/>
  <c r="Y633" i="6"/>
  <c r="Z633" i="6"/>
  <c r="AA633" i="6"/>
  <c r="J634" i="6"/>
  <c r="K634" i="6"/>
  <c r="L634" i="6"/>
  <c r="M634" i="6"/>
  <c r="N634" i="6"/>
  <c r="O634" i="6"/>
  <c r="P634" i="6"/>
  <c r="Q634" i="6"/>
  <c r="R634" i="6"/>
  <c r="S634" i="6"/>
  <c r="T634" i="6"/>
  <c r="U634" i="6"/>
  <c r="V634" i="6"/>
  <c r="W634" i="6"/>
  <c r="X634" i="6"/>
  <c r="Y634" i="6"/>
  <c r="Z634" i="6"/>
  <c r="AA634" i="6"/>
  <c r="J635" i="6"/>
  <c r="K635" i="6"/>
  <c r="L635" i="6"/>
  <c r="M635" i="6"/>
  <c r="N635" i="6"/>
  <c r="O635" i="6"/>
  <c r="P635" i="6"/>
  <c r="Q635" i="6"/>
  <c r="R635" i="6"/>
  <c r="S635" i="6"/>
  <c r="T635" i="6"/>
  <c r="U635" i="6"/>
  <c r="V635" i="6"/>
  <c r="W635" i="6"/>
  <c r="X635" i="6"/>
  <c r="Y635" i="6"/>
  <c r="Z635" i="6"/>
  <c r="AA635" i="6"/>
  <c r="J636" i="6"/>
  <c r="K636" i="6"/>
  <c r="L636" i="6"/>
  <c r="M636" i="6"/>
  <c r="N636" i="6"/>
  <c r="O636" i="6"/>
  <c r="P636" i="6"/>
  <c r="Q636" i="6"/>
  <c r="R636" i="6"/>
  <c r="S636" i="6"/>
  <c r="T636" i="6"/>
  <c r="U636" i="6"/>
  <c r="V636" i="6"/>
  <c r="W636" i="6"/>
  <c r="X636" i="6"/>
  <c r="Y636" i="6"/>
  <c r="Z636" i="6"/>
  <c r="AA636" i="6"/>
  <c r="J637" i="6"/>
  <c r="K637" i="6"/>
  <c r="L637" i="6"/>
  <c r="M637" i="6"/>
  <c r="N637" i="6"/>
  <c r="O637" i="6"/>
  <c r="P637" i="6"/>
  <c r="Q637" i="6"/>
  <c r="R637" i="6"/>
  <c r="S637" i="6"/>
  <c r="T637" i="6"/>
  <c r="U637" i="6"/>
  <c r="V637" i="6"/>
  <c r="W637" i="6"/>
  <c r="X637" i="6"/>
  <c r="Y637" i="6"/>
  <c r="Z637" i="6"/>
  <c r="AA637" i="6"/>
  <c r="J638" i="6"/>
  <c r="K638" i="6"/>
  <c r="L638" i="6"/>
  <c r="M638" i="6"/>
  <c r="N638" i="6"/>
  <c r="O638" i="6"/>
  <c r="P638" i="6"/>
  <c r="Q638" i="6"/>
  <c r="R638" i="6"/>
  <c r="S638" i="6"/>
  <c r="T638" i="6"/>
  <c r="U638" i="6"/>
  <c r="V638" i="6"/>
  <c r="W638" i="6"/>
  <c r="X638" i="6"/>
  <c r="Y638" i="6"/>
  <c r="Z638" i="6"/>
  <c r="AA638" i="6"/>
  <c r="J639" i="6"/>
  <c r="K639" i="6"/>
  <c r="L639" i="6"/>
  <c r="M639" i="6"/>
  <c r="N639" i="6"/>
  <c r="O639" i="6"/>
  <c r="P639" i="6"/>
  <c r="Q639" i="6"/>
  <c r="R639" i="6"/>
  <c r="S639" i="6"/>
  <c r="T639" i="6"/>
  <c r="U639" i="6"/>
  <c r="V639" i="6"/>
  <c r="W639" i="6"/>
  <c r="X639" i="6"/>
  <c r="Y639" i="6"/>
  <c r="Z639" i="6"/>
  <c r="AA639" i="6"/>
  <c r="J640" i="6"/>
  <c r="K640" i="6"/>
  <c r="L640" i="6"/>
  <c r="M640" i="6"/>
  <c r="N640" i="6"/>
  <c r="O640" i="6"/>
  <c r="P640" i="6"/>
  <c r="Q640" i="6"/>
  <c r="R640" i="6"/>
  <c r="S640" i="6"/>
  <c r="T640" i="6"/>
  <c r="U640" i="6"/>
  <c r="V640" i="6"/>
  <c r="W640" i="6"/>
  <c r="X640" i="6"/>
  <c r="Y640" i="6"/>
  <c r="Z640" i="6"/>
  <c r="AA640" i="6"/>
  <c r="J641" i="6"/>
  <c r="K641" i="6"/>
  <c r="L641" i="6"/>
  <c r="M641" i="6"/>
  <c r="N641" i="6"/>
  <c r="O641" i="6"/>
  <c r="P641" i="6"/>
  <c r="Q641" i="6"/>
  <c r="R641" i="6"/>
  <c r="S641" i="6"/>
  <c r="T641" i="6"/>
  <c r="U641" i="6"/>
  <c r="V641" i="6"/>
  <c r="W641" i="6"/>
  <c r="X641" i="6"/>
  <c r="Y641" i="6"/>
  <c r="Z641" i="6"/>
  <c r="AA641" i="6"/>
  <c r="J642" i="6"/>
  <c r="K642" i="6"/>
  <c r="L642" i="6"/>
  <c r="M642" i="6"/>
  <c r="N642" i="6"/>
  <c r="O642" i="6"/>
  <c r="P642" i="6"/>
  <c r="Q642" i="6"/>
  <c r="R642" i="6"/>
  <c r="S642" i="6"/>
  <c r="T642" i="6"/>
  <c r="U642" i="6"/>
  <c r="V642" i="6"/>
  <c r="W642" i="6"/>
  <c r="X642" i="6"/>
  <c r="Y642" i="6"/>
  <c r="Z642" i="6"/>
  <c r="AA642" i="6"/>
  <c r="J643" i="6"/>
  <c r="K643" i="6"/>
  <c r="L643" i="6"/>
  <c r="M643" i="6"/>
  <c r="N643" i="6"/>
  <c r="O643" i="6"/>
  <c r="P643" i="6"/>
  <c r="Q643" i="6"/>
  <c r="R643" i="6"/>
  <c r="S643" i="6"/>
  <c r="T643" i="6"/>
  <c r="U643" i="6"/>
  <c r="V643" i="6"/>
  <c r="W643" i="6"/>
  <c r="X643" i="6"/>
  <c r="Y643" i="6"/>
  <c r="Z643" i="6"/>
  <c r="AA643" i="6"/>
  <c r="J644" i="6"/>
  <c r="K644" i="6"/>
  <c r="L644" i="6"/>
  <c r="M644" i="6"/>
  <c r="N644" i="6"/>
  <c r="O644" i="6"/>
  <c r="P644" i="6"/>
  <c r="Q644" i="6"/>
  <c r="R644" i="6"/>
  <c r="S644" i="6"/>
  <c r="T644" i="6"/>
  <c r="U644" i="6"/>
  <c r="V644" i="6"/>
  <c r="W644" i="6"/>
  <c r="X644" i="6"/>
  <c r="Y644" i="6"/>
  <c r="Z644" i="6"/>
  <c r="AA644" i="6"/>
  <c r="J645" i="6"/>
  <c r="K645" i="6"/>
  <c r="L645" i="6"/>
  <c r="M645" i="6"/>
  <c r="N645" i="6"/>
  <c r="O645" i="6"/>
  <c r="P645" i="6"/>
  <c r="Q645" i="6"/>
  <c r="R645" i="6"/>
  <c r="S645" i="6"/>
  <c r="T645" i="6"/>
  <c r="U645" i="6"/>
  <c r="V645" i="6"/>
  <c r="W645" i="6"/>
  <c r="X645" i="6"/>
  <c r="Y645" i="6"/>
  <c r="Z645" i="6"/>
  <c r="AA645" i="6"/>
  <c r="J646" i="6"/>
  <c r="K646" i="6"/>
  <c r="L646" i="6"/>
  <c r="M646" i="6"/>
  <c r="N646" i="6"/>
  <c r="O646" i="6"/>
  <c r="P646" i="6"/>
  <c r="Q646" i="6"/>
  <c r="R646" i="6"/>
  <c r="S646" i="6"/>
  <c r="T646" i="6"/>
  <c r="U646" i="6"/>
  <c r="V646" i="6"/>
  <c r="W646" i="6"/>
  <c r="X646" i="6"/>
  <c r="Y646" i="6"/>
  <c r="Z646" i="6"/>
  <c r="AA646" i="6"/>
  <c r="J647" i="6"/>
  <c r="K647" i="6"/>
  <c r="L647" i="6"/>
  <c r="M647" i="6"/>
  <c r="N647" i="6"/>
  <c r="O647" i="6"/>
  <c r="P647" i="6"/>
  <c r="Q647" i="6"/>
  <c r="R647" i="6"/>
  <c r="S647" i="6"/>
  <c r="T647" i="6"/>
  <c r="U647" i="6"/>
  <c r="V647" i="6"/>
  <c r="W647" i="6"/>
  <c r="X647" i="6"/>
  <c r="Y647" i="6"/>
  <c r="Z647" i="6"/>
  <c r="AA647" i="6"/>
  <c r="J648" i="6"/>
  <c r="K648" i="6"/>
  <c r="L648" i="6"/>
  <c r="M648" i="6"/>
  <c r="N648" i="6"/>
  <c r="O648" i="6"/>
  <c r="P648" i="6"/>
  <c r="Q648" i="6"/>
  <c r="R648" i="6"/>
  <c r="S648" i="6"/>
  <c r="T648" i="6"/>
  <c r="U648" i="6"/>
  <c r="V648" i="6"/>
  <c r="W648" i="6"/>
  <c r="X648" i="6"/>
  <c r="Y648" i="6"/>
  <c r="Z648" i="6"/>
  <c r="AA648" i="6"/>
  <c r="J649" i="6"/>
  <c r="K649" i="6"/>
  <c r="L649" i="6"/>
  <c r="M649" i="6"/>
  <c r="N649" i="6"/>
  <c r="O649" i="6"/>
  <c r="P649" i="6"/>
  <c r="Q649" i="6"/>
  <c r="R649" i="6"/>
  <c r="S649" i="6"/>
  <c r="T649" i="6"/>
  <c r="U649" i="6"/>
  <c r="V649" i="6"/>
  <c r="W649" i="6"/>
  <c r="X649" i="6"/>
  <c r="Y649" i="6"/>
  <c r="Z649" i="6"/>
  <c r="AA649" i="6"/>
  <c r="J650" i="6"/>
  <c r="K650" i="6"/>
  <c r="L650" i="6"/>
  <c r="M650" i="6"/>
  <c r="N650" i="6"/>
  <c r="O650" i="6"/>
  <c r="P650" i="6"/>
  <c r="Q650" i="6"/>
  <c r="R650" i="6"/>
  <c r="S650" i="6"/>
  <c r="T650" i="6"/>
  <c r="U650" i="6"/>
  <c r="V650" i="6"/>
  <c r="W650" i="6"/>
  <c r="X650" i="6"/>
  <c r="Y650" i="6"/>
  <c r="Z650" i="6"/>
  <c r="AA650" i="6"/>
  <c r="J651" i="6"/>
  <c r="K651" i="6"/>
  <c r="L651" i="6"/>
  <c r="M651" i="6"/>
  <c r="N651" i="6"/>
  <c r="O651" i="6"/>
  <c r="P651" i="6"/>
  <c r="Q651" i="6"/>
  <c r="R651" i="6"/>
  <c r="S651" i="6"/>
  <c r="T651" i="6"/>
  <c r="U651" i="6"/>
  <c r="V651" i="6"/>
  <c r="W651" i="6"/>
  <c r="X651" i="6"/>
  <c r="Y651" i="6"/>
  <c r="Z651" i="6"/>
  <c r="AA651" i="6"/>
  <c r="J652" i="6"/>
  <c r="K652" i="6"/>
  <c r="L652" i="6"/>
  <c r="M652" i="6"/>
  <c r="N652" i="6"/>
  <c r="O652" i="6"/>
  <c r="P652" i="6"/>
  <c r="Q652" i="6"/>
  <c r="R652" i="6"/>
  <c r="S652" i="6"/>
  <c r="T652" i="6"/>
  <c r="U652" i="6"/>
  <c r="V652" i="6"/>
  <c r="W652" i="6"/>
  <c r="X652" i="6"/>
  <c r="Y652" i="6"/>
  <c r="Z652" i="6"/>
  <c r="AA652" i="6"/>
  <c r="J653" i="6"/>
  <c r="K653" i="6"/>
  <c r="L653" i="6"/>
  <c r="M653" i="6"/>
  <c r="N653" i="6"/>
  <c r="O653" i="6"/>
  <c r="P653" i="6"/>
  <c r="Q653" i="6"/>
  <c r="R653" i="6"/>
  <c r="S653" i="6"/>
  <c r="T653" i="6"/>
  <c r="U653" i="6"/>
  <c r="V653" i="6"/>
  <c r="W653" i="6"/>
  <c r="X653" i="6"/>
  <c r="Y653" i="6"/>
  <c r="Z653" i="6"/>
  <c r="AA653" i="6"/>
  <c r="J654" i="6"/>
  <c r="K654" i="6"/>
  <c r="L654" i="6"/>
  <c r="M654" i="6"/>
  <c r="N654" i="6"/>
  <c r="O654" i="6"/>
  <c r="P654" i="6"/>
  <c r="Q654" i="6"/>
  <c r="R654" i="6"/>
  <c r="S654" i="6"/>
  <c r="T654" i="6"/>
  <c r="U654" i="6"/>
  <c r="V654" i="6"/>
  <c r="W654" i="6"/>
  <c r="X654" i="6"/>
  <c r="Y654" i="6"/>
  <c r="Z654" i="6"/>
  <c r="AA654" i="6"/>
  <c r="J655" i="6"/>
  <c r="K655" i="6"/>
  <c r="L655" i="6"/>
  <c r="M655" i="6"/>
  <c r="N655" i="6"/>
  <c r="O655" i="6"/>
  <c r="P655" i="6"/>
  <c r="Q655" i="6"/>
  <c r="R655" i="6"/>
  <c r="S655" i="6"/>
  <c r="T655" i="6"/>
  <c r="U655" i="6"/>
  <c r="V655" i="6"/>
  <c r="W655" i="6"/>
  <c r="X655" i="6"/>
  <c r="Y655" i="6"/>
  <c r="Z655" i="6"/>
  <c r="AA655" i="6"/>
  <c r="J656" i="6"/>
  <c r="K656" i="6"/>
  <c r="L656" i="6"/>
  <c r="M656" i="6"/>
  <c r="N656" i="6"/>
  <c r="O656" i="6"/>
  <c r="P656" i="6"/>
  <c r="Q656" i="6"/>
  <c r="R656" i="6"/>
  <c r="S656" i="6"/>
  <c r="T656" i="6"/>
  <c r="U656" i="6"/>
  <c r="V656" i="6"/>
  <c r="W656" i="6"/>
  <c r="X656" i="6"/>
  <c r="Y656" i="6"/>
  <c r="Z656" i="6"/>
  <c r="AA656" i="6"/>
  <c r="J657" i="6"/>
  <c r="K657" i="6"/>
  <c r="L657" i="6"/>
  <c r="M657" i="6"/>
  <c r="N657" i="6"/>
  <c r="O657" i="6"/>
  <c r="P657" i="6"/>
  <c r="Q657" i="6"/>
  <c r="R657" i="6"/>
  <c r="S657" i="6"/>
  <c r="T657" i="6"/>
  <c r="U657" i="6"/>
  <c r="V657" i="6"/>
  <c r="W657" i="6"/>
  <c r="X657" i="6"/>
  <c r="Y657" i="6"/>
  <c r="Z657" i="6"/>
  <c r="AA657" i="6"/>
  <c r="J658" i="6"/>
  <c r="K658" i="6"/>
  <c r="L658" i="6"/>
  <c r="M658" i="6"/>
  <c r="N658" i="6"/>
  <c r="O658" i="6"/>
  <c r="P658" i="6"/>
  <c r="Q658" i="6"/>
  <c r="R658" i="6"/>
  <c r="S658" i="6"/>
  <c r="T658" i="6"/>
  <c r="U658" i="6"/>
  <c r="V658" i="6"/>
  <c r="W658" i="6"/>
  <c r="X658" i="6"/>
  <c r="Y658" i="6"/>
  <c r="Z658" i="6"/>
  <c r="AA658" i="6"/>
  <c r="J659" i="6"/>
  <c r="K659" i="6"/>
  <c r="L659" i="6"/>
  <c r="M659" i="6"/>
  <c r="N659" i="6"/>
  <c r="O659" i="6"/>
  <c r="P659" i="6"/>
  <c r="Q659" i="6"/>
  <c r="R659" i="6"/>
  <c r="S659" i="6"/>
  <c r="T659" i="6"/>
  <c r="U659" i="6"/>
  <c r="V659" i="6"/>
  <c r="W659" i="6"/>
  <c r="X659" i="6"/>
  <c r="Y659" i="6"/>
  <c r="Z659" i="6"/>
  <c r="AA659" i="6"/>
  <c r="J660" i="6"/>
  <c r="K660" i="6"/>
  <c r="L660" i="6"/>
  <c r="M660" i="6"/>
  <c r="N660" i="6"/>
  <c r="O660" i="6"/>
  <c r="P660" i="6"/>
  <c r="Q660" i="6"/>
  <c r="R660" i="6"/>
  <c r="S660" i="6"/>
  <c r="T660" i="6"/>
  <c r="U660" i="6"/>
  <c r="V660" i="6"/>
  <c r="W660" i="6"/>
  <c r="X660" i="6"/>
  <c r="Y660" i="6"/>
  <c r="Z660" i="6"/>
  <c r="AA660" i="6"/>
  <c r="J661" i="6"/>
  <c r="K661" i="6"/>
  <c r="L661" i="6"/>
  <c r="M661" i="6"/>
  <c r="N661" i="6"/>
  <c r="O661" i="6"/>
  <c r="P661" i="6"/>
  <c r="Q661" i="6"/>
  <c r="R661" i="6"/>
  <c r="S661" i="6"/>
  <c r="T661" i="6"/>
  <c r="U661" i="6"/>
  <c r="V661" i="6"/>
  <c r="W661" i="6"/>
  <c r="X661" i="6"/>
  <c r="Y661" i="6"/>
  <c r="Z661" i="6"/>
  <c r="AA661" i="6"/>
  <c r="J662" i="6"/>
  <c r="K662" i="6"/>
  <c r="L662" i="6"/>
  <c r="M662" i="6"/>
  <c r="N662" i="6"/>
  <c r="O662" i="6"/>
  <c r="P662" i="6"/>
  <c r="Q662" i="6"/>
  <c r="R662" i="6"/>
  <c r="S662" i="6"/>
  <c r="T662" i="6"/>
  <c r="U662" i="6"/>
  <c r="V662" i="6"/>
  <c r="W662" i="6"/>
  <c r="X662" i="6"/>
  <c r="Y662" i="6"/>
  <c r="Z662" i="6"/>
  <c r="AA662" i="6"/>
  <c r="J663" i="6"/>
  <c r="K663" i="6"/>
  <c r="L663" i="6"/>
  <c r="M663" i="6"/>
  <c r="N663" i="6"/>
  <c r="O663" i="6"/>
  <c r="P663" i="6"/>
  <c r="Q663" i="6"/>
  <c r="R663" i="6"/>
  <c r="S663" i="6"/>
  <c r="T663" i="6"/>
  <c r="U663" i="6"/>
  <c r="V663" i="6"/>
  <c r="W663" i="6"/>
  <c r="X663" i="6"/>
  <c r="Y663" i="6"/>
  <c r="Z663" i="6"/>
  <c r="AA663" i="6"/>
  <c r="J664" i="6"/>
  <c r="K664" i="6"/>
  <c r="L664" i="6"/>
  <c r="M664" i="6"/>
  <c r="N664" i="6"/>
  <c r="O664" i="6"/>
  <c r="P664" i="6"/>
  <c r="Q664" i="6"/>
  <c r="R664" i="6"/>
  <c r="S664" i="6"/>
  <c r="T664" i="6"/>
  <c r="U664" i="6"/>
  <c r="V664" i="6"/>
  <c r="W664" i="6"/>
  <c r="X664" i="6"/>
  <c r="Y664" i="6"/>
  <c r="Z664" i="6"/>
  <c r="AA664" i="6"/>
  <c r="J665" i="6"/>
  <c r="K665" i="6"/>
  <c r="L665" i="6"/>
  <c r="M665" i="6"/>
  <c r="N665" i="6"/>
  <c r="O665" i="6"/>
  <c r="P665" i="6"/>
  <c r="Q665" i="6"/>
  <c r="R665" i="6"/>
  <c r="S665" i="6"/>
  <c r="T665" i="6"/>
  <c r="U665" i="6"/>
  <c r="V665" i="6"/>
  <c r="W665" i="6"/>
  <c r="X665" i="6"/>
  <c r="Y665" i="6"/>
  <c r="Z665" i="6"/>
  <c r="AA665" i="6"/>
  <c r="J666" i="6"/>
  <c r="K666" i="6"/>
  <c r="L666" i="6"/>
  <c r="M666" i="6"/>
  <c r="N666" i="6"/>
  <c r="O666" i="6"/>
  <c r="P666" i="6"/>
  <c r="Q666" i="6"/>
  <c r="R666" i="6"/>
  <c r="S666" i="6"/>
  <c r="T666" i="6"/>
  <c r="U666" i="6"/>
  <c r="V666" i="6"/>
  <c r="W666" i="6"/>
  <c r="X666" i="6"/>
  <c r="Y666" i="6"/>
  <c r="Z666" i="6"/>
  <c r="AA666" i="6"/>
  <c r="J667" i="6"/>
  <c r="K667" i="6"/>
  <c r="L667" i="6"/>
  <c r="M667" i="6"/>
  <c r="N667" i="6"/>
  <c r="O667" i="6"/>
  <c r="P667" i="6"/>
  <c r="Q667" i="6"/>
  <c r="R667" i="6"/>
  <c r="S667" i="6"/>
  <c r="T667" i="6"/>
  <c r="U667" i="6"/>
  <c r="V667" i="6"/>
  <c r="W667" i="6"/>
  <c r="X667" i="6"/>
  <c r="Y667" i="6"/>
  <c r="Z667" i="6"/>
  <c r="AA667" i="6"/>
  <c r="J668" i="6"/>
  <c r="K668" i="6"/>
  <c r="L668" i="6"/>
  <c r="M668" i="6"/>
  <c r="N668" i="6"/>
  <c r="O668" i="6"/>
  <c r="P668" i="6"/>
  <c r="Q668" i="6"/>
  <c r="R668" i="6"/>
  <c r="S668" i="6"/>
  <c r="T668" i="6"/>
  <c r="U668" i="6"/>
  <c r="V668" i="6"/>
  <c r="W668" i="6"/>
  <c r="X668" i="6"/>
  <c r="Y668" i="6"/>
  <c r="Z668" i="6"/>
  <c r="AA668" i="6"/>
  <c r="J669" i="6"/>
  <c r="K669" i="6"/>
  <c r="L669" i="6"/>
  <c r="M669" i="6"/>
  <c r="N669" i="6"/>
  <c r="O669" i="6"/>
  <c r="P669" i="6"/>
  <c r="Q669" i="6"/>
  <c r="R669" i="6"/>
  <c r="S669" i="6"/>
  <c r="T669" i="6"/>
  <c r="U669" i="6"/>
  <c r="V669" i="6"/>
  <c r="W669" i="6"/>
  <c r="X669" i="6"/>
  <c r="Y669" i="6"/>
  <c r="Z669" i="6"/>
  <c r="AA669" i="6"/>
  <c r="J670" i="6"/>
  <c r="K670" i="6"/>
  <c r="L670" i="6"/>
  <c r="M670" i="6"/>
  <c r="N670" i="6"/>
  <c r="O670" i="6"/>
  <c r="P670" i="6"/>
  <c r="Q670" i="6"/>
  <c r="R670" i="6"/>
  <c r="S670" i="6"/>
  <c r="T670" i="6"/>
  <c r="U670" i="6"/>
  <c r="V670" i="6"/>
  <c r="W670" i="6"/>
  <c r="X670" i="6"/>
  <c r="Y670" i="6"/>
  <c r="Z670" i="6"/>
  <c r="AA670" i="6"/>
  <c r="J671" i="6"/>
  <c r="K671" i="6"/>
  <c r="L671" i="6"/>
  <c r="M671" i="6"/>
  <c r="N671" i="6"/>
  <c r="O671" i="6"/>
  <c r="P671" i="6"/>
  <c r="Q671" i="6"/>
  <c r="R671" i="6"/>
  <c r="S671" i="6"/>
  <c r="T671" i="6"/>
  <c r="U671" i="6"/>
  <c r="V671" i="6"/>
  <c r="W671" i="6"/>
  <c r="X671" i="6"/>
  <c r="Y671" i="6"/>
  <c r="Z671" i="6"/>
  <c r="AA671" i="6"/>
  <c r="J672" i="6"/>
  <c r="K672" i="6"/>
  <c r="L672" i="6"/>
  <c r="M672" i="6"/>
  <c r="N672" i="6"/>
  <c r="O672" i="6"/>
  <c r="P672" i="6"/>
  <c r="Q672" i="6"/>
  <c r="R672" i="6"/>
  <c r="S672" i="6"/>
  <c r="T672" i="6"/>
  <c r="U672" i="6"/>
  <c r="V672" i="6"/>
  <c r="W672" i="6"/>
  <c r="X672" i="6"/>
  <c r="Y672" i="6"/>
  <c r="Z672" i="6"/>
  <c r="AA672" i="6"/>
  <c r="J673" i="6"/>
  <c r="K673" i="6"/>
  <c r="L673" i="6"/>
  <c r="M673" i="6"/>
  <c r="N673" i="6"/>
  <c r="O673" i="6"/>
  <c r="P673" i="6"/>
  <c r="Q673" i="6"/>
  <c r="R673" i="6"/>
  <c r="S673" i="6"/>
  <c r="T673" i="6"/>
  <c r="U673" i="6"/>
  <c r="V673" i="6"/>
  <c r="W673" i="6"/>
  <c r="X673" i="6"/>
  <c r="Y673" i="6"/>
  <c r="Z673" i="6"/>
  <c r="AA673" i="6"/>
  <c r="J674" i="6"/>
  <c r="K674" i="6"/>
  <c r="L674" i="6"/>
  <c r="M674" i="6"/>
  <c r="N674" i="6"/>
  <c r="O674" i="6"/>
  <c r="P674" i="6"/>
  <c r="Q674" i="6"/>
  <c r="R674" i="6"/>
  <c r="S674" i="6"/>
  <c r="T674" i="6"/>
  <c r="U674" i="6"/>
  <c r="V674" i="6"/>
  <c r="W674" i="6"/>
  <c r="X674" i="6"/>
  <c r="Y674" i="6"/>
  <c r="Z674" i="6"/>
  <c r="AA674" i="6"/>
  <c r="J675" i="6"/>
  <c r="K675" i="6"/>
  <c r="L675" i="6"/>
  <c r="M675" i="6"/>
  <c r="N675" i="6"/>
  <c r="O675" i="6"/>
  <c r="P675" i="6"/>
  <c r="Q675" i="6"/>
  <c r="R675" i="6"/>
  <c r="S675" i="6"/>
  <c r="T675" i="6"/>
  <c r="U675" i="6"/>
  <c r="V675" i="6"/>
  <c r="W675" i="6"/>
  <c r="X675" i="6"/>
  <c r="Y675" i="6"/>
  <c r="Z675" i="6"/>
  <c r="AA675" i="6"/>
  <c r="J676" i="6"/>
  <c r="K676" i="6"/>
  <c r="L676" i="6"/>
  <c r="M676" i="6"/>
  <c r="N676" i="6"/>
  <c r="O676" i="6"/>
  <c r="P676" i="6"/>
  <c r="Q676" i="6"/>
  <c r="R676" i="6"/>
  <c r="S676" i="6"/>
  <c r="T676" i="6"/>
  <c r="U676" i="6"/>
  <c r="V676" i="6"/>
  <c r="W676" i="6"/>
  <c r="X676" i="6"/>
  <c r="Y676" i="6"/>
  <c r="Z676" i="6"/>
  <c r="AA676" i="6"/>
  <c r="J677" i="6"/>
  <c r="K677" i="6"/>
  <c r="L677" i="6"/>
  <c r="M677" i="6"/>
  <c r="N677" i="6"/>
  <c r="O677" i="6"/>
  <c r="P677" i="6"/>
  <c r="Q677" i="6"/>
  <c r="R677" i="6"/>
  <c r="S677" i="6"/>
  <c r="T677" i="6"/>
  <c r="U677" i="6"/>
  <c r="V677" i="6"/>
  <c r="W677" i="6"/>
  <c r="X677" i="6"/>
  <c r="Y677" i="6"/>
  <c r="Z677" i="6"/>
  <c r="AA677" i="6"/>
  <c r="J678" i="6"/>
  <c r="K678" i="6"/>
  <c r="L678" i="6"/>
  <c r="M678" i="6"/>
  <c r="N678" i="6"/>
  <c r="O678" i="6"/>
  <c r="P678" i="6"/>
  <c r="Q678" i="6"/>
  <c r="R678" i="6"/>
  <c r="S678" i="6"/>
  <c r="T678" i="6"/>
  <c r="U678" i="6"/>
  <c r="V678" i="6"/>
  <c r="W678" i="6"/>
  <c r="X678" i="6"/>
  <c r="Y678" i="6"/>
  <c r="Z678" i="6"/>
  <c r="AA678" i="6"/>
  <c r="J679" i="6"/>
  <c r="K679" i="6"/>
  <c r="L679" i="6"/>
  <c r="M679" i="6"/>
  <c r="N679" i="6"/>
  <c r="O679" i="6"/>
  <c r="P679" i="6"/>
  <c r="Q679" i="6"/>
  <c r="R679" i="6"/>
  <c r="S679" i="6"/>
  <c r="T679" i="6"/>
  <c r="U679" i="6"/>
  <c r="V679" i="6"/>
  <c r="W679" i="6"/>
  <c r="X679" i="6"/>
  <c r="Y679" i="6"/>
  <c r="Z679" i="6"/>
  <c r="AA679" i="6"/>
  <c r="J680" i="6"/>
  <c r="K680" i="6"/>
  <c r="L680" i="6"/>
  <c r="M680" i="6"/>
  <c r="N680" i="6"/>
  <c r="O680" i="6"/>
  <c r="P680" i="6"/>
  <c r="Q680" i="6"/>
  <c r="R680" i="6"/>
  <c r="S680" i="6"/>
  <c r="T680" i="6"/>
  <c r="U680" i="6"/>
  <c r="V680" i="6"/>
  <c r="W680" i="6"/>
  <c r="X680" i="6"/>
  <c r="Y680" i="6"/>
  <c r="Z680" i="6"/>
  <c r="AA680" i="6"/>
  <c r="J681" i="6"/>
  <c r="K681" i="6"/>
  <c r="L681" i="6"/>
  <c r="M681" i="6"/>
  <c r="N681" i="6"/>
  <c r="O681" i="6"/>
  <c r="P681" i="6"/>
  <c r="Q681" i="6"/>
  <c r="R681" i="6"/>
  <c r="S681" i="6"/>
  <c r="T681" i="6"/>
  <c r="U681" i="6"/>
  <c r="V681" i="6"/>
  <c r="W681" i="6"/>
  <c r="X681" i="6"/>
  <c r="Y681" i="6"/>
  <c r="Z681" i="6"/>
  <c r="AA681" i="6"/>
  <c r="J682" i="6"/>
  <c r="K682" i="6"/>
  <c r="L682" i="6"/>
  <c r="M682" i="6"/>
  <c r="N682" i="6"/>
  <c r="O682" i="6"/>
  <c r="P682" i="6"/>
  <c r="Q682" i="6"/>
  <c r="R682" i="6"/>
  <c r="S682" i="6"/>
  <c r="T682" i="6"/>
  <c r="U682" i="6"/>
  <c r="V682" i="6"/>
  <c r="W682" i="6"/>
  <c r="X682" i="6"/>
  <c r="Y682" i="6"/>
  <c r="Z682" i="6"/>
  <c r="AA682" i="6"/>
  <c r="J683" i="6"/>
  <c r="K683" i="6"/>
  <c r="L683" i="6"/>
  <c r="M683" i="6"/>
  <c r="N683" i="6"/>
  <c r="O683" i="6"/>
  <c r="P683" i="6"/>
  <c r="Q683" i="6"/>
  <c r="R683" i="6"/>
  <c r="S683" i="6"/>
  <c r="T683" i="6"/>
  <c r="U683" i="6"/>
  <c r="V683" i="6"/>
  <c r="W683" i="6"/>
  <c r="X683" i="6"/>
  <c r="Y683" i="6"/>
  <c r="Z683" i="6"/>
  <c r="AA683" i="6"/>
  <c r="J684" i="6"/>
  <c r="K684" i="6"/>
  <c r="L684" i="6"/>
  <c r="M684" i="6"/>
  <c r="N684" i="6"/>
  <c r="O684" i="6"/>
  <c r="P684" i="6"/>
  <c r="Q684" i="6"/>
  <c r="R684" i="6"/>
  <c r="S684" i="6"/>
  <c r="T684" i="6"/>
  <c r="U684" i="6"/>
  <c r="V684" i="6"/>
  <c r="W684" i="6"/>
  <c r="X684" i="6"/>
  <c r="Y684" i="6"/>
  <c r="Z684" i="6"/>
  <c r="AA684" i="6"/>
  <c r="J685" i="6"/>
  <c r="K685" i="6"/>
  <c r="L685" i="6"/>
  <c r="M685" i="6"/>
  <c r="N685" i="6"/>
  <c r="O685" i="6"/>
  <c r="P685" i="6"/>
  <c r="Q685" i="6"/>
  <c r="R685" i="6"/>
  <c r="S685" i="6"/>
  <c r="T685" i="6"/>
  <c r="U685" i="6"/>
  <c r="V685" i="6"/>
  <c r="W685" i="6"/>
  <c r="X685" i="6"/>
  <c r="Y685" i="6"/>
  <c r="Z685" i="6"/>
  <c r="AA685" i="6"/>
  <c r="J686" i="6"/>
  <c r="K686" i="6"/>
  <c r="L686" i="6"/>
  <c r="M686" i="6"/>
  <c r="N686" i="6"/>
  <c r="O686" i="6"/>
  <c r="P686" i="6"/>
  <c r="Q686" i="6"/>
  <c r="R686" i="6"/>
  <c r="S686" i="6"/>
  <c r="T686" i="6"/>
  <c r="U686" i="6"/>
  <c r="V686" i="6"/>
  <c r="W686" i="6"/>
  <c r="X686" i="6"/>
  <c r="Y686" i="6"/>
  <c r="Z686" i="6"/>
  <c r="AA686" i="6"/>
  <c r="J687" i="6"/>
  <c r="K687" i="6"/>
  <c r="L687" i="6"/>
  <c r="M687" i="6"/>
  <c r="N687" i="6"/>
  <c r="O687" i="6"/>
  <c r="P687" i="6"/>
  <c r="Q687" i="6"/>
  <c r="R687" i="6"/>
  <c r="S687" i="6"/>
  <c r="T687" i="6"/>
  <c r="U687" i="6"/>
  <c r="V687" i="6"/>
  <c r="W687" i="6"/>
  <c r="X687" i="6"/>
  <c r="Y687" i="6"/>
  <c r="Z687" i="6"/>
  <c r="AA687" i="6"/>
  <c r="J688" i="6"/>
  <c r="K688" i="6"/>
  <c r="L688" i="6"/>
  <c r="M688" i="6"/>
  <c r="N688" i="6"/>
  <c r="O688" i="6"/>
  <c r="P688" i="6"/>
  <c r="Q688" i="6"/>
  <c r="R688" i="6"/>
  <c r="S688" i="6"/>
  <c r="T688" i="6"/>
  <c r="U688" i="6"/>
  <c r="V688" i="6"/>
  <c r="W688" i="6"/>
  <c r="X688" i="6"/>
  <c r="Y688" i="6"/>
  <c r="Z688" i="6"/>
  <c r="AA688" i="6"/>
  <c r="J689" i="6"/>
  <c r="K689" i="6"/>
  <c r="L689" i="6"/>
  <c r="M689" i="6"/>
  <c r="N689" i="6"/>
  <c r="O689" i="6"/>
  <c r="P689" i="6"/>
  <c r="Q689" i="6"/>
  <c r="R689" i="6"/>
  <c r="S689" i="6"/>
  <c r="T689" i="6"/>
  <c r="U689" i="6"/>
  <c r="V689" i="6"/>
  <c r="W689" i="6"/>
  <c r="X689" i="6"/>
  <c r="Y689" i="6"/>
  <c r="Z689" i="6"/>
  <c r="AA689" i="6"/>
  <c r="J690" i="6"/>
  <c r="K690" i="6"/>
  <c r="L690" i="6"/>
  <c r="M690" i="6"/>
  <c r="N690" i="6"/>
  <c r="O690" i="6"/>
  <c r="P690" i="6"/>
  <c r="Q690" i="6"/>
  <c r="R690" i="6"/>
  <c r="S690" i="6"/>
  <c r="T690" i="6"/>
  <c r="U690" i="6"/>
  <c r="V690" i="6"/>
  <c r="W690" i="6"/>
  <c r="X690" i="6"/>
  <c r="Y690" i="6"/>
  <c r="Z690" i="6"/>
  <c r="AA690" i="6"/>
  <c r="J691" i="6"/>
  <c r="K691" i="6"/>
  <c r="L691" i="6"/>
  <c r="M691" i="6"/>
  <c r="N691" i="6"/>
  <c r="O691" i="6"/>
  <c r="P691" i="6"/>
  <c r="Q691" i="6"/>
  <c r="R691" i="6"/>
  <c r="S691" i="6"/>
  <c r="T691" i="6"/>
  <c r="U691" i="6"/>
  <c r="V691" i="6"/>
  <c r="W691" i="6"/>
  <c r="X691" i="6"/>
  <c r="Y691" i="6"/>
  <c r="Z691" i="6"/>
  <c r="AA691" i="6"/>
  <c r="J692" i="6"/>
  <c r="K692" i="6"/>
  <c r="L692" i="6"/>
  <c r="M692" i="6"/>
  <c r="N692" i="6"/>
  <c r="O692" i="6"/>
  <c r="P692" i="6"/>
  <c r="Q692" i="6"/>
  <c r="R692" i="6"/>
  <c r="S692" i="6"/>
  <c r="T692" i="6"/>
  <c r="U692" i="6"/>
  <c r="V692" i="6"/>
  <c r="W692" i="6"/>
  <c r="X692" i="6"/>
  <c r="Y692" i="6"/>
  <c r="Z692" i="6"/>
  <c r="AA692" i="6"/>
  <c r="J693" i="6"/>
  <c r="K693" i="6"/>
  <c r="L693" i="6"/>
  <c r="M693" i="6"/>
  <c r="N693" i="6"/>
  <c r="O693" i="6"/>
  <c r="P693" i="6"/>
  <c r="Q693" i="6"/>
  <c r="R693" i="6"/>
  <c r="S693" i="6"/>
  <c r="T693" i="6"/>
  <c r="U693" i="6"/>
  <c r="V693" i="6"/>
  <c r="W693" i="6"/>
  <c r="X693" i="6"/>
  <c r="Y693" i="6"/>
  <c r="Z693" i="6"/>
  <c r="AA693" i="6"/>
  <c r="J694" i="6"/>
  <c r="K694" i="6"/>
  <c r="L694" i="6"/>
  <c r="M694" i="6"/>
  <c r="N694" i="6"/>
  <c r="O694" i="6"/>
  <c r="P694" i="6"/>
  <c r="Q694" i="6"/>
  <c r="R694" i="6"/>
  <c r="S694" i="6"/>
  <c r="T694" i="6"/>
  <c r="U694" i="6"/>
  <c r="V694" i="6"/>
  <c r="W694" i="6"/>
  <c r="X694" i="6"/>
  <c r="Y694" i="6"/>
  <c r="Z694" i="6"/>
  <c r="AA694" i="6"/>
  <c r="J695" i="6"/>
  <c r="K695" i="6"/>
  <c r="L695" i="6"/>
  <c r="M695" i="6"/>
  <c r="N695" i="6"/>
  <c r="O695" i="6"/>
  <c r="P695" i="6"/>
  <c r="Q695" i="6"/>
  <c r="R695" i="6"/>
  <c r="S695" i="6"/>
  <c r="T695" i="6"/>
  <c r="U695" i="6"/>
  <c r="V695" i="6"/>
  <c r="W695" i="6"/>
  <c r="X695" i="6"/>
  <c r="Y695" i="6"/>
  <c r="Z695" i="6"/>
  <c r="AA695" i="6"/>
  <c r="J696" i="6"/>
  <c r="K696" i="6"/>
  <c r="L696" i="6"/>
  <c r="M696" i="6"/>
  <c r="N696" i="6"/>
  <c r="O696" i="6"/>
  <c r="P696" i="6"/>
  <c r="Q696" i="6"/>
  <c r="R696" i="6"/>
  <c r="S696" i="6"/>
  <c r="T696" i="6"/>
  <c r="U696" i="6"/>
  <c r="V696" i="6"/>
  <c r="W696" i="6"/>
  <c r="X696" i="6"/>
  <c r="Y696" i="6"/>
  <c r="Z696" i="6"/>
  <c r="AA696" i="6"/>
  <c r="J697" i="6"/>
  <c r="K697" i="6"/>
  <c r="L697" i="6"/>
  <c r="M697" i="6"/>
  <c r="N697" i="6"/>
  <c r="O697" i="6"/>
  <c r="P697" i="6"/>
  <c r="Q697" i="6"/>
  <c r="R697" i="6"/>
  <c r="S697" i="6"/>
  <c r="T697" i="6"/>
  <c r="U697" i="6"/>
  <c r="V697" i="6"/>
  <c r="W697" i="6"/>
  <c r="X697" i="6"/>
  <c r="Y697" i="6"/>
  <c r="Z697" i="6"/>
  <c r="AA697" i="6"/>
  <c r="J698" i="6"/>
  <c r="K698" i="6"/>
  <c r="L698" i="6"/>
  <c r="M698" i="6"/>
  <c r="N698" i="6"/>
  <c r="O698" i="6"/>
  <c r="P698" i="6"/>
  <c r="Q698" i="6"/>
  <c r="R698" i="6"/>
  <c r="S698" i="6"/>
  <c r="T698" i="6"/>
  <c r="U698" i="6"/>
  <c r="V698" i="6"/>
  <c r="W698" i="6"/>
  <c r="X698" i="6"/>
  <c r="Y698" i="6"/>
  <c r="Z698" i="6"/>
  <c r="AA698" i="6"/>
  <c r="J699" i="6"/>
  <c r="K699" i="6"/>
  <c r="L699" i="6"/>
  <c r="M699" i="6"/>
  <c r="N699" i="6"/>
  <c r="O699" i="6"/>
  <c r="P699" i="6"/>
  <c r="Q699" i="6"/>
  <c r="R699" i="6"/>
  <c r="S699" i="6"/>
  <c r="T699" i="6"/>
  <c r="U699" i="6"/>
  <c r="V699" i="6"/>
  <c r="W699" i="6"/>
  <c r="X699" i="6"/>
  <c r="Y699" i="6"/>
  <c r="Z699" i="6"/>
  <c r="AA699" i="6"/>
  <c r="J700" i="6"/>
  <c r="K700" i="6"/>
  <c r="L700" i="6"/>
  <c r="M700" i="6"/>
  <c r="N700" i="6"/>
  <c r="O700" i="6"/>
  <c r="P700" i="6"/>
  <c r="Q700" i="6"/>
  <c r="R700" i="6"/>
  <c r="S700" i="6"/>
  <c r="T700" i="6"/>
  <c r="U700" i="6"/>
  <c r="V700" i="6"/>
  <c r="W700" i="6"/>
  <c r="X700" i="6"/>
  <c r="Y700" i="6"/>
  <c r="Z700" i="6"/>
  <c r="AA700" i="6"/>
  <c r="J701" i="6"/>
  <c r="K701" i="6"/>
  <c r="L701" i="6"/>
  <c r="M701" i="6"/>
  <c r="N701" i="6"/>
  <c r="O701" i="6"/>
  <c r="P701" i="6"/>
  <c r="Q701" i="6"/>
  <c r="R701" i="6"/>
  <c r="S701" i="6"/>
  <c r="T701" i="6"/>
  <c r="U701" i="6"/>
  <c r="V701" i="6"/>
  <c r="W701" i="6"/>
  <c r="X701" i="6"/>
  <c r="Y701" i="6"/>
  <c r="Z701" i="6"/>
  <c r="AA701" i="6"/>
  <c r="J702" i="6"/>
  <c r="K702" i="6"/>
  <c r="L702" i="6"/>
  <c r="M702" i="6"/>
  <c r="N702" i="6"/>
  <c r="O702" i="6"/>
  <c r="P702" i="6"/>
  <c r="Q702" i="6"/>
  <c r="R702" i="6"/>
  <c r="S702" i="6"/>
  <c r="T702" i="6"/>
  <c r="U702" i="6"/>
  <c r="V702" i="6"/>
  <c r="W702" i="6"/>
  <c r="X702" i="6"/>
  <c r="Y702" i="6"/>
  <c r="Z702" i="6"/>
  <c r="AA702" i="6"/>
  <c r="J703" i="6"/>
  <c r="K703" i="6"/>
  <c r="L703" i="6"/>
  <c r="M703" i="6"/>
  <c r="N703" i="6"/>
  <c r="O703" i="6"/>
  <c r="P703" i="6"/>
  <c r="Q703" i="6"/>
  <c r="R703" i="6"/>
  <c r="S703" i="6"/>
  <c r="T703" i="6"/>
  <c r="U703" i="6"/>
  <c r="V703" i="6"/>
  <c r="W703" i="6"/>
  <c r="X703" i="6"/>
  <c r="Y703" i="6"/>
  <c r="Z703" i="6"/>
  <c r="AA703" i="6"/>
  <c r="J704" i="6"/>
  <c r="K704" i="6"/>
  <c r="L704" i="6"/>
  <c r="M704" i="6"/>
  <c r="N704" i="6"/>
  <c r="O704" i="6"/>
  <c r="P704" i="6"/>
  <c r="Q704" i="6"/>
  <c r="R704" i="6"/>
  <c r="S704" i="6"/>
  <c r="T704" i="6"/>
  <c r="U704" i="6"/>
  <c r="V704" i="6"/>
  <c r="W704" i="6"/>
  <c r="X704" i="6"/>
  <c r="Y704" i="6"/>
  <c r="Z704" i="6"/>
  <c r="AA704" i="6"/>
  <c r="J705" i="6"/>
  <c r="K705" i="6"/>
  <c r="L705" i="6"/>
  <c r="M705" i="6"/>
  <c r="N705" i="6"/>
  <c r="O705" i="6"/>
  <c r="P705" i="6"/>
  <c r="Q705" i="6"/>
  <c r="R705" i="6"/>
  <c r="S705" i="6"/>
  <c r="T705" i="6"/>
  <c r="U705" i="6"/>
  <c r="V705" i="6"/>
  <c r="W705" i="6"/>
  <c r="X705" i="6"/>
  <c r="Y705" i="6"/>
  <c r="Z705" i="6"/>
  <c r="AA705" i="6"/>
  <c r="J706" i="6"/>
  <c r="K706" i="6"/>
  <c r="L706" i="6"/>
  <c r="M706" i="6"/>
  <c r="N706" i="6"/>
  <c r="O706" i="6"/>
  <c r="P706" i="6"/>
  <c r="Q706" i="6"/>
  <c r="R706" i="6"/>
  <c r="S706" i="6"/>
  <c r="T706" i="6"/>
  <c r="U706" i="6"/>
  <c r="V706" i="6"/>
  <c r="W706" i="6"/>
  <c r="X706" i="6"/>
  <c r="Y706" i="6"/>
  <c r="Z706" i="6"/>
  <c r="AA706" i="6"/>
  <c r="J707" i="6"/>
  <c r="K707" i="6"/>
  <c r="L707" i="6"/>
  <c r="M707" i="6"/>
  <c r="N707" i="6"/>
  <c r="O707" i="6"/>
  <c r="P707" i="6"/>
  <c r="Q707" i="6"/>
  <c r="R707" i="6"/>
  <c r="S707" i="6"/>
  <c r="T707" i="6"/>
  <c r="U707" i="6"/>
  <c r="V707" i="6"/>
  <c r="W707" i="6"/>
  <c r="X707" i="6"/>
  <c r="Y707" i="6"/>
  <c r="Z707" i="6"/>
  <c r="AA707" i="6"/>
  <c r="J708" i="6"/>
  <c r="K708" i="6"/>
  <c r="L708" i="6"/>
  <c r="M708" i="6"/>
  <c r="N708" i="6"/>
  <c r="O708" i="6"/>
  <c r="P708" i="6"/>
  <c r="Q708" i="6"/>
  <c r="R708" i="6"/>
  <c r="S708" i="6"/>
  <c r="T708" i="6"/>
  <c r="U708" i="6"/>
  <c r="V708" i="6"/>
  <c r="W708" i="6"/>
  <c r="X708" i="6"/>
  <c r="Y708" i="6"/>
  <c r="Z708" i="6"/>
  <c r="AA708" i="6"/>
  <c r="J709" i="6"/>
  <c r="K709" i="6"/>
  <c r="L709" i="6"/>
  <c r="M709" i="6"/>
  <c r="N709" i="6"/>
  <c r="O709" i="6"/>
  <c r="P709" i="6"/>
  <c r="Q709" i="6"/>
  <c r="R709" i="6"/>
  <c r="S709" i="6"/>
  <c r="T709" i="6"/>
  <c r="U709" i="6"/>
  <c r="V709" i="6"/>
  <c r="W709" i="6"/>
  <c r="X709" i="6"/>
  <c r="Y709" i="6"/>
  <c r="Z709" i="6"/>
  <c r="AA709" i="6"/>
  <c r="J710" i="6"/>
  <c r="K710" i="6"/>
  <c r="L710" i="6"/>
  <c r="M710" i="6"/>
  <c r="N710" i="6"/>
  <c r="O710" i="6"/>
  <c r="P710" i="6"/>
  <c r="Q710" i="6"/>
  <c r="R710" i="6"/>
  <c r="S710" i="6"/>
  <c r="T710" i="6"/>
  <c r="U710" i="6"/>
  <c r="V710" i="6"/>
  <c r="W710" i="6"/>
  <c r="X710" i="6"/>
  <c r="Y710" i="6"/>
  <c r="Z710" i="6"/>
  <c r="AA710" i="6"/>
  <c r="J711" i="6"/>
  <c r="K711" i="6"/>
  <c r="L711" i="6"/>
  <c r="M711" i="6"/>
  <c r="N711" i="6"/>
  <c r="O711" i="6"/>
  <c r="P711" i="6"/>
  <c r="Q711" i="6"/>
  <c r="R711" i="6"/>
  <c r="S711" i="6"/>
  <c r="T711" i="6"/>
  <c r="U711" i="6"/>
  <c r="V711" i="6"/>
  <c r="W711" i="6"/>
  <c r="X711" i="6"/>
  <c r="Y711" i="6"/>
  <c r="Z711" i="6"/>
  <c r="AA711" i="6"/>
  <c r="J712" i="6"/>
  <c r="K712" i="6"/>
  <c r="L712" i="6"/>
  <c r="M712" i="6"/>
  <c r="N712" i="6"/>
  <c r="O712" i="6"/>
  <c r="P712" i="6"/>
  <c r="Q712" i="6"/>
  <c r="R712" i="6"/>
  <c r="S712" i="6"/>
  <c r="T712" i="6"/>
  <c r="U712" i="6"/>
  <c r="V712" i="6"/>
  <c r="W712" i="6"/>
  <c r="X712" i="6"/>
  <c r="Y712" i="6"/>
  <c r="Z712" i="6"/>
  <c r="AA712" i="6"/>
  <c r="J713" i="6"/>
  <c r="K713" i="6"/>
  <c r="L713" i="6"/>
  <c r="M713" i="6"/>
  <c r="N713" i="6"/>
  <c r="O713" i="6"/>
  <c r="P713" i="6"/>
  <c r="Q713" i="6"/>
  <c r="R713" i="6"/>
  <c r="S713" i="6"/>
  <c r="T713" i="6"/>
  <c r="U713" i="6"/>
  <c r="V713" i="6"/>
  <c r="W713" i="6"/>
  <c r="X713" i="6"/>
  <c r="Y713" i="6"/>
  <c r="Z713" i="6"/>
  <c r="AA713" i="6"/>
  <c r="J714" i="6"/>
  <c r="K714" i="6"/>
  <c r="L714" i="6"/>
  <c r="M714" i="6"/>
  <c r="N714" i="6"/>
  <c r="O714" i="6"/>
  <c r="P714" i="6"/>
  <c r="Q714" i="6"/>
  <c r="R714" i="6"/>
  <c r="S714" i="6"/>
  <c r="T714" i="6"/>
  <c r="U714" i="6"/>
  <c r="V714" i="6"/>
  <c r="W714" i="6"/>
  <c r="X714" i="6"/>
  <c r="Y714" i="6"/>
  <c r="Z714" i="6"/>
  <c r="AA714" i="6"/>
  <c r="J715" i="6"/>
  <c r="K715" i="6"/>
  <c r="L715" i="6"/>
  <c r="M715" i="6"/>
  <c r="N715" i="6"/>
  <c r="O715" i="6"/>
  <c r="P715" i="6"/>
  <c r="Q715" i="6"/>
  <c r="R715" i="6"/>
  <c r="S715" i="6"/>
  <c r="T715" i="6"/>
  <c r="U715" i="6"/>
  <c r="V715" i="6"/>
  <c r="W715" i="6"/>
  <c r="X715" i="6"/>
  <c r="Y715" i="6"/>
  <c r="Z715" i="6"/>
  <c r="AA715" i="6"/>
  <c r="J716" i="6"/>
  <c r="K716" i="6"/>
  <c r="L716" i="6"/>
  <c r="M716" i="6"/>
  <c r="N716" i="6"/>
  <c r="O716" i="6"/>
  <c r="P716" i="6"/>
  <c r="Q716" i="6"/>
  <c r="R716" i="6"/>
  <c r="S716" i="6"/>
  <c r="T716" i="6"/>
  <c r="U716" i="6"/>
  <c r="V716" i="6"/>
  <c r="W716" i="6"/>
  <c r="X716" i="6"/>
  <c r="Y716" i="6"/>
  <c r="Z716" i="6"/>
  <c r="AA716" i="6"/>
  <c r="J717" i="6"/>
  <c r="K717" i="6"/>
  <c r="L717" i="6"/>
  <c r="M717" i="6"/>
  <c r="N717" i="6"/>
  <c r="O717" i="6"/>
  <c r="P717" i="6"/>
  <c r="Q717" i="6"/>
  <c r="R717" i="6"/>
  <c r="S717" i="6"/>
  <c r="T717" i="6"/>
  <c r="U717" i="6"/>
  <c r="V717" i="6"/>
  <c r="W717" i="6"/>
  <c r="X717" i="6"/>
  <c r="Y717" i="6"/>
  <c r="Z717" i="6"/>
  <c r="AA717" i="6"/>
  <c r="J718" i="6"/>
  <c r="K718" i="6"/>
  <c r="L718" i="6"/>
  <c r="M718" i="6"/>
  <c r="N718" i="6"/>
  <c r="O718" i="6"/>
  <c r="P718" i="6"/>
  <c r="Q718" i="6"/>
  <c r="R718" i="6"/>
  <c r="S718" i="6"/>
  <c r="T718" i="6"/>
  <c r="U718" i="6"/>
  <c r="V718" i="6"/>
  <c r="W718" i="6"/>
  <c r="X718" i="6"/>
  <c r="Y718" i="6"/>
  <c r="Z718" i="6"/>
  <c r="AA718" i="6"/>
  <c r="J719" i="6"/>
  <c r="K719" i="6"/>
  <c r="L719" i="6"/>
  <c r="M719" i="6"/>
  <c r="N719" i="6"/>
  <c r="O719" i="6"/>
  <c r="P719" i="6"/>
  <c r="Q719" i="6"/>
  <c r="R719" i="6"/>
  <c r="S719" i="6"/>
  <c r="T719" i="6"/>
  <c r="U719" i="6"/>
  <c r="V719" i="6"/>
  <c r="W719" i="6"/>
  <c r="X719" i="6"/>
  <c r="Y719" i="6"/>
  <c r="Z719" i="6"/>
  <c r="AA719" i="6"/>
  <c r="J720" i="6"/>
  <c r="K720" i="6"/>
  <c r="L720" i="6"/>
  <c r="M720" i="6"/>
  <c r="N720" i="6"/>
  <c r="O720" i="6"/>
  <c r="P720" i="6"/>
  <c r="Q720" i="6"/>
  <c r="R720" i="6"/>
  <c r="S720" i="6"/>
  <c r="T720" i="6"/>
  <c r="U720" i="6"/>
  <c r="V720" i="6"/>
  <c r="W720" i="6"/>
  <c r="X720" i="6"/>
  <c r="Y720" i="6"/>
  <c r="Z720" i="6"/>
  <c r="AA720" i="6"/>
  <c r="J721" i="6"/>
  <c r="K721" i="6"/>
  <c r="L721" i="6"/>
  <c r="M721" i="6"/>
  <c r="N721" i="6"/>
  <c r="O721" i="6"/>
  <c r="P721" i="6"/>
  <c r="Q721" i="6"/>
  <c r="R721" i="6"/>
  <c r="S721" i="6"/>
  <c r="T721" i="6"/>
  <c r="U721" i="6"/>
  <c r="V721" i="6"/>
  <c r="W721" i="6"/>
  <c r="X721" i="6"/>
  <c r="Y721" i="6"/>
  <c r="Z721" i="6"/>
  <c r="AA721" i="6"/>
  <c r="J722" i="6"/>
  <c r="K722" i="6"/>
  <c r="L722" i="6"/>
  <c r="M722" i="6"/>
  <c r="N722" i="6"/>
  <c r="O722" i="6"/>
  <c r="P722" i="6"/>
  <c r="Q722" i="6"/>
  <c r="R722" i="6"/>
  <c r="S722" i="6"/>
  <c r="T722" i="6"/>
  <c r="U722" i="6"/>
  <c r="V722" i="6"/>
  <c r="W722" i="6"/>
  <c r="X722" i="6"/>
  <c r="Y722" i="6"/>
  <c r="Z722" i="6"/>
  <c r="AA722" i="6"/>
  <c r="J723" i="6"/>
  <c r="K723" i="6"/>
  <c r="L723" i="6"/>
  <c r="M723" i="6"/>
  <c r="N723" i="6"/>
  <c r="O723" i="6"/>
  <c r="P723" i="6"/>
  <c r="Q723" i="6"/>
  <c r="R723" i="6"/>
  <c r="S723" i="6"/>
  <c r="T723" i="6"/>
  <c r="U723" i="6"/>
  <c r="V723" i="6"/>
  <c r="W723" i="6"/>
  <c r="X723" i="6"/>
  <c r="Y723" i="6"/>
  <c r="Z723" i="6"/>
  <c r="AA723" i="6"/>
  <c r="J724" i="6"/>
  <c r="K724" i="6"/>
  <c r="L724" i="6"/>
  <c r="M724" i="6"/>
  <c r="N724" i="6"/>
  <c r="O724" i="6"/>
  <c r="P724" i="6"/>
  <c r="Q724" i="6"/>
  <c r="R724" i="6"/>
  <c r="S724" i="6"/>
  <c r="T724" i="6"/>
  <c r="U724" i="6"/>
  <c r="V724" i="6"/>
  <c r="W724" i="6"/>
  <c r="X724" i="6"/>
  <c r="Y724" i="6"/>
  <c r="Z724" i="6"/>
  <c r="AA724" i="6"/>
  <c r="J725" i="6"/>
  <c r="K725" i="6"/>
  <c r="L725" i="6"/>
  <c r="M725" i="6"/>
  <c r="N725" i="6"/>
  <c r="O725" i="6"/>
  <c r="P725" i="6"/>
  <c r="Q725" i="6"/>
  <c r="R725" i="6"/>
  <c r="S725" i="6"/>
  <c r="T725" i="6"/>
  <c r="U725" i="6"/>
  <c r="V725" i="6"/>
  <c r="W725" i="6"/>
  <c r="X725" i="6"/>
  <c r="Y725" i="6"/>
  <c r="Z725" i="6"/>
  <c r="AA725" i="6"/>
  <c r="J726" i="6"/>
  <c r="K726" i="6"/>
  <c r="L726" i="6"/>
  <c r="M726" i="6"/>
  <c r="N726" i="6"/>
  <c r="O726" i="6"/>
  <c r="P726" i="6"/>
  <c r="Q726" i="6"/>
  <c r="R726" i="6"/>
  <c r="S726" i="6"/>
  <c r="T726" i="6"/>
  <c r="U726" i="6"/>
  <c r="V726" i="6"/>
  <c r="W726" i="6"/>
  <c r="X726" i="6"/>
  <c r="Y726" i="6"/>
  <c r="Z726" i="6"/>
  <c r="AA726" i="6"/>
  <c r="J727" i="6"/>
  <c r="K727" i="6"/>
  <c r="L727" i="6"/>
  <c r="M727" i="6"/>
  <c r="N727" i="6"/>
  <c r="O727" i="6"/>
  <c r="P727" i="6"/>
  <c r="Q727" i="6"/>
  <c r="R727" i="6"/>
  <c r="S727" i="6"/>
  <c r="T727" i="6"/>
  <c r="U727" i="6"/>
  <c r="V727" i="6"/>
  <c r="W727" i="6"/>
  <c r="X727" i="6"/>
  <c r="Y727" i="6"/>
  <c r="Z727" i="6"/>
  <c r="AA727" i="6"/>
  <c r="J728" i="6"/>
  <c r="K728" i="6"/>
  <c r="L728" i="6"/>
  <c r="M728" i="6"/>
  <c r="N728" i="6"/>
  <c r="O728" i="6"/>
  <c r="P728" i="6"/>
  <c r="Q728" i="6"/>
  <c r="R728" i="6"/>
  <c r="S728" i="6"/>
  <c r="T728" i="6"/>
  <c r="U728" i="6"/>
  <c r="V728" i="6"/>
  <c r="W728" i="6"/>
  <c r="X728" i="6"/>
  <c r="Y728" i="6"/>
  <c r="Z728" i="6"/>
  <c r="AA728" i="6"/>
  <c r="J729" i="6"/>
  <c r="K729" i="6"/>
  <c r="L729" i="6"/>
  <c r="M729" i="6"/>
  <c r="N729" i="6"/>
  <c r="O729" i="6"/>
  <c r="P729" i="6"/>
  <c r="Q729" i="6"/>
  <c r="R729" i="6"/>
  <c r="S729" i="6"/>
  <c r="T729" i="6"/>
  <c r="U729" i="6"/>
  <c r="V729" i="6"/>
  <c r="W729" i="6"/>
  <c r="X729" i="6"/>
  <c r="Y729" i="6"/>
  <c r="Z729" i="6"/>
  <c r="AA729" i="6"/>
  <c r="J730" i="6"/>
  <c r="K730" i="6"/>
  <c r="L730" i="6"/>
  <c r="M730" i="6"/>
  <c r="N730" i="6"/>
  <c r="O730" i="6"/>
  <c r="P730" i="6"/>
  <c r="Q730" i="6"/>
  <c r="R730" i="6"/>
  <c r="S730" i="6"/>
  <c r="T730" i="6"/>
  <c r="U730" i="6"/>
  <c r="V730" i="6"/>
  <c r="W730" i="6"/>
  <c r="X730" i="6"/>
  <c r="Y730" i="6"/>
  <c r="Z730" i="6"/>
  <c r="AA730" i="6"/>
  <c r="J731" i="6"/>
  <c r="K731" i="6"/>
  <c r="L731" i="6"/>
  <c r="M731" i="6"/>
  <c r="N731" i="6"/>
  <c r="O731" i="6"/>
  <c r="P731" i="6"/>
  <c r="Q731" i="6"/>
  <c r="R731" i="6"/>
  <c r="S731" i="6"/>
  <c r="T731" i="6"/>
  <c r="U731" i="6"/>
  <c r="V731" i="6"/>
  <c r="W731" i="6"/>
  <c r="X731" i="6"/>
  <c r="Y731" i="6"/>
  <c r="Z731" i="6"/>
  <c r="AA731" i="6"/>
  <c r="J732" i="6"/>
  <c r="K732" i="6"/>
  <c r="L732" i="6"/>
  <c r="M732" i="6"/>
  <c r="N732" i="6"/>
  <c r="O732" i="6"/>
  <c r="P732" i="6"/>
  <c r="Q732" i="6"/>
  <c r="R732" i="6"/>
  <c r="S732" i="6"/>
  <c r="T732" i="6"/>
  <c r="U732" i="6"/>
  <c r="V732" i="6"/>
  <c r="W732" i="6"/>
  <c r="X732" i="6"/>
  <c r="Y732" i="6"/>
  <c r="Z732" i="6"/>
  <c r="AA732" i="6"/>
  <c r="J733" i="6"/>
  <c r="K733" i="6"/>
  <c r="L733" i="6"/>
  <c r="M733" i="6"/>
  <c r="N733" i="6"/>
  <c r="O733" i="6"/>
  <c r="P733" i="6"/>
  <c r="Q733" i="6"/>
  <c r="R733" i="6"/>
  <c r="S733" i="6"/>
  <c r="T733" i="6"/>
  <c r="U733" i="6"/>
  <c r="V733" i="6"/>
  <c r="W733" i="6"/>
  <c r="X733" i="6"/>
  <c r="Y733" i="6"/>
  <c r="Z733" i="6"/>
  <c r="AA733" i="6"/>
  <c r="J734" i="6"/>
  <c r="K734" i="6"/>
  <c r="L734" i="6"/>
  <c r="M734" i="6"/>
  <c r="N734" i="6"/>
  <c r="O734" i="6"/>
  <c r="P734" i="6"/>
  <c r="Q734" i="6"/>
  <c r="R734" i="6"/>
  <c r="S734" i="6"/>
  <c r="T734" i="6"/>
  <c r="U734" i="6"/>
  <c r="V734" i="6"/>
  <c r="W734" i="6"/>
  <c r="X734" i="6"/>
  <c r="Y734" i="6"/>
  <c r="Z734" i="6"/>
  <c r="AA734" i="6"/>
  <c r="J735" i="6"/>
  <c r="K735" i="6"/>
  <c r="L735" i="6"/>
  <c r="M735" i="6"/>
  <c r="N735" i="6"/>
  <c r="O735" i="6"/>
  <c r="P735" i="6"/>
  <c r="Q735" i="6"/>
  <c r="R735" i="6"/>
  <c r="S735" i="6"/>
  <c r="T735" i="6"/>
  <c r="U735" i="6"/>
  <c r="V735" i="6"/>
  <c r="W735" i="6"/>
  <c r="X735" i="6"/>
  <c r="Y735" i="6"/>
  <c r="Z735" i="6"/>
  <c r="AA735" i="6"/>
  <c r="J736" i="6"/>
  <c r="K736" i="6"/>
  <c r="L736" i="6"/>
  <c r="M736" i="6"/>
  <c r="N736" i="6"/>
  <c r="O736" i="6"/>
  <c r="P736" i="6"/>
  <c r="Q736" i="6"/>
  <c r="R736" i="6"/>
  <c r="S736" i="6"/>
  <c r="T736" i="6"/>
  <c r="U736" i="6"/>
  <c r="V736" i="6"/>
  <c r="W736" i="6"/>
  <c r="X736" i="6"/>
  <c r="Y736" i="6"/>
  <c r="Z736" i="6"/>
  <c r="AA736" i="6"/>
  <c r="J737" i="6"/>
  <c r="K737" i="6"/>
  <c r="L737" i="6"/>
  <c r="M737" i="6"/>
  <c r="N737" i="6"/>
  <c r="O737" i="6"/>
  <c r="P737" i="6"/>
  <c r="Q737" i="6"/>
  <c r="R737" i="6"/>
  <c r="S737" i="6"/>
  <c r="T737" i="6"/>
  <c r="U737" i="6"/>
  <c r="V737" i="6"/>
  <c r="W737" i="6"/>
  <c r="X737" i="6"/>
  <c r="Y737" i="6"/>
  <c r="Z737" i="6"/>
  <c r="AA737" i="6"/>
  <c r="J738" i="6"/>
  <c r="K738" i="6"/>
  <c r="L738" i="6"/>
  <c r="M738" i="6"/>
  <c r="N738" i="6"/>
  <c r="O738" i="6"/>
  <c r="P738" i="6"/>
  <c r="Q738" i="6"/>
  <c r="R738" i="6"/>
  <c r="S738" i="6"/>
  <c r="T738" i="6"/>
  <c r="U738" i="6"/>
  <c r="V738" i="6"/>
  <c r="W738" i="6"/>
  <c r="X738" i="6"/>
  <c r="Y738" i="6"/>
  <c r="Z738" i="6"/>
  <c r="AA738" i="6"/>
  <c r="J739" i="6"/>
  <c r="K739" i="6"/>
  <c r="L739" i="6"/>
  <c r="M739" i="6"/>
  <c r="N739" i="6"/>
  <c r="O739" i="6"/>
  <c r="P739" i="6"/>
  <c r="Q739" i="6"/>
  <c r="R739" i="6"/>
  <c r="S739" i="6"/>
  <c r="T739" i="6"/>
  <c r="U739" i="6"/>
  <c r="V739" i="6"/>
  <c r="W739" i="6"/>
  <c r="X739" i="6"/>
  <c r="Y739" i="6"/>
  <c r="Z739" i="6"/>
  <c r="AA739" i="6"/>
  <c r="J740" i="6"/>
  <c r="K740" i="6"/>
  <c r="L740" i="6"/>
  <c r="M740" i="6"/>
  <c r="N740" i="6"/>
  <c r="O740" i="6"/>
  <c r="P740" i="6"/>
  <c r="Q740" i="6"/>
  <c r="R740" i="6"/>
  <c r="S740" i="6"/>
  <c r="T740" i="6"/>
  <c r="U740" i="6"/>
  <c r="V740" i="6"/>
  <c r="W740" i="6"/>
  <c r="X740" i="6"/>
  <c r="Y740" i="6"/>
  <c r="Z740" i="6"/>
  <c r="AA740" i="6"/>
  <c r="J741" i="6"/>
  <c r="K741" i="6"/>
  <c r="L741" i="6"/>
  <c r="M741" i="6"/>
  <c r="N741" i="6"/>
  <c r="O741" i="6"/>
  <c r="P741" i="6"/>
  <c r="Q741" i="6"/>
  <c r="R741" i="6"/>
  <c r="S741" i="6"/>
  <c r="T741" i="6"/>
  <c r="U741" i="6"/>
  <c r="V741" i="6"/>
  <c r="W741" i="6"/>
  <c r="X741" i="6"/>
  <c r="Y741" i="6"/>
  <c r="Z741" i="6"/>
  <c r="AA741" i="6"/>
  <c r="J742" i="6"/>
  <c r="K742" i="6"/>
  <c r="L742" i="6"/>
  <c r="M742" i="6"/>
  <c r="N742" i="6"/>
  <c r="O742" i="6"/>
  <c r="P742" i="6"/>
  <c r="Q742" i="6"/>
  <c r="R742" i="6"/>
  <c r="S742" i="6"/>
  <c r="T742" i="6"/>
  <c r="U742" i="6"/>
  <c r="V742" i="6"/>
  <c r="W742" i="6"/>
  <c r="X742" i="6"/>
  <c r="Y742" i="6"/>
  <c r="Z742" i="6"/>
  <c r="AA742" i="6"/>
  <c r="J743" i="6"/>
  <c r="K743" i="6"/>
  <c r="L743" i="6"/>
  <c r="M743" i="6"/>
  <c r="N743" i="6"/>
  <c r="O743" i="6"/>
  <c r="P743" i="6"/>
  <c r="Q743" i="6"/>
  <c r="R743" i="6"/>
  <c r="S743" i="6"/>
  <c r="T743" i="6"/>
  <c r="U743" i="6"/>
  <c r="V743" i="6"/>
  <c r="W743" i="6"/>
  <c r="X743" i="6"/>
  <c r="Y743" i="6"/>
  <c r="Z743" i="6"/>
  <c r="AA743" i="6"/>
  <c r="J744" i="6"/>
  <c r="K744" i="6"/>
  <c r="L744" i="6"/>
  <c r="M744" i="6"/>
  <c r="N744" i="6"/>
  <c r="O744" i="6"/>
  <c r="P744" i="6"/>
  <c r="Q744" i="6"/>
  <c r="R744" i="6"/>
  <c r="S744" i="6"/>
  <c r="T744" i="6"/>
  <c r="U744" i="6"/>
  <c r="V744" i="6"/>
  <c r="W744" i="6"/>
  <c r="X744" i="6"/>
  <c r="Y744" i="6"/>
  <c r="Z744" i="6"/>
  <c r="AA744" i="6"/>
  <c r="J745" i="6"/>
  <c r="K745" i="6"/>
  <c r="L745" i="6"/>
  <c r="M745" i="6"/>
  <c r="N745" i="6"/>
  <c r="O745" i="6"/>
  <c r="P745" i="6"/>
  <c r="Q745" i="6"/>
  <c r="R745" i="6"/>
  <c r="S745" i="6"/>
  <c r="T745" i="6"/>
  <c r="U745" i="6"/>
  <c r="V745" i="6"/>
  <c r="W745" i="6"/>
  <c r="X745" i="6"/>
  <c r="Y745" i="6"/>
  <c r="Z745" i="6"/>
  <c r="AA745" i="6"/>
  <c r="J746" i="6"/>
  <c r="K746" i="6"/>
  <c r="L746" i="6"/>
  <c r="M746" i="6"/>
  <c r="N746" i="6"/>
  <c r="O746" i="6"/>
  <c r="P746" i="6"/>
  <c r="Q746" i="6"/>
  <c r="R746" i="6"/>
  <c r="S746" i="6"/>
  <c r="T746" i="6"/>
  <c r="U746" i="6"/>
  <c r="V746" i="6"/>
  <c r="W746" i="6"/>
  <c r="X746" i="6"/>
  <c r="Y746" i="6"/>
  <c r="Z746" i="6"/>
  <c r="AA746" i="6"/>
  <c r="J747" i="6"/>
  <c r="K747" i="6"/>
  <c r="L747" i="6"/>
  <c r="M747" i="6"/>
  <c r="N747" i="6"/>
  <c r="O747" i="6"/>
  <c r="P747" i="6"/>
  <c r="Q747" i="6"/>
  <c r="R747" i="6"/>
  <c r="S747" i="6"/>
  <c r="T747" i="6"/>
  <c r="U747" i="6"/>
  <c r="V747" i="6"/>
  <c r="W747" i="6"/>
  <c r="X747" i="6"/>
  <c r="Y747" i="6"/>
  <c r="Z747" i="6"/>
  <c r="AA747" i="6"/>
  <c r="J748" i="6"/>
  <c r="K748" i="6"/>
  <c r="L748" i="6"/>
  <c r="M748" i="6"/>
  <c r="N748" i="6"/>
  <c r="O748" i="6"/>
  <c r="P748" i="6"/>
  <c r="Q748" i="6"/>
  <c r="R748" i="6"/>
  <c r="S748" i="6"/>
  <c r="T748" i="6"/>
  <c r="U748" i="6"/>
  <c r="V748" i="6"/>
  <c r="W748" i="6"/>
  <c r="X748" i="6"/>
  <c r="Y748" i="6"/>
  <c r="Z748" i="6"/>
  <c r="AA748" i="6"/>
  <c r="J749" i="6"/>
  <c r="K749" i="6"/>
  <c r="L749" i="6"/>
  <c r="M749" i="6"/>
  <c r="N749" i="6"/>
  <c r="O749" i="6"/>
  <c r="P749" i="6"/>
  <c r="Q749" i="6"/>
  <c r="R749" i="6"/>
  <c r="S749" i="6"/>
  <c r="T749" i="6"/>
  <c r="U749" i="6"/>
  <c r="V749" i="6"/>
  <c r="W749" i="6"/>
  <c r="X749" i="6"/>
  <c r="Y749" i="6"/>
  <c r="Z749" i="6"/>
  <c r="AA749" i="6"/>
  <c r="J750" i="6"/>
  <c r="K750" i="6"/>
  <c r="L750" i="6"/>
  <c r="M750" i="6"/>
  <c r="N750" i="6"/>
  <c r="O750" i="6"/>
  <c r="P750" i="6"/>
  <c r="Q750" i="6"/>
  <c r="R750" i="6"/>
  <c r="S750" i="6"/>
  <c r="T750" i="6"/>
  <c r="U750" i="6"/>
  <c r="V750" i="6"/>
  <c r="W750" i="6"/>
  <c r="X750" i="6"/>
  <c r="Y750" i="6"/>
  <c r="Z750" i="6"/>
  <c r="AA750" i="6"/>
  <c r="J751" i="6"/>
  <c r="K751" i="6"/>
  <c r="L751" i="6"/>
  <c r="M751" i="6"/>
  <c r="N751" i="6"/>
  <c r="O751" i="6"/>
  <c r="P751" i="6"/>
  <c r="Q751" i="6"/>
  <c r="R751" i="6"/>
  <c r="S751" i="6"/>
  <c r="T751" i="6"/>
  <c r="U751" i="6"/>
  <c r="V751" i="6"/>
  <c r="W751" i="6"/>
  <c r="X751" i="6"/>
  <c r="Y751" i="6"/>
  <c r="Z751" i="6"/>
  <c r="AA751" i="6"/>
  <c r="J752" i="6"/>
  <c r="K752" i="6"/>
  <c r="L752" i="6"/>
  <c r="M752" i="6"/>
  <c r="N752" i="6"/>
  <c r="O752" i="6"/>
  <c r="P752" i="6"/>
  <c r="Q752" i="6"/>
  <c r="R752" i="6"/>
  <c r="S752" i="6"/>
  <c r="T752" i="6"/>
  <c r="U752" i="6"/>
  <c r="V752" i="6"/>
  <c r="W752" i="6"/>
  <c r="X752" i="6"/>
  <c r="Y752" i="6"/>
  <c r="Z752" i="6"/>
  <c r="AA752" i="6"/>
  <c r="J753" i="6"/>
  <c r="K753" i="6"/>
  <c r="L753" i="6"/>
  <c r="M753" i="6"/>
  <c r="N753" i="6"/>
  <c r="O753" i="6"/>
  <c r="P753" i="6"/>
  <c r="Q753" i="6"/>
  <c r="R753" i="6"/>
  <c r="S753" i="6"/>
  <c r="T753" i="6"/>
  <c r="U753" i="6"/>
  <c r="V753" i="6"/>
  <c r="W753" i="6"/>
  <c r="X753" i="6"/>
  <c r="Y753" i="6"/>
  <c r="Z753" i="6"/>
  <c r="AA753" i="6"/>
  <c r="J754" i="6"/>
  <c r="K754" i="6"/>
  <c r="L754" i="6"/>
  <c r="M754" i="6"/>
  <c r="N754" i="6"/>
  <c r="O754" i="6"/>
  <c r="P754" i="6"/>
  <c r="Q754" i="6"/>
  <c r="R754" i="6"/>
  <c r="S754" i="6"/>
  <c r="T754" i="6"/>
  <c r="U754" i="6"/>
  <c r="V754" i="6"/>
  <c r="W754" i="6"/>
  <c r="X754" i="6"/>
  <c r="Y754" i="6"/>
  <c r="Z754" i="6"/>
  <c r="AA754" i="6"/>
  <c r="J755" i="6"/>
  <c r="K755" i="6"/>
  <c r="L755" i="6"/>
  <c r="M755" i="6"/>
  <c r="N755" i="6"/>
  <c r="O755" i="6"/>
  <c r="P755" i="6"/>
  <c r="Q755" i="6"/>
  <c r="R755" i="6"/>
  <c r="S755" i="6"/>
  <c r="T755" i="6"/>
  <c r="U755" i="6"/>
  <c r="V755" i="6"/>
  <c r="W755" i="6"/>
  <c r="X755" i="6"/>
  <c r="Y755" i="6"/>
  <c r="Z755" i="6"/>
  <c r="AA755" i="6"/>
  <c r="J756" i="6"/>
  <c r="K756" i="6"/>
  <c r="L756" i="6"/>
  <c r="M756" i="6"/>
  <c r="N756" i="6"/>
  <c r="O756" i="6"/>
  <c r="P756" i="6"/>
  <c r="Q756" i="6"/>
  <c r="R756" i="6"/>
  <c r="S756" i="6"/>
  <c r="T756" i="6"/>
  <c r="U756" i="6"/>
  <c r="V756" i="6"/>
  <c r="W756" i="6"/>
  <c r="X756" i="6"/>
  <c r="Y756" i="6"/>
  <c r="Z756" i="6"/>
  <c r="AA756" i="6"/>
  <c r="J757" i="6"/>
  <c r="K757" i="6"/>
  <c r="L757" i="6"/>
  <c r="M757" i="6"/>
  <c r="N757" i="6"/>
  <c r="O757" i="6"/>
  <c r="P757" i="6"/>
  <c r="Q757" i="6"/>
  <c r="R757" i="6"/>
  <c r="S757" i="6"/>
  <c r="T757" i="6"/>
  <c r="U757" i="6"/>
  <c r="V757" i="6"/>
  <c r="W757" i="6"/>
  <c r="X757" i="6"/>
  <c r="Y757" i="6"/>
  <c r="Z757" i="6"/>
  <c r="AA757" i="6"/>
  <c r="J758" i="6"/>
  <c r="K758" i="6"/>
  <c r="L758" i="6"/>
  <c r="M758" i="6"/>
  <c r="N758" i="6"/>
  <c r="O758" i="6"/>
  <c r="P758" i="6"/>
  <c r="Q758" i="6"/>
  <c r="R758" i="6"/>
  <c r="S758" i="6"/>
  <c r="T758" i="6"/>
  <c r="U758" i="6"/>
  <c r="V758" i="6"/>
  <c r="W758" i="6"/>
  <c r="X758" i="6"/>
  <c r="Y758" i="6"/>
  <c r="Z758" i="6"/>
  <c r="AA758" i="6"/>
  <c r="J759" i="6"/>
  <c r="K759" i="6"/>
  <c r="L759" i="6"/>
  <c r="M759" i="6"/>
  <c r="N759" i="6"/>
  <c r="O759" i="6"/>
  <c r="P759" i="6"/>
  <c r="Q759" i="6"/>
  <c r="R759" i="6"/>
  <c r="S759" i="6"/>
  <c r="T759" i="6"/>
  <c r="U759" i="6"/>
  <c r="V759" i="6"/>
  <c r="W759" i="6"/>
  <c r="X759" i="6"/>
  <c r="Y759" i="6"/>
  <c r="Z759" i="6"/>
  <c r="AA759" i="6"/>
  <c r="J760" i="6"/>
  <c r="K760" i="6"/>
  <c r="L760" i="6"/>
  <c r="M760" i="6"/>
  <c r="N760" i="6"/>
  <c r="O760" i="6"/>
  <c r="P760" i="6"/>
  <c r="Q760" i="6"/>
  <c r="R760" i="6"/>
  <c r="S760" i="6"/>
  <c r="T760" i="6"/>
  <c r="U760" i="6"/>
  <c r="V760" i="6"/>
  <c r="W760" i="6"/>
  <c r="X760" i="6"/>
  <c r="Y760" i="6"/>
  <c r="Z760" i="6"/>
  <c r="AA760" i="6"/>
  <c r="J761" i="6"/>
  <c r="K761" i="6"/>
  <c r="L761" i="6"/>
  <c r="M761" i="6"/>
  <c r="N761" i="6"/>
  <c r="O761" i="6"/>
  <c r="P761" i="6"/>
  <c r="Q761" i="6"/>
  <c r="R761" i="6"/>
  <c r="S761" i="6"/>
  <c r="T761" i="6"/>
  <c r="U761" i="6"/>
  <c r="V761" i="6"/>
  <c r="W761" i="6"/>
  <c r="X761" i="6"/>
  <c r="Y761" i="6"/>
  <c r="Z761" i="6"/>
  <c r="AA761" i="6"/>
  <c r="J762" i="6"/>
  <c r="K762" i="6"/>
  <c r="L762" i="6"/>
  <c r="M762" i="6"/>
  <c r="N762" i="6"/>
  <c r="O762" i="6"/>
  <c r="P762" i="6"/>
  <c r="Q762" i="6"/>
  <c r="R762" i="6"/>
  <c r="S762" i="6"/>
  <c r="T762" i="6"/>
  <c r="U762" i="6"/>
  <c r="V762" i="6"/>
  <c r="W762" i="6"/>
  <c r="X762" i="6"/>
  <c r="Y762" i="6"/>
  <c r="Z762" i="6"/>
  <c r="AA762" i="6"/>
  <c r="J763" i="6"/>
  <c r="K763" i="6"/>
  <c r="L763" i="6"/>
  <c r="M763" i="6"/>
  <c r="N763" i="6"/>
  <c r="O763" i="6"/>
  <c r="P763" i="6"/>
  <c r="Q763" i="6"/>
  <c r="R763" i="6"/>
  <c r="S763" i="6"/>
  <c r="T763" i="6"/>
  <c r="U763" i="6"/>
  <c r="V763" i="6"/>
  <c r="W763" i="6"/>
  <c r="X763" i="6"/>
  <c r="Y763" i="6"/>
  <c r="Z763" i="6"/>
  <c r="AA763" i="6"/>
  <c r="J764" i="6"/>
  <c r="K764" i="6"/>
  <c r="L764" i="6"/>
  <c r="M764" i="6"/>
  <c r="N764" i="6"/>
  <c r="O764" i="6"/>
  <c r="P764" i="6"/>
  <c r="Q764" i="6"/>
  <c r="R764" i="6"/>
  <c r="S764" i="6"/>
  <c r="T764" i="6"/>
  <c r="U764" i="6"/>
  <c r="V764" i="6"/>
  <c r="W764" i="6"/>
  <c r="X764" i="6"/>
  <c r="Y764" i="6"/>
  <c r="Z764" i="6"/>
  <c r="AA764" i="6"/>
  <c r="J765" i="6"/>
  <c r="K765" i="6"/>
  <c r="L765" i="6"/>
  <c r="M765" i="6"/>
  <c r="N765" i="6"/>
  <c r="O765" i="6"/>
  <c r="P765" i="6"/>
  <c r="Q765" i="6"/>
  <c r="R765" i="6"/>
  <c r="S765" i="6"/>
  <c r="T765" i="6"/>
  <c r="U765" i="6"/>
  <c r="V765" i="6"/>
  <c r="W765" i="6"/>
  <c r="X765" i="6"/>
  <c r="Y765" i="6"/>
  <c r="Z765" i="6"/>
  <c r="AA765" i="6"/>
  <c r="J766" i="6"/>
  <c r="K766" i="6"/>
  <c r="L766" i="6"/>
  <c r="M766" i="6"/>
  <c r="N766" i="6"/>
  <c r="O766" i="6"/>
  <c r="P766" i="6"/>
  <c r="Q766" i="6"/>
  <c r="R766" i="6"/>
  <c r="S766" i="6"/>
  <c r="T766" i="6"/>
  <c r="U766" i="6"/>
  <c r="V766" i="6"/>
  <c r="W766" i="6"/>
  <c r="X766" i="6"/>
  <c r="Y766" i="6"/>
  <c r="Z766" i="6"/>
  <c r="AA766" i="6"/>
  <c r="J767" i="6"/>
  <c r="K767" i="6"/>
  <c r="L767" i="6"/>
  <c r="M767" i="6"/>
  <c r="N767" i="6"/>
  <c r="O767" i="6"/>
  <c r="P767" i="6"/>
  <c r="Q767" i="6"/>
  <c r="R767" i="6"/>
  <c r="S767" i="6"/>
  <c r="T767" i="6"/>
  <c r="U767" i="6"/>
  <c r="V767" i="6"/>
  <c r="W767" i="6"/>
  <c r="X767" i="6"/>
  <c r="Y767" i="6"/>
  <c r="Z767" i="6"/>
  <c r="AA767" i="6"/>
  <c r="J768" i="6"/>
  <c r="K768" i="6"/>
  <c r="L768" i="6"/>
  <c r="M768" i="6"/>
  <c r="N768" i="6"/>
  <c r="O768" i="6"/>
  <c r="P768" i="6"/>
  <c r="Q768" i="6"/>
  <c r="R768" i="6"/>
  <c r="S768" i="6"/>
  <c r="T768" i="6"/>
  <c r="U768" i="6"/>
  <c r="V768" i="6"/>
  <c r="W768" i="6"/>
  <c r="X768" i="6"/>
  <c r="Y768" i="6"/>
  <c r="Z768" i="6"/>
  <c r="AA768" i="6"/>
  <c r="J769" i="6"/>
  <c r="K769" i="6"/>
  <c r="L769" i="6"/>
  <c r="M769" i="6"/>
  <c r="N769" i="6"/>
  <c r="O769" i="6"/>
  <c r="P769" i="6"/>
  <c r="Q769" i="6"/>
  <c r="R769" i="6"/>
  <c r="S769" i="6"/>
  <c r="T769" i="6"/>
  <c r="U769" i="6"/>
  <c r="V769" i="6"/>
  <c r="W769" i="6"/>
  <c r="X769" i="6"/>
  <c r="Y769" i="6"/>
  <c r="Z769" i="6"/>
  <c r="AA769" i="6"/>
  <c r="J770" i="6"/>
  <c r="K770" i="6"/>
  <c r="L770" i="6"/>
  <c r="M770" i="6"/>
  <c r="N770" i="6"/>
  <c r="O770" i="6"/>
  <c r="P770" i="6"/>
  <c r="Q770" i="6"/>
  <c r="R770" i="6"/>
  <c r="S770" i="6"/>
  <c r="T770" i="6"/>
  <c r="U770" i="6"/>
  <c r="V770" i="6"/>
  <c r="W770" i="6"/>
  <c r="X770" i="6"/>
  <c r="Y770" i="6"/>
  <c r="Z770" i="6"/>
  <c r="AA770" i="6"/>
  <c r="J771" i="6"/>
  <c r="K771" i="6"/>
  <c r="L771" i="6"/>
  <c r="M771" i="6"/>
  <c r="N771" i="6"/>
  <c r="O771" i="6"/>
  <c r="P771" i="6"/>
  <c r="Q771" i="6"/>
  <c r="R771" i="6"/>
  <c r="S771" i="6"/>
  <c r="T771" i="6"/>
  <c r="U771" i="6"/>
  <c r="V771" i="6"/>
  <c r="W771" i="6"/>
  <c r="X771" i="6"/>
  <c r="Y771" i="6"/>
  <c r="Z771" i="6"/>
  <c r="AA771" i="6"/>
  <c r="J772" i="6"/>
  <c r="K772" i="6"/>
  <c r="L772" i="6"/>
  <c r="M772" i="6"/>
  <c r="N772" i="6"/>
  <c r="O772" i="6"/>
  <c r="P772" i="6"/>
  <c r="Q772" i="6"/>
  <c r="R772" i="6"/>
  <c r="S772" i="6"/>
  <c r="T772" i="6"/>
  <c r="U772" i="6"/>
  <c r="V772" i="6"/>
  <c r="W772" i="6"/>
  <c r="X772" i="6"/>
  <c r="Y772" i="6"/>
  <c r="Z772" i="6"/>
  <c r="AA772" i="6"/>
  <c r="J773" i="6"/>
  <c r="K773" i="6"/>
  <c r="L773" i="6"/>
  <c r="M773" i="6"/>
  <c r="N773" i="6"/>
  <c r="O773" i="6"/>
  <c r="P773" i="6"/>
  <c r="Q773" i="6"/>
  <c r="R773" i="6"/>
  <c r="S773" i="6"/>
  <c r="T773" i="6"/>
  <c r="U773" i="6"/>
  <c r="V773" i="6"/>
  <c r="W773" i="6"/>
  <c r="X773" i="6"/>
  <c r="Y773" i="6"/>
  <c r="Z773" i="6"/>
  <c r="AA773" i="6"/>
  <c r="J774" i="6"/>
  <c r="K774" i="6"/>
  <c r="L774" i="6"/>
  <c r="M774" i="6"/>
  <c r="N774" i="6"/>
  <c r="O774" i="6"/>
  <c r="P774" i="6"/>
  <c r="Q774" i="6"/>
  <c r="R774" i="6"/>
  <c r="S774" i="6"/>
  <c r="T774" i="6"/>
  <c r="U774" i="6"/>
  <c r="V774" i="6"/>
  <c r="W774" i="6"/>
  <c r="X774" i="6"/>
  <c r="Y774" i="6"/>
  <c r="Z774" i="6"/>
  <c r="AA774" i="6"/>
  <c r="J775" i="6"/>
  <c r="K775" i="6"/>
  <c r="L775" i="6"/>
  <c r="M775" i="6"/>
  <c r="N775" i="6"/>
  <c r="O775" i="6"/>
  <c r="P775" i="6"/>
  <c r="Q775" i="6"/>
  <c r="R775" i="6"/>
  <c r="S775" i="6"/>
  <c r="T775" i="6"/>
  <c r="U775" i="6"/>
  <c r="V775" i="6"/>
  <c r="W775" i="6"/>
  <c r="X775" i="6"/>
  <c r="Y775" i="6"/>
  <c r="Z775" i="6"/>
  <c r="AA775" i="6"/>
  <c r="J776" i="6"/>
  <c r="K776" i="6"/>
  <c r="L776" i="6"/>
  <c r="M776" i="6"/>
  <c r="N776" i="6"/>
  <c r="O776" i="6"/>
  <c r="P776" i="6"/>
  <c r="Q776" i="6"/>
  <c r="R776" i="6"/>
  <c r="S776" i="6"/>
  <c r="T776" i="6"/>
  <c r="U776" i="6"/>
  <c r="V776" i="6"/>
  <c r="W776" i="6"/>
  <c r="X776" i="6"/>
  <c r="Y776" i="6"/>
  <c r="Z776" i="6"/>
  <c r="AA776" i="6"/>
  <c r="J777" i="6"/>
  <c r="K777" i="6"/>
  <c r="L777" i="6"/>
  <c r="M777" i="6"/>
  <c r="N777" i="6"/>
  <c r="O777" i="6"/>
  <c r="P777" i="6"/>
  <c r="Q777" i="6"/>
  <c r="R777" i="6"/>
  <c r="S777" i="6"/>
  <c r="T777" i="6"/>
  <c r="U777" i="6"/>
  <c r="V777" i="6"/>
  <c r="W777" i="6"/>
  <c r="X777" i="6"/>
  <c r="Y777" i="6"/>
  <c r="Z777" i="6"/>
  <c r="AA777" i="6"/>
  <c r="J778" i="6"/>
  <c r="K778" i="6"/>
  <c r="L778" i="6"/>
  <c r="M778" i="6"/>
  <c r="N778" i="6"/>
  <c r="O778" i="6"/>
  <c r="P778" i="6"/>
  <c r="Q778" i="6"/>
  <c r="R778" i="6"/>
  <c r="S778" i="6"/>
  <c r="T778" i="6"/>
  <c r="U778" i="6"/>
  <c r="V778" i="6"/>
  <c r="W778" i="6"/>
  <c r="X778" i="6"/>
  <c r="Y778" i="6"/>
  <c r="Z778" i="6"/>
  <c r="AA778" i="6"/>
  <c r="J779" i="6"/>
  <c r="K779" i="6"/>
  <c r="L779" i="6"/>
  <c r="M779" i="6"/>
  <c r="N779" i="6"/>
  <c r="O779" i="6"/>
  <c r="P779" i="6"/>
  <c r="Q779" i="6"/>
  <c r="R779" i="6"/>
  <c r="S779" i="6"/>
  <c r="T779" i="6"/>
  <c r="U779" i="6"/>
  <c r="V779" i="6"/>
  <c r="W779" i="6"/>
  <c r="X779" i="6"/>
  <c r="Y779" i="6"/>
  <c r="Z779" i="6"/>
  <c r="AA779" i="6"/>
  <c r="J780" i="6"/>
  <c r="K780" i="6"/>
  <c r="L780" i="6"/>
  <c r="M780" i="6"/>
  <c r="N780" i="6"/>
  <c r="O780" i="6"/>
  <c r="P780" i="6"/>
  <c r="Q780" i="6"/>
  <c r="R780" i="6"/>
  <c r="S780" i="6"/>
  <c r="T780" i="6"/>
  <c r="U780" i="6"/>
  <c r="V780" i="6"/>
  <c r="W780" i="6"/>
  <c r="X780" i="6"/>
  <c r="Y780" i="6"/>
  <c r="Z780" i="6"/>
  <c r="AA780" i="6"/>
  <c r="J781" i="6"/>
  <c r="K781" i="6"/>
  <c r="L781" i="6"/>
  <c r="M781" i="6"/>
  <c r="N781" i="6"/>
  <c r="O781" i="6"/>
  <c r="P781" i="6"/>
  <c r="Q781" i="6"/>
  <c r="R781" i="6"/>
  <c r="S781" i="6"/>
  <c r="T781" i="6"/>
  <c r="U781" i="6"/>
  <c r="V781" i="6"/>
  <c r="W781" i="6"/>
  <c r="X781" i="6"/>
  <c r="Y781" i="6"/>
  <c r="Z781" i="6"/>
  <c r="AA781" i="6"/>
  <c r="J782" i="6"/>
  <c r="K782" i="6"/>
  <c r="L782" i="6"/>
  <c r="M782" i="6"/>
  <c r="N782" i="6"/>
  <c r="O782" i="6"/>
  <c r="P782" i="6"/>
  <c r="Q782" i="6"/>
  <c r="R782" i="6"/>
  <c r="S782" i="6"/>
  <c r="T782" i="6"/>
  <c r="U782" i="6"/>
  <c r="V782" i="6"/>
  <c r="W782" i="6"/>
  <c r="X782" i="6"/>
  <c r="Y782" i="6"/>
  <c r="Z782" i="6"/>
  <c r="AA782" i="6"/>
  <c r="J783" i="6"/>
  <c r="K783" i="6"/>
  <c r="L783" i="6"/>
  <c r="M783" i="6"/>
  <c r="N783" i="6"/>
  <c r="O783" i="6"/>
  <c r="P783" i="6"/>
  <c r="Q783" i="6"/>
  <c r="R783" i="6"/>
  <c r="S783" i="6"/>
  <c r="T783" i="6"/>
  <c r="U783" i="6"/>
  <c r="V783" i="6"/>
  <c r="W783" i="6"/>
  <c r="X783" i="6"/>
  <c r="Y783" i="6"/>
  <c r="Z783" i="6"/>
  <c r="AA783" i="6"/>
  <c r="J784" i="6"/>
  <c r="K784" i="6"/>
  <c r="L784" i="6"/>
  <c r="M784" i="6"/>
  <c r="N784" i="6"/>
  <c r="O784" i="6"/>
  <c r="P784" i="6"/>
  <c r="Q784" i="6"/>
  <c r="R784" i="6"/>
  <c r="S784" i="6"/>
  <c r="T784" i="6"/>
  <c r="U784" i="6"/>
  <c r="V784" i="6"/>
  <c r="W784" i="6"/>
  <c r="X784" i="6"/>
  <c r="Y784" i="6"/>
  <c r="Z784" i="6"/>
  <c r="AA784" i="6"/>
  <c r="J785" i="6"/>
  <c r="K785" i="6"/>
  <c r="L785" i="6"/>
  <c r="M785" i="6"/>
  <c r="N785" i="6"/>
  <c r="O785" i="6"/>
  <c r="P785" i="6"/>
  <c r="Q785" i="6"/>
  <c r="R785" i="6"/>
  <c r="S785" i="6"/>
  <c r="T785" i="6"/>
  <c r="U785" i="6"/>
  <c r="V785" i="6"/>
  <c r="W785" i="6"/>
  <c r="X785" i="6"/>
  <c r="Y785" i="6"/>
  <c r="Z785" i="6"/>
  <c r="AA785" i="6"/>
  <c r="J786" i="6"/>
  <c r="K786" i="6"/>
  <c r="L786" i="6"/>
  <c r="M786" i="6"/>
  <c r="N786" i="6"/>
  <c r="O786" i="6"/>
  <c r="P786" i="6"/>
  <c r="Q786" i="6"/>
  <c r="R786" i="6"/>
  <c r="S786" i="6"/>
  <c r="T786" i="6"/>
  <c r="U786" i="6"/>
  <c r="V786" i="6"/>
  <c r="W786" i="6"/>
  <c r="X786" i="6"/>
  <c r="Y786" i="6"/>
  <c r="Z786" i="6"/>
  <c r="AA786" i="6"/>
  <c r="J787" i="6"/>
  <c r="K787" i="6"/>
  <c r="L787" i="6"/>
  <c r="M787" i="6"/>
  <c r="N787" i="6"/>
  <c r="O787" i="6"/>
  <c r="P787" i="6"/>
  <c r="Q787" i="6"/>
  <c r="R787" i="6"/>
  <c r="S787" i="6"/>
  <c r="T787" i="6"/>
  <c r="U787" i="6"/>
  <c r="V787" i="6"/>
  <c r="W787" i="6"/>
  <c r="X787" i="6"/>
  <c r="Y787" i="6"/>
  <c r="Z787" i="6"/>
  <c r="AA787" i="6"/>
  <c r="J788" i="6"/>
  <c r="K788" i="6"/>
  <c r="L788" i="6"/>
  <c r="M788" i="6"/>
  <c r="N788" i="6"/>
  <c r="O788" i="6"/>
  <c r="P788" i="6"/>
  <c r="Q788" i="6"/>
  <c r="R788" i="6"/>
  <c r="S788" i="6"/>
  <c r="T788" i="6"/>
  <c r="U788" i="6"/>
  <c r="V788" i="6"/>
  <c r="W788" i="6"/>
  <c r="X788" i="6"/>
  <c r="Y788" i="6"/>
  <c r="Z788" i="6"/>
  <c r="AA788" i="6"/>
  <c r="J789" i="6"/>
  <c r="K789" i="6"/>
  <c r="L789" i="6"/>
  <c r="M789" i="6"/>
  <c r="N789" i="6"/>
  <c r="O789" i="6"/>
  <c r="P789" i="6"/>
  <c r="Q789" i="6"/>
  <c r="R789" i="6"/>
  <c r="S789" i="6"/>
  <c r="T789" i="6"/>
  <c r="U789" i="6"/>
  <c r="V789" i="6"/>
  <c r="W789" i="6"/>
  <c r="X789" i="6"/>
  <c r="Y789" i="6"/>
  <c r="Z789" i="6"/>
  <c r="AA789" i="6"/>
  <c r="J790" i="6"/>
  <c r="K790" i="6"/>
  <c r="L790" i="6"/>
  <c r="M790" i="6"/>
  <c r="N790" i="6"/>
  <c r="O790" i="6"/>
  <c r="P790" i="6"/>
  <c r="Q790" i="6"/>
  <c r="R790" i="6"/>
  <c r="S790" i="6"/>
  <c r="T790" i="6"/>
  <c r="U790" i="6"/>
  <c r="V790" i="6"/>
  <c r="W790" i="6"/>
  <c r="X790" i="6"/>
  <c r="Y790" i="6"/>
  <c r="Z790" i="6"/>
  <c r="AA790" i="6"/>
  <c r="J791" i="6"/>
  <c r="K791" i="6"/>
  <c r="L791" i="6"/>
  <c r="M791" i="6"/>
  <c r="N791" i="6"/>
  <c r="O791" i="6"/>
  <c r="P791" i="6"/>
  <c r="Q791" i="6"/>
  <c r="R791" i="6"/>
  <c r="S791" i="6"/>
  <c r="T791" i="6"/>
  <c r="U791" i="6"/>
  <c r="V791" i="6"/>
  <c r="W791" i="6"/>
  <c r="X791" i="6"/>
  <c r="Y791" i="6"/>
  <c r="Z791" i="6"/>
  <c r="AA791" i="6"/>
  <c r="J792" i="6"/>
  <c r="K792" i="6"/>
  <c r="L792" i="6"/>
  <c r="M792" i="6"/>
  <c r="N792" i="6"/>
  <c r="O792" i="6"/>
  <c r="P792" i="6"/>
  <c r="Q792" i="6"/>
  <c r="R792" i="6"/>
  <c r="S792" i="6"/>
  <c r="T792" i="6"/>
  <c r="U792" i="6"/>
  <c r="V792" i="6"/>
  <c r="W792" i="6"/>
  <c r="X792" i="6"/>
  <c r="Y792" i="6"/>
  <c r="Z792" i="6"/>
  <c r="AA792" i="6"/>
  <c r="J793" i="6"/>
  <c r="K793" i="6"/>
  <c r="L793" i="6"/>
  <c r="M793" i="6"/>
  <c r="N793" i="6"/>
  <c r="O793" i="6"/>
  <c r="P793" i="6"/>
  <c r="Q793" i="6"/>
  <c r="R793" i="6"/>
  <c r="S793" i="6"/>
  <c r="T793" i="6"/>
  <c r="U793" i="6"/>
  <c r="V793" i="6"/>
  <c r="W793" i="6"/>
  <c r="X793" i="6"/>
  <c r="Y793" i="6"/>
  <c r="Z793" i="6"/>
  <c r="AA793" i="6"/>
  <c r="J794" i="6"/>
  <c r="K794" i="6"/>
  <c r="L794" i="6"/>
  <c r="M794" i="6"/>
  <c r="N794" i="6"/>
  <c r="O794" i="6"/>
  <c r="P794" i="6"/>
  <c r="Q794" i="6"/>
  <c r="R794" i="6"/>
  <c r="S794" i="6"/>
  <c r="T794" i="6"/>
  <c r="U794" i="6"/>
  <c r="V794" i="6"/>
  <c r="W794" i="6"/>
  <c r="X794" i="6"/>
  <c r="Y794" i="6"/>
  <c r="Z794" i="6"/>
  <c r="AA794" i="6"/>
  <c r="J795" i="6"/>
  <c r="K795" i="6"/>
  <c r="L795" i="6"/>
  <c r="M795" i="6"/>
  <c r="N795" i="6"/>
  <c r="O795" i="6"/>
  <c r="P795" i="6"/>
  <c r="Q795" i="6"/>
  <c r="R795" i="6"/>
  <c r="S795" i="6"/>
  <c r="T795" i="6"/>
  <c r="U795" i="6"/>
  <c r="V795" i="6"/>
  <c r="W795" i="6"/>
  <c r="X795" i="6"/>
  <c r="Y795" i="6"/>
  <c r="Z795" i="6"/>
  <c r="AA795" i="6"/>
  <c r="J796" i="6"/>
  <c r="K796" i="6"/>
  <c r="L796" i="6"/>
  <c r="M796" i="6"/>
  <c r="N796" i="6"/>
  <c r="O796" i="6"/>
  <c r="P796" i="6"/>
  <c r="Q796" i="6"/>
  <c r="R796" i="6"/>
  <c r="S796" i="6"/>
  <c r="T796" i="6"/>
  <c r="U796" i="6"/>
  <c r="V796" i="6"/>
  <c r="W796" i="6"/>
  <c r="X796" i="6"/>
  <c r="Y796" i="6"/>
  <c r="Z796" i="6"/>
  <c r="AA796" i="6"/>
  <c r="J797" i="6"/>
  <c r="K797" i="6"/>
  <c r="L797" i="6"/>
  <c r="M797" i="6"/>
  <c r="N797" i="6"/>
  <c r="O797" i="6"/>
  <c r="P797" i="6"/>
  <c r="Q797" i="6"/>
  <c r="R797" i="6"/>
  <c r="S797" i="6"/>
  <c r="T797" i="6"/>
  <c r="U797" i="6"/>
  <c r="V797" i="6"/>
  <c r="W797" i="6"/>
  <c r="X797" i="6"/>
  <c r="Y797" i="6"/>
  <c r="Z797" i="6"/>
  <c r="AA797" i="6"/>
  <c r="J798" i="6"/>
  <c r="K798" i="6"/>
  <c r="L798" i="6"/>
  <c r="M798" i="6"/>
  <c r="N798" i="6"/>
  <c r="O798" i="6"/>
  <c r="P798" i="6"/>
  <c r="Q798" i="6"/>
  <c r="R798" i="6"/>
  <c r="S798" i="6"/>
  <c r="T798" i="6"/>
  <c r="U798" i="6"/>
  <c r="V798" i="6"/>
  <c r="W798" i="6"/>
  <c r="X798" i="6"/>
  <c r="Y798" i="6"/>
  <c r="Z798" i="6"/>
  <c r="AA798" i="6"/>
  <c r="J799" i="6"/>
  <c r="K799" i="6"/>
  <c r="L799" i="6"/>
  <c r="M799" i="6"/>
  <c r="N799" i="6"/>
  <c r="O799" i="6"/>
  <c r="P799" i="6"/>
  <c r="Q799" i="6"/>
  <c r="R799" i="6"/>
  <c r="S799" i="6"/>
  <c r="T799" i="6"/>
  <c r="U799" i="6"/>
  <c r="V799" i="6"/>
  <c r="W799" i="6"/>
  <c r="X799" i="6"/>
  <c r="Y799" i="6"/>
  <c r="Z799" i="6"/>
  <c r="AA799" i="6"/>
  <c r="J800" i="6"/>
  <c r="K800" i="6"/>
  <c r="L800" i="6"/>
  <c r="M800" i="6"/>
  <c r="N800" i="6"/>
  <c r="O800" i="6"/>
  <c r="P800" i="6"/>
  <c r="Q800" i="6"/>
  <c r="R800" i="6"/>
  <c r="S800" i="6"/>
  <c r="T800" i="6"/>
  <c r="U800" i="6"/>
  <c r="V800" i="6"/>
  <c r="W800" i="6"/>
  <c r="X800" i="6"/>
  <c r="Y800" i="6"/>
  <c r="Z800" i="6"/>
  <c r="AA800" i="6"/>
  <c r="J801" i="6"/>
  <c r="K801" i="6"/>
  <c r="L801" i="6"/>
  <c r="M801" i="6"/>
  <c r="N801" i="6"/>
  <c r="O801" i="6"/>
  <c r="P801" i="6"/>
  <c r="Q801" i="6"/>
  <c r="R801" i="6"/>
  <c r="S801" i="6"/>
  <c r="T801" i="6"/>
  <c r="U801" i="6"/>
  <c r="V801" i="6"/>
  <c r="W801" i="6"/>
  <c r="X801" i="6"/>
  <c r="Y801" i="6"/>
  <c r="Z801" i="6"/>
  <c r="AA801" i="6"/>
  <c r="J802" i="6"/>
  <c r="K802" i="6"/>
  <c r="L802" i="6"/>
  <c r="M802" i="6"/>
  <c r="N802" i="6"/>
  <c r="O802" i="6"/>
  <c r="P802" i="6"/>
  <c r="Q802" i="6"/>
  <c r="R802" i="6"/>
  <c r="S802" i="6"/>
  <c r="T802" i="6"/>
  <c r="U802" i="6"/>
  <c r="V802" i="6"/>
  <c r="W802" i="6"/>
  <c r="X802" i="6"/>
  <c r="Y802" i="6"/>
  <c r="Z802" i="6"/>
  <c r="AA802" i="6"/>
  <c r="J803" i="6"/>
  <c r="K803" i="6"/>
  <c r="L803" i="6"/>
  <c r="M803" i="6"/>
  <c r="N803" i="6"/>
  <c r="O803" i="6"/>
  <c r="P803" i="6"/>
  <c r="Q803" i="6"/>
  <c r="R803" i="6"/>
  <c r="S803" i="6"/>
  <c r="T803" i="6"/>
  <c r="U803" i="6"/>
  <c r="V803" i="6"/>
  <c r="W803" i="6"/>
  <c r="X803" i="6"/>
  <c r="Y803" i="6"/>
  <c r="Z803" i="6"/>
  <c r="AA803" i="6"/>
  <c r="J804" i="6"/>
  <c r="K804" i="6"/>
  <c r="L804" i="6"/>
  <c r="M804" i="6"/>
  <c r="N804" i="6"/>
  <c r="O804" i="6"/>
  <c r="P804" i="6"/>
  <c r="Q804" i="6"/>
  <c r="R804" i="6"/>
  <c r="S804" i="6"/>
  <c r="T804" i="6"/>
  <c r="U804" i="6"/>
  <c r="V804" i="6"/>
  <c r="W804" i="6"/>
  <c r="X804" i="6"/>
  <c r="Y804" i="6"/>
  <c r="Z804" i="6"/>
  <c r="AA804" i="6"/>
  <c r="J805" i="6"/>
  <c r="K805" i="6"/>
  <c r="L805" i="6"/>
  <c r="M805" i="6"/>
  <c r="N805" i="6"/>
  <c r="O805" i="6"/>
  <c r="P805" i="6"/>
  <c r="Q805" i="6"/>
  <c r="R805" i="6"/>
  <c r="S805" i="6"/>
  <c r="T805" i="6"/>
  <c r="U805" i="6"/>
  <c r="V805" i="6"/>
  <c r="W805" i="6"/>
  <c r="X805" i="6"/>
  <c r="Y805" i="6"/>
  <c r="Z805" i="6"/>
  <c r="AA805" i="6"/>
  <c r="J806" i="6"/>
  <c r="K806" i="6"/>
  <c r="L806" i="6"/>
  <c r="M806" i="6"/>
  <c r="N806" i="6"/>
  <c r="O806" i="6"/>
  <c r="P806" i="6"/>
  <c r="Q806" i="6"/>
  <c r="R806" i="6"/>
  <c r="S806" i="6"/>
  <c r="T806" i="6"/>
  <c r="U806" i="6"/>
  <c r="V806" i="6"/>
  <c r="W806" i="6"/>
  <c r="X806" i="6"/>
  <c r="Y806" i="6"/>
  <c r="Z806" i="6"/>
  <c r="AA806" i="6"/>
  <c r="J807" i="6"/>
  <c r="K807" i="6"/>
  <c r="L807" i="6"/>
  <c r="M807" i="6"/>
  <c r="N807" i="6"/>
  <c r="O807" i="6"/>
  <c r="P807" i="6"/>
  <c r="Q807" i="6"/>
  <c r="R807" i="6"/>
  <c r="S807" i="6"/>
  <c r="T807" i="6"/>
  <c r="U807" i="6"/>
  <c r="V807" i="6"/>
  <c r="W807" i="6"/>
  <c r="X807" i="6"/>
  <c r="Y807" i="6"/>
  <c r="Z807" i="6"/>
  <c r="AA807" i="6"/>
  <c r="J808" i="6"/>
  <c r="K808" i="6"/>
  <c r="L808" i="6"/>
  <c r="M808" i="6"/>
  <c r="N808" i="6"/>
  <c r="O808" i="6"/>
  <c r="P808" i="6"/>
  <c r="Q808" i="6"/>
  <c r="R808" i="6"/>
  <c r="S808" i="6"/>
  <c r="T808" i="6"/>
  <c r="U808" i="6"/>
  <c r="V808" i="6"/>
  <c r="W808" i="6"/>
  <c r="X808" i="6"/>
  <c r="Y808" i="6"/>
  <c r="Z808" i="6"/>
  <c r="AA808" i="6"/>
  <c r="J809" i="6"/>
  <c r="K809" i="6"/>
  <c r="L809" i="6"/>
  <c r="M809" i="6"/>
  <c r="N809" i="6"/>
  <c r="O809" i="6"/>
  <c r="P809" i="6"/>
  <c r="Q809" i="6"/>
  <c r="R809" i="6"/>
  <c r="S809" i="6"/>
  <c r="T809" i="6"/>
  <c r="U809" i="6"/>
  <c r="V809" i="6"/>
  <c r="W809" i="6"/>
  <c r="X809" i="6"/>
  <c r="Y809" i="6"/>
  <c r="Z809" i="6"/>
  <c r="AA809" i="6"/>
  <c r="J810" i="6"/>
  <c r="K810" i="6"/>
  <c r="L810" i="6"/>
  <c r="M810" i="6"/>
  <c r="N810" i="6"/>
  <c r="O810" i="6"/>
  <c r="P810" i="6"/>
  <c r="Q810" i="6"/>
  <c r="R810" i="6"/>
  <c r="S810" i="6"/>
  <c r="T810" i="6"/>
  <c r="U810" i="6"/>
  <c r="V810" i="6"/>
  <c r="W810" i="6"/>
  <c r="X810" i="6"/>
  <c r="Y810" i="6"/>
  <c r="Z810" i="6"/>
  <c r="AA810" i="6"/>
  <c r="J811" i="6"/>
  <c r="K811" i="6"/>
  <c r="L811" i="6"/>
  <c r="M811" i="6"/>
  <c r="N811" i="6"/>
  <c r="O811" i="6"/>
  <c r="P811" i="6"/>
  <c r="Q811" i="6"/>
  <c r="R811" i="6"/>
  <c r="S811" i="6"/>
  <c r="T811" i="6"/>
  <c r="U811" i="6"/>
  <c r="V811" i="6"/>
  <c r="W811" i="6"/>
  <c r="X811" i="6"/>
  <c r="Y811" i="6"/>
  <c r="Z811" i="6"/>
  <c r="AA811" i="6"/>
  <c r="J812" i="6"/>
  <c r="K812" i="6"/>
  <c r="L812" i="6"/>
  <c r="M812" i="6"/>
  <c r="N812" i="6"/>
  <c r="O812" i="6"/>
  <c r="P812" i="6"/>
  <c r="Q812" i="6"/>
  <c r="R812" i="6"/>
  <c r="S812" i="6"/>
  <c r="T812" i="6"/>
  <c r="U812" i="6"/>
  <c r="V812" i="6"/>
  <c r="W812" i="6"/>
  <c r="X812" i="6"/>
  <c r="Y812" i="6"/>
  <c r="Z812" i="6"/>
  <c r="AA812" i="6"/>
  <c r="J813" i="6"/>
  <c r="K813" i="6"/>
  <c r="L813" i="6"/>
  <c r="M813" i="6"/>
  <c r="N813" i="6"/>
  <c r="O813" i="6"/>
  <c r="P813" i="6"/>
  <c r="Q813" i="6"/>
  <c r="R813" i="6"/>
  <c r="S813" i="6"/>
  <c r="T813" i="6"/>
  <c r="U813" i="6"/>
  <c r="V813" i="6"/>
  <c r="W813" i="6"/>
  <c r="X813" i="6"/>
  <c r="Y813" i="6"/>
  <c r="Z813" i="6"/>
  <c r="AA813" i="6"/>
  <c r="J814" i="6"/>
  <c r="K814" i="6"/>
  <c r="L814" i="6"/>
  <c r="M814" i="6"/>
  <c r="N814" i="6"/>
  <c r="O814" i="6"/>
  <c r="P814" i="6"/>
  <c r="Q814" i="6"/>
  <c r="R814" i="6"/>
  <c r="S814" i="6"/>
  <c r="T814" i="6"/>
  <c r="U814" i="6"/>
  <c r="V814" i="6"/>
  <c r="W814" i="6"/>
  <c r="X814" i="6"/>
  <c r="Y814" i="6"/>
  <c r="Z814" i="6"/>
  <c r="AA814" i="6"/>
  <c r="J815" i="6"/>
  <c r="K815" i="6"/>
  <c r="L815" i="6"/>
  <c r="M815" i="6"/>
  <c r="N815" i="6"/>
  <c r="O815" i="6"/>
  <c r="P815" i="6"/>
  <c r="Q815" i="6"/>
  <c r="R815" i="6"/>
  <c r="S815" i="6"/>
  <c r="T815" i="6"/>
  <c r="U815" i="6"/>
  <c r="V815" i="6"/>
  <c r="W815" i="6"/>
  <c r="X815" i="6"/>
  <c r="Y815" i="6"/>
  <c r="Z815" i="6"/>
  <c r="AA815" i="6"/>
  <c r="J816" i="6"/>
  <c r="K816" i="6"/>
  <c r="L816" i="6"/>
  <c r="M816" i="6"/>
  <c r="N816" i="6"/>
  <c r="O816" i="6"/>
  <c r="P816" i="6"/>
  <c r="Q816" i="6"/>
  <c r="R816" i="6"/>
  <c r="S816" i="6"/>
  <c r="T816" i="6"/>
  <c r="U816" i="6"/>
  <c r="V816" i="6"/>
  <c r="W816" i="6"/>
  <c r="X816" i="6"/>
  <c r="Y816" i="6"/>
  <c r="Z816" i="6"/>
  <c r="AA816" i="6"/>
  <c r="J817" i="6"/>
  <c r="K817" i="6"/>
  <c r="L817" i="6"/>
  <c r="M817" i="6"/>
  <c r="N817" i="6"/>
  <c r="O817" i="6"/>
  <c r="P817" i="6"/>
  <c r="Q817" i="6"/>
  <c r="R817" i="6"/>
  <c r="S817" i="6"/>
  <c r="T817" i="6"/>
  <c r="U817" i="6"/>
  <c r="V817" i="6"/>
  <c r="W817" i="6"/>
  <c r="X817" i="6"/>
  <c r="Y817" i="6"/>
  <c r="Z817" i="6"/>
  <c r="AA817" i="6"/>
  <c r="J818" i="6"/>
  <c r="K818" i="6"/>
  <c r="L818" i="6"/>
  <c r="M818" i="6"/>
  <c r="N818" i="6"/>
  <c r="O818" i="6"/>
  <c r="P818" i="6"/>
  <c r="Q818" i="6"/>
  <c r="R818" i="6"/>
  <c r="S818" i="6"/>
  <c r="T818" i="6"/>
  <c r="U818" i="6"/>
  <c r="V818" i="6"/>
  <c r="W818" i="6"/>
  <c r="X818" i="6"/>
  <c r="Y818" i="6"/>
  <c r="Z818" i="6"/>
  <c r="AA818" i="6"/>
  <c r="J819" i="6"/>
  <c r="K819" i="6"/>
  <c r="L819" i="6"/>
  <c r="M819" i="6"/>
  <c r="N819" i="6"/>
  <c r="O819" i="6"/>
  <c r="P819" i="6"/>
  <c r="Q819" i="6"/>
  <c r="R819" i="6"/>
  <c r="S819" i="6"/>
  <c r="T819" i="6"/>
  <c r="U819" i="6"/>
  <c r="V819" i="6"/>
  <c r="W819" i="6"/>
  <c r="X819" i="6"/>
  <c r="Y819" i="6"/>
  <c r="Z819" i="6"/>
  <c r="AA819" i="6"/>
  <c r="J820" i="6"/>
  <c r="K820" i="6"/>
  <c r="L820" i="6"/>
  <c r="M820" i="6"/>
  <c r="N820" i="6"/>
  <c r="O820" i="6"/>
  <c r="P820" i="6"/>
  <c r="Q820" i="6"/>
  <c r="R820" i="6"/>
  <c r="S820" i="6"/>
  <c r="T820" i="6"/>
  <c r="U820" i="6"/>
  <c r="V820" i="6"/>
  <c r="W820" i="6"/>
  <c r="X820" i="6"/>
  <c r="Y820" i="6"/>
  <c r="Z820" i="6"/>
  <c r="AA820" i="6"/>
  <c r="J821" i="6"/>
  <c r="K821" i="6"/>
  <c r="L821" i="6"/>
  <c r="M821" i="6"/>
  <c r="N821" i="6"/>
  <c r="O821" i="6"/>
  <c r="P821" i="6"/>
  <c r="Q821" i="6"/>
  <c r="R821" i="6"/>
  <c r="S821" i="6"/>
  <c r="T821" i="6"/>
  <c r="U821" i="6"/>
  <c r="V821" i="6"/>
  <c r="W821" i="6"/>
  <c r="X821" i="6"/>
  <c r="Y821" i="6"/>
  <c r="Z821" i="6"/>
  <c r="AA821" i="6"/>
  <c r="J822" i="6"/>
  <c r="K822" i="6"/>
  <c r="L822" i="6"/>
  <c r="M822" i="6"/>
  <c r="N822" i="6"/>
  <c r="O822" i="6"/>
  <c r="P822" i="6"/>
  <c r="Q822" i="6"/>
  <c r="R822" i="6"/>
  <c r="S822" i="6"/>
  <c r="T822" i="6"/>
  <c r="U822" i="6"/>
  <c r="V822" i="6"/>
  <c r="W822" i="6"/>
  <c r="X822" i="6"/>
  <c r="Y822" i="6"/>
  <c r="Z822" i="6"/>
  <c r="AA822" i="6"/>
  <c r="J823" i="6"/>
  <c r="K823" i="6"/>
  <c r="L823" i="6"/>
  <c r="M823" i="6"/>
  <c r="N823" i="6"/>
  <c r="O823" i="6"/>
  <c r="P823" i="6"/>
  <c r="Q823" i="6"/>
  <c r="R823" i="6"/>
  <c r="S823" i="6"/>
  <c r="T823" i="6"/>
  <c r="U823" i="6"/>
  <c r="V823" i="6"/>
  <c r="W823" i="6"/>
  <c r="X823" i="6"/>
  <c r="Y823" i="6"/>
  <c r="Z823" i="6"/>
  <c r="AA823" i="6"/>
  <c r="J824" i="6"/>
  <c r="K824" i="6"/>
  <c r="L824" i="6"/>
  <c r="M824" i="6"/>
  <c r="N824" i="6"/>
  <c r="O824" i="6"/>
  <c r="P824" i="6"/>
  <c r="Q824" i="6"/>
  <c r="R824" i="6"/>
  <c r="S824" i="6"/>
  <c r="T824" i="6"/>
  <c r="U824" i="6"/>
  <c r="V824" i="6"/>
  <c r="W824" i="6"/>
  <c r="X824" i="6"/>
  <c r="Y824" i="6"/>
  <c r="Z824" i="6"/>
  <c r="AA824" i="6"/>
  <c r="J825" i="6"/>
  <c r="K825" i="6"/>
  <c r="L825" i="6"/>
  <c r="M825" i="6"/>
  <c r="N825" i="6"/>
  <c r="O825" i="6"/>
  <c r="P825" i="6"/>
  <c r="Q825" i="6"/>
  <c r="R825" i="6"/>
  <c r="S825" i="6"/>
  <c r="T825" i="6"/>
  <c r="U825" i="6"/>
  <c r="V825" i="6"/>
  <c r="W825" i="6"/>
  <c r="X825" i="6"/>
  <c r="Y825" i="6"/>
  <c r="Z825" i="6"/>
  <c r="AA825" i="6"/>
  <c r="J826" i="6"/>
  <c r="K826" i="6"/>
  <c r="L826" i="6"/>
  <c r="M826" i="6"/>
  <c r="N826" i="6"/>
  <c r="O826" i="6"/>
  <c r="P826" i="6"/>
  <c r="Q826" i="6"/>
  <c r="R826" i="6"/>
  <c r="S826" i="6"/>
  <c r="T826" i="6"/>
  <c r="U826" i="6"/>
  <c r="V826" i="6"/>
  <c r="W826" i="6"/>
  <c r="X826" i="6"/>
  <c r="Y826" i="6"/>
  <c r="Z826" i="6"/>
  <c r="AA826" i="6"/>
  <c r="J827" i="6"/>
  <c r="K827" i="6"/>
  <c r="L827" i="6"/>
  <c r="M827" i="6"/>
  <c r="N827" i="6"/>
  <c r="O827" i="6"/>
  <c r="P827" i="6"/>
  <c r="Q827" i="6"/>
  <c r="R827" i="6"/>
  <c r="S827" i="6"/>
  <c r="T827" i="6"/>
  <c r="U827" i="6"/>
  <c r="V827" i="6"/>
  <c r="W827" i="6"/>
  <c r="X827" i="6"/>
  <c r="Y827" i="6"/>
  <c r="Z827" i="6"/>
  <c r="AA827" i="6"/>
  <c r="J828" i="6"/>
  <c r="K828" i="6"/>
  <c r="L828" i="6"/>
  <c r="M828" i="6"/>
  <c r="N828" i="6"/>
  <c r="O828" i="6"/>
  <c r="P828" i="6"/>
  <c r="Q828" i="6"/>
  <c r="R828" i="6"/>
  <c r="S828" i="6"/>
  <c r="T828" i="6"/>
  <c r="U828" i="6"/>
  <c r="V828" i="6"/>
  <c r="W828" i="6"/>
  <c r="X828" i="6"/>
  <c r="Y828" i="6"/>
  <c r="Z828" i="6"/>
  <c r="AA828" i="6"/>
  <c r="J829" i="6"/>
  <c r="K829" i="6"/>
  <c r="L829" i="6"/>
  <c r="M829" i="6"/>
  <c r="N829" i="6"/>
  <c r="O829" i="6"/>
  <c r="P829" i="6"/>
  <c r="Q829" i="6"/>
  <c r="R829" i="6"/>
  <c r="S829" i="6"/>
  <c r="T829" i="6"/>
  <c r="U829" i="6"/>
  <c r="V829" i="6"/>
  <c r="W829" i="6"/>
  <c r="X829" i="6"/>
  <c r="Y829" i="6"/>
  <c r="Z829" i="6"/>
  <c r="AA829" i="6"/>
  <c r="J830" i="6"/>
  <c r="K830" i="6"/>
  <c r="L830" i="6"/>
  <c r="M830" i="6"/>
  <c r="N830" i="6"/>
  <c r="O830" i="6"/>
  <c r="P830" i="6"/>
  <c r="Q830" i="6"/>
  <c r="R830" i="6"/>
  <c r="S830" i="6"/>
  <c r="T830" i="6"/>
  <c r="U830" i="6"/>
  <c r="V830" i="6"/>
  <c r="W830" i="6"/>
  <c r="X830" i="6"/>
  <c r="Y830" i="6"/>
  <c r="Z830" i="6"/>
  <c r="AA830" i="6"/>
  <c r="J831" i="6"/>
  <c r="K831" i="6"/>
  <c r="L831" i="6"/>
  <c r="M831" i="6"/>
  <c r="N831" i="6"/>
  <c r="O831" i="6"/>
  <c r="P831" i="6"/>
  <c r="Q831" i="6"/>
  <c r="R831" i="6"/>
  <c r="S831" i="6"/>
  <c r="T831" i="6"/>
  <c r="U831" i="6"/>
  <c r="V831" i="6"/>
  <c r="W831" i="6"/>
  <c r="X831" i="6"/>
  <c r="Y831" i="6"/>
  <c r="Z831" i="6"/>
  <c r="AA831" i="6"/>
  <c r="J832" i="6"/>
  <c r="K832" i="6"/>
  <c r="L832" i="6"/>
  <c r="M832" i="6"/>
  <c r="N832" i="6"/>
  <c r="O832" i="6"/>
  <c r="P832" i="6"/>
  <c r="Q832" i="6"/>
  <c r="R832" i="6"/>
  <c r="S832" i="6"/>
  <c r="T832" i="6"/>
  <c r="U832" i="6"/>
  <c r="V832" i="6"/>
  <c r="W832" i="6"/>
  <c r="X832" i="6"/>
  <c r="Y832" i="6"/>
  <c r="Z832" i="6"/>
  <c r="AA832" i="6"/>
  <c r="J833" i="6"/>
  <c r="K833" i="6"/>
  <c r="L833" i="6"/>
  <c r="M833" i="6"/>
  <c r="N833" i="6"/>
  <c r="O833" i="6"/>
  <c r="P833" i="6"/>
  <c r="Q833" i="6"/>
  <c r="R833" i="6"/>
  <c r="S833" i="6"/>
  <c r="T833" i="6"/>
  <c r="U833" i="6"/>
  <c r="V833" i="6"/>
  <c r="W833" i="6"/>
  <c r="X833" i="6"/>
  <c r="Y833" i="6"/>
  <c r="Z833" i="6"/>
  <c r="AA833" i="6"/>
  <c r="J834" i="6"/>
  <c r="K834" i="6"/>
  <c r="L834" i="6"/>
  <c r="M834" i="6"/>
  <c r="N834" i="6"/>
  <c r="O834" i="6"/>
  <c r="P834" i="6"/>
  <c r="Q834" i="6"/>
  <c r="R834" i="6"/>
  <c r="S834" i="6"/>
  <c r="T834" i="6"/>
  <c r="U834" i="6"/>
  <c r="V834" i="6"/>
  <c r="W834" i="6"/>
  <c r="X834" i="6"/>
  <c r="Y834" i="6"/>
  <c r="Z834" i="6"/>
  <c r="AA834" i="6"/>
  <c r="J835" i="6"/>
  <c r="K835" i="6"/>
  <c r="L835" i="6"/>
  <c r="M835" i="6"/>
  <c r="N835" i="6"/>
  <c r="O835" i="6"/>
  <c r="P835" i="6"/>
  <c r="Q835" i="6"/>
  <c r="R835" i="6"/>
  <c r="S835" i="6"/>
  <c r="T835" i="6"/>
  <c r="U835" i="6"/>
  <c r="V835" i="6"/>
  <c r="W835" i="6"/>
  <c r="X835" i="6"/>
  <c r="Y835" i="6"/>
  <c r="Z835" i="6"/>
  <c r="AA835" i="6"/>
  <c r="J836" i="6"/>
  <c r="K836" i="6"/>
  <c r="L836" i="6"/>
  <c r="M836" i="6"/>
  <c r="N836" i="6"/>
  <c r="O836" i="6"/>
  <c r="P836" i="6"/>
  <c r="Q836" i="6"/>
  <c r="R836" i="6"/>
  <c r="S836" i="6"/>
  <c r="T836" i="6"/>
  <c r="U836" i="6"/>
  <c r="V836" i="6"/>
  <c r="W836" i="6"/>
  <c r="X836" i="6"/>
  <c r="Y836" i="6"/>
  <c r="Z836" i="6"/>
  <c r="AA836" i="6"/>
  <c r="J837" i="6"/>
  <c r="K837" i="6"/>
  <c r="L837" i="6"/>
  <c r="M837" i="6"/>
  <c r="N837" i="6"/>
  <c r="O837" i="6"/>
  <c r="P837" i="6"/>
  <c r="Q837" i="6"/>
  <c r="R837" i="6"/>
  <c r="S837" i="6"/>
  <c r="T837" i="6"/>
  <c r="U837" i="6"/>
  <c r="V837" i="6"/>
  <c r="W837" i="6"/>
  <c r="X837" i="6"/>
  <c r="Y837" i="6"/>
  <c r="Z837" i="6"/>
  <c r="AA837" i="6"/>
  <c r="J838" i="6"/>
  <c r="K838" i="6"/>
  <c r="L838" i="6"/>
  <c r="M838" i="6"/>
  <c r="N838" i="6"/>
  <c r="O838" i="6"/>
  <c r="P838" i="6"/>
  <c r="Q838" i="6"/>
  <c r="R838" i="6"/>
  <c r="S838" i="6"/>
  <c r="T838" i="6"/>
  <c r="U838" i="6"/>
  <c r="V838" i="6"/>
  <c r="W838" i="6"/>
  <c r="X838" i="6"/>
  <c r="Y838" i="6"/>
  <c r="Z838" i="6"/>
  <c r="AA838" i="6"/>
  <c r="J839" i="6"/>
  <c r="K839" i="6"/>
  <c r="L839" i="6"/>
  <c r="M839" i="6"/>
  <c r="N839" i="6"/>
  <c r="O839" i="6"/>
  <c r="P839" i="6"/>
  <c r="Q839" i="6"/>
  <c r="R839" i="6"/>
  <c r="S839" i="6"/>
  <c r="T839" i="6"/>
  <c r="U839" i="6"/>
  <c r="V839" i="6"/>
  <c r="W839" i="6"/>
  <c r="X839" i="6"/>
  <c r="Y839" i="6"/>
  <c r="Z839" i="6"/>
  <c r="AA839" i="6"/>
  <c r="J840" i="6"/>
  <c r="K840" i="6"/>
  <c r="L840" i="6"/>
  <c r="M840" i="6"/>
  <c r="N840" i="6"/>
  <c r="O840" i="6"/>
  <c r="P840" i="6"/>
  <c r="Q840" i="6"/>
  <c r="R840" i="6"/>
  <c r="S840" i="6"/>
  <c r="T840" i="6"/>
  <c r="U840" i="6"/>
  <c r="V840" i="6"/>
  <c r="W840" i="6"/>
  <c r="X840" i="6"/>
  <c r="Y840" i="6"/>
  <c r="Z840" i="6"/>
  <c r="AA840" i="6"/>
  <c r="J841" i="6"/>
  <c r="K841" i="6"/>
  <c r="L841" i="6"/>
  <c r="M841" i="6"/>
  <c r="N841" i="6"/>
  <c r="O841" i="6"/>
  <c r="P841" i="6"/>
  <c r="Q841" i="6"/>
  <c r="R841" i="6"/>
  <c r="S841" i="6"/>
  <c r="T841" i="6"/>
  <c r="U841" i="6"/>
  <c r="V841" i="6"/>
  <c r="W841" i="6"/>
  <c r="X841" i="6"/>
  <c r="Y841" i="6"/>
  <c r="Z841" i="6"/>
  <c r="AA841" i="6"/>
  <c r="J842" i="6"/>
  <c r="K842" i="6"/>
  <c r="L842" i="6"/>
  <c r="M842" i="6"/>
  <c r="N842" i="6"/>
  <c r="O842" i="6"/>
  <c r="P842" i="6"/>
  <c r="Q842" i="6"/>
  <c r="R842" i="6"/>
  <c r="S842" i="6"/>
  <c r="T842" i="6"/>
  <c r="U842" i="6"/>
  <c r="V842" i="6"/>
  <c r="W842" i="6"/>
  <c r="X842" i="6"/>
  <c r="Y842" i="6"/>
  <c r="Z842" i="6"/>
  <c r="AA842" i="6"/>
  <c r="J843" i="6"/>
  <c r="K843" i="6"/>
  <c r="L843" i="6"/>
  <c r="M843" i="6"/>
  <c r="N843" i="6"/>
  <c r="O843" i="6"/>
  <c r="P843" i="6"/>
  <c r="Q843" i="6"/>
  <c r="R843" i="6"/>
  <c r="S843" i="6"/>
  <c r="T843" i="6"/>
  <c r="U843" i="6"/>
  <c r="V843" i="6"/>
  <c r="W843" i="6"/>
  <c r="X843" i="6"/>
  <c r="Y843" i="6"/>
  <c r="Z843" i="6"/>
  <c r="AA843" i="6"/>
  <c r="J844" i="6"/>
  <c r="K844" i="6"/>
  <c r="L844" i="6"/>
  <c r="M844" i="6"/>
  <c r="N844" i="6"/>
  <c r="O844" i="6"/>
  <c r="P844" i="6"/>
  <c r="Q844" i="6"/>
  <c r="R844" i="6"/>
  <c r="S844" i="6"/>
  <c r="T844" i="6"/>
  <c r="U844" i="6"/>
  <c r="V844" i="6"/>
  <c r="W844" i="6"/>
  <c r="X844" i="6"/>
  <c r="Y844" i="6"/>
  <c r="Z844" i="6"/>
  <c r="AA844" i="6"/>
  <c r="J845" i="6"/>
  <c r="K845" i="6"/>
  <c r="L845" i="6"/>
  <c r="M845" i="6"/>
  <c r="N845" i="6"/>
  <c r="O845" i="6"/>
  <c r="P845" i="6"/>
  <c r="Q845" i="6"/>
  <c r="R845" i="6"/>
  <c r="S845" i="6"/>
  <c r="T845" i="6"/>
  <c r="U845" i="6"/>
  <c r="V845" i="6"/>
  <c r="W845" i="6"/>
  <c r="X845" i="6"/>
  <c r="Y845" i="6"/>
  <c r="Z845" i="6"/>
  <c r="AA845" i="6"/>
  <c r="J846" i="6"/>
  <c r="K846" i="6"/>
  <c r="L846" i="6"/>
  <c r="M846" i="6"/>
  <c r="N846" i="6"/>
  <c r="O846" i="6"/>
  <c r="P846" i="6"/>
  <c r="Q846" i="6"/>
  <c r="R846" i="6"/>
  <c r="S846" i="6"/>
  <c r="T846" i="6"/>
  <c r="U846" i="6"/>
  <c r="V846" i="6"/>
  <c r="W846" i="6"/>
  <c r="X846" i="6"/>
  <c r="Y846" i="6"/>
  <c r="Z846" i="6"/>
  <c r="AA846" i="6"/>
  <c r="J847" i="6"/>
  <c r="K847" i="6"/>
  <c r="L847" i="6"/>
  <c r="M847" i="6"/>
  <c r="N847" i="6"/>
  <c r="O847" i="6"/>
  <c r="P847" i="6"/>
  <c r="Q847" i="6"/>
  <c r="R847" i="6"/>
  <c r="S847" i="6"/>
  <c r="T847" i="6"/>
  <c r="U847" i="6"/>
  <c r="V847" i="6"/>
  <c r="W847" i="6"/>
  <c r="X847" i="6"/>
  <c r="Y847" i="6"/>
  <c r="Z847" i="6"/>
  <c r="AA847" i="6"/>
  <c r="J848" i="6"/>
  <c r="K848" i="6"/>
  <c r="L848" i="6"/>
  <c r="M848" i="6"/>
  <c r="N848" i="6"/>
  <c r="O848" i="6"/>
  <c r="P848" i="6"/>
  <c r="Q848" i="6"/>
  <c r="R848" i="6"/>
  <c r="S848" i="6"/>
  <c r="T848" i="6"/>
  <c r="U848" i="6"/>
  <c r="V848" i="6"/>
  <c r="W848" i="6"/>
  <c r="X848" i="6"/>
  <c r="Y848" i="6"/>
  <c r="Z848" i="6"/>
  <c r="AA848" i="6"/>
  <c r="J849" i="6"/>
  <c r="K849" i="6"/>
  <c r="L849" i="6"/>
  <c r="M849" i="6"/>
  <c r="N849" i="6"/>
  <c r="O849" i="6"/>
  <c r="P849" i="6"/>
  <c r="Q849" i="6"/>
  <c r="R849" i="6"/>
  <c r="S849" i="6"/>
  <c r="T849" i="6"/>
  <c r="U849" i="6"/>
  <c r="V849" i="6"/>
  <c r="W849" i="6"/>
  <c r="X849" i="6"/>
  <c r="Y849" i="6"/>
  <c r="Z849" i="6"/>
  <c r="AA849" i="6"/>
  <c r="J850" i="6"/>
  <c r="K850" i="6"/>
  <c r="L850" i="6"/>
  <c r="M850" i="6"/>
  <c r="N850" i="6"/>
  <c r="O850" i="6"/>
  <c r="P850" i="6"/>
  <c r="Q850" i="6"/>
  <c r="R850" i="6"/>
  <c r="S850" i="6"/>
  <c r="T850" i="6"/>
  <c r="U850" i="6"/>
  <c r="V850" i="6"/>
  <c r="W850" i="6"/>
  <c r="X850" i="6"/>
  <c r="Y850" i="6"/>
  <c r="Z850" i="6"/>
  <c r="AA850" i="6"/>
  <c r="J851" i="6"/>
  <c r="K851" i="6"/>
  <c r="L851" i="6"/>
  <c r="M851" i="6"/>
  <c r="N851" i="6"/>
  <c r="O851" i="6"/>
  <c r="P851" i="6"/>
  <c r="Q851" i="6"/>
  <c r="R851" i="6"/>
  <c r="S851" i="6"/>
  <c r="T851" i="6"/>
  <c r="U851" i="6"/>
  <c r="V851" i="6"/>
  <c r="W851" i="6"/>
  <c r="X851" i="6"/>
  <c r="Y851" i="6"/>
  <c r="Z851" i="6"/>
  <c r="AA851" i="6"/>
  <c r="J852" i="6"/>
  <c r="K852" i="6"/>
  <c r="L852" i="6"/>
  <c r="M852" i="6"/>
  <c r="N852" i="6"/>
  <c r="O852" i="6"/>
  <c r="P852" i="6"/>
  <c r="Q852" i="6"/>
  <c r="R852" i="6"/>
  <c r="S852" i="6"/>
  <c r="T852" i="6"/>
  <c r="U852" i="6"/>
  <c r="V852" i="6"/>
  <c r="W852" i="6"/>
  <c r="X852" i="6"/>
  <c r="Y852" i="6"/>
  <c r="Z852" i="6"/>
  <c r="AA852" i="6"/>
  <c r="J853" i="6"/>
  <c r="K853" i="6"/>
  <c r="L853" i="6"/>
  <c r="M853" i="6"/>
  <c r="N853" i="6"/>
  <c r="O853" i="6"/>
  <c r="P853" i="6"/>
  <c r="Q853" i="6"/>
  <c r="R853" i="6"/>
  <c r="S853" i="6"/>
  <c r="T853" i="6"/>
  <c r="U853" i="6"/>
  <c r="V853" i="6"/>
  <c r="W853" i="6"/>
  <c r="X853" i="6"/>
  <c r="Y853" i="6"/>
  <c r="Z853" i="6"/>
  <c r="AA853" i="6"/>
  <c r="J854" i="6"/>
  <c r="K854" i="6"/>
  <c r="L854" i="6"/>
  <c r="M854" i="6"/>
  <c r="N854" i="6"/>
  <c r="O854" i="6"/>
  <c r="P854" i="6"/>
  <c r="Q854" i="6"/>
  <c r="R854" i="6"/>
  <c r="S854" i="6"/>
  <c r="T854" i="6"/>
  <c r="U854" i="6"/>
  <c r="V854" i="6"/>
  <c r="W854" i="6"/>
  <c r="X854" i="6"/>
  <c r="Y854" i="6"/>
  <c r="Z854" i="6"/>
  <c r="AA854" i="6"/>
  <c r="J855" i="6"/>
  <c r="K855" i="6"/>
  <c r="L855" i="6"/>
  <c r="M855" i="6"/>
  <c r="N855" i="6"/>
  <c r="O855" i="6"/>
  <c r="P855" i="6"/>
  <c r="Q855" i="6"/>
  <c r="R855" i="6"/>
  <c r="S855" i="6"/>
  <c r="T855" i="6"/>
  <c r="U855" i="6"/>
  <c r="V855" i="6"/>
  <c r="W855" i="6"/>
  <c r="X855" i="6"/>
  <c r="Y855" i="6"/>
  <c r="Z855" i="6"/>
  <c r="AA855" i="6"/>
  <c r="J856" i="6"/>
  <c r="K856" i="6"/>
  <c r="L856" i="6"/>
  <c r="M856" i="6"/>
  <c r="N856" i="6"/>
  <c r="O856" i="6"/>
  <c r="P856" i="6"/>
  <c r="Q856" i="6"/>
  <c r="R856" i="6"/>
  <c r="S856" i="6"/>
  <c r="T856" i="6"/>
  <c r="U856" i="6"/>
  <c r="V856" i="6"/>
  <c r="W856" i="6"/>
  <c r="X856" i="6"/>
  <c r="Y856" i="6"/>
  <c r="Z856" i="6"/>
  <c r="AA856" i="6"/>
  <c r="J857" i="6"/>
  <c r="K857" i="6"/>
  <c r="L857" i="6"/>
  <c r="M857" i="6"/>
  <c r="N857" i="6"/>
  <c r="O857" i="6"/>
  <c r="P857" i="6"/>
  <c r="Q857" i="6"/>
  <c r="R857" i="6"/>
  <c r="S857" i="6"/>
  <c r="T857" i="6"/>
  <c r="U857" i="6"/>
  <c r="V857" i="6"/>
  <c r="W857" i="6"/>
  <c r="X857" i="6"/>
  <c r="Y857" i="6"/>
  <c r="Z857" i="6"/>
  <c r="AA857" i="6"/>
  <c r="J858" i="6"/>
  <c r="K858" i="6"/>
  <c r="L858" i="6"/>
  <c r="M858" i="6"/>
  <c r="N858" i="6"/>
  <c r="O858" i="6"/>
  <c r="P858" i="6"/>
  <c r="Q858" i="6"/>
  <c r="R858" i="6"/>
  <c r="S858" i="6"/>
  <c r="T858" i="6"/>
  <c r="U858" i="6"/>
  <c r="V858" i="6"/>
  <c r="W858" i="6"/>
  <c r="X858" i="6"/>
  <c r="Y858" i="6"/>
  <c r="Z858" i="6"/>
  <c r="AA858" i="6"/>
  <c r="J859" i="6"/>
  <c r="K859" i="6"/>
  <c r="L859" i="6"/>
  <c r="M859" i="6"/>
  <c r="N859" i="6"/>
  <c r="O859" i="6"/>
  <c r="P859" i="6"/>
  <c r="Q859" i="6"/>
  <c r="R859" i="6"/>
  <c r="S859" i="6"/>
  <c r="T859" i="6"/>
  <c r="U859" i="6"/>
  <c r="V859" i="6"/>
  <c r="W859" i="6"/>
  <c r="X859" i="6"/>
  <c r="Y859" i="6"/>
  <c r="Z859" i="6"/>
  <c r="AA859" i="6"/>
  <c r="J860" i="6"/>
  <c r="K860" i="6"/>
  <c r="L860" i="6"/>
  <c r="M860" i="6"/>
  <c r="N860" i="6"/>
  <c r="O860" i="6"/>
  <c r="P860" i="6"/>
  <c r="Q860" i="6"/>
  <c r="R860" i="6"/>
  <c r="S860" i="6"/>
  <c r="T860" i="6"/>
  <c r="U860" i="6"/>
  <c r="V860" i="6"/>
  <c r="W860" i="6"/>
  <c r="X860" i="6"/>
  <c r="Y860" i="6"/>
  <c r="Z860" i="6"/>
  <c r="AA860" i="6"/>
  <c r="J861" i="6"/>
  <c r="K861" i="6"/>
  <c r="L861" i="6"/>
  <c r="M861" i="6"/>
  <c r="N861" i="6"/>
  <c r="O861" i="6"/>
  <c r="P861" i="6"/>
  <c r="Q861" i="6"/>
  <c r="R861" i="6"/>
  <c r="S861" i="6"/>
  <c r="T861" i="6"/>
  <c r="U861" i="6"/>
  <c r="V861" i="6"/>
  <c r="W861" i="6"/>
  <c r="X861" i="6"/>
  <c r="Y861" i="6"/>
  <c r="Z861" i="6"/>
  <c r="AA861" i="6"/>
  <c r="J862" i="6"/>
  <c r="K862" i="6"/>
  <c r="L862" i="6"/>
  <c r="M862" i="6"/>
  <c r="N862" i="6"/>
  <c r="O862" i="6"/>
  <c r="P862" i="6"/>
  <c r="Q862" i="6"/>
  <c r="R862" i="6"/>
  <c r="S862" i="6"/>
  <c r="T862" i="6"/>
  <c r="U862" i="6"/>
  <c r="V862" i="6"/>
  <c r="W862" i="6"/>
  <c r="X862" i="6"/>
  <c r="Y862" i="6"/>
  <c r="Z862" i="6"/>
  <c r="AA862" i="6"/>
  <c r="J863" i="6"/>
  <c r="K863" i="6"/>
  <c r="L863" i="6"/>
  <c r="M863" i="6"/>
  <c r="N863" i="6"/>
  <c r="O863" i="6"/>
  <c r="P863" i="6"/>
  <c r="Q863" i="6"/>
  <c r="R863" i="6"/>
  <c r="S863" i="6"/>
  <c r="T863" i="6"/>
  <c r="U863" i="6"/>
  <c r="V863" i="6"/>
  <c r="W863" i="6"/>
  <c r="X863" i="6"/>
  <c r="Y863" i="6"/>
  <c r="Z863" i="6"/>
  <c r="AA863" i="6"/>
  <c r="J864" i="6"/>
  <c r="K864" i="6"/>
  <c r="L864" i="6"/>
  <c r="M864" i="6"/>
  <c r="N864" i="6"/>
  <c r="O864" i="6"/>
  <c r="P864" i="6"/>
  <c r="Q864" i="6"/>
  <c r="R864" i="6"/>
  <c r="S864" i="6"/>
  <c r="T864" i="6"/>
  <c r="U864" i="6"/>
  <c r="V864" i="6"/>
  <c r="W864" i="6"/>
  <c r="X864" i="6"/>
  <c r="Y864" i="6"/>
  <c r="Z864" i="6"/>
  <c r="AA864" i="6"/>
  <c r="J865" i="6"/>
  <c r="K865" i="6"/>
  <c r="L865" i="6"/>
  <c r="M865" i="6"/>
  <c r="N865" i="6"/>
  <c r="O865" i="6"/>
  <c r="P865" i="6"/>
  <c r="Q865" i="6"/>
  <c r="R865" i="6"/>
  <c r="S865" i="6"/>
  <c r="T865" i="6"/>
  <c r="U865" i="6"/>
  <c r="V865" i="6"/>
  <c r="W865" i="6"/>
  <c r="X865" i="6"/>
  <c r="Y865" i="6"/>
  <c r="Z865" i="6"/>
  <c r="AA865" i="6"/>
  <c r="J866" i="6"/>
  <c r="K866" i="6"/>
  <c r="L866" i="6"/>
  <c r="M866" i="6"/>
  <c r="N866" i="6"/>
  <c r="O866" i="6"/>
  <c r="P866" i="6"/>
  <c r="Q866" i="6"/>
  <c r="R866" i="6"/>
  <c r="S866" i="6"/>
  <c r="T866" i="6"/>
  <c r="U866" i="6"/>
  <c r="V866" i="6"/>
  <c r="W866" i="6"/>
  <c r="X866" i="6"/>
  <c r="Y866" i="6"/>
  <c r="Z866" i="6"/>
  <c r="AA866" i="6"/>
  <c r="J867" i="6"/>
  <c r="K867" i="6"/>
  <c r="L867" i="6"/>
  <c r="M867" i="6"/>
  <c r="N867" i="6"/>
  <c r="O867" i="6"/>
  <c r="P867" i="6"/>
  <c r="Q867" i="6"/>
  <c r="R867" i="6"/>
  <c r="S867" i="6"/>
  <c r="T867" i="6"/>
  <c r="U867" i="6"/>
  <c r="V867" i="6"/>
  <c r="W867" i="6"/>
  <c r="X867" i="6"/>
  <c r="Y867" i="6"/>
  <c r="Z867" i="6"/>
  <c r="AA867" i="6"/>
  <c r="J868" i="6"/>
  <c r="K868" i="6"/>
  <c r="L868" i="6"/>
  <c r="M868" i="6"/>
  <c r="N868" i="6"/>
  <c r="O868" i="6"/>
  <c r="P868" i="6"/>
  <c r="Q868" i="6"/>
  <c r="R868" i="6"/>
  <c r="S868" i="6"/>
  <c r="T868" i="6"/>
  <c r="U868" i="6"/>
  <c r="V868" i="6"/>
  <c r="W868" i="6"/>
  <c r="X868" i="6"/>
  <c r="Y868" i="6"/>
  <c r="Z868" i="6"/>
  <c r="AA868" i="6"/>
  <c r="J869" i="6"/>
  <c r="K869" i="6"/>
  <c r="L869" i="6"/>
  <c r="M869" i="6"/>
  <c r="N869" i="6"/>
  <c r="O869" i="6"/>
  <c r="P869" i="6"/>
  <c r="Q869" i="6"/>
  <c r="R869" i="6"/>
  <c r="S869" i="6"/>
  <c r="T869" i="6"/>
  <c r="U869" i="6"/>
  <c r="V869" i="6"/>
  <c r="W869" i="6"/>
  <c r="X869" i="6"/>
  <c r="Y869" i="6"/>
  <c r="Z869" i="6"/>
  <c r="AA869" i="6"/>
  <c r="J870" i="6"/>
  <c r="K870" i="6"/>
  <c r="L870" i="6"/>
  <c r="M870" i="6"/>
  <c r="N870" i="6"/>
  <c r="O870" i="6"/>
  <c r="P870" i="6"/>
  <c r="Q870" i="6"/>
  <c r="R870" i="6"/>
  <c r="S870" i="6"/>
  <c r="T870" i="6"/>
  <c r="U870" i="6"/>
  <c r="V870" i="6"/>
  <c r="W870" i="6"/>
  <c r="X870" i="6"/>
  <c r="Y870" i="6"/>
  <c r="Z870" i="6"/>
  <c r="AA870" i="6"/>
  <c r="J871" i="6"/>
  <c r="K871" i="6"/>
  <c r="L871" i="6"/>
  <c r="M871" i="6"/>
  <c r="N871" i="6"/>
  <c r="O871" i="6"/>
  <c r="P871" i="6"/>
  <c r="Q871" i="6"/>
  <c r="R871" i="6"/>
  <c r="S871" i="6"/>
  <c r="T871" i="6"/>
  <c r="U871" i="6"/>
  <c r="V871" i="6"/>
  <c r="W871" i="6"/>
  <c r="X871" i="6"/>
  <c r="Y871" i="6"/>
  <c r="Z871" i="6"/>
  <c r="AA871" i="6"/>
  <c r="J872" i="6"/>
  <c r="K872" i="6"/>
  <c r="L872" i="6"/>
  <c r="M872" i="6"/>
  <c r="N872" i="6"/>
  <c r="O872" i="6"/>
  <c r="P872" i="6"/>
  <c r="Q872" i="6"/>
  <c r="R872" i="6"/>
  <c r="S872" i="6"/>
  <c r="T872" i="6"/>
  <c r="U872" i="6"/>
  <c r="V872" i="6"/>
  <c r="W872" i="6"/>
  <c r="X872" i="6"/>
  <c r="Y872" i="6"/>
  <c r="Z872" i="6"/>
  <c r="AA872" i="6"/>
  <c r="J873" i="6"/>
  <c r="K873" i="6"/>
  <c r="L873" i="6"/>
  <c r="M873" i="6"/>
  <c r="N873" i="6"/>
  <c r="O873" i="6"/>
  <c r="P873" i="6"/>
  <c r="Q873" i="6"/>
  <c r="R873" i="6"/>
  <c r="S873" i="6"/>
  <c r="T873" i="6"/>
  <c r="U873" i="6"/>
  <c r="V873" i="6"/>
  <c r="W873" i="6"/>
  <c r="X873" i="6"/>
  <c r="Y873" i="6"/>
  <c r="Z873" i="6"/>
  <c r="AA873" i="6"/>
  <c r="J874" i="6"/>
  <c r="K874" i="6"/>
  <c r="L874" i="6"/>
  <c r="M874" i="6"/>
  <c r="N874" i="6"/>
  <c r="O874" i="6"/>
  <c r="P874" i="6"/>
  <c r="Q874" i="6"/>
  <c r="R874" i="6"/>
  <c r="S874" i="6"/>
  <c r="T874" i="6"/>
  <c r="U874" i="6"/>
  <c r="V874" i="6"/>
  <c r="W874" i="6"/>
  <c r="X874" i="6"/>
  <c r="Y874" i="6"/>
  <c r="Z874" i="6"/>
  <c r="AA874" i="6"/>
  <c r="J875" i="6"/>
  <c r="K875" i="6"/>
  <c r="L875" i="6"/>
  <c r="M875" i="6"/>
  <c r="N875" i="6"/>
  <c r="O875" i="6"/>
  <c r="P875" i="6"/>
  <c r="Q875" i="6"/>
  <c r="R875" i="6"/>
  <c r="S875" i="6"/>
  <c r="T875" i="6"/>
  <c r="U875" i="6"/>
  <c r="V875" i="6"/>
  <c r="W875" i="6"/>
  <c r="X875" i="6"/>
  <c r="Y875" i="6"/>
  <c r="Z875" i="6"/>
  <c r="AA875" i="6"/>
  <c r="J876" i="6"/>
  <c r="K876" i="6"/>
  <c r="L876" i="6"/>
  <c r="M876" i="6"/>
  <c r="N876" i="6"/>
  <c r="O876" i="6"/>
  <c r="P876" i="6"/>
  <c r="Q876" i="6"/>
  <c r="R876" i="6"/>
  <c r="S876" i="6"/>
  <c r="T876" i="6"/>
  <c r="U876" i="6"/>
  <c r="V876" i="6"/>
  <c r="W876" i="6"/>
  <c r="X876" i="6"/>
  <c r="Y876" i="6"/>
  <c r="Z876" i="6"/>
  <c r="AA876" i="6"/>
  <c r="J877" i="6"/>
  <c r="K877" i="6"/>
  <c r="L877" i="6"/>
  <c r="M877" i="6"/>
  <c r="N877" i="6"/>
  <c r="O877" i="6"/>
  <c r="P877" i="6"/>
  <c r="Q877" i="6"/>
  <c r="R877" i="6"/>
  <c r="S877" i="6"/>
  <c r="T877" i="6"/>
  <c r="U877" i="6"/>
  <c r="V877" i="6"/>
  <c r="W877" i="6"/>
  <c r="X877" i="6"/>
  <c r="Y877" i="6"/>
  <c r="Z877" i="6"/>
  <c r="AA877" i="6"/>
  <c r="J878" i="6"/>
  <c r="K878" i="6"/>
  <c r="L878" i="6"/>
  <c r="M878" i="6"/>
  <c r="N878" i="6"/>
  <c r="O878" i="6"/>
  <c r="P878" i="6"/>
  <c r="Q878" i="6"/>
  <c r="R878" i="6"/>
  <c r="S878" i="6"/>
  <c r="T878" i="6"/>
  <c r="U878" i="6"/>
  <c r="V878" i="6"/>
  <c r="W878" i="6"/>
  <c r="X878" i="6"/>
  <c r="Y878" i="6"/>
  <c r="Z878" i="6"/>
  <c r="AA878" i="6"/>
  <c r="J879" i="6"/>
  <c r="K879" i="6"/>
  <c r="L879" i="6"/>
  <c r="M879" i="6"/>
  <c r="N879" i="6"/>
  <c r="O879" i="6"/>
  <c r="P879" i="6"/>
  <c r="Q879" i="6"/>
  <c r="R879" i="6"/>
  <c r="S879" i="6"/>
  <c r="T879" i="6"/>
  <c r="U879" i="6"/>
  <c r="V879" i="6"/>
  <c r="W879" i="6"/>
  <c r="X879" i="6"/>
  <c r="Y879" i="6"/>
  <c r="Z879" i="6"/>
  <c r="AA879" i="6"/>
  <c r="J880" i="6"/>
  <c r="K880" i="6"/>
  <c r="L880" i="6"/>
  <c r="M880" i="6"/>
  <c r="N880" i="6"/>
  <c r="O880" i="6"/>
  <c r="P880" i="6"/>
  <c r="Q880" i="6"/>
  <c r="R880" i="6"/>
  <c r="S880" i="6"/>
  <c r="T880" i="6"/>
  <c r="U880" i="6"/>
  <c r="V880" i="6"/>
  <c r="W880" i="6"/>
  <c r="X880" i="6"/>
  <c r="Y880" i="6"/>
  <c r="Z880" i="6"/>
  <c r="AA880" i="6"/>
  <c r="J881" i="6"/>
  <c r="K881" i="6"/>
  <c r="L881" i="6"/>
  <c r="M881" i="6"/>
  <c r="N881" i="6"/>
  <c r="O881" i="6"/>
  <c r="P881" i="6"/>
  <c r="Q881" i="6"/>
  <c r="R881" i="6"/>
  <c r="S881" i="6"/>
  <c r="T881" i="6"/>
  <c r="U881" i="6"/>
  <c r="V881" i="6"/>
  <c r="W881" i="6"/>
  <c r="X881" i="6"/>
  <c r="Y881" i="6"/>
  <c r="Z881" i="6"/>
  <c r="AA881" i="6"/>
  <c r="J882" i="6"/>
  <c r="K882" i="6"/>
  <c r="L882" i="6"/>
  <c r="M882" i="6"/>
  <c r="N882" i="6"/>
  <c r="O882" i="6"/>
  <c r="P882" i="6"/>
  <c r="Q882" i="6"/>
  <c r="R882" i="6"/>
  <c r="S882" i="6"/>
  <c r="T882" i="6"/>
  <c r="U882" i="6"/>
  <c r="V882" i="6"/>
  <c r="W882" i="6"/>
  <c r="X882" i="6"/>
  <c r="Y882" i="6"/>
  <c r="Z882" i="6"/>
  <c r="AA882" i="6"/>
  <c r="J883" i="6"/>
  <c r="K883" i="6"/>
  <c r="L883" i="6"/>
  <c r="M883" i="6"/>
  <c r="N883" i="6"/>
  <c r="O883" i="6"/>
  <c r="P883" i="6"/>
  <c r="Q883" i="6"/>
  <c r="R883" i="6"/>
  <c r="S883" i="6"/>
  <c r="T883" i="6"/>
  <c r="U883" i="6"/>
  <c r="V883" i="6"/>
  <c r="W883" i="6"/>
  <c r="X883" i="6"/>
  <c r="Y883" i="6"/>
  <c r="Z883" i="6"/>
  <c r="AA883" i="6"/>
  <c r="J884" i="6"/>
  <c r="K884" i="6"/>
  <c r="L884" i="6"/>
  <c r="M884" i="6"/>
  <c r="N884" i="6"/>
  <c r="O884" i="6"/>
  <c r="P884" i="6"/>
  <c r="Q884" i="6"/>
  <c r="R884" i="6"/>
  <c r="S884" i="6"/>
  <c r="T884" i="6"/>
  <c r="U884" i="6"/>
  <c r="V884" i="6"/>
  <c r="W884" i="6"/>
  <c r="X884" i="6"/>
  <c r="Y884" i="6"/>
  <c r="Z884" i="6"/>
  <c r="AA884" i="6"/>
  <c r="J885" i="6"/>
  <c r="K885" i="6"/>
  <c r="L885" i="6"/>
  <c r="M885" i="6"/>
  <c r="N885" i="6"/>
  <c r="O885" i="6"/>
  <c r="P885" i="6"/>
  <c r="Q885" i="6"/>
  <c r="R885" i="6"/>
  <c r="S885" i="6"/>
  <c r="T885" i="6"/>
  <c r="U885" i="6"/>
  <c r="V885" i="6"/>
  <c r="W885" i="6"/>
  <c r="X885" i="6"/>
  <c r="Y885" i="6"/>
  <c r="Z885" i="6"/>
  <c r="AA885" i="6"/>
  <c r="J886" i="6"/>
  <c r="K886" i="6"/>
  <c r="L886" i="6"/>
  <c r="M886" i="6"/>
  <c r="N886" i="6"/>
  <c r="O886" i="6"/>
  <c r="P886" i="6"/>
  <c r="Q886" i="6"/>
  <c r="R886" i="6"/>
  <c r="S886" i="6"/>
  <c r="T886" i="6"/>
  <c r="U886" i="6"/>
  <c r="V886" i="6"/>
  <c r="W886" i="6"/>
  <c r="X886" i="6"/>
  <c r="Y886" i="6"/>
  <c r="Z886" i="6"/>
  <c r="AA886" i="6"/>
  <c r="J887" i="6"/>
  <c r="K887" i="6"/>
  <c r="L887" i="6"/>
  <c r="M887" i="6"/>
  <c r="N887" i="6"/>
  <c r="O887" i="6"/>
  <c r="P887" i="6"/>
  <c r="Q887" i="6"/>
  <c r="R887" i="6"/>
  <c r="S887" i="6"/>
  <c r="T887" i="6"/>
  <c r="U887" i="6"/>
  <c r="V887" i="6"/>
  <c r="W887" i="6"/>
  <c r="X887" i="6"/>
  <c r="Y887" i="6"/>
  <c r="Z887" i="6"/>
  <c r="AA887" i="6"/>
  <c r="J888" i="6"/>
  <c r="K888" i="6"/>
  <c r="L888" i="6"/>
  <c r="M888" i="6"/>
  <c r="N888" i="6"/>
  <c r="O888" i="6"/>
  <c r="P888" i="6"/>
  <c r="Q888" i="6"/>
  <c r="R888" i="6"/>
  <c r="S888" i="6"/>
  <c r="T888" i="6"/>
  <c r="U888" i="6"/>
  <c r="V888" i="6"/>
  <c r="W888" i="6"/>
  <c r="X888" i="6"/>
  <c r="Y888" i="6"/>
  <c r="Z888" i="6"/>
  <c r="AA888" i="6"/>
  <c r="J889" i="6"/>
  <c r="K889" i="6"/>
  <c r="L889" i="6"/>
  <c r="M889" i="6"/>
  <c r="N889" i="6"/>
  <c r="O889" i="6"/>
  <c r="P889" i="6"/>
  <c r="Q889" i="6"/>
  <c r="R889" i="6"/>
  <c r="S889" i="6"/>
  <c r="T889" i="6"/>
  <c r="U889" i="6"/>
  <c r="V889" i="6"/>
  <c r="W889" i="6"/>
  <c r="X889" i="6"/>
  <c r="Y889" i="6"/>
  <c r="Z889" i="6"/>
  <c r="AA889" i="6"/>
  <c r="J890" i="6"/>
  <c r="K890" i="6"/>
  <c r="L890" i="6"/>
  <c r="M890" i="6"/>
  <c r="N890" i="6"/>
  <c r="O890" i="6"/>
  <c r="P890" i="6"/>
  <c r="Q890" i="6"/>
  <c r="R890" i="6"/>
  <c r="S890" i="6"/>
  <c r="T890" i="6"/>
  <c r="U890" i="6"/>
  <c r="V890" i="6"/>
  <c r="W890" i="6"/>
  <c r="X890" i="6"/>
  <c r="Y890" i="6"/>
  <c r="Z890" i="6"/>
  <c r="AA890" i="6"/>
  <c r="J891" i="6"/>
  <c r="K891" i="6"/>
  <c r="L891" i="6"/>
  <c r="M891" i="6"/>
  <c r="N891" i="6"/>
  <c r="O891" i="6"/>
  <c r="P891" i="6"/>
  <c r="Q891" i="6"/>
  <c r="R891" i="6"/>
  <c r="S891" i="6"/>
  <c r="T891" i="6"/>
  <c r="U891" i="6"/>
  <c r="V891" i="6"/>
  <c r="W891" i="6"/>
  <c r="X891" i="6"/>
  <c r="Y891" i="6"/>
  <c r="Z891" i="6"/>
  <c r="AA891" i="6"/>
  <c r="J892" i="6"/>
  <c r="K892" i="6"/>
  <c r="L892" i="6"/>
  <c r="M892" i="6"/>
  <c r="N892" i="6"/>
  <c r="O892" i="6"/>
  <c r="P892" i="6"/>
  <c r="Q892" i="6"/>
  <c r="R892" i="6"/>
  <c r="S892" i="6"/>
  <c r="T892" i="6"/>
  <c r="U892" i="6"/>
  <c r="V892" i="6"/>
  <c r="W892" i="6"/>
  <c r="X892" i="6"/>
  <c r="Y892" i="6"/>
  <c r="Z892" i="6"/>
  <c r="AA892" i="6"/>
  <c r="J893" i="6"/>
  <c r="K893" i="6"/>
  <c r="L893" i="6"/>
  <c r="M893" i="6"/>
  <c r="N893" i="6"/>
  <c r="O893" i="6"/>
  <c r="P893" i="6"/>
  <c r="Q893" i="6"/>
  <c r="R893" i="6"/>
  <c r="S893" i="6"/>
  <c r="T893" i="6"/>
  <c r="U893" i="6"/>
  <c r="V893" i="6"/>
  <c r="W893" i="6"/>
  <c r="X893" i="6"/>
  <c r="Y893" i="6"/>
  <c r="Z893" i="6"/>
  <c r="AA893" i="6"/>
  <c r="J894" i="6"/>
  <c r="K894" i="6"/>
  <c r="L894" i="6"/>
  <c r="M894" i="6"/>
  <c r="N894" i="6"/>
  <c r="O894" i="6"/>
  <c r="P894" i="6"/>
  <c r="Q894" i="6"/>
  <c r="R894" i="6"/>
  <c r="S894" i="6"/>
  <c r="T894" i="6"/>
  <c r="U894" i="6"/>
  <c r="V894" i="6"/>
  <c r="W894" i="6"/>
  <c r="X894" i="6"/>
  <c r="Y894" i="6"/>
  <c r="Z894" i="6"/>
  <c r="AA894" i="6"/>
  <c r="J895" i="6"/>
  <c r="K895" i="6"/>
  <c r="L895" i="6"/>
  <c r="M895" i="6"/>
  <c r="N895" i="6"/>
  <c r="O895" i="6"/>
  <c r="P895" i="6"/>
  <c r="Q895" i="6"/>
  <c r="R895" i="6"/>
  <c r="S895" i="6"/>
  <c r="T895" i="6"/>
  <c r="U895" i="6"/>
  <c r="V895" i="6"/>
  <c r="W895" i="6"/>
  <c r="X895" i="6"/>
  <c r="Y895" i="6"/>
  <c r="Z895" i="6"/>
  <c r="AA895" i="6"/>
  <c r="J896" i="6"/>
  <c r="K896" i="6"/>
  <c r="L896" i="6"/>
  <c r="M896" i="6"/>
  <c r="N896" i="6"/>
  <c r="O896" i="6"/>
  <c r="P896" i="6"/>
  <c r="Q896" i="6"/>
  <c r="R896" i="6"/>
  <c r="S896" i="6"/>
  <c r="T896" i="6"/>
  <c r="U896" i="6"/>
  <c r="V896" i="6"/>
  <c r="W896" i="6"/>
  <c r="X896" i="6"/>
  <c r="Y896" i="6"/>
  <c r="Z896" i="6"/>
  <c r="AA896" i="6"/>
  <c r="J897" i="6"/>
  <c r="K897" i="6"/>
  <c r="L897" i="6"/>
  <c r="M897" i="6"/>
  <c r="N897" i="6"/>
  <c r="O897" i="6"/>
  <c r="P897" i="6"/>
  <c r="Q897" i="6"/>
  <c r="R897" i="6"/>
  <c r="S897" i="6"/>
  <c r="T897" i="6"/>
  <c r="U897" i="6"/>
  <c r="V897" i="6"/>
  <c r="W897" i="6"/>
  <c r="X897" i="6"/>
  <c r="Y897" i="6"/>
  <c r="Z897" i="6"/>
  <c r="AA897" i="6"/>
  <c r="J898" i="6"/>
  <c r="K898" i="6"/>
  <c r="L898" i="6"/>
  <c r="M898" i="6"/>
  <c r="N898" i="6"/>
  <c r="O898" i="6"/>
  <c r="P898" i="6"/>
  <c r="Q898" i="6"/>
  <c r="R898" i="6"/>
  <c r="S898" i="6"/>
  <c r="T898" i="6"/>
  <c r="U898" i="6"/>
  <c r="V898" i="6"/>
  <c r="W898" i="6"/>
  <c r="X898" i="6"/>
  <c r="Y898" i="6"/>
  <c r="Z898" i="6"/>
  <c r="AA898" i="6"/>
  <c r="J899" i="6"/>
  <c r="K899" i="6"/>
  <c r="L899" i="6"/>
  <c r="M899" i="6"/>
  <c r="N899" i="6"/>
  <c r="O899" i="6"/>
  <c r="P899" i="6"/>
  <c r="Q899" i="6"/>
  <c r="R899" i="6"/>
  <c r="S899" i="6"/>
  <c r="T899" i="6"/>
  <c r="U899" i="6"/>
  <c r="V899" i="6"/>
  <c r="W899" i="6"/>
  <c r="X899" i="6"/>
  <c r="Y899" i="6"/>
  <c r="Z899" i="6"/>
  <c r="AA899" i="6"/>
  <c r="J900" i="6"/>
  <c r="K900" i="6"/>
  <c r="L900" i="6"/>
  <c r="M900" i="6"/>
  <c r="N900" i="6"/>
  <c r="O900" i="6"/>
  <c r="P900" i="6"/>
  <c r="Q900" i="6"/>
  <c r="R900" i="6"/>
  <c r="S900" i="6"/>
  <c r="T900" i="6"/>
  <c r="U900" i="6"/>
  <c r="V900" i="6"/>
  <c r="W900" i="6"/>
  <c r="X900" i="6"/>
  <c r="Y900" i="6"/>
  <c r="Z900" i="6"/>
  <c r="AA900" i="6"/>
  <c r="J901" i="6"/>
  <c r="K901" i="6"/>
  <c r="L901" i="6"/>
  <c r="M901" i="6"/>
  <c r="N901" i="6"/>
  <c r="O901" i="6"/>
  <c r="P901" i="6"/>
  <c r="Q901" i="6"/>
  <c r="R901" i="6"/>
  <c r="S901" i="6"/>
  <c r="T901" i="6"/>
  <c r="U901" i="6"/>
  <c r="V901" i="6"/>
  <c r="W901" i="6"/>
  <c r="X901" i="6"/>
  <c r="Y901" i="6"/>
  <c r="Z901" i="6"/>
  <c r="AA901" i="6"/>
  <c r="J902" i="6"/>
  <c r="K902" i="6"/>
  <c r="L902" i="6"/>
  <c r="M902" i="6"/>
  <c r="N902" i="6"/>
  <c r="O902" i="6"/>
  <c r="P902" i="6"/>
  <c r="Q902" i="6"/>
  <c r="R902" i="6"/>
  <c r="S902" i="6"/>
  <c r="T902" i="6"/>
  <c r="U902" i="6"/>
  <c r="V902" i="6"/>
  <c r="W902" i="6"/>
  <c r="X902" i="6"/>
  <c r="Y902" i="6"/>
  <c r="Z902" i="6"/>
  <c r="AA902" i="6"/>
  <c r="J903" i="6"/>
  <c r="K903" i="6"/>
  <c r="L903" i="6"/>
  <c r="M903" i="6"/>
  <c r="N903" i="6"/>
  <c r="O903" i="6"/>
  <c r="P903" i="6"/>
  <c r="Q903" i="6"/>
  <c r="R903" i="6"/>
  <c r="S903" i="6"/>
  <c r="T903" i="6"/>
  <c r="U903" i="6"/>
  <c r="V903" i="6"/>
  <c r="W903" i="6"/>
  <c r="X903" i="6"/>
  <c r="Y903" i="6"/>
  <c r="Z903" i="6"/>
  <c r="AA903" i="6"/>
  <c r="J904" i="6"/>
  <c r="K904" i="6"/>
  <c r="L904" i="6"/>
  <c r="M904" i="6"/>
  <c r="N904" i="6"/>
  <c r="O904" i="6"/>
  <c r="P904" i="6"/>
  <c r="Q904" i="6"/>
  <c r="R904" i="6"/>
  <c r="S904" i="6"/>
  <c r="T904" i="6"/>
  <c r="U904" i="6"/>
  <c r="V904" i="6"/>
  <c r="W904" i="6"/>
  <c r="X904" i="6"/>
  <c r="Y904" i="6"/>
  <c r="Z904" i="6"/>
  <c r="AA904" i="6"/>
  <c r="J905" i="6"/>
  <c r="K905" i="6"/>
  <c r="L905" i="6"/>
  <c r="M905" i="6"/>
  <c r="N905" i="6"/>
  <c r="O905" i="6"/>
  <c r="P905" i="6"/>
  <c r="Q905" i="6"/>
  <c r="R905" i="6"/>
  <c r="S905" i="6"/>
  <c r="T905" i="6"/>
  <c r="U905" i="6"/>
  <c r="V905" i="6"/>
  <c r="W905" i="6"/>
  <c r="X905" i="6"/>
  <c r="Y905" i="6"/>
  <c r="Z905" i="6"/>
  <c r="AA905" i="6"/>
  <c r="J906" i="6"/>
  <c r="K906" i="6"/>
  <c r="L906" i="6"/>
  <c r="M906" i="6"/>
  <c r="N906" i="6"/>
  <c r="O906" i="6"/>
  <c r="P906" i="6"/>
  <c r="Q906" i="6"/>
  <c r="R906" i="6"/>
  <c r="S906" i="6"/>
  <c r="T906" i="6"/>
  <c r="U906" i="6"/>
  <c r="V906" i="6"/>
  <c r="W906" i="6"/>
  <c r="X906" i="6"/>
  <c r="Y906" i="6"/>
  <c r="Z906" i="6"/>
  <c r="AA906" i="6"/>
  <c r="J907" i="6"/>
  <c r="K907" i="6"/>
  <c r="L907" i="6"/>
  <c r="M907" i="6"/>
  <c r="N907" i="6"/>
  <c r="O907" i="6"/>
  <c r="P907" i="6"/>
  <c r="Q907" i="6"/>
  <c r="R907" i="6"/>
  <c r="S907" i="6"/>
  <c r="T907" i="6"/>
  <c r="U907" i="6"/>
  <c r="V907" i="6"/>
  <c r="W907" i="6"/>
  <c r="X907" i="6"/>
  <c r="Y907" i="6"/>
  <c r="Z907" i="6"/>
  <c r="AA907" i="6"/>
  <c r="J908" i="6"/>
  <c r="K908" i="6"/>
  <c r="L908" i="6"/>
  <c r="M908" i="6"/>
  <c r="N908" i="6"/>
  <c r="O908" i="6"/>
  <c r="P908" i="6"/>
  <c r="Q908" i="6"/>
  <c r="R908" i="6"/>
  <c r="S908" i="6"/>
  <c r="T908" i="6"/>
  <c r="U908" i="6"/>
  <c r="V908" i="6"/>
  <c r="W908" i="6"/>
  <c r="X908" i="6"/>
  <c r="Y908" i="6"/>
  <c r="Z908" i="6"/>
  <c r="AA908" i="6"/>
  <c r="J909" i="6"/>
  <c r="K909" i="6"/>
  <c r="L909" i="6"/>
  <c r="M909" i="6"/>
  <c r="N909" i="6"/>
  <c r="O909" i="6"/>
  <c r="P909" i="6"/>
  <c r="Q909" i="6"/>
  <c r="R909" i="6"/>
  <c r="S909" i="6"/>
  <c r="T909" i="6"/>
  <c r="U909" i="6"/>
  <c r="V909" i="6"/>
  <c r="W909" i="6"/>
  <c r="X909" i="6"/>
  <c r="Y909" i="6"/>
  <c r="Z909" i="6"/>
  <c r="AA909" i="6"/>
  <c r="J910" i="6"/>
  <c r="K910" i="6"/>
  <c r="L910" i="6"/>
  <c r="M910" i="6"/>
  <c r="N910" i="6"/>
  <c r="O910" i="6"/>
  <c r="P910" i="6"/>
  <c r="Q910" i="6"/>
  <c r="R910" i="6"/>
  <c r="S910" i="6"/>
  <c r="T910" i="6"/>
  <c r="U910" i="6"/>
  <c r="V910" i="6"/>
  <c r="W910" i="6"/>
  <c r="X910" i="6"/>
  <c r="Y910" i="6"/>
  <c r="Z910" i="6"/>
  <c r="AA910" i="6"/>
  <c r="J911" i="6"/>
  <c r="K911" i="6"/>
  <c r="L911" i="6"/>
  <c r="M911" i="6"/>
  <c r="N911" i="6"/>
  <c r="O911" i="6"/>
  <c r="P911" i="6"/>
  <c r="Q911" i="6"/>
  <c r="R911" i="6"/>
  <c r="S911" i="6"/>
  <c r="T911" i="6"/>
  <c r="U911" i="6"/>
  <c r="V911" i="6"/>
  <c r="W911" i="6"/>
  <c r="X911" i="6"/>
  <c r="Y911" i="6"/>
  <c r="Z911" i="6"/>
  <c r="AA911" i="6"/>
  <c r="J912" i="6"/>
  <c r="K912" i="6"/>
  <c r="L912" i="6"/>
  <c r="M912" i="6"/>
  <c r="N912" i="6"/>
  <c r="O912" i="6"/>
  <c r="P912" i="6"/>
  <c r="Q912" i="6"/>
  <c r="R912" i="6"/>
  <c r="S912" i="6"/>
  <c r="T912" i="6"/>
  <c r="U912" i="6"/>
  <c r="V912" i="6"/>
  <c r="W912" i="6"/>
  <c r="X912" i="6"/>
  <c r="Y912" i="6"/>
  <c r="Z912" i="6"/>
  <c r="AA912" i="6"/>
  <c r="J913" i="6"/>
  <c r="K913" i="6"/>
  <c r="L913" i="6"/>
  <c r="M913" i="6"/>
  <c r="N913" i="6"/>
  <c r="O913" i="6"/>
  <c r="P913" i="6"/>
  <c r="Q913" i="6"/>
  <c r="R913" i="6"/>
  <c r="S913" i="6"/>
  <c r="T913" i="6"/>
  <c r="U913" i="6"/>
  <c r="V913" i="6"/>
  <c r="W913" i="6"/>
  <c r="X913" i="6"/>
  <c r="Y913" i="6"/>
  <c r="Z913" i="6"/>
  <c r="AA913" i="6"/>
  <c r="J914" i="6"/>
  <c r="K914" i="6"/>
  <c r="L914" i="6"/>
  <c r="M914" i="6"/>
  <c r="N914" i="6"/>
  <c r="O914" i="6"/>
  <c r="P914" i="6"/>
  <c r="Q914" i="6"/>
  <c r="R914" i="6"/>
  <c r="S914" i="6"/>
  <c r="T914" i="6"/>
  <c r="U914" i="6"/>
  <c r="V914" i="6"/>
  <c r="W914" i="6"/>
  <c r="X914" i="6"/>
  <c r="Y914" i="6"/>
  <c r="Z914" i="6"/>
  <c r="AA914" i="6"/>
  <c r="J915" i="6"/>
  <c r="K915" i="6"/>
  <c r="L915" i="6"/>
  <c r="M915" i="6"/>
  <c r="N915" i="6"/>
  <c r="O915" i="6"/>
  <c r="P915" i="6"/>
  <c r="Q915" i="6"/>
  <c r="R915" i="6"/>
  <c r="S915" i="6"/>
  <c r="T915" i="6"/>
  <c r="U915" i="6"/>
  <c r="V915" i="6"/>
  <c r="W915" i="6"/>
  <c r="X915" i="6"/>
  <c r="Y915" i="6"/>
  <c r="Z915" i="6"/>
  <c r="AA915" i="6"/>
  <c r="J916" i="6"/>
  <c r="K916" i="6"/>
  <c r="L916" i="6"/>
  <c r="M916" i="6"/>
  <c r="N916" i="6"/>
  <c r="O916" i="6"/>
  <c r="P916" i="6"/>
  <c r="Q916" i="6"/>
  <c r="R916" i="6"/>
  <c r="S916" i="6"/>
  <c r="T916" i="6"/>
  <c r="U916" i="6"/>
  <c r="V916" i="6"/>
  <c r="W916" i="6"/>
  <c r="X916" i="6"/>
  <c r="Y916" i="6"/>
  <c r="Z916" i="6"/>
  <c r="AA916" i="6"/>
  <c r="J917" i="6"/>
  <c r="K917" i="6"/>
  <c r="L917" i="6"/>
  <c r="M917" i="6"/>
  <c r="N917" i="6"/>
  <c r="O917" i="6"/>
  <c r="P917" i="6"/>
  <c r="Q917" i="6"/>
  <c r="R917" i="6"/>
  <c r="S917" i="6"/>
  <c r="T917" i="6"/>
  <c r="U917" i="6"/>
  <c r="V917" i="6"/>
  <c r="W917" i="6"/>
  <c r="X917" i="6"/>
  <c r="Y917" i="6"/>
  <c r="Z917" i="6"/>
  <c r="AA917" i="6"/>
  <c r="J918" i="6"/>
  <c r="K918" i="6"/>
  <c r="L918" i="6"/>
  <c r="M918" i="6"/>
  <c r="N918" i="6"/>
  <c r="O918" i="6"/>
  <c r="P918" i="6"/>
  <c r="Q918" i="6"/>
  <c r="R918" i="6"/>
  <c r="S918" i="6"/>
  <c r="T918" i="6"/>
  <c r="U918" i="6"/>
  <c r="V918" i="6"/>
  <c r="W918" i="6"/>
  <c r="X918" i="6"/>
  <c r="Y918" i="6"/>
  <c r="Z918" i="6"/>
  <c r="AA918" i="6"/>
  <c r="J919" i="6"/>
  <c r="K919" i="6"/>
  <c r="L919" i="6"/>
  <c r="M919" i="6"/>
  <c r="N919" i="6"/>
  <c r="O919" i="6"/>
  <c r="P919" i="6"/>
  <c r="Q919" i="6"/>
  <c r="R919" i="6"/>
  <c r="S919" i="6"/>
  <c r="T919" i="6"/>
  <c r="U919" i="6"/>
  <c r="V919" i="6"/>
  <c r="W919" i="6"/>
  <c r="X919" i="6"/>
  <c r="Y919" i="6"/>
  <c r="Z919" i="6"/>
  <c r="AA919" i="6"/>
  <c r="J920" i="6"/>
  <c r="K920" i="6"/>
  <c r="L920" i="6"/>
  <c r="M920" i="6"/>
  <c r="N920" i="6"/>
  <c r="O920" i="6"/>
  <c r="P920" i="6"/>
  <c r="Q920" i="6"/>
  <c r="R920" i="6"/>
  <c r="S920" i="6"/>
  <c r="T920" i="6"/>
  <c r="U920" i="6"/>
  <c r="V920" i="6"/>
  <c r="W920" i="6"/>
  <c r="X920" i="6"/>
  <c r="Y920" i="6"/>
  <c r="Z920" i="6"/>
  <c r="AA920" i="6"/>
  <c r="J921" i="6"/>
  <c r="K921" i="6"/>
  <c r="L921" i="6"/>
  <c r="M921" i="6"/>
  <c r="N921" i="6"/>
  <c r="O921" i="6"/>
  <c r="P921" i="6"/>
  <c r="Q921" i="6"/>
  <c r="R921" i="6"/>
  <c r="S921" i="6"/>
  <c r="T921" i="6"/>
  <c r="U921" i="6"/>
  <c r="V921" i="6"/>
  <c r="W921" i="6"/>
  <c r="X921" i="6"/>
  <c r="Y921" i="6"/>
  <c r="Z921" i="6"/>
  <c r="AA921" i="6"/>
  <c r="J922" i="6"/>
  <c r="K922" i="6"/>
  <c r="L922" i="6"/>
  <c r="M922" i="6"/>
  <c r="N922" i="6"/>
  <c r="O922" i="6"/>
  <c r="P922" i="6"/>
  <c r="Q922" i="6"/>
  <c r="R922" i="6"/>
  <c r="S922" i="6"/>
  <c r="T922" i="6"/>
  <c r="U922" i="6"/>
  <c r="V922" i="6"/>
  <c r="W922" i="6"/>
  <c r="X922" i="6"/>
  <c r="Y922" i="6"/>
  <c r="Z922" i="6"/>
  <c r="AA922" i="6"/>
  <c r="J923" i="6"/>
  <c r="K923" i="6"/>
  <c r="L923" i="6"/>
  <c r="M923" i="6"/>
  <c r="N923" i="6"/>
  <c r="O923" i="6"/>
  <c r="P923" i="6"/>
  <c r="Q923" i="6"/>
  <c r="R923" i="6"/>
  <c r="S923" i="6"/>
  <c r="T923" i="6"/>
  <c r="U923" i="6"/>
  <c r="V923" i="6"/>
  <c r="W923" i="6"/>
  <c r="X923" i="6"/>
  <c r="Y923" i="6"/>
  <c r="Z923" i="6"/>
  <c r="AA923" i="6"/>
  <c r="J924" i="6"/>
  <c r="K924" i="6"/>
  <c r="L924" i="6"/>
  <c r="M924" i="6"/>
  <c r="N924" i="6"/>
  <c r="O924" i="6"/>
  <c r="P924" i="6"/>
  <c r="Q924" i="6"/>
  <c r="R924" i="6"/>
  <c r="S924" i="6"/>
  <c r="T924" i="6"/>
  <c r="U924" i="6"/>
  <c r="V924" i="6"/>
  <c r="W924" i="6"/>
  <c r="X924" i="6"/>
  <c r="Y924" i="6"/>
  <c r="Z924" i="6"/>
  <c r="AA924" i="6"/>
  <c r="J925" i="6"/>
  <c r="K925" i="6"/>
  <c r="L925" i="6"/>
  <c r="M925" i="6"/>
  <c r="N925" i="6"/>
  <c r="O925" i="6"/>
  <c r="P925" i="6"/>
  <c r="Q925" i="6"/>
  <c r="R925" i="6"/>
  <c r="S925" i="6"/>
  <c r="T925" i="6"/>
  <c r="U925" i="6"/>
  <c r="V925" i="6"/>
  <c r="W925" i="6"/>
  <c r="X925" i="6"/>
  <c r="Y925" i="6"/>
  <c r="Z925" i="6"/>
  <c r="AA925" i="6"/>
  <c r="J926" i="6"/>
  <c r="K926" i="6"/>
  <c r="L926" i="6"/>
  <c r="M926" i="6"/>
  <c r="N926" i="6"/>
  <c r="O926" i="6"/>
  <c r="P926" i="6"/>
  <c r="Q926" i="6"/>
  <c r="R926" i="6"/>
  <c r="S926" i="6"/>
  <c r="T926" i="6"/>
  <c r="U926" i="6"/>
  <c r="V926" i="6"/>
  <c r="W926" i="6"/>
  <c r="X926" i="6"/>
  <c r="Y926" i="6"/>
  <c r="Z926" i="6"/>
  <c r="AA926" i="6"/>
  <c r="J927" i="6"/>
  <c r="K927" i="6"/>
  <c r="L927" i="6"/>
  <c r="M927" i="6"/>
  <c r="N927" i="6"/>
  <c r="O927" i="6"/>
  <c r="P927" i="6"/>
  <c r="Q927" i="6"/>
  <c r="R927" i="6"/>
  <c r="S927" i="6"/>
  <c r="T927" i="6"/>
  <c r="U927" i="6"/>
  <c r="V927" i="6"/>
  <c r="W927" i="6"/>
  <c r="X927" i="6"/>
  <c r="Y927" i="6"/>
  <c r="Z927" i="6"/>
  <c r="AA927" i="6"/>
  <c r="J928" i="6"/>
  <c r="K928" i="6"/>
  <c r="L928" i="6"/>
  <c r="M928" i="6"/>
  <c r="N928" i="6"/>
  <c r="O928" i="6"/>
  <c r="P928" i="6"/>
  <c r="Q928" i="6"/>
  <c r="R928" i="6"/>
  <c r="S928" i="6"/>
  <c r="T928" i="6"/>
  <c r="U928" i="6"/>
  <c r="V928" i="6"/>
  <c r="W928" i="6"/>
  <c r="X928" i="6"/>
  <c r="Y928" i="6"/>
  <c r="Z928" i="6"/>
  <c r="AA928" i="6"/>
  <c r="J929" i="6"/>
  <c r="K929" i="6"/>
  <c r="L929" i="6"/>
  <c r="M929" i="6"/>
  <c r="N929" i="6"/>
  <c r="O929" i="6"/>
  <c r="P929" i="6"/>
  <c r="Q929" i="6"/>
  <c r="R929" i="6"/>
  <c r="S929" i="6"/>
  <c r="T929" i="6"/>
  <c r="U929" i="6"/>
  <c r="V929" i="6"/>
  <c r="W929" i="6"/>
  <c r="X929" i="6"/>
  <c r="Y929" i="6"/>
  <c r="Z929" i="6"/>
  <c r="AA929" i="6"/>
  <c r="J930" i="6"/>
  <c r="K930" i="6"/>
  <c r="L930" i="6"/>
  <c r="M930" i="6"/>
  <c r="N930" i="6"/>
  <c r="O930" i="6"/>
  <c r="P930" i="6"/>
  <c r="Q930" i="6"/>
  <c r="R930" i="6"/>
  <c r="S930" i="6"/>
  <c r="T930" i="6"/>
  <c r="U930" i="6"/>
  <c r="V930" i="6"/>
  <c r="W930" i="6"/>
  <c r="X930" i="6"/>
  <c r="Y930" i="6"/>
  <c r="Z930" i="6"/>
  <c r="AA930" i="6"/>
  <c r="J931" i="6"/>
  <c r="K931" i="6"/>
  <c r="L931" i="6"/>
  <c r="M931" i="6"/>
  <c r="N931" i="6"/>
  <c r="O931" i="6"/>
  <c r="P931" i="6"/>
  <c r="Q931" i="6"/>
  <c r="R931" i="6"/>
  <c r="S931" i="6"/>
  <c r="T931" i="6"/>
  <c r="U931" i="6"/>
  <c r="V931" i="6"/>
  <c r="W931" i="6"/>
  <c r="X931" i="6"/>
  <c r="Y931" i="6"/>
  <c r="Z931" i="6"/>
  <c r="AA931" i="6"/>
  <c r="J932" i="6"/>
  <c r="K932" i="6"/>
  <c r="L932" i="6"/>
  <c r="M932" i="6"/>
  <c r="N932" i="6"/>
  <c r="O932" i="6"/>
  <c r="P932" i="6"/>
  <c r="Q932" i="6"/>
  <c r="R932" i="6"/>
  <c r="S932" i="6"/>
  <c r="T932" i="6"/>
  <c r="U932" i="6"/>
  <c r="V932" i="6"/>
  <c r="W932" i="6"/>
  <c r="X932" i="6"/>
  <c r="Y932" i="6"/>
  <c r="Z932" i="6"/>
  <c r="AA932" i="6"/>
  <c r="J933" i="6"/>
  <c r="K933" i="6"/>
  <c r="L933" i="6"/>
  <c r="M933" i="6"/>
  <c r="N933" i="6"/>
  <c r="O933" i="6"/>
  <c r="P933" i="6"/>
  <c r="Q933" i="6"/>
  <c r="R933" i="6"/>
  <c r="S933" i="6"/>
  <c r="T933" i="6"/>
  <c r="U933" i="6"/>
  <c r="V933" i="6"/>
  <c r="W933" i="6"/>
  <c r="X933" i="6"/>
  <c r="Y933" i="6"/>
  <c r="Z933" i="6"/>
  <c r="AA933" i="6"/>
  <c r="J934" i="6"/>
  <c r="K934" i="6"/>
  <c r="L934" i="6"/>
  <c r="M934" i="6"/>
  <c r="N934" i="6"/>
  <c r="O934" i="6"/>
  <c r="P934" i="6"/>
  <c r="Q934" i="6"/>
  <c r="R934" i="6"/>
  <c r="S934" i="6"/>
  <c r="T934" i="6"/>
  <c r="U934" i="6"/>
  <c r="V934" i="6"/>
  <c r="W934" i="6"/>
  <c r="X934" i="6"/>
  <c r="Y934" i="6"/>
  <c r="Z934" i="6"/>
  <c r="AA934" i="6"/>
  <c r="J935" i="6"/>
  <c r="K935" i="6"/>
  <c r="L935" i="6"/>
  <c r="M935" i="6"/>
  <c r="N935" i="6"/>
  <c r="O935" i="6"/>
  <c r="P935" i="6"/>
  <c r="Q935" i="6"/>
  <c r="R935" i="6"/>
  <c r="S935" i="6"/>
  <c r="T935" i="6"/>
  <c r="U935" i="6"/>
  <c r="V935" i="6"/>
  <c r="W935" i="6"/>
  <c r="X935" i="6"/>
  <c r="Y935" i="6"/>
  <c r="Z935" i="6"/>
  <c r="AA935" i="6"/>
  <c r="J936" i="6"/>
  <c r="K936" i="6"/>
  <c r="L936" i="6"/>
  <c r="M936" i="6"/>
  <c r="N936" i="6"/>
  <c r="O936" i="6"/>
  <c r="P936" i="6"/>
  <c r="Q936" i="6"/>
  <c r="R936" i="6"/>
  <c r="S936" i="6"/>
  <c r="T936" i="6"/>
  <c r="U936" i="6"/>
  <c r="V936" i="6"/>
  <c r="W936" i="6"/>
  <c r="X936" i="6"/>
  <c r="Y936" i="6"/>
  <c r="Z936" i="6"/>
  <c r="AA936" i="6"/>
  <c r="J937" i="6"/>
  <c r="K937" i="6"/>
  <c r="L937" i="6"/>
  <c r="M937" i="6"/>
  <c r="N937" i="6"/>
  <c r="O937" i="6"/>
  <c r="P937" i="6"/>
  <c r="Q937" i="6"/>
  <c r="R937" i="6"/>
  <c r="S937" i="6"/>
  <c r="T937" i="6"/>
  <c r="U937" i="6"/>
  <c r="V937" i="6"/>
  <c r="W937" i="6"/>
  <c r="X937" i="6"/>
  <c r="Y937" i="6"/>
  <c r="Z937" i="6"/>
  <c r="AA937" i="6"/>
  <c r="J938" i="6"/>
  <c r="K938" i="6"/>
  <c r="L938" i="6"/>
  <c r="M938" i="6"/>
  <c r="N938" i="6"/>
  <c r="O938" i="6"/>
  <c r="P938" i="6"/>
  <c r="Q938" i="6"/>
  <c r="R938" i="6"/>
  <c r="S938" i="6"/>
  <c r="T938" i="6"/>
  <c r="U938" i="6"/>
  <c r="V938" i="6"/>
  <c r="W938" i="6"/>
  <c r="X938" i="6"/>
  <c r="Y938" i="6"/>
  <c r="Z938" i="6"/>
  <c r="AA938" i="6"/>
  <c r="J939" i="6"/>
  <c r="K939" i="6"/>
  <c r="L939" i="6"/>
  <c r="M939" i="6"/>
  <c r="N939" i="6"/>
  <c r="O939" i="6"/>
  <c r="P939" i="6"/>
  <c r="Q939" i="6"/>
  <c r="R939" i="6"/>
  <c r="S939" i="6"/>
  <c r="T939" i="6"/>
  <c r="U939" i="6"/>
  <c r="V939" i="6"/>
  <c r="W939" i="6"/>
  <c r="X939" i="6"/>
  <c r="Y939" i="6"/>
  <c r="Z939" i="6"/>
  <c r="AA939" i="6"/>
  <c r="J940" i="6"/>
  <c r="K940" i="6"/>
  <c r="L940" i="6"/>
  <c r="M940" i="6"/>
  <c r="N940" i="6"/>
  <c r="O940" i="6"/>
  <c r="P940" i="6"/>
  <c r="Q940" i="6"/>
  <c r="R940" i="6"/>
  <c r="S940" i="6"/>
  <c r="T940" i="6"/>
  <c r="U940" i="6"/>
  <c r="V940" i="6"/>
  <c r="W940" i="6"/>
  <c r="X940" i="6"/>
  <c r="Y940" i="6"/>
  <c r="Z940" i="6"/>
  <c r="AA940" i="6"/>
  <c r="J941" i="6"/>
  <c r="K941" i="6"/>
  <c r="L941" i="6"/>
  <c r="M941" i="6"/>
  <c r="N941" i="6"/>
  <c r="O941" i="6"/>
  <c r="P941" i="6"/>
  <c r="Q941" i="6"/>
  <c r="R941" i="6"/>
  <c r="S941" i="6"/>
  <c r="T941" i="6"/>
  <c r="U941" i="6"/>
  <c r="V941" i="6"/>
  <c r="W941" i="6"/>
  <c r="X941" i="6"/>
  <c r="Y941" i="6"/>
  <c r="Z941" i="6"/>
  <c r="AA941" i="6"/>
  <c r="J942" i="6"/>
  <c r="K942" i="6"/>
  <c r="L942" i="6"/>
  <c r="M942" i="6"/>
  <c r="N942" i="6"/>
  <c r="O942" i="6"/>
  <c r="P942" i="6"/>
  <c r="Q942" i="6"/>
  <c r="R942" i="6"/>
  <c r="S942" i="6"/>
  <c r="T942" i="6"/>
  <c r="U942" i="6"/>
  <c r="V942" i="6"/>
  <c r="W942" i="6"/>
  <c r="X942" i="6"/>
  <c r="Y942" i="6"/>
  <c r="Z942" i="6"/>
  <c r="AA942" i="6"/>
  <c r="J943" i="6"/>
  <c r="K943" i="6"/>
  <c r="L943" i="6"/>
  <c r="M943" i="6"/>
  <c r="N943" i="6"/>
  <c r="O943" i="6"/>
  <c r="P943" i="6"/>
  <c r="Q943" i="6"/>
  <c r="R943" i="6"/>
  <c r="S943" i="6"/>
  <c r="T943" i="6"/>
  <c r="U943" i="6"/>
  <c r="V943" i="6"/>
  <c r="W943" i="6"/>
  <c r="X943" i="6"/>
  <c r="Y943" i="6"/>
  <c r="Z943" i="6"/>
  <c r="AA943" i="6"/>
  <c r="J944" i="6"/>
  <c r="K944" i="6"/>
  <c r="L944" i="6"/>
  <c r="M944" i="6"/>
  <c r="N944" i="6"/>
  <c r="O944" i="6"/>
  <c r="P944" i="6"/>
  <c r="Q944" i="6"/>
  <c r="R944" i="6"/>
  <c r="S944" i="6"/>
  <c r="T944" i="6"/>
  <c r="U944" i="6"/>
  <c r="V944" i="6"/>
  <c r="W944" i="6"/>
  <c r="X944" i="6"/>
  <c r="Y944" i="6"/>
  <c r="Z944" i="6"/>
  <c r="AA944" i="6"/>
  <c r="J945" i="6"/>
  <c r="K945" i="6"/>
  <c r="L945" i="6"/>
  <c r="M945" i="6"/>
  <c r="N945" i="6"/>
  <c r="O945" i="6"/>
  <c r="P945" i="6"/>
  <c r="Q945" i="6"/>
  <c r="R945" i="6"/>
  <c r="S945" i="6"/>
  <c r="T945" i="6"/>
  <c r="U945" i="6"/>
  <c r="V945" i="6"/>
  <c r="W945" i="6"/>
  <c r="X945" i="6"/>
  <c r="Y945" i="6"/>
  <c r="Z945" i="6"/>
  <c r="AA945" i="6"/>
  <c r="J946" i="6"/>
  <c r="K946" i="6"/>
  <c r="L946" i="6"/>
  <c r="M946" i="6"/>
  <c r="N946" i="6"/>
  <c r="O946" i="6"/>
  <c r="P946" i="6"/>
  <c r="Q946" i="6"/>
  <c r="R946" i="6"/>
  <c r="S946" i="6"/>
  <c r="T946" i="6"/>
  <c r="U946" i="6"/>
  <c r="V946" i="6"/>
  <c r="W946" i="6"/>
  <c r="X946" i="6"/>
  <c r="Y946" i="6"/>
  <c r="Z946" i="6"/>
  <c r="AA946" i="6"/>
  <c r="J947" i="6"/>
  <c r="K947" i="6"/>
  <c r="L947" i="6"/>
  <c r="M947" i="6"/>
  <c r="N947" i="6"/>
  <c r="O947" i="6"/>
  <c r="P947" i="6"/>
  <c r="Q947" i="6"/>
  <c r="R947" i="6"/>
  <c r="S947" i="6"/>
  <c r="T947" i="6"/>
  <c r="U947" i="6"/>
  <c r="V947" i="6"/>
  <c r="W947" i="6"/>
  <c r="X947" i="6"/>
  <c r="Y947" i="6"/>
  <c r="Z947" i="6"/>
  <c r="AA947" i="6"/>
  <c r="J948" i="6"/>
  <c r="K948" i="6"/>
  <c r="L948" i="6"/>
  <c r="M948" i="6"/>
  <c r="N948" i="6"/>
  <c r="O948" i="6"/>
  <c r="P948" i="6"/>
  <c r="Q948" i="6"/>
  <c r="R948" i="6"/>
  <c r="S948" i="6"/>
  <c r="T948" i="6"/>
  <c r="U948" i="6"/>
  <c r="V948" i="6"/>
  <c r="W948" i="6"/>
  <c r="X948" i="6"/>
  <c r="Y948" i="6"/>
  <c r="Z948" i="6"/>
  <c r="AA948" i="6"/>
  <c r="J949" i="6"/>
  <c r="K949" i="6"/>
  <c r="L949" i="6"/>
  <c r="M949" i="6"/>
  <c r="N949" i="6"/>
  <c r="O949" i="6"/>
  <c r="P949" i="6"/>
  <c r="Q949" i="6"/>
  <c r="R949" i="6"/>
  <c r="S949" i="6"/>
  <c r="T949" i="6"/>
  <c r="U949" i="6"/>
  <c r="V949" i="6"/>
  <c r="W949" i="6"/>
  <c r="X949" i="6"/>
  <c r="Y949" i="6"/>
  <c r="Z949" i="6"/>
  <c r="AA949" i="6"/>
  <c r="J950" i="6"/>
  <c r="K950" i="6"/>
  <c r="L950" i="6"/>
  <c r="M950" i="6"/>
  <c r="N950" i="6"/>
  <c r="O950" i="6"/>
  <c r="P950" i="6"/>
  <c r="Q950" i="6"/>
  <c r="R950" i="6"/>
  <c r="S950" i="6"/>
  <c r="T950" i="6"/>
  <c r="U950" i="6"/>
  <c r="V950" i="6"/>
  <c r="W950" i="6"/>
  <c r="X950" i="6"/>
  <c r="Y950" i="6"/>
  <c r="Z950" i="6"/>
  <c r="AA950" i="6"/>
  <c r="J951" i="6"/>
  <c r="K951" i="6"/>
  <c r="L951" i="6"/>
  <c r="M951" i="6"/>
  <c r="N951" i="6"/>
  <c r="O951" i="6"/>
  <c r="P951" i="6"/>
  <c r="Q951" i="6"/>
  <c r="R951" i="6"/>
  <c r="S951" i="6"/>
  <c r="T951" i="6"/>
  <c r="U951" i="6"/>
  <c r="V951" i="6"/>
  <c r="W951" i="6"/>
  <c r="X951" i="6"/>
  <c r="Y951" i="6"/>
  <c r="Z951" i="6"/>
  <c r="AA951" i="6"/>
  <c r="J952" i="6"/>
  <c r="K952" i="6"/>
  <c r="L952" i="6"/>
  <c r="M952" i="6"/>
  <c r="N952" i="6"/>
  <c r="O952" i="6"/>
  <c r="P952" i="6"/>
  <c r="Q952" i="6"/>
  <c r="R952" i="6"/>
  <c r="S952" i="6"/>
  <c r="T952" i="6"/>
  <c r="U952" i="6"/>
  <c r="V952" i="6"/>
  <c r="W952" i="6"/>
  <c r="X952" i="6"/>
  <c r="Y952" i="6"/>
  <c r="Z952" i="6"/>
  <c r="AA952" i="6"/>
  <c r="J953" i="6"/>
  <c r="K953" i="6"/>
  <c r="L953" i="6"/>
  <c r="M953" i="6"/>
  <c r="N953" i="6"/>
  <c r="O953" i="6"/>
  <c r="P953" i="6"/>
  <c r="Q953" i="6"/>
  <c r="R953" i="6"/>
  <c r="S953" i="6"/>
  <c r="T953" i="6"/>
  <c r="U953" i="6"/>
  <c r="V953" i="6"/>
  <c r="W953" i="6"/>
  <c r="X953" i="6"/>
  <c r="Y953" i="6"/>
  <c r="Z953" i="6"/>
  <c r="AA953" i="6"/>
  <c r="J954" i="6"/>
  <c r="K954" i="6"/>
  <c r="L954" i="6"/>
  <c r="M954" i="6"/>
  <c r="N954" i="6"/>
  <c r="O954" i="6"/>
  <c r="P954" i="6"/>
  <c r="Q954" i="6"/>
  <c r="R954" i="6"/>
  <c r="S954" i="6"/>
  <c r="T954" i="6"/>
  <c r="U954" i="6"/>
  <c r="V954" i="6"/>
  <c r="W954" i="6"/>
  <c r="X954" i="6"/>
  <c r="Y954" i="6"/>
  <c r="Z954" i="6"/>
  <c r="AA954" i="6"/>
  <c r="J955" i="6"/>
  <c r="K955" i="6"/>
  <c r="L955" i="6"/>
  <c r="M955" i="6"/>
  <c r="N955" i="6"/>
  <c r="O955" i="6"/>
  <c r="P955" i="6"/>
  <c r="Q955" i="6"/>
  <c r="R955" i="6"/>
  <c r="S955" i="6"/>
  <c r="T955" i="6"/>
  <c r="U955" i="6"/>
  <c r="V955" i="6"/>
  <c r="W955" i="6"/>
  <c r="X955" i="6"/>
  <c r="Y955" i="6"/>
  <c r="Z955" i="6"/>
  <c r="AA955" i="6"/>
  <c r="J956" i="6"/>
  <c r="K956" i="6"/>
  <c r="L956" i="6"/>
  <c r="M956" i="6"/>
  <c r="N956" i="6"/>
  <c r="O956" i="6"/>
  <c r="P956" i="6"/>
  <c r="Q956" i="6"/>
  <c r="R956" i="6"/>
  <c r="S956" i="6"/>
  <c r="T956" i="6"/>
  <c r="U956" i="6"/>
  <c r="V956" i="6"/>
  <c r="W956" i="6"/>
  <c r="X956" i="6"/>
  <c r="Y956" i="6"/>
  <c r="Z956" i="6"/>
  <c r="AA956" i="6"/>
  <c r="J957" i="6"/>
  <c r="K957" i="6"/>
  <c r="L957" i="6"/>
  <c r="M957" i="6"/>
  <c r="N957" i="6"/>
  <c r="O957" i="6"/>
  <c r="P957" i="6"/>
  <c r="Q957" i="6"/>
  <c r="R957" i="6"/>
  <c r="S957" i="6"/>
  <c r="T957" i="6"/>
  <c r="U957" i="6"/>
  <c r="V957" i="6"/>
  <c r="W957" i="6"/>
  <c r="X957" i="6"/>
  <c r="Y957" i="6"/>
  <c r="Z957" i="6"/>
  <c r="AA957" i="6"/>
  <c r="J958" i="6"/>
  <c r="K958" i="6"/>
  <c r="L958" i="6"/>
  <c r="M958" i="6"/>
  <c r="N958" i="6"/>
  <c r="O958" i="6"/>
  <c r="P958" i="6"/>
  <c r="Q958" i="6"/>
  <c r="R958" i="6"/>
  <c r="S958" i="6"/>
  <c r="T958" i="6"/>
  <c r="U958" i="6"/>
  <c r="V958" i="6"/>
  <c r="W958" i="6"/>
  <c r="X958" i="6"/>
  <c r="Y958" i="6"/>
  <c r="Z958" i="6"/>
  <c r="AA958" i="6"/>
  <c r="J959" i="6"/>
  <c r="K959" i="6"/>
  <c r="L959" i="6"/>
  <c r="M959" i="6"/>
  <c r="N959" i="6"/>
  <c r="O959" i="6"/>
  <c r="P959" i="6"/>
  <c r="Q959" i="6"/>
  <c r="R959" i="6"/>
  <c r="S959" i="6"/>
  <c r="T959" i="6"/>
  <c r="U959" i="6"/>
  <c r="V959" i="6"/>
  <c r="W959" i="6"/>
  <c r="X959" i="6"/>
  <c r="Y959" i="6"/>
  <c r="Z959" i="6"/>
  <c r="AA959" i="6"/>
  <c r="J960" i="6"/>
  <c r="K960" i="6"/>
  <c r="L960" i="6"/>
  <c r="M960" i="6"/>
  <c r="N960" i="6"/>
  <c r="O960" i="6"/>
  <c r="P960" i="6"/>
  <c r="Q960" i="6"/>
  <c r="R960" i="6"/>
  <c r="S960" i="6"/>
  <c r="T960" i="6"/>
  <c r="U960" i="6"/>
  <c r="V960" i="6"/>
  <c r="W960" i="6"/>
  <c r="X960" i="6"/>
  <c r="Y960" i="6"/>
  <c r="Z960" i="6"/>
  <c r="AA960" i="6"/>
  <c r="J961" i="6"/>
  <c r="K961" i="6"/>
  <c r="L961" i="6"/>
  <c r="M961" i="6"/>
  <c r="N961" i="6"/>
  <c r="O961" i="6"/>
  <c r="P961" i="6"/>
  <c r="Q961" i="6"/>
  <c r="R961" i="6"/>
  <c r="S961" i="6"/>
  <c r="T961" i="6"/>
  <c r="U961" i="6"/>
  <c r="V961" i="6"/>
  <c r="W961" i="6"/>
  <c r="X961" i="6"/>
  <c r="Y961" i="6"/>
  <c r="Z961" i="6"/>
  <c r="AA961" i="6"/>
  <c r="J962" i="6"/>
  <c r="K962" i="6"/>
  <c r="L962" i="6"/>
  <c r="M962" i="6"/>
  <c r="N962" i="6"/>
  <c r="O962" i="6"/>
  <c r="P962" i="6"/>
  <c r="Q962" i="6"/>
  <c r="R962" i="6"/>
  <c r="S962" i="6"/>
  <c r="T962" i="6"/>
  <c r="U962" i="6"/>
  <c r="V962" i="6"/>
  <c r="W962" i="6"/>
  <c r="X962" i="6"/>
  <c r="Y962" i="6"/>
  <c r="Z962" i="6"/>
  <c r="AA962" i="6"/>
  <c r="J963" i="6"/>
  <c r="K963" i="6"/>
  <c r="L963" i="6"/>
  <c r="M963" i="6"/>
  <c r="N963" i="6"/>
  <c r="O963" i="6"/>
  <c r="P963" i="6"/>
  <c r="Q963" i="6"/>
  <c r="R963" i="6"/>
  <c r="S963" i="6"/>
  <c r="T963" i="6"/>
  <c r="U963" i="6"/>
  <c r="V963" i="6"/>
  <c r="W963" i="6"/>
  <c r="X963" i="6"/>
  <c r="Y963" i="6"/>
  <c r="Z963" i="6"/>
  <c r="AA963" i="6"/>
  <c r="J964" i="6"/>
  <c r="K964" i="6"/>
  <c r="L964" i="6"/>
  <c r="M964" i="6"/>
  <c r="N964" i="6"/>
  <c r="O964" i="6"/>
  <c r="P964" i="6"/>
  <c r="Q964" i="6"/>
  <c r="R964" i="6"/>
  <c r="S964" i="6"/>
  <c r="T964" i="6"/>
  <c r="U964" i="6"/>
  <c r="V964" i="6"/>
  <c r="W964" i="6"/>
  <c r="X964" i="6"/>
  <c r="Y964" i="6"/>
  <c r="Z964" i="6"/>
  <c r="AA964" i="6"/>
  <c r="J965" i="6"/>
  <c r="K965" i="6"/>
  <c r="L965" i="6"/>
  <c r="M965" i="6"/>
  <c r="N965" i="6"/>
  <c r="O965" i="6"/>
  <c r="P965" i="6"/>
  <c r="Q965" i="6"/>
  <c r="R965" i="6"/>
  <c r="S965" i="6"/>
  <c r="T965" i="6"/>
  <c r="U965" i="6"/>
  <c r="V965" i="6"/>
  <c r="W965" i="6"/>
  <c r="X965" i="6"/>
  <c r="Y965" i="6"/>
  <c r="Z965" i="6"/>
  <c r="AA965" i="6"/>
  <c r="J966" i="6"/>
  <c r="K966" i="6"/>
  <c r="L966" i="6"/>
  <c r="M966" i="6"/>
  <c r="N966" i="6"/>
  <c r="O966" i="6"/>
  <c r="P966" i="6"/>
  <c r="Q966" i="6"/>
  <c r="R966" i="6"/>
  <c r="S966" i="6"/>
  <c r="T966" i="6"/>
  <c r="U966" i="6"/>
  <c r="V966" i="6"/>
  <c r="W966" i="6"/>
  <c r="X966" i="6"/>
  <c r="Y966" i="6"/>
  <c r="Z966" i="6"/>
  <c r="AA966" i="6"/>
  <c r="J967" i="6"/>
  <c r="K967" i="6"/>
  <c r="L967" i="6"/>
  <c r="M967" i="6"/>
  <c r="N967" i="6"/>
  <c r="O967" i="6"/>
  <c r="P967" i="6"/>
  <c r="Q967" i="6"/>
  <c r="R967" i="6"/>
  <c r="S967" i="6"/>
  <c r="T967" i="6"/>
  <c r="U967" i="6"/>
  <c r="V967" i="6"/>
  <c r="W967" i="6"/>
  <c r="X967" i="6"/>
  <c r="Y967" i="6"/>
  <c r="Z967" i="6"/>
  <c r="AA967" i="6"/>
  <c r="J968" i="6"/>
  <c r="K968" i="6"/>
  <c r="L968" i="6"/>
  <c r="M968" i="6"/>
  <c r="N968" i="6"/>
  <c r="O968" i="6"/>
  <c r="P968" i="6"/>
  <c r="Q968" i="6"/>
  <c r="R968" i="6"/>
  <c r="S968" i="6"/>
  <c r="T968" i="6"/>
  <c r="U968" i="6"/>
  <c r="V968" i="6"/>
  <c r="W968" i="6"/>
  <c r="X968" i="6"/>
  <c r="Y968" i="6"/>
  <c r="Z968" i="6"/>
  <c r="AA968" i="6"/>
  <c r="J969" i="6"/>
  <c r="K969" i="6"/>
  <c r="L969" i="6"/>
  <c r="M969" i="6"/>
  <c r="N969" i="6"/>
  <c r="O969" i="6"/>
  <c r="P969" i="6"/>
  <c r="Q969" i="6"/>
  <c r="R969" i="6"/>
  <c r="S969" i="6"/>
  <c r="T969" i="6"/>
  <c r="U969" i="6"/>
  <c r="V969" i="6"/>
  <c r="W969" i="6"/>
  <c r="X969" i="6"/>
  <c r="Y969" i="6"/>
  <c r="Z969" i="6"/>
  <c r="AA969" i="6"/>
  <c r="J970" i="6"/>
  <c r="K970" i="6"/>
  <c r="L970" i="6"/>
  <c r="M970" i="6"/>
  <c r="N970" i="6"/>
  <c r="O970" i="6"/>
  <c r="P970" i="6"/>
  <c r="Q970" i="6"/>
  <c r="R970" i="6"/>
  <c r="S970" i="6"/>
  <c r="T970" i="6"/>
  <c r="U970" i="6"/>
  <c r="V970" i="6"/>
  <c r="W970" i="6"/>
  <c r="X970" i="6"/>
  <c r="Y970" i="6"/>
  <c r="Z970" i="6"/>
  <c r="AA970" i="6"/>
  <c r="J971" i="6"/>
  <c r="K971" i="6"/>
  <c r="L971" i="6"/>
  <c r="M971" i="6"/>
  <c r="N971" i="6"/>
  <c r="O971" i="6"/>
  <c r="P971" i="6"/>
  <c r="Q971" i="6"/>
  <c r="R971" i="6"/>
  <c r="S971" i="6"/>
  <c r="T971" i="6"/>
  <c r="U971" i="6"/>
  <c r="V971" i="6"/>
  <c r="W971" i="6"/>
  <c r="X971" i="6"/>
  <c r="Y971" i="6"/>
  <c r="Z971" i="6"/>
  <c r="AA971" i="6"/>
  <c r="J972" i="6"/>
  <c r="K972" i="6"/>
  <c r="L972" i="6"/>
  <c r="M972" i="6"/>
  <c r="N972" i="6"/>
  <c r="O972" i="6"/>
  <c r="P972" i="6"/>
  <c r="Q972" i="6"/>
  <c r="R972" i="6"/>
  <c r="S972" i="6"/>
  <c r="T972" i="6"/>
  <c r="U972" i="6"/>
  <c r="V972" i="6"/>
  <c r="W972" i="6"/>
  <c r="X972" i="6"/>
  <c r="Y972" i="6"/>
  <c r="Z972" i="6"/>
  <c r="AA972" i="6"/>
  <c r="J973" i="6"/>
  <c r="K973" i="6"/>
  <c r="L973" i="6"/>
  <c r="M973" i="6"/>
  <c r="N973" i="6"/>
  <c r="O973" i="6"/>
  <c r="P973" i="6"/>
  <c r="Q973" i="6"/>
  <c r="R973" i="6"/>
  <c r="S973" i="6"/>
  <c r="T973" i="6"/>
  <c r="U973" i="6"/>
  <c r="V973" i="6"/>
  <c r="W973" i="6"/>
  <c r="X973" i="6"/>
  <c r="Y973" i="6"/>
  <c r="Z973" i="6"/>
  <c r="AA973" i="6"/>
  <c r="J974" i="6"/>
  <c r="K974" i="6"/>
  <c r="L974" i="6"/>
  <c r="M974" i="6"/>
  <c r="N974" i="6"/>
  <c r="O974" i="6"/>
  <c r="P974" i="6"/>
  <c r="Q974" i="6"/>
  <c r="R974" i="6"/>
  <c r="S974" i="6"/>
  <c r="T974" i="6"/>
  <c r="U974" i="6"/>
  <c r="V974" i="6"/>
  <c r="W974" i="6"/>
  <c r="X974" i="6"/>
  <c r="Y974" i="6"/>
  <c r="Z974" i="6"/>
  <c r="AA974" i="6"/>
  <c r="J975" i="6"/>
  <c r="K975" i="6"/>
  <c r="L975" i="6"/>
  <c r="M975" i="6"/>
  <c r="N975" i="6"/>
  <c r="O975" i="6"/>
  <c r="P975" i="6"/>
  <c r="Q975" i="6"/>
  <c r="R975" i="6"/>
  <c r="S975" i="6"/>
  <c r="T975" i="6"/>
  <c r="U975" i="6"/>
  <c r="V975" i="6"/>
  <c r="W975" i="6"/>
  <c r="X975" i="6"/>
  <c r="Y975" i="6"/>
  <c r="Z975" i="6"/>
  <c r="AA975" i="6"/>
  <c r="J976" i="6"/>
  <c r="K976" i="6"/>
  <c r="L976" i="6"/>
  <c r="M976" i="6"/>
  <c r="N976" i="6"/>
  <c r="O976" i="6"/>
  <c r="P976" i="6"/>
  <c r="Q976" i="6"/>
  <c r="R976" i="6"/>
  <c r="S976" i="6"/>
  <c r="T976" i="6"/>
  <c r="U976" i="6"/>
  <c r="V976" i="6"/>
  <c r="W976" i="6"/>
  <c r="X976" i="6"/>
  <c r="Y976" i="6"/>
  <c r="Z976" i="6"/>
  <c r="AA976" i="6"/>
  <c r="J977" i="6"/>
  <c r="K977" i="6"/>
  <c r="L977" i="6"/>
  <c r="M977" i="6"/>
  <c r="N977" i="6"/>
  <c r="O977" i="6"/>
  <c r="P977" i="6"/>
  <c r="Q977" i="6"/>
  <c r="R977" i="6"/>
  <c r="S977" i="6"/>
  <c r="T977" i="6"/>
  <c r="U977" i="6"/>
  <c r="V977" i="6"/>
  <c r="W977" i="6"/>
  <c r="X977" i="6"/>
  <c r="Y977" i="6"/>
  <c r="Z977" i="6"/>
  <c r="AA977" i="6"/>
  <c r="J978" i="6"/>
  <c r="K978" i="6"/>
  <c r="L978" i="6"/>
  <c r="M978" i="6"/>
  <c r="N978" i="6"/>
  <c r="O978" i="6"/>
  <c r="P978" i="6"/>
  <c r="Q978" i="6"/>
  <c r="R978" i="6"/>
  <c r="S978" i="6"/>
  <c r="T978" i="6"/>
  <c r="U978" i="6"/>
  <c r="V978" i="6"/>
  <c r="W978" i="6"/>
  <c r="X978" i="6"/>
  <c r="Y978" i="6"/>
  <c r="Z978" i="6"/>
  <c r="AA978" i="6"/>
  <c r="J979" i="6"/>
  <c r="K979" i="6"/>
  <c r="L979" i="6"/>
  <c r="M979" i="6"/>
  <c r="N979" i="6"/>
  <c r="O979" i="6"/>
  <c r="P979" i="6"/>
  <c r="Q979" i="6"/>
  <c r="R979" i="6"/>
  <c r="S979" i="6"/>
  <c r="T979" i="6"/>
  <c r="U979" i="6"/>
  <c r="V979" i="6"/>
  <c r="W979" i="6"/>
  <c r="X979" i="6"/>
  <c r="Y979" i="6"/>
  <c r="Z979" i="6"/>
  <c r="AA979" i="6"/>
  <c r="J980" i="6"/>
  <c r="K980" i="6"/>
  <c r="L980" i="6"/>
  <c r="M980" i="6"/>
  <c r="N980" i="6"/>
  <c r="O980" i="6"/>
  <c r="P980" i="6"/>
  <c r="Q980" i="6"/>
  <c r="R980" i="6"/>
  <c r="S980" i="6"/>
  <c r="T980" i="6"/>
  <c r="U980" i="6"/>
  <c r="V980" i="6"/>
  <c r="W980" i="6"/>
  <c r="X980" i="6"/>
  <c r="Y980" i="6"/>
  <c r="Z980" i="6"/>
  <c r="AA980" i="6"/>
  <c r="J981" i="6"/>
  <c r="K981" i="6"/>
  <c r="L981" i="6"/>
  <c r="M981" i="6"/>
  <c r="N981" i="6"/>
  <c r="O981" i="6"/>
  <c r="P981" i="6"/>
  <c r="Q981" i="6"/>
  <c r="R981" i="6"/>
  <c r="S981" i="6"/>
  <c r="T981" i="6"/>
  <c r="U981" i="6"/>
  <c r="V981" i="6"/>
  <c r="W981" i="6"/>
  <c r="X981" i="6"/>
  <c r="Y981" i="6"/>
  <c r="Z981" i="6"/>
  <c r="AA981" i="6"/>
  <c r="J982" i="6"/>
  <c r="K982" i="6"/>
  <c r="L982" i="6"/>
  <c r="M982" i="6"/>
  <c r="N982" i="6"/>
  <c r="O982" i="6"/>
  <c r="P982" i="6"/>
  <c r="Q982" i="6"/>
  <c r="R982" i="6"/>
  <c r="S982" i="6"/>
  <c r="T982" i="6"/>
  <c r="U982" i="6"/>
  <c r="V982" i="6"/>
  <c r="W982" i="6"/>
  <c r="X982" i="6"/>
  <c r="Y982" i="6"/>
  <c r="Z982" i="6"/>
  <c r="AA982" i="6"/>
  <c r="J983" i="6"/>
  <c r="K983" i="6"/>
  <c r="L983" i="6"/>
  <c r="M983" i="6"/>
  <c r="N983" i="6"/>
  <c r="O983" i="6"/>
  <c r="P983" i="6"/>
  <c r="Q983" i="6"/>
  <c r="R983" i="6"/>
  <c r="S983" i="6"/>
  <c r="T983" i="6"/>
  <c r="U983" i="6"/>
  <c r="V983" i="6"/>
  <c r="W983" i="6"/>
  <c r="X983" i="6"/>
  <c r="Y983" i="6"/>
  <c r="Z983" i="6"/>
  <c r="AA983" i="6"/>
  <c r="J984" i="6"/>
  <c r="K984" i="6"/>
  <c r="L984" i="6"/>
  <c r="M984" i="6"/>
  <c r="N984" i="6"/>
  <c r="O984" i="6"/>
  <c r="P984" i="6"/>
  <c r="Q984" i="6"/>
  <c r="R984" i="6"/>
  <c r="S984" i="6"/>
  <c r="T984" i="6"/>
  <c r="U984" i="6"/>
  <c r="V984" i="6"/>
  <c r="W984" i="6"/>
  <c r="X984" i="6"/>
  <c r="Y984" i="6"/>
  <c r="Z984" i="6"/>
  <c r="AA984" i="6"/>
  <c r="J985" i="6"/>
  <c r="K985" i="6"/>
  <c r="L985" i="6"/>
  <c r="M985" i="6"/>
  <c r="N985" i="6"/>
  <c r="O985" i="6"/>
  <c r="P985" i="6"/>
  <c r="Q985" i="6"/>
  <c r="R985" i="6"/>
  <c r="S985" i="6"/>
  <c r="T985" i="6"/>
  <c r="U985" i="6"/>
  <c r="V985" i="6"/>
  <c r="W985" i="6"/>
  <c r="X985" i="6"/>
  <c r="Y985" i="6"/>
  <c r="Z985" i="6"/>
  <c r="AA985" i="6"/>
  <c r="J986" i="6"/>
  <c r="K986" i="6"/>
  <c r="L986" i="6"/>
  <c r="M986" i="6"/>
  <c r="N986" i="6"/>
  <c r="O986" i="6"/>
  <c r="P986" i="6"/>
  <c r="Q986" i="6"/>
  <c r="R986" i="6"/>
  <c r="S986" i="6"/>
  <c r="T986" i="6"/>
  <c r="U986" i="6"/>
  <c r="V986" i="6"/>
  <c r="W986" i="6"/>
  <c r="X986" i="6"/>
  <c r="Y986" i="6"/>
  <c r="Z986" i="6"/>
  <c r="AA986" i="6"/>
  <c r="J987" i="6"/>
  <c r="K987" i="6"/>
  <c r="L987" i="6"/>
  <c r="M987" i="6"/>
  <c r="N987" i="6"/>
  <c r="O987" i="6"/>
  <c r="P987" i="6"/>
  <c r="Q987" i="6"/>
  <c r="R987" i="6"/>
  <c r="S987" i="6"/>
  <c r="T987" i="6"/>
  <c r="U987" i="6"/>
  <c r="V987" i="6"/>
  <c r="W987" i="6"/>
  <c r="X987" i="6"/>
  <c r="Y987" i="6"/>
  <c r="Z987" i="6"/>
  <c r="AA987" i="6"/>
  <c r="J988" i="6"/>
  <c r="K988" i="6"/>
  <c r="L988" i="6"/>
  <c r="M988" i="6"/>
  <c r="N988" i="6"/>
  <c r="O988" i="6"/>
  <c r="P988" i="6"/>
  <c r="Q988" i="6"/>
  <c r="R988" i="6"/>
  <c r="S988" i="6"/>
  <c r="T988" i="6"/>
  <c r="U988" i="6"/>
  <c r="V988" i="6"/>
  <c r="W988" i="6"/>
  <c r="X988" i="6"/>
  <c r="Y988" i="6"/>
  <c r="Z988" i="6"/>
  <c r="AA988" i="6"/>
  <c r="J989" i="6"/>
  <c r="K989" i="6"/>
  <c r="L989" i="6"/>
  <c r="M989" i="6"/>
  <c r="N989" i="6"/>
  <c r="O989" i="6"/>
  <c r="P989" i="6"/>
  <c r="Q989" i="6"/>
  <c r="R989" i="6"/>
  <c r="S989" i="6"/>
  <c r="T989" i="6"/>
  <c r="U989" i="6"/>
  <c r="V989" i="6"/>
  <c r="W989" i="6"/>
  <c r="X989" i="6"/>
  <c r="Y989" i="6"/>
  <c r="Z989" i="6"/>
  <c r="AA989" i="6"/>
  <c r="J990" i="6"/>
  <c r="K990" i="6"/>
  <c r="L990" i="6"/>
  <c r="M990" i="6"/>
  <c r="N990" i="6"/>
  <c r="O990" i="6"/>
  <c r="P990" i="6"/>
  <c r="Q990" i="6"/>
  <c r="R990" i="6"/>
  <c r="S990" i="6"/>
  <c r="T990" i="6"/>
  <c r="U990" i="6"/>
  <c r="V990" i="6"/>
  <c r="W990" i="6"/>
  <c r="X990" i="6"/>
  <c r="Y990" i="6"/>
  <c r="Z990" i="6"/>
  <c r="AA990" i="6"/>
  <c r="J991" i="6"/>
  <c r="K991" i="6"/>
  <c r="L991" i="6"/>
  <c r="M991" i="6"/>
  <c r="N991" i="6"/>
  <c r="O991" i="6"/>
  <c r="P991" i="6"/>
  <c r="Q991" i="6"/>
  <c r="R991" i="6"/>
  <c r="S991" i="6"/>
  <c r="T991" i="6"/>
  <c r="U991" i="6"/>
  <c r="V991" i="6"/>
  <c r="W991" i="6"/>
  <c r="X991" i="6"/>
  <c r="Y991" i="6"/>
  <c r="Z991" i="6"/>
  <c r="AA991" i="6"/>
  <c r="J992" i="6"/>
  <c r="K992" i="6"/>
  <c r="L992" i="6"/>
  <c r="M992" i="6"/>
  <c r="N992" i="6"/>
  <c r="O992" i="6"/>
  <c r="P992" i="6"/>
  <c r="Q992" i="6"/>
  <c r="R992" i="6"/>
  <c r="S992" i="6"/>
  <c r="T992" i="6"/>
  <c r="U992" i="6"/>
  <c r="V992" i="6"/>
  <c r="W992" i="6"/>
  <c r="X992" i="6"/>
  <c r="Y992" i="6"/>
  <c r="Z992" i="6"/>
  <c r="AA992" i="6"/>
  <c r="J993" i="6"/>
  <c r="K993" i="6"/>
  <c r="L993" i="6"/>
  <c r="M993" i="6"/>
  <c r="N993" i="6"/>
  <c r="O993" i="6"/>
  <c r="P993" i="6"/>
  <c r="Q993" i="6"/>
  <c r="R993" i="6"/>
  <c r="S993" i="6"/>
  <c r="T993" i="6"/>
  <c r="U993" i="6"/>
  <c r="V993" i="6"/>
  <c r="W993" i="6"/>
  <c r="X993" i="6"/>
  <c r="Y993" i="6"/>
  <c r="Z993" i="6"/>
  <c r="AA993" i="6"/>
  <c r="J994" i="6"/>
  <c r="K994" i="6"/>
  <c r="L994" i="6"/>
  <c r="M994" i="6"/>
  <c r="N994" i="6"/>
  <c r="O994" i="6"/>
  <c r="P994" i="6"/>
  <c r="Q994" i="6"/>
  <c r="R994" i="6"/>
  <c r="S994" i="6"/>
  <c r="T994" i="6"/>
  <c r="U994" i="6"/>
  <c r="V994" i="6"/>
  <c r="W994" i="6"/>
  <c r="X994" i="6"/>
  <c r="Y994" i="6"/>
  <c r="Z994" i="6"/>
  <c r="AA994" i="6"/>
  <c r="J995" i="6"/>
  <c r="K995" i="6"/>
  <c r="L995" i="6"/>
  <c r="M995" i="6"/>
  <c r="N995" i="6"/>
  <c r="O995" i="6"/>
  <c r="P995" i="6"/>
  <c r="Q995" i="6"/>
  <c r="R995" i="6"/>
  <c r="S995" i="6"/>
  <c r="T995" i="6"/>
  <c r="U995" i="6"/>
  <c r="V995" i="6"/>
  <c r="W995" i="6"/>
  <c r="X995" i="6"/>
  <c r="Y995" i="6"/>
  <c r="Z995" i="6"/>
  <c r="AA995" i="6"/>
  <c r="J996" i="6"/>
  <c r="K996" i="6"/>
  <c r="L996" i="6"/>
  <c r="M996" i="6"/>
  <c r="N996" i="6"/>
  <c r="O996" i="6"/>
  <c r="P996" i="6"/>
  <c r="Q996" i="6"/>
  <c r="R996" i="6"/>
  <c r="S996" i="6"/>
  <c r="T996" i="6"/>
  <c r="U996" i="6"/>
  <c r="V996" i="6"/>
  <c r="W996" i="6"/>
  <c r="X996" i="6"/>
  <c r="Y996" i="6"/>
  <c r="Z996" i="6"/>
  <c r="AA996" i="6"/>
  <c r="J997" i="6"/>
  <c r="K997" i="6"/>
  <c r="L997" i="6"/>
  <c r="M997" i="6"/>
  <c r="N997" i="6"/>
  <c r="O997" i="6"/>
  <c r="P997" i="6"/>
  <c r="Q997" i="6"/>
  <c r="R997" i="6"/>
  <c r="S997" i="6"/>
  <c r="T997" i="6"/>
  <c r="U997" i="6"/>
  <c r="V997" i="6"/>
  <c r="W997" i="6"/>
  <c r="X997" i="6"/>
  <c r="Y997" i="6"/>
  <c r="Z997" i="6"/>
  <c r="AA997" i="6"/>
  <c r="J998" i="6"/>
  <c r="K998" i="6"/>
  <c r="L998" i="6"/>
  <c r="M998" i="6"/>
  <c r="N998" i="6"/>
  <c r="O998" i="6"/>
  <c r="P998" i="6"/>
  <c r="Q998" i="6"/>
  <c r="R998" i="6"/>
  <c r="S998" i="6"/>
  <c r="T998" i="6"/>
  <c r="U998" i="6"/>
  <c r="V998" i="6"/>
  <c r="W998" i="6"/>
  <c r="X998" i="6"/>
  <c r="Y998" i="6"/>
  <c r="Z998" i="6"/>
  <c r="AA998" i="6"/>
  <c r="J999" i="6"/>
  <c r="K999" i="6"/>
  <c r="L999" i="6"/>
  <c r="M999" i="6"/>
  <c r="N999" i="6"/>
  <c r="O999" i="6"/>
  <c r="P999" i="6"/>
  <c r="Q999" i="6"/>
  <c r="R999" i="6"/>
  <c r="S999" i="6"/>
  <c r="T999" i="6"/>
  <c r="U999" i="6"/>
  <c r="V999" i="6"/>
  <c r="W999" i="6"/>
  <c r="X999" i="6"/>
  <c r="Y999" i="6"/>
  <c r="Z999" i="6"/>
  <c r="AA999" i="6"/>
  <c r="J1000" i="6"/>
  <c r="K1000" i="6"/>
  <c r="L1000" i="6"/>
  <c r="M1000" i="6"/>
  <c r="N1000" i="6"/>
  <c r="O1000" i="6"/>
  <c r="P1000" i="6"/>
  <c r="Q1000" i="6"/>
  <c r="R1000" i="6"/>
  <c r="S1000" i="6"/>
  <c r="T1000" i="6"/>
  <c r="U1000" i="6"/>
  <c r="V1000" i="6"/>
  <c r="W1000" i="6"/>
  <c r="X1000" i="6"/>
  <c r="Y1000" i="6"/>
  <c r="Z1000" i="6"/>
  <c r="AA1000" i="6"/>
  <c r="J1001" i="6"/>
  <c r="K1001" i="6"/>
  <c r="L1001" i="6"/>
  <c r="M1001" i="6"/>
  <c r="N1001" i="6"/>
  <c r="O1001" i="6"/>
  <c r="P1001" i="6"/>
  <c r="Q1001" i="6"/>
  <c r="R1001" i="6"/>
  <c r="S1001" i="6"/>
  <c r="T1001" i="6"/>
  <c r="U1001" i="6"/>
  <c r="V1001" i="6"/>
  <c r="W1001" i="6"/>
  <c r="X1001" i="6"/>
  <c r="Y1001" i="6"/>
  <c r="Z1001" i="6"/>
  <c r="AA1001" i="6"/>
  <c r="J1002" i="6"/>
  <c r="K1002" i="6"/>
  <c r="L1002" i="6"/>
  <c r="M1002" i="6"/>
  <c r="N1002" i="6"/>
  <c r="O1002" i="6"/>
  <c r="P1002" i="6"/>
  <c r="Q1002" i="6"/>
  <c r="R1002" i="6"/>
  <c r="S1002" i="6"/>
  <c r="T1002" i="6"/>
  <c r="U1002" i="6"/>
  <c r="V1002" i="6"/>
  <c r="W1002" i="6"/>
  <c r="X1002" i="6"/>
  <c r="Y1002" i="6"/>
  <c r="Z1002" i="6"/>
  <c r="AA1002" i="6"/>
  <c r="J1003" i="6"/>
  <c r="K1003" i="6"/>
  <c r="L1003" i="6"/>
  <c r="M1003" i="6"/>
  <c r="N1003" i="6"/>
  <c r="O1003" i="6"/>
  <c r="P1003" i="6"/>
  <c r="Q1003" i="6"/>
  <c r="R1003" i="6"/>
  <c r="S1003" i="6"/>
  <c r="T1003" i="6"/>
  <c r="U1003" i="6"/>
  <c r="V1003" i="6"/>
  <c r="W1003" i="6"/>
  <c r="X1003" i="6"/>
  <c r="Y1003" i="6"/>
  <c r="Z1003" i="6"/>
  <c r="AA1003" i="6"/>
  <c r="J1004" i="6"/>
  <c r="K1004" i="6"/>
  <c r="L1004" i="6"/>
  <c r="M1004" i="6"/>
  <c r="N1004" i="6"/>
  <c r="O1004" i="6"/>
  <c r="P1004" i="6"/>
  <c r="Q1004" i="6"/>
  <c r="R1004" i="6"/>
  <c r="S1004" i="6"/>
  <c r="T1004" i="6"/>
  <c r="U1004" i="6"/>
  <c r="V1004" i="6"/>
  <c r="W1004" i="6"/>
  <c r="X1004" i="6"/>
  <c r="Y1004" i="6"/>
  <c r="Z1004" i="6"/>
  <c r="AA1004" i="6"/>
  <c r="J1005" i="6"/>
  <c r="K1005" i="6"/>
  <c r="L1005" i="6"/>
  <c r="M1005" i="6"/>
  <c r="N1005" i="6"/>
  <c r="O1005" i="6"/>
  <c r="P1005" i="6"/>
  <c r="Q1005" i="6"/>
  <c r="R1005" i="6"/>
  <c r="S1005" i="6"/>
  <c r="T1005" i="6"/>
  <c r="U1005" i="6"/>
  <c r="V1005" i="6"/>
  <c r="W1005" i="6"/>
  <c r="X1005" i="6"/>
  <c r="Y1005" i="6"/>
  <c r="Z1005" i="6"/>
  <c r="AA1005" i="6"/>
  <c r="J1006" i="6"/>
  <c r="K1006" i="6"/>
  <c r="L1006" i="6"/>
  <c r="M1006" i="6"/>
  <c r="N1006" i="6"/>
  <c r="O1006" i="6"/>
  <c r="P1006" i="6"/>
  <c r="Q1006" i="6"/>
  <c r="R1006" i="6"/>
  <c r="S1006" i="6"/>
  <c r="T1006" i="6"/>
  <c r="U1006" i="6"/>
  <c r="V1006" i="6"/>
  <c r="W1006" i="6"/>
  <c r="X1006" i="6"/>
  <c r="Y1006" i="6"/>
  <c r="Z1006" i="6"/>
  <c r="AA1006" i="6"/>
  <c r="J1007" i="6"/>
  <c r="K1007" i="6"/>
  <c r="L1007" i="6"/>
  <c r="M1007" i="6"/>
  <c r="N1007" i="6"/>
  <c r="O1007" i="6"/>
  <c r="P1007" i="6"/>
  <c r="Q1007" i="6"/>
  <c r="R1007" i="6"/>
  <c r="S1007" i="6"/>
  <c r="T1007" i="6"/>
  <c r="U1007" i="6"/>
  <c r="V1007" i="6"/>
  <c r="W1007" i="6"/>
  <c r="X1007" i="6"/>
  <c r="Y1007" i="6"/>
  <c r="Z1007" i="6"/>
  <c r="AA1007" i="6"/>
  <c r="J1008" i="6"/>
  <c r="K1008" i="6"/>
  <c r="L1008" i="6"/>
  <c r="M1008" i="6"/>
  <c r="N1008" i="6"/>
  <c r="O1008" i="6"/>
  <c r="P1008" i="6"/>
  <c r="Q1008" i="6"/>
  <c r="R1008" i="6"/>
  <c r="S1008" i="6"/>
  <c r="T1008" i="6"/>
  <c r="U1008" i="6"/>
  <c r="V1008" i="6"/>
  <c r="W1008" i="6"/>
  <c r="X1008" i="6"/>
  <c r="Y1008" i="6"/>
  <c r="Z1008" i="6"/>
  <c r="AA1008" i="6"/>
  <c r="J1009" i="6"/>
  <c r="K1009" i="6"/>
  <c r="L1009" i="6"/>
  <c r="M1009" i="6"/>
  <c r="N1009" i="6"/>
  <c r="O1009" i="6"/>
  <c r="P1009" i="6"/>
  <c r="Q1009" i="6"/>
  <c r="R1009" i="6"/>
  <c r="S1009" i="6"/>
  <c r="T1009" i="6"/>
  <c r="U1009" i="6"/>
  <c r="V1009" i="6"/>
  <c r="W1009" i="6"/>
  <c r="X1009" i="6"/>
  <c r="Y1009" i="6"/>
  <c r="Z1009" i="6"/>
  <c r="AA1009" i="6"/>
  <c r="J1010" i="6"/>
  <c r="K1010" i="6"/>
  <c r="L1010" i="6"/>
  <c r="M1010" i="6"/>
  <c r="N1010" i="6"/>
  <c r="O1010" i="6"/>
  <c r="P1010" i="6"/>
  <c r="Q1010" i="6"/>
  <c r="R1010" i="6"/>
  <c r="S1010" i="6"/>
  <c r="T1010" i="6"/>
  <c r="U1010" i="6"/>
  <c r="V1010" i="6"/>
  <c r="W1010" i="6"/>
  <c r="X1010" i="6"/>
  <c r="Y1010" i="6"/>
  <c r="Z1010" i="6"/>
  <c r="AA1010" i="6"/>
  <c r="J1011" i="6"/>
  <c r="K1011" i="6"/>
  <c r="L1011" i="6"/>
  <c r="M1011" i="6"/>
  <c r="N1011" i="6"/>
  <c r="O1011" i="6"/>
  <c r="P1011" i="6"/>
  <c r="Q1011" i="6"/>
  <c r="R1011" i="6"/>
  <c r="S1011" i="6"/>
  <c r="T1011" i="6"/>
  <c r="U1011" i="6"/>
  <c r="V1011" i="6"/>
  <c r="W1011" i="6"/>
  <c r="X1011" i="6"/>
  <c r="Y1011" i="6"/>
  <c r="Z1011" i="6"/>
  <c r="AA1011" i="6"/>
  <c r="J1012" i="6"/>
  <c r="K1012" i="6"/>
  <c r="L1012" i="6"/>
  <c r="M1012" i="6"/>
  <c r="N1012" i="6"/>
  <c r="O1012" i="6"/>
  <c r="P1012" i="6"/>
  <c r="Q1012" i="6"/>
  <c r="R1012" i="6"/>
  <c r="S1012" i="6"/>
  <c r="T1012" i="6"/>
  <c r="U1012" i="6"/>
  <c r="V1012" i="6"/>
  <c r="W1012" i="6"/>
  <c r="X1012" i="6"/>
  <c r="Y1012" i="6"/>
  <c r="Z1012" i="6"/>
  <c r="AA1012" i="6"/>
  <c r="J1013" i="6"/>
  <c r="K1013" i="6"/>
  <c r="L1013" i="6"/>
  <c r="M1013" i="6"/>
  <c r="N1013" i="6"/>
  <c r="O1013" i="6"/>
  <c r="P1013" i="6"/>
  <c r="Q1013" i="6"/>
  <c r="R1013" i="6"/>
  <c r="S1013" i="6"/>
  <c r="T1013" i="6"/>
  <c r="U1013" i="6"/>
  <c r="V1013" i="6"/>
  <c r="W1013" i="6"/>
  <c r="X1013" i="6"/>
  <c r="Y1013" i="6"/>
  <c r="Z1013" i="6"/>
  <c r="AA1013" i="6"/>
  <c r="J1014" i="6"/>
  <c r="K1014" i="6"/>
  <c r="L1014" i="6"/>
  <c r="M1014" i="6"/>
  <c r="N1014" i="6"/>
  <c r="O1014" i="6"/>
  <c r="P1014" i="6"/>
  <c r="Q1014" i="6"/>
  <c r="R1014" i="6"/>
  <c r="S1014" i="6"/>
  <c r="T1014" i="6"/>
  <c r="U1014" i="6"/>
  <c r="V1014" i="6"/>
  <c r="W1014" i="6"/>
  <c r="X1014" i="6"/>
  <c r="Y1014" i="6"/>
  <c r="Z1014" i="6"/>
  <c r="AA1014" i="6"/>
  <c r="J1015" i="6"/>
  <c r="K1015" i="6"/>
  <c r="L1015" i="6"/>
  <c r="M1015" i="6"/>
  <c r="N1015" i="6"/>
  <c r="O1015" i="6"/>
  <c r="P1015" i="6"/>
  <c r="Q1015" i="6"/>
  <c r="R1015" i="6"/>
  <c r="S1015" i="6"/>
  <c r="T1015" i="6"/>
  <c r="U1015" i="6"/>
  <c r="V1015" i="6"/>
  <c r="W1015" i="6"/>
  <c r="X1015" i="6"/>
  <c r="Y1015" i="6"/>
  <c r="Z1015" i="6"/>
  <c r="AA1015" i="6"/>
  <c r="J1016" i="6"/>
  <c r="K1016" i="6"/>
  <c r="L1016" i="6"/>
  <c r="M1016" i="6"/>
  <c r="N1016" i="6"/>
  <c r="O1016" i="6"/>
  <c r="P1016" i="6"/>
  <c r="Q1016" i="6"/>
  <c r="R1016" i="6"/>
  <c r="S1016" i="6"/>
  <c r="T1016" i="6"/>
  <c r="U1016" i="6"/>
  <c r="V1016" i="6"/>
  <c r="W1016" i="6"/>
  <c r="X1016" i="6"/>
  <c r="Y1016" i="6"/>
  <c r="Z1016" i="6"/>
  <c r="AA1016" i="6"/>
  <c r="J1017" i="6"/>
  <c r="K1017" i="6"/>
  <c r="L1017" i="6"/>
  <c r="M1017" i="6"/>
  <c r="N1017" i="6"/>
  <c r="O1017" i="6"/>
  <c r="P1017" i="6"/>
  <c r="Q1017" i="6"/>
  <c r="R1017" i="6"/>
  <c r="S1017" i="6"/>
  <c r="T1017" i="6"/>
  <c r="U1017" i="6"/>
  <c r="V1017" i="6"/>
  <c r="W1017" i="6"/>
  <c r="X1017" i="6"/>
  <c r="Y1017" i="6"/>
  <c r="Z1017" i="6"/>
  <c r="AA1017" i="6"/>
  <c r="J1018" i="6"/>
  <c r="K1018" i="6"/>
  <c r="L1018" i="6"/>
  <c r="M1018" i="6"/>
  <c r="N1018" i="6"/>
  <c r="O1018" i="6"/>
  <c r="P1018" i="6"/>
  <c r="Q1018" i="6"/>
  <c r="R1018" i="6"/>
  <c r="S1018" i="6"/>
  <c r="T1018" i="6"/>
  <c r="U1018" i="6"/>
  <c r="V1018" i="6"/>
  <c r="W1018" i="6"/>
  <c r="X1018" i="6"/>
  <c r="Y1018" i="6"/>
  <c r="Z1018" i="6"/>
  <c r="AA1018" i="6"/>
  <c r="J1019" i="6"/>
  <c r="K1019" i="6"/>
  <c r="L1019" i="6"/>
  <c r="M1019" i="6"/>
  <c r="N1019" i="6"/>
  <c r="O1019" i="6"/>
  <c r="P1019" i="6"/>
  <c r="Q1019" i="6"/>
  <c r="R1019" i="6"/>
  <c r="S1019" i="6"/>
  <c r="T1019" i="6"/>
  <c r="U1019" i="6"/>
  <c r="V1019" i="6"/>
  <c r="W1019" i="6"/>
  <c r="X1019" i="6"/>
  <c r="Y1019" i="6"/>
  <c r="Z1019" i="6"/>
  <c r="AA1019" i="6"/>
  <c r="J1020" i="6"/>
  <c r="K1020" i="6"/>
  <c r="L1020" i="6"/>
  <c r="M1020" i="6"/>
  <c r="N1020" i="6"/>
  <c r="O1020" i="6"/>
  <c r="P1020" i="6"/>
  <c r="Q1020" i="6"/>
  <c r="R1020" i="6"/>
  <c r="S1020" i="6"/>
  <c r="T1020" i="6"/>
  <c r="U1020" i="6"/>
  <c r="V1020" i="6"/>
  <c r="W1020" i="6"/>
  <c r="X1020" i="6"/>
  <c r="Y1020" i="6"/>
  <c r="Z1020" i="6"/>
  <c r="AA1020" i="6"/>
  <c r="J1021" i="6"/>
  <c r="K1021" i="6"/>
  <c r="L1021" i="6"/>
  <c r="M1021" i="6"/>
  <c r="N1021" i="6"/>
  <c r="O1021" i="6"/>
  <c r="P1021" i="6"/>
  <c r="Q1021" i="6"/>
  <c r="R1021" i="6"/>
  <c r="S1021" i="6"/>
  <c r="T1021" i="6"/>
  <c r="U1021" i="6"/>
  <c r="V1021" i="6"/>
  <c r="W1021" i="6"/>
  <c r="X1021" i="6"/>
  <c r="Y1021" i="6"/>
  <c r="Z1021" i="6"/>
  <c r="AA1021" i="6"/>
  <c r="J1022" i="6"/>
  <c r="K1022" i="6"/>
  <c r="L1022" i="6"/>
  <c r="M1022" i="6"/>
  <c r="N1022" i="6"/>
  <c r="O1022" i="6"/>
  <c r="P1022" i="6"/>
  <c r="Q1022" i="6"/>
  <c r="R1022" i="6"/>
  <c r="S1022" i="6"/>
  <c r="T1022" i="6"/>
  <c r="U1022" i="6"/>
  <c r="V1022" i="6"/>
  <c r="W1022" i="6"/>
  <c r="X1022" i="6"/>
  <c r="Y1022" i="6"/>
  <c r="Z1022" i="6"/>
  <c r="AA1022" i="6"/>
  <c r="J1023" i="6"/>
  <c r="K1023" i="6"/>
  <c r="L1023" i="6"/>
  <c r="M1023" i="6"/>
  <c r="N1023" i="6"/>
  <c r="O1023" i="6"/>
  <c r="P1023" i="6"/>
  <c r="Q1023" i="6"/>
  <c r="R1023" i="6"/>
  <c r="S1023" i="6"/>
  <c r="T1023" i="6"/>
  <c r="U1023" i="6"/>
  <c r="V1023" i="6"/>
  <c r="W1023" i="6"/>
  <c r="X1023" i="6"/>
  <c r="Y1023" i="6"/>
  <c r="Z1023" i="6"/>
  <c r="AA1023" i="6"/>
  <c r="J1024" i="6"/>
  <c r="K1024" i="6"/>
  <c r="L1024" i="6"/>
  <c r="M1024" i="6"/>
  <c r="N1024" i="6"/>
  <c r="O1024" i="6"/>
  <c r="P1024" i="6"/>
  <c r="Q1024" i="6"/>
  <c r="R1024" i="6"/>
  <c r="S1024" i="6"/>
  <c r="T1024" i="6"/>
  <c r="U1024" i="6"/>
  <c r="V1024" i="6"/>
  <c r="W1024" i="6"/>
  <c r="X1024" i="6"/>
  <c r="Y1024" i="6"/>
  <c r="Z1024" i="6"/>
  <c r="AA1024" i="6"/>
  <c r="J1025" i="6"/>
  <c r="K1025" i="6"/>
  <c r="L1025" i="6"/>
  <c r="M1025" i="6"/>
  <c r="N1025" i="6"/>
  <c r="O1025" i="6"/>
  <c r="P1025" i="6"/>
  <c r="Q1025" i="6"/>
  <c r="R1025" i="6"/>
  <c r="S1025" i="6"/>
  <c r="T1025" i="6"/>
  <c r="U1025" i="6"/>
  <c r="V1025" i="6"/>
  <c r="W1025" i="6"/>
  <c r="X1025" i="6"/>
  <c r="Y1025" i="6"/>
  <c r="Z1025" i="6"/>
  <c r="AA1025" i="6"/>
  <c r="J1026" i="6"/>
  <c r="K1026" i="6"/>
  <c r="L1026" i="6"/>
  <c r="M1026" i="6"/>
  <c r="N1026" i="6"/>
  <c r="O1026" i="6"/>
  <c r="P1026" i="6"/>
  <c r="Q1026" i="6"/>
  <c r="R1026" i="6"/>
  <c r="S1026" i="6"/>
  <c r="T1026" i="6"/>
  <c r="U1026" i="6"/>
  <c r="V1026" i="6"/>
  <c r="W1026" i="6"/>
  <c r="X1026" i="6"/>
  <c r="Y1026" i="6"/>
  <c r="Z1026" i="6"/>
  <c r="AA1026" i="6"/>
  <c r="J1027" i="6"/>
  <c r="K1027" i="6"/>
  <c r="L1027" i="6"/>
  <c r="M1027" i="6"/>
  <c r="N1027" i="6"/>
  <c r="O1027" i="6"/>
  <c r="P1027" i="6"/>
  <c r="Q1027" i="6"/>
  <c r="R1027" i="6"/>
  <c r="S1027" i="6"/>
  <c r="T1027" i="6"/>
  <c r="U1027" i="6"/>
  <c r="V1027" i="6"/>
  <c r="W1027" i="6"/>
  <c r="X1027" i="6"/>
  <c r="Y1027" i="6"/>
  <c r="Z1027" i="6"/>
  <c r="AA1027" i="6"/>
  <c r="J1028" i="6"/>
  <c r="K1028" i="6"/>
  <c r="L1028" i="6"/>
  <c r="M1028" i="6"/>
  <c r="N1028" i="6"/>
  <c r="O1028" i="6"/>
  <c r="P1028" i="6"/>
  <c r="Q1028" i="6"/>
  <c r="R1028" i="6"/>
  <c r="S1028" i="6"/>
  <c r="T1028" i="6"/>
  <c r="U1028" i="6"/>
  <c r="V1028" i="6"/>
  <c r="W1028" i="6"/>
  <c r="X1028" i="6"/>
  <c r="Y1028" i="6"/>
  <c r="Z1028" i="6"/>
  <c r="AA1028" i="6"/>
  <c r="J1029" i="6"/>
  <c r="K1029" i="6"/>
  <c r="L1029" i="6"/>
  <c r="M1029" i="6"/>
  <c r="N1029" i="6"/>
  <c r="O1029" i="6"/>
  <c r="P1029" i="6"/>
  <c r="Q1029" i="6"/>
  <c r="R1029" i="6"/>
  <c r="S1029" i="6"/>
  <c r="T1029" i="6"/>
  <c r="U1029" i="6"/>
  <c r="V1029" i="6"/>
  <c r="W1029" i="6"/>
  <c r="X1029" i="6"/>
  <c r="Y1029" i="6"/>
  <c r="Z1029" i="6"/>
  <c r="AA1029" i="6"/>
  <c r="J1030" i="6"/>
  <c r="K1030" i="6"/>
  <c r="L1030" i="6"/>
  <c r="M1030" i="6"/>
  <c r="N1030" i="6"/>
  <c r="O1030" i="6"/>
  <c r="P1030" i="6"/>
  <c r="Q1030" i="6"/>
  <c r="R1030" i="6"/>
  <c r="S1030" i="6"/>
  <c r="T1030" i="6"/>
  <c r="U1030" i="6"/>
  <c r="V1030" i="6"/>
  <c r="W1030" i="6"/>
  <c r="X1030" i="6"/>
  <c r="Y1030" i="6"/>
  <c r="Z1030" i="6"/>
  <c r="AA1030" i="6"/>
  <c r="J1031" i="6"/>
  <c r="K1031" i="6"/>
  <c r="L1031" i="6"/>
  <c r="M1031" i="6"/>
  <c r="N1031" i="6"/>
  <c r="O1031" i="6"/>
  <c r="P1031" i="6"/>
  <c r="Q1031" i="6"/>
  <c r="R1031" i="6"/>
  <c r="S1031" i="6"/>
  <c r="T1031" i="6"/>
  <c r="U1031" i="6"/>
  <c r="V1031" i="6"/>
  <c r="W1031" i="6"/>
  <c r="X1031" i="6"/>
  <c r="Y1031" i="6"/>
  <c r="Z1031" i="6"/>
  <c r="AA1031" i="6"/>
  <c r="J1032" i="6"/>
  <c r="K1032" i="6"/>
  <c r="L1032" i="6"/>
  <c r="M1032" i="6"/>
  <c r="N1032" i="6"/>
  <c r="O1032" i="6"/>
  <c r="P1032" i="6"/>
  <c r="Q1032" i="6"/>
  <c r="R1032" i="6"/>
  <c r="S1032" i="6"/>
  <c r="T1032" i="6"/>
  <c r="U1032" i="6"/>
  <c r="V1032" i="6"/>
  <c r="W1032" i="6"/>
  <c r="X1032" i="6"/>
  <c r="Y1032" i="6"/>
  <c r="Z1032" i="6"/>
  <c r="AA1032" i="6"/>
  <c r="J1033" i="6"/>
  <c r="K1033" i="6"/>
  <c r="L1033" i="6"/>
  <c r="M1033" i="6"/>
  <c r="N1033" i="6"/>
  <c r="O1033" i="6"/>
  <c r="P1033" i="6"/>
  <c r="Q1033" i="6"/>
  <c r="R1033" i="6"/>
  <c r="S1033" i="6"/>
  <c r="T1033" i="6"/>
  <c r="U1033" i="6"/>
  <c r="V1033" i="6"/>
  <c r="W1033" i="6"/>
  <c r="X1033" i="6"/>
  <c r="Y1033" i="6"/>
  <c r="Z1033" i="6"/>
  <c r="AA1033" i="6"/>
  <c r="J1034" i="6"/>
  <c r="K1034" i="6"/>
  <c r="L1034" i="6"/>
  <c r="M1034" i="6"/>
  <c r="N1034" i="6"/>
  <c r="O1034" i="6"/>
  <c r="P1034" i="6"/>
  <c r="Q1034" i="6"/>
  <c r="R1034" i="6"/>
  <c r="S1034" i="6"/>
  <c r="T1034" i="6"/>
  <c r="U1034" i="6"/>
  <c r="V1034" i="6"/>
  <c r="W1034" i="6"/>
  <c r="X1034" i="6"/>
  <c r="Y1034" i="6"/>
  <c r="Z1034" i="6"/>
  <c r="AA1034" i="6"/>
  <c r="J1035" i="6"/>
  <c r="K1035" i="6"/>
  <c r="L1035" i="6"/>
  <c r="M1035" i="6"/>
  <c r="N1035" i="6"/>
  <c r="O1035" i="6"/>
  <c r="P1035" i="6"/>
  <c r="Q1035" i="6"/>
  <c r="R1035" i="6"/>
  <c r="S1035" i="6"/>
  <c r="T1035" i="6"/>
  <c r="U1035" i="6"/>
  <c r="V1035" i="6"/>
  <c r="W1035" i="6"/>
  <c r="X1035" i="6"/>
  <c r="Y1035" i="6"/>
  <c r="Z1035" i="6"/>
  <c r="AA1035" i="6"/>
  <c r="J1036" i="6"/>
  <c r="K1036" i="6"/>
  <c r="L1036" i="6"/>
  <c r="M1036" i="6"/>
  <c r="N1036" i="6"/>
  <c r="O1036" i="6"/>
  <c r="P1036" i="6"/>
  <c r="Q1036" i="6"/>
  <c r="R1036" i="6"/>
  <c r="S1036" i="6"/>
  <c r="T1036" i="6"/>
  <c r="U1036" i="6"/>
  <c r="V1036" i="6"/>
  <c r="W1036" i="6"/>
  <c r="X1036" i="6"/>
  <c r="Y1036" i="6"/>
  <c r="Z1036" i="6"/>
  <c r="AA1036" i="6"/>
  <c r="J1037" i="6"/>
  <c r="K1037" i="6"/>
  <c r="L1037" i="6"/>
  <c r="M1037" i="6"/>
  <c r="N1037" i="6"/>
  <c r="O1037" i="6"/>
  <c r="P1037" i="6"/>
  <c r="Q1037" i="6"/>
  <c r="R1037" i="6"/>
  <c r="S1037" i="6"/>
  <c r="T1037" i="6"/>
  <c r="U1037" i="6"/>
  <c r="V1037" i="6"/>
  <c r="W1037" i="6"/>
  <c r="X1037" i="6"/>
  <c r="Y1037" i="6"/>
  <c r="Z1037" i="6"/>
  <c r="AA1037" i="6"/>
  <c r="J1038" i="6"/>
  <c r="K1038" i="6"/>
  <c r="L1038" i="6"/>
  <c r="M1038" i="6"/>
  <c r="N1038" i="6"/>
  <c r="O1038" i="6"/>
  <c r="P1038" i="6"/>
  <c r="Q1038" i="6"/>
  <c r="R1038" i="6"/>
  <c r="S1038" i="6"/>
  <c r="T1038" i="6"/>
  <c r="U1038" i="6"/>
  <c r="V1038" i="6"/>
  <c r="W1038" i="6"/>
  <c r="X1038" i="6"/>
  <c r="Y1038" i="6"/>
  <c r="Z1038" i="6"/>
  <c r="AA1038" i="6"/>
  <c r="J1039" i="6"/>
  <c r="K1039" i="6"/>
  <c r="L1039" i="6"/>
  <c r="M1039" i="6"/>
  <c r="N1039" i="6"/>
  <c r="O1039" i="6"/>
  <c r="P1039" i="6"/>
  <c r="Q1039" i="6"/>
  <c r="R1039" i="6"/>
  <c r="S1039" i="6"/>
  <c r="T1039" i="6"/>
  <c r="U1039" i="6"/>
  <c r="V1039" i="6"/>
  <c r="W1039" i="6"/>
  <c r="X1039" i="6"/>
  <c r="Y1039" i="6"/>
  <c r="Z1039" i="6"/>
  <c r="AA1039" i="6"/>
  <c r="J1040" i="6"/>
  <c r="K1040" i="6"/>
  <c r="L1040" i="6"/>
  <c r="M1040" i="6"/>
  <c r="N1040" i="6"/>
  <c r="O1040" i="6"/>
  <c r="P1040" i="6"/>
  <c r="Q1040" i="6"/>
  <c r="R1040" i="6"/>
  <c r="S1040" i="6"/>
  <c r="T1040" i="6"/>
  <c r="U1040" i="6"/>
  <c r="V1040" i="6"/>
  <c r="W1040" i="6"/>
  <c r="X1040" i="6"/>
  <c r="Y1040" i="6"/>
  <c r="Z1040" i="6"/>
  <c r="AA1040" i="6"/>
  <c r="J1041" i="6"/>
  <c r="K1041" i="6"/>
  <c r="L1041" i="6"/>
  <c r="M1041" i="6"/>
  <c r="N1041" i="6"/>
  <c r="O1041" i="6"/>
  <c r="P1041" i="6"/>
  <c r="Q1041" i="6"/>
  <c r="R1041" i="6"/>
  <c r="S1041" i="6"/>
  <c r="T1041" i="6"/>
  <c r="U1041" i="6"/>
  <c r="V1041" i="6"/>
  <c r="W1041" i="6"/>
  <c r="X1041" i="6"/>
  <c r="Y1041" i="6"/>
  <c r="Z1041" i="6"/>
  <c r="AA1041" i="6"/>
  <c r="J1042" i="6"/>
  <c r="K1042" i="6"/>
  <c r="L1042" i="6"/>
  <c r="M1042" i="6"/>
  <c r="N1042" i="6"/>
  <c r="O1042" i="6"/>
  <c r="P1042" i="6"/>
  <c r="Q1042" i="6"/>
  <c r="R1042" i="6"/>
  <c r="S1042" i="6"/>
  <c r="T1042" i="6"/>
  <c r="U1042" i="6"/>
  <c r="V1042" i="6"/>
  <c r="W1042" i="6"/>
  <c r="X1042" i="6"/>
  <c r="Y1042" i="6"/>
  <c r="Z1042" i="6"/>
  <c r="AA1042" i="6"/>
  <c r="J1043" i="6"/>
  <c r="K1043" i="6"/>
  <c r="L1043" i="6"/>
  <c r="M1043" i="6"/>
  <c r="N1043" i="6"/>
  <c r="O1043" i="6"/>
  <c r="P1043" i="6"/>
  <c r="Q1043" i="6"/>
  <c r="R1043" i="6"/>
  <c r="S1043" i="6"/>
  <c r="T1043" i="6"/>
  <c r="U1043" i="6"/>
  <c r="V1043" i="6"/>
  <c r="W1043" i="6"/>
  <c r="X1043" i="6"/>
  <c r="Y1043" i="6"/>
  <c r="Z1043" i="6"/>
  <c r="AA1043" i="6"/>
  <c r="J1044" i="6"/>
  <c r="K1044" i="6"/>
  <c r="L1044" i="6"/>
  <c r="M1044" i="6"/>
  <c r="N1044" i="6"/>
  <c r="O1044" i="6"/>
  <c r="P1044" i="6"/>
  <c r="Q1044" i="6"/>
  <c r="R1044" i="6"/>
  <c r="S1044" i="6"/>
  <c r="T1044" i="6"/>
  <c r="U1044" i="6"/>
  <c r="V1044" i="6"/>
  <c r="W1044" i="6"/>
  <c r="X1044" i="6"/>
  <c r="Y1044" i="6"/>
  <c r="Z1044" i="6"/>
  <c r="AA1044" i="6"/>
  <c r="J1045" i="6"/>
  <c r="K1045" i="6"/>
  <c r="L1045" i="6"/>
  <c r="M1045" i="6"/>
  <c r="N1045" i="6"/>
  <c r="O1045" i="6"/>
  <c r="P1045" i="6"/>
  <c r="Q1045" i="6"/>
  <c r="R1045" i="6"/>
  <c r="S1045" i="6"/>
  <c r="T1045" i="6"/>
  <c r="U1045" i="6"/>
  <c r="V1045" i="6"/>
  <c r="W1045" i="6"/>
  <c r="X1045" i="6"/>
  <c r="Y1045" i="6"/>
  <c r="Z1045" i="6"/>
  <c r="AA1045" i="6"/>
  <c r="J1046" i="6"/>
  <c r="K1046" i="6"/>
  <c r="L1046" i="6"/>
  <c r="M1046" i="6"/>
  <c r="N1046" i="6"/>
  <c r="O1046" i="6"/>
  <c r="P1046" i="6"/>
  <c r="Q1046" i="6"/>
  <c r="R1046" i="6"/>
  <c r="S1046" i="6"/>
  <c r="T1046" i="6"/>
  <c r="U1046" i="6"/>
  <c r="V1046" i="6"/>
  <c r="W1046" i="6"/>
  <c r="X1046" i="6"/>
  <c r="Y1046" i="6"/>
  <c r="Z1046" i="6"/>
  <c r="AA1046" i="6"/>
  <c r="J1047" i="6"/>
  <c r="K1047" i="6"/>
  <c r="L1047" i="6"/>
  <c r="M1047" i="6"/>
  <c r="N1047" i="6"/>
  <c r="O1047" i="6"/>
  <c r="P1047" i="6"/>
  <c r="Q1047" i="6"/>
  <c r="R1047" i="6"/>
  <c r="S1047" i="6"/>
  <c r="T1047" i="6"/>
  <c r="U1047" i="6"/>
  <c r="V1047" i="6"/>
  <c r="W1047" i="6"/>
  <c r="X1047" i="6"/>
  <c r="Y1047" i="6"/>
  <c r="Z1047" i="6"/>
  <c r="AA1047" i="6"/>
  <c r="J1048" i="6"/>
  <c r="K1048" i="6"/>
  <c r="L1048" i="6"/>
  <c r="M1048" i="6"/>
  <c r="N1048" i="6"/>
  <c r="O1048" i="6"/>
  <c r="P1048" i="6"/>
  <c r="Q1048" i="6"/>
  <c r="R1048" i="6"/>
  <c r="S1048" i="6"/>
  <c r="T1048" i="6"/>
  <c r="U1048" i="6"/>
  <c r="V1048" i="6"/>
  <c r="W1048" i="6"/>
  <c r="X1048" i="6"/>
  <c r="Y1048" i="6"/>
  <c r="Z1048" i="6"/>
  <c r="AA1048" i="6"/>
  <c r="J1049" i="6"/>
  <c r="K1049" i="6"/>
  <c r="L1049" i="6"/>
  <c r="M1049" i="6"/>
  <c r="N1049" i="6"/>
  <c r="O1049" i="6"/>
  <c r="P1049" i="6"/>
  <c r="Q1049" i="6"/>
  <c r="R1049" i="6"/>
  <c r="S1049" i="6"/>
  <c r="T1049" i="6"/>
  <c r="U1049" i="6"/>
  <c r="V1049" i="6"/>
  <c r="W1049" i="6"/>
  <c r="X1049" i="6"/>
  <c r="Y1049" i="6"/>
  <c r="Z1049" i="6"/>
  <c r="AA1049" i="6"/>
  <c r="J1050" i="6"/>
  <c r="K1050" i="6"/>
  <c r="L1050" i="6"/>
  <c r="M1050" i="6"/>
  <c r="N1050" i="6"/>
  <c r="O1050" i="6"/>
  <c r="P1050" i="6"/>
  <c r="Q1050" i="6"/>
  <c r="R1050" i="6"/>
  <c r="S1050" i="6"/>
  <c r="T1050" i="6"/>
  <c r="U1050" i="6"/>
  <c r="V1050" i="6"/>
  <c r="W1050" i="6"/>
  <c r="X1050" i="6"/>
  <c r="Y1050" i="6"/>
  <c r="Z1050" i="6"/>
  <c r="AA1050" i="6"/>
  <c r="J1051" i="6"/>
  <c r="K1051" i="6"/>
  <c r="L1051" i="6"/>
  <c r="M1051" i="6"/>
  <c r="N1051" i="6"/>
  <c r="O1051" i="6"/>
  <c r="P1051" i="6"/>
  <c r="Q1051" i="6"/>
  <c r="R1051" i="6"/>
  <c r="S1051" i="6"/>
  <c r="T1051" i="6"/>
  <c r="U1051" i="6"/>
  <c r="V1051" i="6"/>
  <c r="W1051" i="6"/>
  <c r="X1051" i="6"/>
  <c r="Y1051" i="6"/>
  <c r="Z1051" i="6"/>
  <c r="AA1051" i="6"/>
  <c r="J1052" i="6"/>
  <c r="K1052" i="6"/>
  <c r="L1052" i="6"/>
  <c r="M1052" i="6"/>
  <c r="N1052" i="6"/>
  <c r="O1052" i="6"/>
  <c r="P1052" i="6"/>
  <c r="Q1052" i="6"/>
  <c r="R1052" i="6"/>
  <c r="S1052" i="6"/>
  <c r="T1052" i="6"/>
  <c r="U1052" i="6"/>
  <c r="V1052" i="6"/>
  <c r="W1052" i="6"/>
  <c r="X1052" i="6"/>
  <c r="Y1052" i="6"/>
  <c r="Z1052" i="6"/>
  <c r="AA1052" i="6"/>
  <c r="J1053" i="6"/>
  <c r="K1053" i="6"/>
  <c r="L1053" i="6"/>
  <c r="M1053" i="6"/>
  <c r="N1053" i="6"/>
  <c r="O1053" i="6"/>
  <c r="P1053" i="6"/>
  <c r="Q1053" i="6"/>
  <c r="R1053" i="6"/>
  <c r="S1053" i="6"/>
  <c r="T1053" i="6"/>
  <c r="U1053" i="6"/>
  <c r="V1053" i="6"/>
  <c r="W1053" i="6"/>
  <c r="X1053" i="6"/>
  <c r="Y1053" i="6"/>
  <c r="Z1053" i="6"/>
  <c r="AA1053" i="6"/>
  <c r="J1054" i="6"/>
  <c r="K1054" i="6"/>
  <c r="L1054" i="6"/>
  <c r="M1054" i="6"/>
  <c r="N1054" i="6"/>
  <c r="O1054" i="6"/>
  <c r="P1054" i="6"/>
  <c r="Q1054" i="6"/>
  <c r="R1054" i="6"/>
  <c r="S1054" i="6"/>
  <c r="T1054" i="6"/>
  <c r="U1054" i="6"/>
  <c r="V1054" i="6"/>
  <c r="W1054" i="6"/>
  <c r="X1054" i="6"/>
  <c r="Y1054" i="6"/>
  <c r="Z1054" i="6"/>
  <c r="AA1054" i="6"/>
  <c r="J1055" i="6"/>
  <c r="K1055" i="6"/>
  <c r="L1055" i="6"/>
  <c r="M1055" i="6"/>
  <c r="N1055" i="6"/>
  <c r="O1055" i="6"/>
  <c r="P1055" i="6"/>
  <c r="Q1055" i="6"/>
  <c r="R1055" i="6"/>
  <c r="S1055" i="6"/>
  <c r="T1055" i="6"/>
  <c r="U1055" i="6"/>
  <c r="V1055" i="6"/>
  <c r="W1055" i="6"/>
  <c r="X1055" i="6"/>
  <c r="Y1055" i="6"/>
  <c r="Z1055" i="6"/>
  <c r="AA1055" i="6"/>
  <c r="J1056" i="6"/>
  <c r="K1056" i="6"/>
  <c r="L1056" i="6"/>
  <c r="M1056" i="6"/>
  <c r="N1056" i="6"/>
  <c r="O1056" i="6"/>
  <c r="P1056" i="6"/>
  <c r="Q1056" i="6"/>
  <c r="R1056" i="6"/>
  <c r="S1056" i="6"/>
  <c r="T1056" i="6"/>
  <c r="U1056" i="6"/>
  <c r="V1056" i="6"/>
  <c r="W1056" i="6"/>
  <c r="X1056" i="6"/>
  <c r="Y1056" i="6"/>
  <c r="Z1056" i="6"/>
  <c r="AA1056" i="6"/>
  <c r="J1057" i="6"/>
  <c r="K1057" i="6"/>
  <c r="L1057" i="6"/>
  <c r="M1057" i="6"/>
  <c r="N1057" i="6"/>
  <c r="O1057" i="6"/>
  <c r="P1057" i="6"/>
  <c r="Q1057" i="6"/>
  <c r="R1057" i="6"/>
  <c r="S1057" i="6"/>
  <c r="T1057" i="6"/>
  <c r="U1057" i="6"/>
  <c r="V1057" i="6"/>
  <c r="W1057" i="6"/>
  <c r="X1057" i="6"/>
  <c r="Y1057" i="6"/>
  <c r="Z1057" i="6"/>
  <c r="AA1057" i="6"/>
  <c r="J1058" i="6"/>
  <c r="K1058" i="6"/>
  <c r="L1058" i="6"/>
  <c r="M1058" i="6"/>
  <c r="N1058" i="6"/>
  <c r="O1058" i="6"/>
  <c r="P1058" i="6"/>
  <c r="Q1058" i="6"/>
  <c r="R1058" i="6"/>
  <c r="S1058" i="6"/>
  <c r="T1058" i="6"/>
  <c r="U1058" i="6"/>
  <c r="V1058" i="6"/>
  <c r="W1058" i="6"/>
  <c r="X1058" i="6"/>
  <c r="Y1058" i="6"/>
  <c r="Z1058" i="6"/>
  <c r="AA1058" i="6"/>
  <c r="J1059" i="6"/>
  <c r="K1059" i="6"/>
  <c r="L1059" i="6"/>
  <c r="M1059" i="6"/>
  <c r="N1059" i="6"/>
  <c r="O1059" i="6"/>
  <c r="P1059" i="6"/>
  <c r="Q1059" i="6"/>
  <c r="R1059" i="6"/>
  <c r="S1059" i="6"/>
  <c r="T1059" i="6"/>
  <c r="U1059" i="6"/>
  <c r="V1059" i="6"/>
  <c r="W1059" i="6"/>
  <c r="X1059" i="6"/>
  <c r="Y1059" i="6"/>
  <c r="Z1059" i="6"/>
  <c r="AA1059" i="6"/>
  <c r="J1060" i="6"/>
  <c r="K1060" i="6"/>
  <c r="L1060" i="6"/>
  <c r="M1060" i="6"/>
  <c r="N1060" i="6"/>
  <c r="O1060" i="6"/>
  <c r="P1060" i="6"/>
  <c r="Q1060" i="6"/>
  <c r="R1060" i="6"/>
  <c r="S1060" i="6"/>
  <c r="T1060" i="6"/>
  <c r="U1060" i="6"/>
  <c r="V1060" i="6"/>
  <c r="W1060" i="6"/>
  <c r="X1060" i="6"/>
  <c r="Y1060" i="6"/>
  <c r="Z1060" i="6"/>
  <c r="AA1060" i="6"/>
  <c r="J1061" i="6"/>
  <c r="K1061" i="6"/>
  <c r="L1061" i="6"/>
  <c r="M1061" i="6"/>
  <c r="N1061" i="6"/>
  <c r="O1061" i="6"/>
  <c r="P1061" i="6"/>
  <c r="Q1061" i="6"/>
  <c r="R1061" i="6"/>
  <c r="S1061" i="6"/>
  <c r="T1061" i="6"/>
  <c r="U1061" i="6"/>
  <c r="V1061" i="6"/>
  <c r="W1061" i="6"/>
  <c r="X1061" i="6"/>
  <c r="Y1061" i="6"/>
  <c r="Z1061" i="6"/>
  <c r="AA1061" i="6"/>
  <c r="J1062" i="6"/>
  <c r="K1062" i="6"/>
  <c r="L1062" i="6"/>
  <c r="M1062" i="6"/>
  <c r="N1062" i="6"/>
  <c r="O1062" i="6"/>
  <c r="P1062" i="6"/>
  <c r="Q1062" i="6"/>
  <c r="R1062" i="6"/>
  <c r="S1062" i="6"/>
  <c r="T1062" i="6"/>
  <c r="U1062" i="6"/>
  <c r="V1062" i="6"/>
  <c r="W1062" i="6"/>
  <c r="X1062" i="6"/>
  <c r="Y1062" i="6"/>
  <c r="Z1062" i="6"/>
  <c r="AA1062" i="6"/>
  <c r="J1063" i="6"/>
  <c r="K1063" i="6"/>
  <c r="L1063" i="6"/>
  <c r="M1063" i="6"/>
  <c r="N1063" i="6"/>
  <c r="O1063" i="6"/>
  <c r="P1063" i="6"/>
  <c r="Q1063" i="6"/>
  <c r="R1063" i="6"/>
  <c r="S1063" i="6"/>
  <c r="T1063" i="6"/>
  <c r="U1063" i="6"/>
  <c r="V1063" i="6"/>
  <c r="W1063" i="6"/>
  <c r="X1063" i="6"/>
  <c r="Y1063" i="6"/>
  <c r="Z1063" i="6"/>
  <c r="AA1063" i="6"/>
  <c r="J1064" i="6"/>
  <c r="K1064" i="6"/>
  <c r="L1064" i="6"/>
  <c r="M1064" i="6"/>
  <c r="N1064" i="6"/>
  <c r="O1064" i="6"/>
  <c r="P1064" i="6"/>
  <c r="Q1064" i="6"/>
  <c r="R1064" i="6"/>
  <c r="S1064" i="6"/>
  <c r="T1064" i="6"/>
  <c r="U1064" i="6"/>
  <c r="V1064" i="6"/>
  <c r="W1064" i="6"/>
  <c r="X1064" i="6"/>
  <c r="Y1064" i="6"/>
  <c r="Z1064" i="6"/>
  <c r="AA1064" i="6"/>
  <c r="J1065" i="6"/>
  <c r="K1065" i="6"/>
  <c r="L1065" i="6"/>
  <c r="M1065" i="6"/>
  <c r="N1065" i="6"/>
  <c r="O1065" i="6"/>
  <c r="P1065" i="6"/>
  <c r="Q1065" i="6"/>
  <c r="R1065" i="6"/>
  <c r="S1065" i="6"/>
  <c r="T1065" i="6"/>
  <c r="U1065" i="6"/>
  <c r="V1065" i="6"/>
  <c r="W1065" i="6"/>
  <c r="X1065" i="6"/>
  <c r="Y1065" i="6"/>
  <c r="Z1065" i="6"/>
  <c r="AA1065" i="6"/>
  <c r="J1066" i="6"/>
  <c r="K1066" i="6"/>
  <c r="L1066" i="6"/>
  <c r="M1066" i="6"/>
  <c r="N1066" i="6"/>
  <c r="O1066" i="6"/>
  <c r="P1066" i="6"/>
  <c r="Q1066" i="6"/>
  <c r="R1066" i="6"/>
  <c r="S1066" i="6"/>
  <c r="T1066" i="6"/>
  <c r="U1066" i="6"/>
  <c r="V1066" i="6"/>
  <c r="W1066" i="6"/>
  <c r="X1066" i="6"/>
  <c r="Y1066" i="6"/>
  <c r="Z1066" i="6"/>
  <c r="AA1066" i="6"/>
  <c r="J1067" i="6"/>
  <c r="K1067" i="6"/>
  <c r="L1067" i="6"/>
  <c r="M1067" i="6"/>
  <c r="N1067" i="6"/>
  <c r="O1067" i="6"/>
  <c r="P1067" i="6"/>
  <c r="Q1067" i="6"/>
  <c r="R1067" i="6"/>
  <c r="S1067" i="6"/>
  <c r="T1067" i="6"/>
  <c r="U1067" i="6"/>
  <c r="V1067" i="6"/>
  <c r="W1067" i="6"/>
  <c r="X1067" i="6"/>
  <c r="Y1067" i="6"/>
  <c r="Z1067" i="6"/>
  <c r="AA1067" i="6"/>
  <c r="J1068" i="6"/>
  <c r="K1068" i="6"/>
  <c r="L1068" i="6"/>
  <c r="M1068" i="6"/>
  <c r="N1068" i="6"/>
  <c r="O1068" i="6"/>
  <c r="P1068" i="6"/>
  <c r="Q1068" i="6"/>
  <c r="R1068" i="6"/>
  <c r="S1068" i="6"/>
  <c r="T1068" i="6"/>
  <c r="U1068" i="6"/>
  <c r="V1068" i="6"/>
  <c r="W1068" i="6"/>
  <c r="X1068" i="6"/>
  <c r="Y1068" i="6"/>
  <c r="Z1068" i="6"/>
  <c r="AA1068" i="6"/>
  <c r="J1069" i="6"/>
  <c r="K1069" i="6"/>
  <c r="L1069" i="6"/>
  <c r="M1069" i="6"/>
  <c r="N1069" i="6"/>
  <c r="O1069" i="6"/>
  <c r="P1069" i="6"/>
  <c r="Q1069" i="6"/>
  <c r="R1069" i="6"/>
  <c r="S1069" i="6"/>
  <c r="T1069" i="6"/>
  <c r="U1069" i="6"/>
  <c r="V1069" i="6"/>
  <c r="W1069" i="6"/>
  <c r="X1069" i="6"/>
  <c r="Y1069" i="6"/>
  <c r="Z1069" i="6"/>
  <c r="AA1069" i="6"/>
  <c r="J1070" i="6"/>
  <c r="K1070" i="6"/>
  <c r="L1070" i="6"/>
  <c r="M1070" i="6"/>
  <c r="N1070" i="6"/>
  <c r="O1070" i="6"/>
  <c r="P1070" i="6"/>
  <c r="Q1070" i="6"/>
  <c r="R1070" i="6"/>
  <c r="S1070" i="6"/>
  <c r="T1070" i="6"/>
  <c r="U1070" i="6"/>
  <c r="V1070" i="6"/>
  <c r="W1070" i="6"/>
  <c r="X1070" i="6"/>
  <c r="Y1070" i="6"/>
  <c r="Z1070" i="6"/>
  <c r="AA1070" i="6"/>
  <c r="J1071" i="6"/>
  <c r="K1071" i="6"/>
  <c r="L1071" i="6"/>
  <c r="M1071" i="6"/>
  <c r="N1071" i="6"/>
  <c r="O1071" i="6"/>
  <c r="P1071" i="6"/>
  <c r="Q1071" i="6"/>
  <c r="R1071" i="6"/>
  <c r="S1071" i="6"/>
  <c r="T1071" i="6"/>
  <c r="U1071" i="6"/>
  <c r="V1071" i="6"/>
  <c r="W1071" i="6"/>
  <c r="X1071" i="6"/>
  <c r="Y1071" i="6"/>
  <c r="Z1071" i="6"/>
  <c r="AA1071" i="6"/>
  <c r="J1072" i="6"/>
  <c r="K1072" i="6"/>
  <c r="L1072" i="6"/>
  <c r="M1072" i="6"/>
  <c r="N1072" i="6"/>
  <c r="O1072" i="6"/>
  <c r="P1072" i="6"/>
  <c r="Q1072" i="6"/>
  <c r="R1072" i="6"/>
  <c r="S1072" i="6"/>
  <c r="T1072" i="6"/>
  <c r="U1072" i="6"/>
  <c r="V1072" i="6"/>
  <c r="W1072" i="6"/>
  <c r="X1072" i="6"/>
  <c r="Y1072" i="6"/>
  <c r="Z1072" i="6"/>
  <c r="AA1072" i="6"/>
  <c r="J1073" i="6"/>
  <c r="K1073" i="6"/>
  <c r="L1073" i="6"/>
  <c r="M1073" i="6"/>
  <c r="N1073" i="6"/>
  <c r="O1073" i="6"/>
  <c r="P1073" i="6"/>
  <c r="Q1073" i="6"/>
  <c r="R1073" i="6"/>
  <c r="S1073" i="6"/>
  <c r="T1073" i="6"/>
  <c r="U1073" i="6"/>
  <c r="V1073" i="6"/>
  <c r="W1073" i="6"/>
  <c r="X1073" i="6"/>
  <c r="Y1073" i="6"/>
  <c r="Z1073" i="6"/>
  <c r="AA1073" i="6"/>
  <c r="J1074" i="6"/>
  <c r="K1074" i="6"/>
  <c r="L1074" i="6"/>
  <c r="M1074" i="6"/>
  <c r="N1074" i="6"/>
  <c r="O1074" i="6"/>
  <c r="P1074" i="6"/>
  <c r="Q1074" i="6"/>
  <c r="R1074" i="6"/>
  <c r="S1074" i="6"/>
  <c r="T1074" i="6"/>
  <c r="U1074" i="6"/>
  <c r="V1074" i="6"/>
  <c r="W1074" i="6"/>
  <c r="X1074" i="6"/>
  <c r="Y1074" i="6"/>
  <c r="Z1074" i="6"/>
  <c r="AA1074" i="6"/>
  <c r="J1075" i="6"/>
  <c r="K1075" i="6"/>
  <c r="L1075" i="6"/>
  <c r="M1075" i="6"/>
  <c r="N1075" i="6"/>
  <c r="O1075" i="6"/>
  <c r="P1075" i="6"/>
  <c r="Q1075" i="6"/>
  <c r="R1075" i="6"/>
  <c r="S1075" i="6"/>
  <c r="T1075" i="6"/>
  <c r="U1075" i="6"/>
  <c r="V1075" i="6"/>
  <c r="W1075" i="6"/>
  <c r="X1075" i="6"/>
  <c r="Y1075" i="6"/>
  <c r="Z1075" i="6"/>
  <c r="AA1075" i="6"/>
  <c r="J1076" i="6"/>
  <c r="K1076" i="6"/>
  <c r="L1076" i="6"/>
  <c r="M1076" i="6"/>
  <c r="N1076" i="6"/>
  <c r="O1076" i="6"/>
  <c r="P1076" i="6"/>
  <c r="Q1076" i="6"/>
  <c r="R1076" i="6"/>
  <c r="S1076" i="6"/>
  <c r="T1076" i="6"/>
  <c r="U1076" i="6"/>
  <c r="V1076" i="6"/>
  <c r="W1076" i="6"/>
  <c r="X1076" i="6"/>
  <c r="Y1076" i="6"/>
  <c r="Z1076" i="6"/>
  <c r="AA1076" i="6"/>
  <c r="J1077" i="6"/>
  <c r="K1077" i="6"/>
  <c r="L1077" i="6"/>
  <c r="M1077" i="6"/>
  <c r="N1077" i="6"/>
  <c r="O1077" i="6"/>
  <c r="P1077" i="6"/>
  <c r="Q1077" i="6"/>
  <c r="R1077" i="6"/>
  <c r="S1077" i="6"/>
  <c r="T1077" i="6"/>
  <c r="U1077" i="6"/>
  <c r="V1077" i="6"/>
  <c r="W1077" i="6"/>
  <c r="X1077" i="6"/>
  <c r="Y1077" i="6"/>
  <c r="Z1077" i="6"/>
  <c r="AA1077" i="6"/>
  <c r="J1078" i="6"/>
  <c r="K1078" i="6"/>
  <c r="L1078" i="6"/>
  <c r="M1078" i="6"/>
  <c r="N1078" i="6"/>
  <c r="O1078" i="6"/>
  <c r="P1078" i="6"/>
  <c r="Q1078" i="6"/>
  <c r="R1078" i="6"/>
  <c r="S1078" i="6"/>
  <c r="T1078" i="6"/>
  <c r="U1078" i="6"/>
  <c r="V1078" i="6"/>
  <c r="W1078" i="6"/>
  <c r="X1078" i="6"/>
  <c r="Y1078" i="6"/>
  <c r="Z1078" i="6"/>
  <c r="AA1078" i="6"/>
  <c r="J1079" i="6"/>
  <c r="K1079" i="6"/>
  <c r="L1079" i="6"/>
  <c r="M1079" i="6"/>
  <c r="N1079" i="6"/>
  <c r="O1079" i="6"/>
  <c r="P1079" i="6"/>
  <c r="Q1079" i="6"/>
  <c r="R1079" i="6"/>
  <c r="S1079" i="6"/>
  <c r="T1079" i="6"/>
  <c r="U1079" i="6"/>
  <c r="V1079" i="6"/>
  <c r="W1079" i="6"/>
  <c r="X1079" i="6"/>
  <c r="Y1079" i="6"/>
  <c r="Z1079" i="6"/>
  <c r="AA1079" i="6"/>
  <c r="J1080" i="6"/>
  <c r="K1080" i="6"/>
  <c r="L1080" i="6"/>
  <c r="M1080" i="6"/>
  <c r="N1080" i="6"/>
  <c r="O1080" i="6"/>
  <c r="P1080" i="6"/>
  <c r="Q1080" i="6"/>
  <c r="R1080" i="6"/>
  <c r="S1080" i="6"/>
  <c r="T1080" i="6"/>
  <c r="U1080" i="6"/>
  <c r="V1080" i="6"/>
  <c r="W1080" i="6"/>
  <c r="X1080" i="6"/>
  <c r="Y1080" i="6"/>
  <c r="Z1080" i="6"/>
  <c r="AA1080" i="6"/>
  <c r="J1081" i="6"/>
  <c r="K1081" i="6"/>
  <c r="L1081" i="6"/>
  <c r="M1081" i="6"/>
  <c r="N1081" i="6"/>
  <c r="O1081" i="6"/>
  <c r="P1081" i="6"/>
  <c r="Q1081" i="6"/>
  <c r="R1081" i="6"/>
  <c r="S1081" i="6"/>
  <c r="T1081" i="6"/>
  <c r="U1081" i="6"/>
  <c r="V1081" i="6"/>
  <c r="W1081" i="6"/>
  <c r="X1081" i="6"/>
  <c r="Y1081" i="6"/>
  <c r="Z1081" i="6"/>
  <c r="AA1081" i="6"/>
  <c r="J1082" i="6"/>
  <c r="K1082" i="6"/>
  <c r="L1082" i="6"/>
  <c r="M1082" i="6"/>
  <c r="N1082" i="6"/>
  <c r="O1082" i="6"/>
  <c r="P1082" i="6"/>
  <c r="Q1082" i="6"/>
  <c r="R1082" i="6"/>
  <c r="S1082" i="6"/>
  <c r="T1082" i="6"/>
  <c r="U1082" i="6"/>
  <c r="V1082" i="6"/>
  <c r="W1082" i="6"/>
  <c r="X1082" i="6"/>
  <c r="Y1082" i="6"/>
  <c r="Z1082" i="6"/>
  <c r="AA1082" i="6"/>
  <c r="J1083" i="6"/>
  <c r="K1083" i="6"/>
  <c r="L1083" i="6"/>
  <c r="M1083" i="6"/>
  <c r="N1083" i="6"/>
  <c r="O1083" i="6"/>
  <c r="P1083" i="6"/>
  <c r="Q1083" i="6"/>
  <c r="R1083" i="6"/>
  <c r="S1083" i="6"/>
  <c r="T1083" i="6"/>
  <c r="U1083" i="6"/>
  <c r="V1083" i="6"/>
  <c r="W1083" i="6"/>
  <c r="X1083" i="6"/>
  <c r="Y1083" i="6"/>
  <c r="Z1083" i="6"/>
  <c r="AA1083" i="6"/>
  <c r="J1084" i="6"/>
  <c r="K1084" i="6"/>
  <c r="L1084" i="6"/>
  <c r="M1084" i="6"/>
  <c r="N1084" i="6"/>
  <c r="O1084" i="6"/>
  <c r="P1084" i="6"/>
  <c r="Q1084" i="6"/>
  <c r="R1084" i="6"/>
  <c r="S1084" i="6"/>
  <c r="T1084" i="6"/>
  <c r="U1084" i="6"/>
  <c r="V1084" i="6"/>
  <c r="W1084" i="6"/>
  <c r="X1084" i="6"/>
  <c r="Y1084" i="6"/>
  <c r="Z1084" i="6"/>
  <c r="AA1084" i="6"/>
  <c r="J1085" i="6"/>
  <c r="K1085" i="6"/>
  <c r="L1085" i="6"/>
  <c r="M1085" i="6"/>
  <c r="N1085" i="6"/>
  <c r="O1085" i="6"/>
  <c r="P1085" i="6"/>
  <c r="Q1085" i="6"/>
  <c r="R1085" i="6"/>
  <c r="S1085" i="6"/>
  <c r="T1085" i="6"/>
  <c r="U1085" i="6"/>
  <c r="V1085" i="6"/>
  <c r="W1085" i="6"/>
  <c r="X1085" i="6"/>
  <c r="Y1085" i="6"/>
  <c r="Z1085" i="6"/>
  <c r="AA1085" i="6"/>
  <c r="J1086" i="6"/>
  <c r="K1086" i="6"/>
  <c r="L1086" i="6"/>
  <c r="M1086" i="6"/>
  <c r="N1086" i="6"/>
  <c r="O1086" i="6"/>
  <c r="P1086" i="6"/>
  <c r="Q1086" i="6"/>
  <c r="R1086" i="6"/>
  <c r="S1086" i="6"/>
  <c r="T1086" i="6"/>
  <c r="U1086" i="6"/>
  <c r="V1086" i="6"/>
  <c r="W1086" i="6"/>
  <c r="X1086" i="6"/>
  <c r="Y1086" i="6"/>
  <c r="Z1086" i="6"/>
  <c r="AA1086" i="6"/>
  <c r="J1087" i="6"/>
  <c r="K1087" i="6"/>
  <c r="L1087" i="6"/>
  <c r="M1087" i="6"/>
  <c r="N1087" i="6"/>
  <c r="O1087" i="6"/>
  <c r="P1087" i="6"/>
  <c r="Q1087" i="6"/>
  <c r="R1087" i="6"/>
  <c r="S1087" i="6"/>
  <c r="T1087" i="6"/>
  <c r="U1087" i="6"/>
  <c r="V1087" i="6"/>
  <c r="W1087" i="6"/>
  <c r="X1087" i="6"/>
  <c r="Y1087" i="6"/>
  <c r="Z1087" i="6"/>
  <c r="AA1087" i="6"/>
  <c r="J1088" i="6"/>
  <c r="K1088" i="6"/>
  <c r="L1088" i="6"/>
  <c r="M1088" i="6"/>
  <c r="N1088" i="6"/>
  <c r="O1088" i="6"/>
  <c r="P1088" i="6"/>
  <c r="Q1088" i="6"/>
  <c r="R1088" i="6"/>
  <c r="S1088" i="6"/>
  <c r="T1088" i="6"/>
  <c r="U1088" i="6"/>
  <c r="V1088" i="6"/>
  <c r="W1088" i="6"/>
  <c r="X1088" i="6"/>
  <c r="Y1088" i="6"/>
  <c r="Z1088" i="6"/>
  <c r="AA1088" i="6"/>
  <c r="J1089" i="6"/>
  <c r="K1089" i="6"/>
  <c r="L1089" i="6"/>
  <c r="M1089" i="6"/>
  <c r="N1089" i="6"/>
  <c r="O1089" i="6"/>
  <c r="P1089" i="6"/>
  <c r="Q1089" i="6"/>
  <c r="R1089" i="6"/>
  <c r="S1089" i="6"/>
  <c r="T1089" i="6"/>
  <c r="U1089" i="6"/>
  <c r="V1089" i="6"/>
  <c r="W1089" i="6"/>
  <c r="X1089" i="6"/>
  <c r="Y1089" i="6"/>
  <c r="Z1089" i="6"/>
  <c r="AA1089" i="6"/>
  <c r="J1090" i="6"/>
  <c r="K1090" i="6"/>
  <c r="L1090" i="6"/>
  <c r="M1090" i="6"/>
  <c r="N1090" i="6"/>
  <c r="O1090" i="6"/>
  <c r="P1090" i="6"/>
  <c r="Q1090" i="6"/>
  <c r="R1090" i="6"/>
  <c r="S1090" i="6"/>
  <c r="T1090" i="6"/>
  <c r="U1090" i="6"/>
  <c r="V1090" i="6"/>
  <c r="W1090" i="6"/>
  <c r="X1090" i="6"/>
  <c r="Y1090" i="6"/>
  <c r="Z1090" i="6"/>
  <c r="AA1090" i="6"/>
  <c r="J1091" i="6"/>
  <c r="K1091" i="6"/>
  <c r="L1091" i="6"/>
  <c r="M1091" i="6"/>
  <c r="N1091" i="6"/>
  <c r="O1091" i="6"/>
  <c r="P1091" i="6"/>
  <c r="Q1091" i="6"/>
  <c r="R1091" i="6"/>
  <c r="S1091" i="6"/>
  <c r="T1091" i="6"/>
  <c r="U1091" i="6"/>
  <c r="V1091" i="6"/>
  <c r="W1091" i="6"/>
  <c r="X1091" i="6"/>
  <c r="Y1091" i="6"/>
  <c r="Z1091" i="6"/>
  <c r="AA1091" i="6"/>
  <c r="J1092" i="6"/>
  <c r="K1092" i="6"/>
  <c r="L1092" i="6"/>
  <c r="M1092" i="6"/>
  <c r="N1092" i="6"/>
  <c r="O1092" i="6"/>
  <c r="P1092" i="6"/>
  <c r="Q1092" i="6"/>
  <c r="R1092" i="6"/>
  <c r="S1092" i="6"/>
  <c r="T1092" i="6"/>
  <c r="U1092" i="6"/>
  <c r="V1092" i="6"/>
  <c r="W1092" i="6"/>
  <c r="X1092" i="6"/>
  <c r="Y1092" i="6"/>
  <c r="Z1092" i="6"/>
  <c r="AA1092" i="6"/>
  <c r="J1093" i="6"/>
  <c r="K1093" i="6"/>
  <c r="L1093" i="6"/>
  <c r="M1093" i="6"/>
  <c r="N1093" i="6"/>
  <c r="O1093" i="6"/>
  <c r="P1093" i="6"/>
  <c r="Q1093" i="6"/>
  <c r="R1093" i="6"/>
  <c r="S1093" i="6"/>
  <c r="T1093" i="6"/>
  <c r="U1093" i="6"/>
  <c r="V1093" i="6"/>
  <c r="W1093" i="6"/>
  <c r="X1093" i="6"/>
  <c r="Y1093" i="6"/>
  <c r="Z1093" i="6"/>
  <c r="AA1093" i="6"/>
  <c r="J1094" i="6"/>
  <c r="K1094" i="6"/>
  <c r="L1094" i="6"/>
  <c r="M1094" i="6"/>
  <c r="N1094" i="6"/>
  <c r="O1094" i="6"/>
  <c r="P1094" i="6"/>
  <c r="Q1094" i="6"/>
  <c r="R1094" i="6"/>
  <c r="S1094" i="6"/>
  <c r="T1094" i="6"/>
  <c r="U1094" i="6"/>
  <c r="V1094" i="6"/>
  <c r="W1094" i="6"/>
  <c r="X1094" i="6"/>
  <c r="Y1094" i="6"/>
  <c r="Z1094" i="6"/>
  <c r="AA1094" i="6"/>
  <c r="J1095" i="6"/>
  <c r="K1095" i="6"/>
  <c r="L1095" i="6"/>
  <c r="M1095" i="6"/>
  <c r="N1095" i="6"/>
  <c r="O1095" i="6"/>
  <c r="P1095" i="6"/>
  <c r="Q1095" i="6"/>
  <c r="R1095" i="6"/>
  <c r="S1095" i="6"/>
  <c r="T1095" i="6"/>
  <c r="U1095" i="6"/>
  <c r="V1095" i="6"/>
  <c r="W1095" i="6"/>
  <c r="X1095" i="6"/>
  <c r="Y1095" i="6"/>
  <c r="Z1095" i="6"/>
  <c r="AA1095" i="6"/>
  <c r="J1096" i="6"/>
  <c r="K1096" i="6"/>
  <c r="L1096" i="6"/>
  <c r="M1096" i="6"/>
  <c r="N1096" i="6"/>
  <c r="O1096" i="6"/>
  <c r="P1096" i="6"/>
  <c r="Q1096" i="6"/>
  <c r="R1096" i="6"/>
  <c r="S1096" i="6"/>
  <c r="T1096" i="6"/>
  <c r="U1096" i="6"/>
  <c r="V1096" i="6"/>
  <c r="W1096" i="6"/>
  <c r="X1096" i="6"/>
  <c r="Y1096" i="6"/>
  <c r="Z1096" i="6"/>
  <c r="AA1096" i="6"/>
  <c r="J1097" i="6"/>
  <c r="K1097" i="6"/>
  <c r="L1097" i="6"/>
  <c r="M1097" i="6"/>
  <c r="N1097" i="6"/>
  <c r="O1097" i="6"/>
  <c r="P1097" i="6"/>
  <c r="Q1097" i="6"/>
  <c r="R1097" i="6"/>
  <c r="S1097" i="6"/>
  <c r="T1097" i="6"/>
  <c r="U1097" i="6"/>
  <c r="V1097" i="6"/>
  <c r="W1097" i="6"/>
  <c r="X1097" i="6"/>
  <c r="Y1097" i="6"/>
  <c r="Z1097" i="6"/>
  <c r="AA1097" i="6"/>
  <c r="J1098" i="6"/>
  <c r="K1098" i="6"/>
  <c r="L1098" i="6"/>
  <c r="M1098" i="6"/>
  <c r="N1098" i="6"/>
  <c r="O1098" i="6"/>
  <c r="P1098" i="6"/>
  <c r="Q1098" i="6"/>
  <c r="R1098" i="6"/>
  <c r="S1098" i="6"/>
  <c r="T1098" i="6"/>
  <c r="U1098" i="6"/>
  <c r="V1098" i="6"/>
  <c r="W1098" i="6"/>
  <c r="X1098" i="6"/>
  <c r="Y1098" i="6"/>
  <c r="Z1098" i="6"/>
  <c r="AA1098" i="6"/>
  <c r="J1099" i="6"/>
  <c r="K1099" i="6"/>
  <c r="L1099" i="6"/>
  <c r="M1099" i="6"/>
  <c r="N1099" i="6"/>
  <c r="O1099" i="6"/>
  <c r="P1099" i="6"/>
  <c r="Q1099" i="6"/>
  <c r="R1099" i="6"/>
  <c r="S1099" i="6"/>
  <c r="T1099" i="6"/>
  <c r="U1099" i="6"/>
  <c r="V1099" i="6"/>
  <c r="W1099" i="6"/>
  <c r="X1099" i="6"/>
  <c r="Y1099" i="6"/>
  <c r="Z1099" i="6"/>
  <c r="AA1099" i="6"/>
  <c r="J1100" i="6"/>
  <c r="K1100" i="6"/>
  <c r="L1100" i="6"/>
  <c r="M1100" i="6"/>
  <c r="N1100" i="6"/>
  <c r="O1100" i="6"/>
  <c r="P1100" i="6"/>
  <c r="Q1100" i="6"/>
  <c r="R1100" i="6"/>
  <c r="S1100" i="6"/>
  <c r="T1100" i="6"/>
  <c r="U1100" i="6"/>
  <c r="V1100" i="6"/>
  <c r="W1100" i="6"/>
  <c r="X1100" i="6"/>
  <c r="Y1100" i="6"/>
  <c r="Z1100" i="6"/>
  <c r="AA1100" i="6"/>
  <c r="J1101" i="6"/>
  <c r="K1101" i="6"/>
  <c r="L1101" i="6"/>
  <c r="M1101" i="6"/>
  <c r="N1101" i="6"/>
  <c r="O1101" i="6"/>
  <c r="P1101" i="6"/>
  <c r="Q1101" i="6"/>
  <c r="R1101" i="6"/>
  <c r="S1101" i="6"/>
  <c r="T1101" i="6"/>
  <c r="U1101" i="6"/>
  <c r="V1101" i="6"/>
  <c r="W1101" i="6"/>
  <c r="X1101" i="6"/>
  <c r="Y1101" i="6"/>
  <c r="Z1101" i="6"/>
  <c r="AA1101" i="6"/>
  <c r="J1102" i="6"/>
  <c r="K1102" i="6"/>
  <c r="L1102" i="6"/>
  <c r="M1102" i="6"/>
  <c r="N1102" i="6"/>
  <c r="O1102" i="6"/>
  <c r="P1102" i="6"/>
  <c r="Q1102" i="6"/>
  <c r="R1102" i="6"/>
  <c r="S1102" i="6"/>
  <c r="T1102" i="6"/>
  <c r="U1102" i="6"/>
  <c r="V1102" i="6"/>
  <c r="W1102" i="6"/>
  <c r="X1102" i="6"/>
  <c r="Y1102" i="6"/>
  <c r="Z1102" i="6"/>
  <c r="AA1102" i="6"/>
  <c r="J1103" i="6"/>
  <c r="K1103" i="6"/>
  <c r="L1103" i="6"/>
  <c r="M1103" i="6"/>
  <c r="N1103" i="6"/>
  <c r="O1103" i="6"/>
  <c r="P1103" i="6"/>
  <c r="Q1103" i="6"/>
  <c r="R1103" i="6"/>
  <c r="S1103" i="6"/>
  <c r="T1103" i="6"/>
  <c r="U1103" i="6"/>
  <c r="V1103" i="6"/>
  <c r="W1103" i="6"/>
  <c r="X1103" i="6"/>
  <c r="Y1103" i="6"/>
  <c r="Z1103" i="6"/>
  <c r="AA1103" i="6"/>
  <c r="J1104" i="6"/>
  <c r="K1104" i="6"/>
  <c r="L1104" i="6"/>
  <c r="M1104" i="6"/>
  <c r="N1104" i="6"/>
  <c r="O1104" i="6"/>
  <c r="P1104" i="6"/>
  <c r="Q1104" i="6"/>
  <c r="R1104" i="6"/>
  <c r="S1104" i="6"/>
  <c r="T1104" i="6"/>
  <c r="U1104" i="6"/>
  <c r="V1104" i="6"/>
  <c r="W1104" i="6"/>
  <c r="X1104" i="6"/>
  <c r="Y1104" i="6"/>
  <c r="Z1104" i="6"/>
  <c r="AA1104" i="6"/>
  <c r="J1105" i="6"/>
  <c r="K1105" i="6"/>
  <c r="L1105" i="6"/>
  <c r="M1105" i="6"/>
  <c r="N1105" i="6"/>
  <c r="O1105" i="6"/>
  <c r="P1105" i="6"/>
  <c r="Q1105" i="6"/>
  <c r="R1105" i="6"/>
  <c r="S1105" i="6"/>
  <c r="T1105" i="6"/>
  <c r="U1105" i="6"/>
  <c r="V1105" i="6"/>
  <c r="W1105" i="6"/>
  <c r="X1105" i="6"/>
  <c r="Y1105" i="6"/>
  <c r="Z1105" i="6"/>
  <c r="AA1105" i="6"/>
  <c r="J1106" i="6"/>
  <c r="K1106" i="6"/>
  <c r="L1106" i="6"/>
  <c r="M1106" i="6"/>
  <c r="N1106" i="6"/>
  <c r="O1106" i="6"/>
  <c r="P1106" i="6"/>
  <c r="Q1106" i="6"/>
  <c r="R1106" i="6"/>
  <c r="S1106" i="6"/>
  <c r="T1106" i="6"/>
  <c r="U1106" i="6"/>
  <c r="V1106" i="6"/>
  <c r="W1106" i="6"/>
  <c r="X1106" i="6"/>
  <c r="Y1106" i="6"/>
  <c r="Z1106" i="6"/>
  <c r="AA1106" i="6"/>
  <c r="J1107" i="6"/>
  <c r="K1107" i="6"/>
  <c r="L1107" i="6"/>
  <c r="M1107" i="6"/>
  <c r="N1107" i="6"/>
  <c r="O1107" i="6"/>
  <c r="P1107" i="6"/>
  <c r="Q1107" i="6"/>
  <c r="R1107" i="6"/>
  <c r="S1107" i="6"/>
  <c r="T1107" i="6"/>
  <c r="U1107" i="6"/>
  <c r="V1107" i="6"/>
  <c r="W1107" i="6"/>
  <c r="X1107" i="6"/>
  <c r="Y1107" i="6"/>
  <c r="Z1107" i="6"/>
  <c r="AA1107" i="6"/>
  <c r="J1108" i="6"/>
  <c r="K1108" i="6"/>
  <c r="L1108" i="6"/>
  <c r="M1108" i="6"/>
  <c r="N1108" i="6"/>
  <c r="O1108" i="6"/>
  <c r="P1108" i="6"/>
  <c r="Q1108" i="6"/>
  <c r="R1108" i="6"/>
  <c r="S1108" i="6"/>
  <c r="T1108" i="6"/>
  <c r="U1108" i="6"/>
  <c r="V1108" i="6"/>
  <c r="W1108" i="6"/>
  <c r="X1108" i="6"/>
  <c r="Y1108" i="6"/>
  <c r="Z1108" i="6"/>
  <c r="AA1108" i="6"/>
  <c r="J1109" i="6"/>
  <c r="K1109" i="6"/>
  <c r="L1109" i="6"/>
  <c r="M1109" i="6"/>
  <c r="N1109" i="6"/>
  <c r="O1109" i="6"/>
  <c r="P1109" i="6"/>
  <c r="Q1109" i="6"/>
  <c r="R1109" i="6"/>
  <c r="S1109" i="6"/>
  <c r="T1109" i="6"/>
  <c r="U1109" i="6"/>
  <c r="V1109" i="6"/>
  <c r="W1109" i="6"/>
  <c r="X1109" i="6"/>
  <c r="Y1109" i="6"/>
  <c r="Z1109" i="6"/>
  <c r="AA1109" i="6"/>
  <c r="J1110" i="6"/>
  <c r="K1110" i="6"/>
  <c r="L1110" i="6"/>
  <c r="M1110" i="6"/>
  <c r="N1110" i="6"/>
  <c r="O1110" i="6"/>
  <c r="P1110" i="6"/>
  <c r="Q1110" i="6"/>
  <c r="R1110" i="6"/>
  <c r="S1110" i="6"/>
  <c r="T1110" i="6"/>
  <c r="U1110" i="6"/>
  <c r="V1110" i="6"/>
  <c r="W1110" i="6"/>
  <c r="X1110" i="6"/>
  <c r="Y1110" i="6"/>
  <c r="Z1110" i="6"/>
  <c r="AA1110" i="6"/>
  <c r="J1111" i="6"/>
  <c r="K1111" i="6"/>
  <c r="L1111" i="6"/>
  <c r="M1111" i="6"/>
  <c r="N1111" i="6"/>
  <c r="O1111" i="6"/>
  <c r="P1111" i="6"/>
  <c r="Q1111" i="6"/>
  <c r="R1111" i="6"/>
  <c r="S1111" i="6"/>
  <c r="T1111" i="6"/>
  <c r="U1111" i="6"/>
  <c r="V1111" i="6"/>
  <c r="W1111" i="6"/>
  <c r="X1111" i="6"/>
  <c r="Y1111" i="6"/>
  <c r="Z1111" i="6"/>
  <c r="AA1111" i="6"/>
  <c r="J1112" i="6"/>
  <c r="K1112" i="6"/>
  <c r="L1112" i="6"/>
  <c r="M1112" i="6"/>
  <c r="N1112" i="6"/>
  <c r="O1112" i="6"/>
  <c r="P1112" i="6"/>
  <c r="Q1112" i="6"/>
  <c r="R1112" i="6"/>
  <c r="S1112" i="6"/>
  <c r="T1112" i="6"/>
  <c r="U1112" i="6"/>
  <c r="V1112" i="6"/>
  <c r="W1112" i="6"/>
  <c r="X1112" i="6"/>
  <c r="Y1112" i="6"/>
  <c r="Z1112" i="6"/>
  <c r="AA1112" i="6"/>
  <c r="J1113" i="6"/>
  <c r="K1113" i="6"/>
  <c r="L1113" i="6"/>
  <c r="M1113" i="6"/>
  <c r="N1113" i="6"/>
  <c r="O1113" i="6"/>
  <c r="P1113" i="6"/>
  <c r="Q1113" i="6"/>
  <c r="R1113" i="6"/>
  <c r="S1113" i="6"/>
  <c r="T1113" i="6"/>
  <c r="U1113" i="6"/>
  <c r="V1113" i="6"/>
  <c r="W1113" i="6"/>
  <c r="X1113" i="6"/>
  <c r="Y1113" i="6"/>
  <c r="Z1113" i="6"/>
  <c r="AA1113" i="6"/>
  <c r="J1114" i="6"/>
  <c r="K1114" i="6"/>
  <c r="L1114" i="6"/>
  <c r="M1114" i="6"/>
  <c r="N1114" i="6"/>
  <c r="O1114" i="6"/>
  <c r="P1114" i="6"/>
  <c r="Q1114" i="6"/>
  <c r="R1114" i="6"/>
  <c r="S1114" i="6"/>
  <c r="T1114" i="6"/>
  <c r="U1114" i="6"/>
  <c r="V1114" i="6"/>
  <c r="W1114" i="6"/>
  <c r="X1114" i="6"/>
  <c r="Y1114" i="6"/>
  <c r="Z1114" i="6"/>
  <c r="AA1114" i="6"/>
  <c r="J1115" i="6"/>
  <c r="K1115" i="6"/>
  <c r="L1115" i="6"/>
  <c r="M1115" i="6"/>
  <c r="N1115" i="6"/>
  <c r="O1115" i="6"/>
  <c r="P1115" i="6"/>
  <c r="Q1115" i="6"/>
  <c r="R1115" i="6"/>
  <c r="S1115" i="6"/>
  <c r="T1115" i="6"/>
  <c r="U1115" i="6"/>
  <c r="V1115" i="6"/>
  <c r="W1115" i="6"/>
  <c r="X1115" i="6"/>
  <c r="Y1115" i="6"/>
  <c r="Z1115" i="6"/>
  <c r="AA1115" i="6"/>
  <c r="J1116" i="6"/>
  <c r="K1116" i="6"/>
  <c r="L1116" i="6"/>
  <c r="M1116" i="6"/>
  <c r="N1116" i="6"/>
  <c r="O1116" i="6"/>
  <c r="P1116" i="6"/>
  <c r="Q1116" i="6"/>
  <c r="R1116" i="6"/>
  <c r="S1116" i="6"/>
  <c r="T1116" i="6"/>
  <c r="U1116" i="6"/>
  <c r="V1116" i="6"/>
  <c r="W1116" i="6"/>
  <c r="X1116" i="6"/>
  <c r="Y1116" i="6"/>
  <c r="Z1116" i="6"/>
  <c r="AA1116" i="6"/>
  <c r="J1117" i="6"/>
  <c r="K1117" i="6"/>
  <c r="L1117" i="6"/>
  <c r="M1117" i="6"/>
  <c r="N1117" i="6"/>
  <c r="O1117" i="6"/>
  <c r="P1117" i="6"/>
  <c r="Q1117" i="6"/>
  <c r="R1117" i="6"/>
  <c r="S1117" i="6"/>
  <c r="T1117" i="6"/>
  <c r="U1117" i="6"/>
  <c r="V1117" i="6"/>
  <c r="W1117" i="6"/>
  <c r="X1117" i="6"/>
  <c r="Y1117" i="6"/>
  <c r="Z1117" i="6"/>
  <c r="AA1117" i="6"/>
  <c r="J1118" i="6"/>
  <c r="K1118" i="6"/>
  <c r="L1118" i="6"/>
  <c r="M1118" i="6"/>
  <c r="N1118" i="6"/>
  <c r="O1118" i="6"/>
  <c r="P1118" i="6"/>
  <c r="Q1118" i="6"/>
  <c r="R1118" i="6"/>
  <c r="S1118" i="6"/>
  <c r="T1118" i="6"/>
  <c r="U1118" i="6"/>
  <c r="V1118" i="6"/>
  <c r="W1118" i="6"/>
  <c r="X1118" i="6"/>
  <c r="Y1118" i="6"/>
  <c r="Z1118" i="6"/>
  <c r="AA1118" i="6"/>
  <c r="J1119" i="6"/>
  <c r="K1119" i="6"/>
  <c r="L1119" i="6"/>
  <c r="M1119" i="6"/>
  <c r="N1119" i="6"/>
  <c r="O1119" i="6"/>
  <c r="P1119" i="6"/>
  <c r="Q1119" i="6"/>
  <c r="R1119" i="6"/>
  <c r="S1119" i="6"/>
  <c r="T1119" i="6"/>
  <c r="U1119" i="6"/>
  <c r="V1119" i="6"/>
  <c r="W1119" i="6"/>
  <c r="X1119" i="6"/>
  <c r="Y1119" i="6"/>
  <c r="Z1119" i="6"/>
  <c r="AA1119" i="6"/>
  <c r="J1120" i="6"/>
  <c r="K1120" i="6"/>
  <c r="L1120" i="6"/>
  <c r="M1120" i="6"/>
  <c r="N1120" i="6"/>
  <c r="O1120" i="6"/>
  <c r="P1120" i="6"/>
  <c r="Q1120" i="6"/>
  <c r="R1120" i="6"/>
  <c r="S1120" i="6"/>
  <c r="T1120" i="6"/>
  <c r="U1120" i="6"/>
  <c r="V1120" i="6"/>
  <c r="W1120" i="6"/>
  <c r="X1120" i="6"/>
  <c r="Y1120" i="6"/>
  <c r="Z1120" i="6"/>
  <c r="AA1120" i="6"/>
  <c r="J1121" i="6"/>
  <c r="K1121" i="6"/>
  <c r="L1121" i="6"/>
  <c r="M1121" i="6"/>
  <c r="N1121" i="6"/>
  <c r="O1121" i="6"/>
  <c r="P1121" i="6"/>
  <c r="Q1121" i="6"/>
  <c r="R1121" i="6"/>
  <c r="S1121" i="6"/>
  <c r="T1121" i="6"/>
  <c r="U1121" i="6"/>
  <c r="V1121" i="6"/>
  <c r="W1121" i="6"/>
  <c r="X1121" i="6"/>
  <c r="Y1121" i="6"/>
  <c r="Z1121" i="6"/>
  <c r="AA1121" i="6"/>
  <c r="J1122" i="6"/>
  <c r="K1122" i="6"/>
  <c r="L1122" i="6"/>
  <c r="M1122" i="6"/>
  <c r="N1122" i="6"/>
  <c r="O1122" i="6"/>
  <c r="P1122" i="6"/>
  <c r="Q1122" i="6"/>
  <c r="R1122" i="6"/>
  <c r="S1122" i="6"/>
  <c r="T1122" i="6"/>
  <c r="U1122" i="6"/>
  <c r="V1122" i="6"/>
  <c r="W1122" i="6"/>
  <c r="X1122" i="6"/>
  <c r="Y1122" i="6"/>
  <c r="Z1122" i="6"/>
  <c r="AA1122" i="6"/>
  <c r="J1123" i="6"/>
  <c r="K1123" i="6"/>
  <c r="L1123" i="6"/>
  <c r="M1123" i="6"/>
  <c r="N1123" i="6"/>
  <c r="O1123" i="6"/>
  <c r="P1123" i="6"/>
  <c r="Q1123" i="6"/>
  <c r="R1123" i="6"/>
  <c r="S1123" i="6"/>
  <c r="T1123" i="6"/>
  <c r="U1123" i="6"/>
  <c r="V1123" i="6"/>
  <c r="W1123" i="6"/>
  <c r="X1123" i="6"/>
  <c r="Y1123" i="6"/>
  <c r="Z1123" i="6"/>
  <c r="AA1123" i="6"/>
  <c r="J1124" i="6"/>
  <c r="K1124" i="6"/>
  <c r="L1124" i="6"/>
  <c r="M1124" i="6"/>
  <c r="N1124" i="6"/>
  <c r="O1124" i="6"/>
  <c r="P1124" i="6"/>
  <c r="Q1124" i="6"/>
  <c r="R1124" i="6"/>
  <c r="S1124" i="6"/>
  <c r="T1124" i="6"/>
  <c r="U1124" i="6"/>
  <c r="V1124" i="6"/>
  <c r="W1124" i="6"/>
  <c r="X1124" i="6"/>
  <c r="Y1124" i="6"/>
  <c r="Z1124" i="6"/>
  <c r="AA1124" i="6"/>
  <c r="J1125" i="6"/>
  <c r="K1125" i="6"/>
  <c r="L1125" i="6"/>
  <c r="M1125" i="6"/>
  <c r="N1125" i="6"/>
  <c r="O1125" i="6"/>
  <c r="P1125" i="6"/>
  <c r="Q1125" i="6"/>
  <c r="R1125" i="6"/>
  <c r="S1125" i="6"/>
  <c r="T1125" i="6"/>
  <c r="U1125" i="6"/>
  <c r="V1125" i="6"/>
  <c r="W1125" i="6"/>
  <c r="X1125" i="6"/>
  <c r="Y1125" i="6"/>
  <c r="Z1125" i="6"/>
  <c r="AA1125" i="6"/>
  <c r="J1126" i="6"/>
  <c r="K1126" i="6"/>
  <c r="L1126" i="6"/>
  <c r="M1126" i="6"/>
  <c r="N1126" i="6"/>
  <c r="O1126" i="6"/>
  <c r="P1126" i="6"/>
  <c r="Q1126" i="6"/>
  <c r="R1126" i="6"/>
  <c r="S1126" i="6"/>
  <c r="T1126" i="6"/>
  <c r="U1126" i="6"/>
  <c r="V1126" i="6"/>
  <c r="W1126" i="6"/>
  <c r="X1126" i="6"/>
  <c r="Y1126" i="6"/>
  <c r="Z1126" i="6"/>
  <c r="AA1126" i="6"/>
  <c r="J1127" i="6"/>
  <c r="K1127" i="6"/>
  <c r="L1127" i="6"/>
  <c r="M1127" i="6"/>
  <c r="N1127" i="6"/>
  <c r="O1127" i="6"/>
  <c r="P1127" i="6"/>
  <c r="Q1127" i="6"/>
  <c r="R1127" i="6"/>
  <c r="S1127" i="6"/>
  <c r="T1127" i="6"/>
  <c r="U1127" i="6"/>
  <c r="V1127" i="6"/>
  <c r="W1127" i="6"/>
  <c r="X1127" i="6"/>
  <c r="Y1127" i="6"/>
  <c r="Z1127" i="6"/>
  <c r="AA1127" i="6"/>
  <c r="J1128" i="6"/>
  <c r="K1128" i="6"/>
  <c r="L1128" i="6"/>
  <c r="M1128" i="6"/>
  <c r="N1128" i="6"/>
  <c r="O1128" i="6"/>
  <c r="P1128" i="6"/>
  <c r="Q1128" i="6"/>
  <c r="R1128" i="6"/>
  <c r="S1128" i="6"/>
  <c r="T1128" i="6"/>
  <c r="U1128" i="6"/>
  <c r="V1128" i="6"/>
  <c r="W1128" i="6"/>
  <c r="X1128" i="6"/>
  <c r="Y1128" i="6"/>
  <c r="Z1128" i="6"/>
  <c r="AA1128" i="6"/>
  <c r="J1129" i="6"/>
  <c r="K1129" i="6"/>
  <c r="L1129" i="6"/>
  <c r="M1129" i="6"/>
  <c r="N1129" i="6"/>
  <c r="O1129" i="6"/>
  <c r="P1129" i="6"/>
  <c r="Q1129" i="6"/>
  <c r="R1129" i="6"/>
  <c r="S1129" i="6"/>
  <c r="T1129" i="6"/>
  <c r="U1129" i="6"/>
  <c r="V1129" i="6"/>
  <c r="W1129" i="6"/>
  <c r="X1129" i="6"/>
  <c r="Y1129" i="6"/>
  <c r="Z1129" i="6"/>
  <c r="AA1129" i="6"/>
  <c r="J1130" i="6"/>
  <c r="K1130" i="6"/>
  <c r="L1130" i="6"/>
  <c r="M1130" i="6"/>
  <c r="N1130" i="6"/>
  <c r="O1130" i="6"/>
  <c r="P1130" i="6"/>
  <c r="Q1130" i="6"/>
  <c r="R1130" i="6"/>
  <c r="S1130" i="6"/>
  <c r="T1130" i="6"/>
  <c r="U1130" i="6"/>
  <c r="V1130" i="6"/>
  <c r="W1130" i="6"/>
  <c r="X1130" i="6"/>
  <c r="Y1130" i="6"/>
  <c r="Z1130" i="6"/>
  <c r="AA1130" i="6"/>
  <c r="J1131" i="6"/>
  <c r="K1131" i="6"/>
  <c r="L1131" i="6"/>
  <c r="M1131" i="6"/>
  <c r="N1131" i="6"/>
  <c r="O1131" i="6"/>
  <c r="P1131" i="6"/>
  <c r="Q1131" i="6"/>
  <c r="R1131" i="6"/>
  <c r="S1131" i="6"/>
  <c r="T1131" i="6"/>
  <c r="U1131" i="6"/>
  <c r="V1131" i="6"/>
  <c r="W1131" i="6"/>
  <c r="X1131" i="6"/>
  <c r="Y1131" i="6"/>
  <c r="Z1131" i="6"/>
  <c r="AA1131" i="6"/>
  <c r="J1132" i="6"/>
  <c r="K1132" i="6"/>
  <c r="L1132" i="6"/>
  <c r="M1132" i="6"/>
  <c r="N1132" i="6"/>
  <c r="O1132" i="6"/>
  <c r="P1132" i="6"/>
  <c r="Q1132" i="6"/>
  <c r="R1132" i="6"/>
  <c r="S1132" i="6"/>
  <c r="T1132" i="6"/>
  <c r="U1132" i="6"/>
  <c r="V1132" i="6"/>
  <c r="W1132" i="6"/>
  <c r="X1132" i="6"/>
  <c r="Y1132" i="6"/>
  <c r="Z1132" i="6"/>
  <c r="AA1132" i="6"/>
  <c r="J1133" i="6"/>
  <c r="K1133" i="6"/>
  <c r="L1133" i="6"/>
  <c r="M1133" i="6"/>
  <c r="N1133" i="6"/>
  <c r="O1133" i="6"/>
  <c r="P1133" i="6"/>
  <c r="Q1133" i="6"/>
  <c r="R1133" i="6"/>
  <c r="S1133" i="6"/>
  <c r="T1133" i="6"/>
  <c r="U1133" i="6"/>
  <c r="V1133" i="6"/>
  <c r="W1133" i="6"/>
  <c r="X1133" i="6"/>
  <c r="Y1133" i="6"/>
  <c r="Z1133" i="6"/>
  <c r="AA1133" i="6"/>
  <c r="J1134" i="6"/>
  <c r="K1134" i="6"/>
  <c r="L1134" i="6"/>
  <c r="M1134" i="6"/>
  <c r="N1134" i="6"/>
  <c r="O1134" i="6"/>
  <c r="P1134" i="6"/>
  <c r="Q1134" i="6"/>
  <c r="R1134" i="6"/>
  <c r="S1134" i="6"/>
  <c r="T1134" i="6"/>
  <c r="U1134" i="6"/>
  <c r="V1134" i="6"/>
  <c r="W1134" i="6"/>
  <c r="X1134" i="6"/>
  <c r="Y1134" i="6"/>
  <c r="Z1134" i="6"/>
  <c r="AA1134" i="6"/>
  <c r="J1135" i="6"/>
  <c r="K1135" i="6"/>
  <c r="L1135" i="6"/>
  <c r="M1135" i="6"/>
  <c r="N1135" i="6"/>
  <c r="O1135" i="6"/>
  <c r="P1135" i="6"/>
  <c r="Q1135" i="6"/>
  <c r="R1135" i="6"/>
  <c r="S1135" i="6"/>
  <c r="T1135" i="6"/>
  <c r="U1135" i="6"/>
  <c r="V1135" i="6"/>
  <c r="W1135" i="6"/>
  <c r="X1135" i="6"/>
  <c r="Y1135" i="6"/>
  <c r="Z1135" i="6"/>
  <c r="AA1135" i="6"/>
  <c r="J1136" i="6"/>
  <c r="K1136" i="6"/>
  <c r="L1136" i="6"/>
  <c r="M1136" i="6"/>
  <c r="N1136" i="6"/>
  <c r="O1136" i="6"/>
  <c r="P1136" i="6"/>
  <c r="Q1136" i="6"/>
  <c r="R1136" i="6"/>
  <c r="S1136" i="6"/>
  <c r="T1136" i="6"/>
  <c r="U1136" i="6"/>
  <c r="V1136" i="6"/>
  <c r="W1136" i="6"/>
  <c r="X1136" i="6"/>
  <c r="Y1136" i="6"/>
  <c r="Z1136" i="6"/>
  <c r="AA1136" i="6"/>
  <c r="J1137" i="6"/>
  <c r="K1137" i="6"/>
  <c r="L1137" i="6"/>
  <c r="M1137" i="6"/>
  <c r="N1137" i="6"/>
  <c r="O1137" i="6"/>
  <c r="P1137" i="6"/>
  <c r="Q1137" i="6"/>
  <c r="R1137" i="6"/>
  <c r="S1137" i="6"/>
  <c r="T1137" i="6"/>
  <c r="U1137" i="6"/>
  <c r="V1137" i="6"/>
  <c r="W1137" i="6"/>
  <c r="X1137" i="6"/>
  <c r="Y1137" i="6"/>
  <c r="Z1137" i="6"/>
  <c r="AA1137" i="6"/>
  <c r="J1138" i="6"/>
  <c r="K1138" i="6"/>
  <c r="L1138" i="6"/>
  <c r="M1138" i="6"/>
  <c r="N1138" i="6"/>
  <c r="O1138" i="6"/>
  <c r="P1138" i="6"/>
  <c r="Q1138" i="6"/>
  <c r="R1138" i="6"/>
  <c r="S1138" i="6"/>
  <c r="T1138" i="6"/>
  <c r="U1138" i="6"/>
  <c r="V1138" i="6"/>
  <c r="W1138" i="6"/>
  <c r="X1138" i="6"/>
  <c r="Y1138" i="6"/>
  <c r="Z1138" i="6"/>
  <c r="AA1138" i="6"/>
  <c r="J1139" i="6"/>
  <c r="K1139" i="6"/>
  <c r="L1139" i="6"/>
  <c r="M1139" i="6"/>
  <c r="N1139" i="6"/>
  <c r="O1139" i="6"/>
  <c r="P1139" i="6"/>
  <c r="Q1139" i="6"/>
  <c r="R1139" i="6"/>
  <c r="S1139" i="6"/>
  <c r="T1139" i="6"/>
  <c r="U1139" i="6"/>
  <c r="V1139" i="6"/>
  <c r="W1139" i="6"/>
  <c r="X1139" i="6"/>
  <c r="Y1139" i="6"/>
  <c r="Z1139" i="6"/>
  <c r="AA1139" i="6"/>
  <c r="J1140" i="6"/>
  <c r="K1140" i="6"/>
  <c r="L1140" i="6"/>
  <c r="M1140" i="6"/>
  <c r="N1140" i="6"/>
  <c r="O1140" i="6"/>
  <c r="P1140" i="6"/>
  <c r="Q1140" i="6"/>
  <c r="R1140" i="6"/>
  <c r="S1140" i="6"/>
  <c r="T1140" i="6"/>
  <c r="U1140" i="6"/>
  <c r="V1140" i="6"/>
  <c r="W1140" i="6"/>
  <c r="X1140" i="6"/>
  <c r="Y1140" i="6"/>
  <c r="Z1140" i="6"/>
  <c r="AA1140" i="6"/>
  <c r="J1141" i="6"/>
  <c r="K1141" i="6"/>
  <c r="L1141" i="6"/>
  <c r="M1141" i="6"/>
  <c r="N1141" i="6"/>
  <c r="O1141" i="6"/>
  <c r="P1141" i="6"/>
  <c r="Q1141" i="6"/>
  <c r="R1141" i="6"/>
  <c r="S1141" i="6"/>
  <c r="T1141" i="6"/>
  <c r="U1141" i="6"/>
  <c r="V1141" i="6"/>
  <c r="W1141" i="6"/>
  <c r="X1141" i="6"/>
  <c r="Y1141" i="6"/>
  <c r="Z1141" i="6"/>
  <c r="AA1141" i="6"/>
  <c r="J1142" i="6"/>
  <c r="K1142" i="6"/>
  <c r="L1142" i="6"/>
  <c r="M1142" i="6"/>
  <c r="N1142" i="6"/>
  <c r="O1142" i="6"/>
  <c r="P1142" i="6"/>
  <c r="Q1142" i="6"/>
  <c r="R1142" i="6"/>
  <c r="S1142" i="6"/>
  <c r="T1142" i="6"/>
  <c r="U1142" i="6"/>
  <c r="V1142" i="6"/>
  <c r="W1142" i="6"/>
  <c r="X1142" i="6"/>
  <c r="Y1142" i="6"/>
  <c r="Z1142" i="6"/>
  <c r="AA1142" i="6"/>
  <c r="J1143" i="6"/>
  <c r="K1143" i="6"/>
  <c r="L1143" i="6"/>
  <c r="M1143" i="6"/>
  <c r="N1143" i="6"/>
  <c r="O1143" i="6"/>
  <c r="P1143" i="6"/>
  <c r="Q1143" i="6"/>
  <c r="R1143" i="6"/>
  <c r="S1143" i="6"/>
  <c r="T1143" i="6"/>
  <c r="U1143" i="6"/>
  <c r="V1143" i="6"/>
  <c r="W1143" i="6"/>
  <c r="X1143" i="6"/>
  <c r="Y1143" i="6"/>
  <c r="Z1143" i="6"/>
  <c r="AA1143" i="6"/>
  <c r="J1144" i="6"/>
  <c r="K1144" i="6"/>
  <c r="L1144" i="6"/>
  <c r="M1144" i="6"/>
  <c r="N1144" i="6"/>
  <c r="O1144" i="6"/>
  <c r="P1144" i="6"/>
  <c r="Q1144" i="6"/>
  <c r="R1144" i="6"/>
  <c r="S1144" i="6"/>
  <c r="T1144" i="6"/>
  <c r="U1144" i="6"/>
  <c r="V1144" i="6"/>
  <c r="W1144" i="6"/>
  <c r="X1144" i="6"/>
  <c r="Y1144" i="6"/>
  <c r="Z1144" i="6"/>
  <c r="AA1144" i="6"/>
  <c r="J1145" i="6"/>
  <c r="K1145" i="6"/>
  <c r="L1145" i="6"/>
  <c r="M1145" i="6"/>
  <c r="N1145" i="6"/>
  <c r="O1145" i="6"/>
  <c r="P1145" i="6"/>
  <c r="Q1145" i="6"/>
  <c r="R1145" i="6"/>
  <c r="S1145" i="6"/>
  <c r="T1145" i="6"/>
  <c r="U1145" i="6"/>
  <c r="V1145" i="6"/>
  <c r="W1145" i="6"/>
  <c r="X1145" i="6"/>
  <c r="Y1145" i="6"/>
  <c r="Z1145" i="6"/>
  <c r="AA1145" i="6"/>
  <c r="J1146" i="6"/>
  <c r="K1146" i="6"/>
  <c r="L1146" i="6"/>
  <c r="M1146" i="6"/>
  <c r="N1146" i="6"/>
  <c r="O1146" i="6"/>
  <c r="P1146" i="6"/>
  <c r="Q1146" i="6"/>
  <c r="R1146" i="6"/>
  <c r="S1146" i="6"/>
  <c r="T1146" i="6"/>
  <c r="U1146" i="6"/>
  <c r="V1146" i="6"/>
  <c r="W1146" i="6"/>
  <c r="X1146" i="6"/>
  <c r="Y1146" i="6"/>
  <c r="Z1146" i="6"/>
  <c r="AA1146" i="6"/>
  <c r="J1147" i="6"/>
  <c r="K1147" i="6"/>
  <c r="L1147" i="6"/>
  <c r="M1147" i="6"/>
  <c r="N1147" i="6"/>
  <c r="O1147" i="6"/>
  <c r="P1147" i="6"/>
  <c r="Q1147" i="6"/>
  <c r="R1147" i="6"/>
  <c r="S1147" i="6"/>
  <c r="T1147" i="6"/>
  <c r="U1147" i="6"/>
  <c r="V1147" i="6"/>
  <c r="W1147" i="6"/>
  <c r="X1147" i="6"/>
  <c r="Y1147" i="6"/>
  <c r="Z1147" i="6"/>
  <c r="AA1147" i="6"/>
  <c r="J1148" i="6"/>
  <c r="K1148" i="6"/>
  <c r="L1148" i="6"/>
  <c r="M1148" i="6"/>
  <c r="N1148" i="6"/>
  <c r="O1148" i="6"/>
  <c r="P1148" i="6"/>
  <c r="Q1148" i="6"/>
  <c r="R1148" i="6"/>
  <c r="S1148" i="6"/>
  <c r="T1148" i="6"/>
  <c r="U1148" i="6"/>
  <c r="V1148" i="6"/>
  <c r="W1148" i="6"/>
  <c r="X1148" i="6"/>
  <c r="Y1148" i="6"/>
  <c r="Z1148" i="6"/>
  <c r="AA1148" i="6"/>
  <c r="J1149" i="6"/>
  <c r="K1149" i="6"/>
  <c r="L1149" i="6"/>
  <c r="M1149" i="6"/>
  <c r="N1149" i="6"/>
  <c r="O1149" i="6"/>
  <c r="P1149" i="6"/>
  <c r="Q1149" i="6"/>
  <c r="R1149" i="6"/>
  <c r="S1149" i="6"/>
  <c r="T1149" i="6"/>
  <c r="U1149" i="6"/>
  <c r="V1149" i="6"/>
  <c r="W1149" i="6"/>
  <c r="X1149" i="6"/>
  <c r="Y1149" i="6"/>
  <c r="Z1149" i="6"/>
  <c r="AA1149" i="6"/>
  <c r="J1150" i="6"/>
  <c r="K1150" i="6"/>
  <c r="L1150" i="6"/>
  <c r="M1150" i="6"/>
  <c r="N1150" i="6"/>
  <c r="O1150" i="6"/>
  <c r="P1150" i="6"/>
  <c r="Q1150" i="6"/>
  <c r="R1150" i="6"/>
  <c r="S1150" i="6"/>
  <c r="T1150" i="6"/>
  <c r="U1150" i="6"/>
  <c r="V1150" i="6"/>
  <c r="W1150" i="6"/>
  <c r="X1150" i="6"/>
  <c r="Y1150" i="6"/>
  <c r="Z1150" i="6"/>
  <c r="AA1150" i="6"/>
  <c r="J1151" i="6"/>
  <c r="K1151" i="6"/>
  <c r="L1151" i="6"/>
  <c r="M1151" i="6"/>
  <c r="N1151" i="6"/>
  <c r="O1151" i="6"/>
  <c r="P1151" i="6"/>
  <c r="Q1151" i="6"/>
  <c r="R1151" i="6"/>
  <c r="S1151" i="6"/>
  <c r="T1151" i="6"/>
  <c r="U1151" i="6"/>
  <c r="V1151" i="6"/>
  <c r="W1151" i="6"/>
  <c r="X1151" i="6"/>
  <c r="Y1151" i="6"/>
  <c r="Z1151" i="6"/>
  <c r="AA1151" i="6"/>
  <c r="J1152" i="6"/>
  <c r="K1152" i="6"/>
  <c r="L1152" i="6"/>
  <c r="M1152" i="6"/>
  <c r="N1152" i="6"/>
  <c r="O1152" i="6"/>
  <c r="P1152" i="6"/>
  <c r="Q1152" i="6"/>
  <c r="R1152" i="6"/>
  <c r="S1152" i="6"/>
  <c r="T1152" i="6"/>
  <c r="U1152" i="6"/>
  <c r="V1152" i="6"/>
  <c r="W1152" i="6"/>
  <c r="X1152" i="6"/>
  <c r="Y1152" i="6"/>
  <c r="Z1152" i="6"/>
  <c r="AA1152" i="6"/>
  <c r="J1153" i="6"/>
  <c r="K1153" i="6"/>
  <c r="L1153" i="6"/>
  <c r="M1153" i="6"/>
  <c r="N1153" i="6"/>
  <c r="O1153" i="6"/>
  <c r="P1153" i="6"/>
  <c r="Q1153" i="6"/>
  <c r="R1153" i="6"/>
  <c r="S1153" i="6"/>
  <c r="T1153" i="6"/>
  <c r="U1153" i="6"/>
  <c r="V1153" i="6"/>
  <c r="W1153" i="6"/>
  <c r="X1153" i="6"/>
  <c r="Y1153" i="6"/>
  <c r="Z1153" i="6"/>
  <c r="AA1153" i="6"/>
  <c r="J1154" i="6"/>
  <c r="K1154" i="6"/>
  <c r="L1154" i="6"/>
  <c r="M1154" i="6"/>
  <c r="N1154" i="6"/>
  <c r="O1154" i="6"/>
  <c r="P1154" i="6"/>
  <c r="Q1154" i="6"/>
  <c r="R1154" i="6"/>
  <c r="S1154" i="6"/>
  <c r="T1154" i="6"/>
  <c r="U1154" i="6"/>
  <c r="V1154" i="6"/>
  <c r="W1154" i="6"/>
  <c r="X1154" i="6"/>
  <c r="Y1154" i="6"/>
  <c r="Z1154" i="6"/>
  <c r="AA1154" i="6"/>
  <c r="J1155" i="6"/>
  <c r="K1155" i="6"/>
  <c r="L1155" i="6"/>
  <c r="M1155" i="6"/>
  <c r="N1155" i="6"/>
  <c r="O1155" i="6"/>
  <c r="P1155" i="6"/>
  <c r="Q1155" i="6"/>
  <c r="R1155" i="6"/>
  <c r="S1155" i="6"/>
  <c r="T1155" i="6"/>
  <c r="U1155" i="6"/>
  <c r="V1155" i="6"/>
  <c r="W1155" i="6"/>
  <c r="X1155" i="6"/>
  <c r="Y1155" i="6"/>
  <c r="Z1155" i="6"/>
  <c r="AA1155" i="6"/>
  <c r="J1156" i="6"/>
  <c r="K1156" i="6"/>
  <c r="L1156" i="6"/>
  <c r="M1156" i="6"/>
  <c r="N1156" i="6"/>
  <c r="O1156" i="6"/>
  <c r="P1156" i="6"/>
  <c r="Q1156" i="6"/>
  <c r="R1156" i="6"/>
  <c r="S1156" i="6"/>
  <c r="T1156" i="6"/>
  <c r="U1156" i="6"/>
  <c r="V1156" i="6"/>
  <c r="W1156" i="6"/>
  <c r="X1156" i="6"/>
  <c r="Y1156" i="6"/>
  <c r="Z1156" i="6"/>
  <c r="AA1156" i="6"/>
  <c r="J1157" i="6"/>
  <c r="K1157" i="6"/>
  <c r="L1157" i="6"/>
  <c r="M1157" i="6"/>
  <c r="N1157" i="6"/>
  <c r="O1157" i="6"/>
  <c r="P1157" i="6"/>
  <c r="Q1157" i="6"/>
  <c r="R1157" i="6"/>
  <c r="S1157" i="6"/>
  <c r="T1157" i="6"/>
  <c r="U1157" i="6"/>
  <c r="V1157" i="6"/>
  <c r="W1157" i="6"/>
  <c r="X1157" i="6"/>
  <c r="Y1157" i="6"/>
  <c r="Z1157" i="6"/>
  <c r="AA1157" i="6"/>
  <c r="J1158" i="6"/>
  <c r="K1158" i="6"/>
  <c r="L1158" i="6"/>
  <c r="M1158" i="6"/>
  <c r="N1158" i="6"/>
  <c r="O1158" i="6"/>
  <c r="P1158" i="6"/>
  <c r="Q1158" i="6"/>
  <c r="R1158" i="6"/>
  <c r="S1158" i="6"/>
  <c r="T1158" i="6"/>
  <c r="U1158" i="6"/>
  <c r="V1158" i="6"/>
  <c r="W1158" i="6"/>
  <c r="X1158" i="6"/>
  <c r="Y1158" i="6"/>
  <c r="Z1158" i="6"/>
  <c r="AA1158" i="6"/>
  <c r="J1159" i="6"/>
  <c r="K1159" i="6"/>
  <c r="L1159" i="6"/>
  <c r="M1159" i="6"/>
  <c r="N1159" i="6"/>
  <c r="O1159" i="6"/>
  <c r="P1159" i="6"/>
  <c r="Q1159" i="6"/>
  <c r="R1159" i="6"/>
  <c r="S1159" i="6"/>
  <c r="T1159" i="6"/>
  <c r="U1159" i="6"/>
  <c r="V1159" i="6"/>
  <c r="W1159" i="6"/>
  <c r="X1159" i="6"/>
  <c r="Y1159" i="6"/>
  <c r="Z1159" i="6"/>
  <c r="AA1159" i="6"/>
  <c r="J1160" i="6"/>
  <c r="K1160" i="6"/>
  <c r="L1160" i="6"/>
  <c r="M1160" i="6"/>
  <c r="N1160" i="6"/>
  <c r="O1160" i="6"/>
  <c r="P1160" i="6"/>
  <c r="Q1160" i="6"/>
  <c r="R1160" i="6"/>
  <c r="S1160" i="6"/>
  <c r="T1160" i="6"/>
  <c r="U1160" i="6"/>
  <c r="V1160" i="6"/>
  <c r="W1160" i="6"/>
  <c r="X1160" i="6"/>
  <c r="Y1160" i="6"/>
  <c r="Z1160" i="6"/>
  <c r="AA1160" i="6"/>
  <c r="J1161" i="6"/>
  <c r="K1161" i="6"/>
  <c r="L1161" i="6"/>
  <c r="M1161" i="6"/>
  <c r="N1161" i="6"/>
  <c r="O1161" i="6"/>
  <c r="P1161" i="6"/>
  <c r="Q1161" i="6"/>
  <c r="R1161" i="6"/>
  <c r="S1161" i="6"/>
  <c r="T1161" i="6"/>
  <c r="U1161" i="6"/>
  <c r="V1161" i="6"/>
  <c r="W1161" i="6"/>
  <c r="X1161" i="6"/>
  <c r="Y1161" i="6"/>
  <c r="Z1161" i="6"/>
  <c r="AA1161" i="6"/>
  <c r="J1162" i="6"/>
  <c r="K1162" i="6"/>
  <c r="L1162" i="6"/>
  <c r="M1162" i="6"/>
  <c r="N1162" i="6"/>
  <c r="O1162" i="6"/>
  <c r="P1162" i="6"/>
  <c r="Q1162" i="6"/>
  <c r="R1162" i="6"/>
  <c r="S1162" i="6"/>
  <c r="T1162" i="6"/>
  <c r="U1162" i="6"/>
  <c r="V1162" i="6"/>
  <c r="W1162" i="6"/>
  <c r="X1162" i="6"/>
  <c r="Y1162" i="6"/>
  <c r="Z1162" i="6"/>
  <c r="AA1162" i="6"/>
  <c r="J1163" i="6"/>
  <c r="K1163" i="6"/>
  <c r="L1163" i="6"/>
  <c r="M1163" i="6"/>
  <c r="N1163" i="6"/>
  <c r="O1163" i="6"/>
  <c r="P1163" i="6"/>
  <c r="Q1163" i="6"/>
  <c r="R1163" i="6"/>
  <c r="S1163" i="6"/>
  <c r="T1163" i="6"/>
  <c r="U1163" i="6"/>
  <c r="V1163" i="6"/>
  <c r="W1163" i="6"/>
  <c r="X1163" i="6"/>
  <c r="Y1163" i="6"/>
  <c r="Z1163" i="6"/>
  <c r="AA1163" i="6"/>
  <c r="J1164" i="6"/>
  <c r="K1164" i="6"/>
  <c r="L1164" i="6"/>
  <c r="M1164" i="6"/>
  <c r="N1164" i="6"/>
  <c r="O1164" i="6"/>
  <c r="P1164" i="6"/>
  <c r="Q1164" i="6"/>
  <c r="R1164" i="6"/>
  <c r="S1164" i="6"/>
  <c r="T1164" i="6"/>
  <c r="U1164" i="6"/>
  <c r="V1164" i="6"/>
  <c r="W1164" i="6"/>
  <c r="X1164" i="6"/>
  <c r="Y1164" i="6"/>
  <c r="Z1164" i="6"/>
  <c r="AA1164" i="6"/>
  <c r="J1165" i="6"/>
  <c r="K1165" i="6"/>
  <c r="L1165" i="6"/>
  <c r="M1165" i="6"/>
  <c r="N1165" i="6"/>
  <c r="O1165" i="6"/>
  <c r="P1165" i="6"/>
  <c r="Q1165" i="6"/>
  <c r="R1165" i="6"/>
  <c r="S1165" i="6"/>
  <c r="T1165" i="6"/>
  <c r="U1165" i="6"/>
  <c r="V1165" i="6"/>
  <c r="W1165" i="6"/>
  <c r="X1165" i="6"/>
  <c r="Y1165" i="6"/>
  <c r="Z1165" i="6"/>
  <c r="AA1165" i="6"/>
  <c r="J1166" i="6"/>
  <c r="K1166" i="6"/>
  <c r="L1166" i="6"/>
  <c r="M1166" i="6"/>
  <c r="N1166" i="6"/>
  <c r="O1166" i="6"/>
  <c r="P1166" i="6"/>
  <c r="Q1166" i="6"/>
  <c r="R1166" i="6"/>
  <c r="S1166" i="6"/>
  <c r="T1166" i="6"/>
  <c r="U1166" i="6"/>
  <c r="V1166" i="6"/>
  <c r="W1166" i="6"/>
  <c r="X1166" i="6"/>
  <c r="Y1166" i="6"/>
  <c r="Z1166" i="6"/>
  <c r="AA1166" i="6"/>
  <c r="J1167" i="6"/>
  <c r="K1167" i="6"/>
  <c r="L1167" i="6"/>
  <c r="M1167" i="6"/>
  <c r="N1167" i="6"/>
  <c r="O1167" i="6"/>
  <c r="P1167" i="6"/>
  <c r="Q1167" i="6"/>
  <c r="R1167" i="6"/>
  <c r="S1167" i="6"/>
  <c r="T1167" i="6"/>
  <c r="U1167" i="6"/>
  <c r="V1167" i="6"/>
  <c r="W1167" i="6"/>
  <c r="X1167" i="6"/>
  <c r="Y1167" i="6"/>
  <c r="Z1167" i="6"/>
  <c r="AA1167" i="6"/>
  <c r="J1168" i="6"/>
  <c r="K1168" i="6"/>
  <c r="L1168" i="6"/>
  <c r="M1168" i="6"/>
  <c r="N1168" i="6"/>
  <c r="O1168" i="6"/>
  <c r="P1168" i="6"/>
  <c r="Q1168" i="6"/>
  <c r="R1168" i="6"/>
  <c r="S1168" i="6"/>
  <c r="T1168" i="6"/>
  <c r="U1168" i="6"/>
  <c r="V1168" i="6"/>
  <c r="W1168" i="6"/>
  <c r="X1168" i="6"/>
  <c r="Y1168" i="6"/>
  <c r="Z1168" i="6"/>
  <c r="AA1168" i="6"/>
  <c r="J1169" i="6"/>
  <c r="K1169" i="6"/>
  <c r="L1169" i="6"/>
  <c r="M1169" i="6"/>
  <c r="N1169" i="6"/>
  <c r="O1169" i="6"/>
  <c r="P1169" i="6"/>
  <c r="Q1169" i="6"/>
  <c r="R1169" i="6"/>
  <c r="S1169" i="6"/>
  <c r="T1169" i="6"/>
  <c r="U1169" i="6"/>
  <c r="V1169" i="6"/>
  <c r="W1169" i="6"/>
  <c r="X1169" i="6"/>
  <c r="Y1169" i="6"/>
  <c r="Z1169" i="6"/>
  <c r="AA1169" i="6"/>
  <c r="J1170" i="6"/>
  <c r="K1170" i="6"/>
  <c r="L1170" i="6"/>
  <c r="M1170" i="6"/>
  <c r="N1170" i="6"/>
  <c r="O1170" i="6"/>
  <c r="P1170" i="6"/>
  <c r="Q1170" i="6"/>
  <c r="R1170" i="6"/>
  <c r="S1170" i="6"/>
  <c r="T1170" i="6"/>
  <c r="U1170" i="6"/>
  <c r="V1170" i="6"/>
  <c r="W1170" i="6"/>
  <c r="X1170" i="6"/>
  <c r="Y1170" i="6"/>
  <c r="Z1170" i="6"/>
  <c r="AA1170" i="6"/>
  <c r="J1171" i="6"/>
  <c r="K1171" i="6"/>
  <c r="L1171" i="6"/>
  <c r="M1171" i="6"/>
  <c r="N1171" i="6"/>
  <c r="O1171" i="6"/>
  <c r="P1171" i="6"/>
  <c r="Q1171" i="6"/>
  <c r="R1171" i="6"/>
  <c r="S1171" i="6"/>
  <c r="T1171" i="6"/>
  <c r="U1171" i="6"/>
  <c r="V1171" i="6"/>
  <c r="W1171" i="6"/>
  <c r="X1171" i="6"/>
  <c r="Y1171" i="6"/>
  <c r="Z1171" i="6"/>
  <c r="AA1171" i="6"/>
  <c r="J1172" i="6"/>
  <c r="K1172" i="6"/>
  <c r="L1172" i="6"/>
  <c r="M1172" i="6"/>
  <c r="N1172" i="6"/>
  <c r="O1172" i="6"/>
  <c r="P1172" i="6"/>
  <c r="Q1172" i="6"/>
  <c r="R1172" i="6"/>
  <c r="S1172" i="6"/>
  <c r="T1172" i="6"/>
  <c r="U1172" i="6"/>
  <c r="V1172" i="6"/>
  <c r="W1172" i="6"/>
  <c r="X1172" i="6"/>
  <c r="Y1172" i="6"/>
  <c r="Z1172" i="6"/>
  <c r="AA1172" i="6"/>
  <c r="J1173" i="6"/>
  <c r="K1173" i="6"/>
  <c r="L1173" i="6"/>
  <c r="M1173" i="6"/>
  <c r="N1173" i="6"/>
  <c r="O1173" i="6"/>
  <c r="P1173" i="6"/>
  <c r="Q1173" i="6"/>
  <c r="R1173" i="6"/>
  <c r="S1173" i="6"/>
  <c r="T1173" i="6"/>
  <c r="U1173" i="6"/>
  <c r="V1173" i="6"/>
  <c r="W1173" i="6"/>
  <c r="X1173" i="6"/>
  <c r="Y1173" i="6"/>
  <c r="Z1173" i="6"/>
  <c r="AA1173" i="6"/>
  <c r="J1174" i="6"/>
  <c r="K1174" i="6"/>
  <c r="L1174" i="6"/>
  <c r="M1174" i="6"/>
  <c r="N1174" i="6"/>
  <c r="O1174" i="6"/>
  <c r="P1174" i="6"/>
  <c r="Q1174" i="6"/>
  <c r="R1174" i="6"/>
  <c r="S1174" i="6"/>
  <c r="T1174" i="6"/>
  <c r="U1174" i="6"/>
  <c r="V1174" i="6"/>
  <c r="W1174" i="6"/>
  <c r="X1174" i="6"/>
  <c r="Y1174" i="6"/>
  <c r="Z1174" i="6"/>
  <c r="AA1174" i="6"/>
  <c r="J1175" i="6"/>
  <c r="K1175" i="6"/>
  <c r="L1175" i="6"/>
  <c r="M1175" i="6"/>
  <c r="N1175" i="6"/>
  <c r="O1175" i="6"/>
  <c r="P1175" i="6"/>
  <c r="Q1175" i="6"/>
  <c r="R1175" i="6"/>
  <c r="S1175" i="6"/>
  <c r="T1175" i="6"/>
  <c r="U1175" i="6"/>
  <c r="V1175" i="6"/>
  <c r="W1175" i="6"/>
  <c r="X1175" i="6"/>
  <c r="Y1175" i="6"/>
  <c r="Z1175" i="6"/>
  <c r="AA1175" i="6"/>
  <c r="J1176" i="6"/>
  <c r="K1176" i="6"/>
  <c r="L1176" i="6"/>
  <c r="M1176" i="6"/>
  <c r="N1176" i="6"/>
  <c r="O1176" i="6"/>
  <c r="P1176" i="6"/>
  <c r="Q1176" i="6"/>
  <c r="R1176" i="6"/>
  <c r="S1176" i="6"/>
  <c r="T1176" i="6"/>
  <c r="U1176" i="6"/>
  <c r="V1176" i="6"/>
  <c r="W1176" i="6"/>
  <c r="X1176" i="6"/>
  <c r="Y1176" i="6"/>
  <c r="Z1176" i="6"/>
  <c r="AA1176" i="6"/>
  <c r="J1177" i="6"/>
  <c r="K1177" i="6"/>
  <c r="L1177" i="6"/>
  <c r="M1177" i="6"/>
  <c r="N1177" i="6"/>
  <c r="O1177" i="6"/>
  <c r="P1177" i="6"/>
  <c r="Q1177" i="6"/>
  <c r="R1177" i="6"/>
  <c r="S1177" i="6"/>
  <c r="T1177" i="6"/>
  <c r="U1177" i="6"/>
  <c r="V1177" i="6"/>
  <c r="W1177" i="6"/>
  <c r="X1177" i="6"/>
  <c r="Y1177" i="6"/>
  <c r="Z1177" i="6"/>
  <c r="AA1177" i="6"/>
  <c r="J1178" i="6"/>
  <c r="K1178" i="6"/>
  <c r="L1178" i="6"/>
  <c r="M1178" i="6"/>
  <c r="N1178" i="6"/>
  <c r="O1178" i="6"/>
  <c r="P1178" i="6"/>
  <c r="Q1178" i="6"/>
  <c r="R1178" i="6"/>
  <c r="S1178" i="6"/>
  <c r="T1178" i="6"/>
  <c r="U1178" i="6"/>
  <c r="V1178" i="6"/>
  <c r="W1178" i="6"/>
  <c r="X1178" i="6"/>
  <c r="Y1178" i="6"/>
  <c r="Z1178" i="6"/>
  <c r="AA1178" i="6"/>
  <c r="J1179" i="6"/>
  <c r="K1179" i="6"/>
  <c r="L1179" i="6"/>
  <c r="M1179" i="6"/>
  <c r="N1179" i="6"/>
  <c r="O1179" i="6"/>
  <c r="P1179" i="6"/>
  <c r="Q1179" i="6"/>
  <c r="R1179" i="6"/>
  <c r="S1179" i="6"/>
  <c r="T1179" i="6"/>
  <c r="U1179" i="6"/>
  <c r="V1179" i="6"/>
  <c r="W1179" i="6"/>
  <c r="X1179" i="6"/>
  <c r="Y1179" i="6"/>
  <c r="Z1179" i="6"/>
  <c r="AA1179" i="6"/>
  <c r="J1180" i="6"/>
  <c r="K1180" i="6"/>
  <c r="L1180" i="6"/>
  <c r="M1180" i="6"/>
  <c r="N1180" i="6"/>
  <c r="O1180" i="6"/>
  <c r="P1180" i="6"/>
  <c r="Q1180" i="6"/>
  <c r="R1180" i="6"/>
  <c r="S1180" i="6"/>
  <c r="T1180" i="6"/>
  <c r="U1180" i="6"/>
  <c r="V1180" i="6"/>
  <c r="W1180" i="6"/>
  <c r="X1180" i="6"/>
  <c r="Y1180" i="6"/>
  <c r="Z1180" i="6"/>
  <c r="AA1180" i="6"/>
  <c r="J1181" i="6"/>
  <c r="K1181" i="6"/>
  <c r="L1181" i="6"/>
  <c r="M1181" i="6"/>
  <c r="N1181" i="6"/>
  <c r="O1181" i="6"/>
  <c r="P1181" i="6"/>
  <c r="Q1181" i="6"/>
  <c r="R1181" i="6"/>
  <c r="S1181" i="6"/>
  <c r="T1181" i="6"/>
  <c r="U1181" i="6"/>
  <c r="V1181" i="6"/>
  <c r="W1181" i="6"/>
  <c r="X1181" i="6"/>
  <c r="Y1181" i="6"/>
  <c r="Z1181" i="6"/>
  <c r="AA1181" i="6"/>
  <c r="J1182" i="6"/>
  <c r="K1182" i="6"/>
  <c r="L1182" i="6"/>
  <c r="M1182" i="6"/>
  <c r="N1182" i="6"/>
  <c r="O1182" i="6"/>
  <c r="P1182" i="6"/>
  <c r="Q1182" i="6"/>
  <c r="R1182" i="6"/>
  <c r="S1182" i="6"/>
  <c r="T1182" i="6"/>
  <c r="U1182" i="6"/>
  <c r="V1182" i="6"/>
  <c r="W1182" i="6"/>
  <c r="X1182" i="6"/>
  <c r="Y1182" i="6"/>
  <c r="Z1182" i="6"/>
  <c r="AA1182" i="6"/>
  <c r="J1183" i="6"/>
  <c r="K1183" i="6"/>
  <c r="L1183" i="6"/>
  <c r="M1183" i="6"/>
  <c r="N1183" i="6"/>
  <c r="O1183" i="6"/>
  <c r="P1183" i="6"/>
  <c r="Q1183" i="6"/>
  <c r="R1183" i="6"/>
  <c r="S1183" i="6"/>
  <c r="T1183" i="6"/>
  <c r="U1183" i="6"/>
  <c r="V1183" i="6"/>
  <c r="W1183" i="6"/>
  <c r="X1183" i="6"/>
  <c r="Y1183" i="6"/>
  <c r="Z1183" i="6"/>
  <c r="AA1183" i="6"/>
  <c r="J1184" i="6"/>
  <c r="K1184" i="6"/>
  <c r="L1184" i="6"/>
  <c r="M1184" i="6"/>
  <c r="N1184" i="6"/>
  <c r="O1184" i="6"/>
  <c r="P1184" i="6"/>
  <c r="Q1184" i="6"/>
  <c r="R1184" i="6"/>
  <c r="S1184" i="6"/>
  <c r="T1184" i="6"/>
  <c r="U1184" i="6"/>
  <c r="V1184" i="6"/>
  <c r="W1184" i="6"/>
  <c r="X1184" i="6"/>
  <c r="Y1184" i="6"/>
  <c r="Z1184" i="6"/>
  <c r="AA1184" i="6"/>
  <c r="J1185" i="6"/>
  <c r="K1185" i="6"/>
  <c r="L1185" i="6"/>
  <c r="M1185" i="6"/>
  <c r="N1185" i="6"/>
  <c r="O1185" i="6"/>
  <c r="P1185" i="6"/>
  <c r="Q1185" i="6"/>
  <c r="R1185" i="6"/>
  <c r="S1185" i="6"/>
  <c r="T1185" i="6"/>
  <c r="U1185" i="6"/>
  <c r="V1185" i="6"/>
  <c r="W1185" i="6"/>
  <c r="X1185" i="6"/>
  <c r="Y1185" i="6"/>
  <c r="Z1185" i="6"/>
  <c r="AA1185" i="6"/>
  <c r="J1186" i="6"/>
  <c r="K1186" i="6"/>
  <c r="L1186" i="6"/>
  <c r="M1186" i="6"/>
  <c r="N1186" i="6"/>
  <c r="O1186" i="6"/>
  <c r="P1186" i="6"/>
  <c r="Q1186" i="6"/>
  <c r="R1186" i="6"/>
  <c r="S1186" i="6"/>
  <c r="T1186" i="6"/>
  <c r="U1186" i="6"/>
  <c r="V1186" i="6"/>
  <c r="W1186" i="6"/>
  <c r="X1186" i="6"/>
  <c r="Y1186" i="6"/>
  <c r="Z1186" i="6"/>
  <c r="AA1186" i="6"/>
  <c r="J1187" i="6"/>
  <c r="K1187" i="6"/>
  <c r="L1187" i="6"/>
  <c r="M1187" i="6"/>
  <c r="N1187" i="6"/>
  <c r="O1187" i="6"/>
  <c r="P1187" i="6"/>
  <c r="Q1187" i="6"/>
  <c r="R1187" i="6"/>
  <c r="S1187" i="6"/>
  <c r="T1187" i="6"/>
  <c r="U1187" i="6"/>
  <c r="V1187" i="6"/>
  <c r="W1187" i="6"/>
  <c r="X1187" i="6"/>
  <c r="Y1187" i="6"/>
  <c r="Z1187" i="6"/>
  <c r="AA1187" i="6"/>
  <c r="J1188" i="6"/>
  <c r="K1188" i="6"/>
  <c r="L1188" i="6"/>
  <c r="M1188" i="6"/>
  <c r="N1188" i="6"/>
  <c r="O1188" i="6"/>
  <c r="P1188" i="6"/>
  <c r="Q1188" i="6"/>
  <c r="R1188" i="6"/>
  <c r="S1188" i="6"/>
  <c r="T1188" i="6"/>
  <c r="U1188" i="6"/>
  <c r="V1188" i="6"/>
  <c r="W1188" i="6"/>
  <c r="X1188" i="6"/>
  <c r="Y1188" i="6"/>
  <c r="Z1188" i="6"/>
  <c r="AA1188" i="6"/>
  <c r="J1189" i="6"/>
  <c r="K1189" i="6"/>
  <c r="L1189" i="6"/>
  <c r="M1189" i="6"/>
  <c r="N1189" i="6"/>
  <c r="O1189" i="6"/>
  <c r="P1189" i="6"/>
  <c r="Q1189" i="6"/>
  <c r="R1189" i="6"/>
  <c r="S1189" i="6"/>
  <c r="T1189" i="6"/>
  <c r="U1189" i="6"/>
  <c r="V1189" i="6"/>
  <c r="W1189" i="6"/>
  <c r="X1189" i="6"/>
  <c r="Y1189" i="6"/>
  <c r="Z1189" i="6"/>
  <c r="AA1189" i="6"/>
  <c r="J1190" i="6"/>
  <c r="K1190" i="6"/>
  <c r="L1190" i="6"/>
  <c r="M1190" i="6"/>
  <c r="N1190" i="6"/>
  <c r="O1190" i="6"/>
  <c r="P1190" i="6"/>
  <c r="Q1190" i="6"/>
  <c r="R1190" i="6"/>
  <c r="S1190" i="6"/>
  <c r="T1190" i="6"/>
  <c r="U1190" i="6"/>
  <c r="V1190" i="6"/>
  <c r="W1190" i="6"/>
  <c r="X1190" i="6"/>
  <c r="Y1190" i="6"/>
  <c r="Z1190" i="6"/>
  <c r="AA1190" i="6"/>
  <c r="J1191" i="6"/>
  <c r="K1191" i="6"/>
  <c r="L1191" i="6"/>
  <c r="M1191" i="6"/>
  <c r="N1191" i="6"/>
  <c r="O1191" i="6"/>
  <c r="P1191" i="6"/>
  <c r="Q1191" i="6"/>
  <c r="R1191" i="6"/>
  <c r="S1191" i="6"/>
  <c r="T1191" i="6"/>
  <c r="U1191" i="6"/>
  <c r="V1191" i="6"/>
  <c r="W1191" i="6"/>
  <c r="X1191" i="6"/>
  <c r="Y1191" i="6"/>
  <c r="Z1191" i="6"/>
  <c r="AA1191" i="6"/>
  <c r="J1192" i="6"/>
  <c r="K1192" i="6"/>
  <c r="L1192" i="6"/>
  <c r="M1192" i="6"/>
  <c r="N1192" i="6"/>
  <c r="O1192" i="6"/>
  <c r="P1192" i="6"/>
  <c r="Q1192" i="6"/>
  <c r="R1192" i="6"/>
  <c r="S1192" i="6"/>
  <c r="T1192" i="6"/>
  <c r="U1192" i="6"/>
  <c r="V1192" i="6"/>
  <c r="W1192" i="6"/>
  <c r="X1192" i="6"/>
  <c r="Y1192" i="6"/>
  <c r="Z1192" i="6"/>
  <c r="AA1192" i="6"/>
  <c r="J1193" i="6"/>
  <c r="K1193" i="6"/>
  <c r="L1193" i="6"/>
  <c r="M1193" i="6"/>
  <c r="N1193" i="6"/>
  <c r="O1193" i="6"/>
  <c r="P1193" i="6"/>
  <c r="Q1193" i="6"/>
  <c r="R1193" i="6"/>
  <c r="S1193" i="6"/>
  <c r="T1193" i="6"/>
  <c r="U1193" i="6"/>
  <c r="V1193" i="6"/>
  <c r="W1193" i="6"/>
  <c r="X1193" i="6"/>
  <c r="Y1193" i="6"/>
  <c r="Z1193" i="6"/>
  <c r="AA1193" i="6"/>
  <c r="J1194" i="6"/>
  <c r="K1194" i="6"/>
  <c r="L1194" i="6"/>
  <c r="M1194" i="6"/>
  <c r="N1194" i="6"/>
  <c r="O1194" i="6"/>
  <c r="P1194" i="6"/>
  <c r="Q1194" i="6"/>
  <c r="R1194" i="6"/>
  <c r="S1194" i="6"/>
  <c r="T1194" i="6"/>
  <c r="U1194" i="6"/>
  <c r="V1194" i="6"/>
  <c r="W1194" i="6"/>
  <c r="X1194" i="6"/>
  <c r="Y1194" i="6"/>
  <c r="Z1194" i="6"/>
  <c r="AA1194" i="6"/>
  <c r="J1195" i="6"/>
  <c r="K1195" i="6"/>
  <c r="L1195" i="6"/>
  <c r="M1195" i="6"/>
  <c r="N1195" i="6"/>
  <c r="O1195" i="6"/>
  <c r="P1195" i="6"/>
  <c r="Q1195" i="6"/>
  <c r="R1195" i="6"/>
  <c r="S1195" i="6"/>
  <c r="T1195" i="6"/>
  <c r="U1195" i="6"/>
  <c r="V1195" i="6"/>
  <c r="W1195" i="6"/>
  <c r="X1195" i="6"/>
  <c r="Y1195" i="6"/>
  <c r="Z1195" i="6"/>
  <c r="AA1195" i="6"/>
  <c r="J1196" i="6"/>
  <c r="K1196" i="6"/>
  <c r="L1196" i="6"/>
  <c r="M1196" i="6"/>
  <c r="N1196" i="6"/>
  <c r="O1196" i="6"/>
  <c r="P1196" i="6"/>
  <c r="Q1196" i="6"/>
  <c r="R1196" i="6"/>
  <c r="S1196" i="6"/>
  <c r="T1196" i="6"/>
  <c r="U1196" i="6"/>
  <c r="V1196" i="6"/>
  <c r="W1196" i="6"/>
  <c r="X1196" i="6"/>
  <c r="Y1196" i="6"/>
  <c r="Z1196" i="6"/>
  <c r="AA1196" i="6"/>
  <c r="J1197" i="6"/>
  <c r="K1197" i="6"/>
  <c r="L1197" i="6"/>
  <c r="M1197" i="6"/>
  <c r="N1197" i="6"/>
  <c r="O1197" i="6"/>
  <c r="P1197" i="6"/>
  <c r="Q1197" i="6"/>
  <c r="R1197" i="6"/>
  <c r="S1197" i="6"/>
  <c r="T1197" i="6"/>
  <c r="U1197" i="6"/>
  <c r="V1197" i="6"/>
  <c r="W1197" i="6"/>
  <c r="X1197" i="6"/>
  <c r="Y1197" i="6"/>
  <c r="Z1197" i="6"/>
  <c r="AA1197" i="6"/>
  <c r="J1198" i="6"/>
  <c r="K1198" i="6"/>
  <c r="L1198" i="6"/>
  <c r="M1198" i="6"/>
  <c r="N1198" i="6"/>
  <c r="O1198" i="6"/>
  <c r="P1198" i="6"/>
  <c r="Q1198" i="6"/>
  <c r="R1198" i="6"/>
  <c r="S1198" i="6"/>
  <c r="T1198" i="6"/>
  <c r="U1198" i="6"/>
  <c r="V1198" i="6"/>
  <c r="W1198" i="6"/>
  <c r="X1198" i="6"/>
  <c r="Y1198" i="6"/>
  <c r="Z1198" i="6"/>
  <c r="AA1198" i="6"/>
  <c r="J1199" i="6"/>
  <c r="K1199" i="6"/>
  <c r="L1199" i="6"/>
  <c r="M1199" i="6"/>
  <c r="N1199" i="6"/>
  <c r="O1199" i="6"/>
  <c r="P1199" i="6"/>
  <c r="Q1199" i="6"/>
  <c r="R1199" i="6"/>
  <c r="S1199" i="6"/>
  <c r="T1199" i="6"/>
  <c r="U1199" i="6"/>
  <c r="V1199" i="6"/>
  <c r="W1199" i="6"/>
  <c r="X1199" i="6"/>
  <c r="Y1199" i="6"/>
  <c r="Z1199" i="6"/>
  <c r="AA1199" i="6"/>
  <c r="J1200" i="6"/>
  <c r="K1200" i="6"/>
  <c r="L1200" i="6"/>
  <c r="M1200" i="6"/>
  <c r="N1200" i="6"/>
  <c r="O1200" i="6"/>
  <c r="P1200" i="6"/>
  <c r="Q1200" i="6"/>
  <c r="R1200" i="6"/>
  <c r="S1200" i="6"/>
  <c r="T1200" i="6"/>
  <c r="U1200" i="6"/>
  <c r="V1200" i="6"/>
  <c r="W1200" i="6"/>
  <c r="X1200" i="6"/>
  <c r="Y1200" i="6"/>
  <c r="Z1200" i="6"/>
  <c r="AA1200" i="6"/>
  <c r="J1201" i="6"/>
  <c r="K1201" i="6"/>
  <c r="L1201" i="6"/>
  <c r="M1201" i="6"/>
  <c r="N1201" i="6"/>
  <c r="O1201" i="6"/>
  <c r="P1201" i="6"/>
  <c r="Q1201" i="6"/>
  <c r="R1201" i="6"/>
  <c r="S1201" i="6"/>
  <c r="T1201" i="6"/>
  <c r="U1201" i="6"/>
  <c r="V1201" i="6"/>
  <c r="W1201" i="6"/>
  <c r="X1201" i="6"/>
  <c r="Y1201" i="6"/>
  <c r="Z1201" i="6"/>
  <c r="AA1201" i="6"/>
  <c r="J1202" i="6"/>
  <c r="K1202" i="6"/>
  <c r="L1202" i="6"/>
  <c r="M1202" i="6"/>
  <c r="N1202" i="6"/>
  <c r="O1202" i="6"/>
  <c r="P1202" i="6"/>
  <c r="Q1202" i="6"/>
  <c r="R1202" i="6"/>
  <c r="S1202" i="6"/>
  <c r="T1202" i="6"/>
  <c r="U1202" i="6"/>
  <c r="V1202" i="6"/>
  <c r="W1202" i="6"/>
  <c r="X1202" i="6"/>
  <c r="Y1202" i="6"/>
  <c r="Z1202" i="6"/>
  <c r="AA1202" i="6"/>
  <c r="J1203" i="6"/>
  <c r="K1203" i="6"/>
  <c r="L1203" i="6"/>
  <c r="M1203" i="6"/>
  <c r="N1203" i="6"/>
  <c r="O1203" i="6"/>
  <c r="P1203" i="6"/>
  <c r="Q1203" i="6"/>
  <c r="R1203" i="6"/>
  <c r="S1203" i="6"/>
  <c r="T1203" i="6"/>
  <c r="U1203" i="6"/>
  <c r="V1203" i="6"/>
  <c r="W1203" i="6"/>
  <c r="X1203" i="6"/>
  <c r="Y1203" i="6"/>
  <c r="Z1203" i="6"/>
  <c r="AA1203" i="6"/>
  <c r="J1204" i="6"/>
  <c r="K1204" i="6"/>
  <c r="L1204" i="6"/>
  <c r="M1204" i="6"/>
  <c r="N1204" i="6"/>
  <c r="O1204" i="6"/>
  <c r="P1204" i="6"/>
  <c r="Q1204" i="6"/>
  <c r="R1204" i="6"/>
  <c r="S1204" i="6"/>
  <c r="T1204" i="6"/>
  <c r="U1204" i="6"/>
  <c r="V1204" i="6"/>
  <c r="W1204" i="6"/>
  <c r="X1204" i="6"/>
  <c r="Y1204" i="6"/>
  <c r="Z1204" i="6"/>
  <c r="AA1204" i="6"/>
  <c r="J1205" i="6"/>
  <c r="K1205" i="6"/>
  <c r="L1205" i="6"/>
  <c r="M1205" i="6"/>
  <c r="N1205" i="6"/>
  <c r="O1205" i="6"/>
  <c r="P1205" i="6"/>
  <c r="Q1205" i="6"/>
  <c r="R1205" i="6"/>
  <c r="S1205" i="6"/>
  <c r="T1205" i="6"/>
  <c r="U1205" i="6"/>
  <c r="V1205" i="6"/>
  <c r="W1205" i="6"/>
  <c r="X1205" i="6"/>
  <c r="Y1205" i="6"/>
  <c r="Z1205" i="6"/>
  <c r="AA1205" i="6"/>
  <c r="J1206" i="6"/>
  <c r="K1206" i="6"/>
  <c r="L1206" i="6"/>
  <c r="M1206" i="6"/>
  <c r="N1206" i="6"/>
  <c r="O1206" i="6"/>
  <c r="P1206" i="6"/>
  <c r="Q1206" i="6"/>
  <c r="R1206" i="6"/>
  <c r="S1206" i="6"/>
  <c r="T1206" i="6"/>
  <c r="U1206" i="6"/>
  <c r="V1206" i="6"/>
  <c r="W1206" i="6"/>
  <c r="X1206" i="6"/>
  <c r="Y1206" i="6"/>
  <c r="Z1206" i="6"/>
  <c r="AA1206" i="6"/>
  <c r="J1207" i="6"/>
  <c r="K1207" i="6"/>
  <c r="L1207" i="6"/>
  <c r="M1207" i="6"/>
  <c r="N1207" i="6"/>
  <c r="O1207" i="6"/>
  <c r="P1207" i="6"/>
  <c r="Q1207" i="6"/>
  <c r="R1207" i="6"/>
  <c r="S1207" i="6"/>
  <c r="T1207" i="6"/>
  <c r="U1207" i="6"/>
  <c r="V1207" i="6"/>
  <c r="W1207" i="6"/>
  <c r="X1207" i="6"/>
  <c r="Y1207" i="6"/>
  <c r="Z1207" i="6"/>
  <c r="AA1207" i="6"/>
  <c r="J1208" i="6"/>
  <c r="K1208" i="6"/>
  <c r="L1208" i="6"/>
  <c r="M1208" i="6"/>
  <c r="N1208" i="6"/>
  <c r="O1208" i="6"/>
  <c r="P1208" i="6"/>
  <c r="Q1208" i="6"/>
  <c r="R1208" i="6"/>
  <c r="S1208" i="6"/>
  <c r="T1208" i="6"/>
  <c r="U1208" i="6"/>
  <c r="V1208" i="6"/>
  <c r="W1208" i="6"/>
  <c r="X1208" i="6"/>
  <c r="Y1208" i="6"/>
  <c r="Z1208" i="6"/>
  <c r="AA1208" i="6"/>
  <c r="J1209" i="6"/>
  <c r="K1209" i="6"/>
  <c r="L1209" i="6"/>
  <c r="M1209" i="6"/>
  <c r="N1209" i="6"/>
  <c r="O1209" i="6"/>
  <c r="P1209" i="6"/>
  <c r="Q1209" i="6"/>
  <c r="R1209" i="6"/>
  <c r="S1209" i="6"/>
  <c r="T1209" i="6"/>
  <c r="U1209" i="6"/>
  <c r="V1209" i="6"/>
  <c r="W1209" i="6"/>
  <c r="X1209" i="6"/>
  <c r="Y1209" i="6"/>
  <c r="Z1209" i="6"/>
  <c r="AA1209" i="6"/>
  <c r="J1210" i="6"/>
  <c r="K1210" i="6"/>
  <c r="L1210" i="6"/>
  <c r="M1210" i="6"/>
  <c r="N1210" i="6"/>
  <c r="O1210" i="6"/>
  <c r="P1210" i="6"/>
  <c r="Q1210" i="6"/>
  <c r="R1210" i="6"/>
  <c r="S1210" i="6"/>
  <c r="T1210" i="6"/>
  <c r="U1210" i="6"/>
  <c r="V1210" i="6"/>
  <c r="W1210" i="6"/>
  <c r="X1210" i="6"/>
  <c r="Y1210" i="6"/>
  <c r="Z1210" i="6"/>
  <c r="AA1210" i="6"/>
  <c r="J1211" i="6"/>
  <c r="K1211" i="6"/>
  <c r="L1211" i="6"/>
  <c r="M1211" i="6"/>
  <c r="N1211" i="6"/>
  <c r="O1211" i="6"/>
  <c r="P1211" i="6"/>
  <c r="Q1211" i="6"/>
  <c r="R1211" i="6"/>
  <c r="S1211" i="6"/>
  <c r="T1211" i="6"/>
  <c r="U1211" i="6"/>
  <c r="V1211" i="6"/>
  <c r="W1211" i="6"/>
  <c r="X1211" i="6"/>
  <c r="Y1211" i="6"/>
  <c r="Z1211" i="6"/>
  <c r="AA1211" i="6"/>
  <c r="J1212" i="6"/>
  <c r="K1212" i="6"/>
  <c r="L1212" i="6"/>
  <c r="M1212" i="6"/>
  <c r="N1212" i="6"/>
  <c r="O1212" i="6"/>
  <c r="P1212" i="6"/>
  <c r="Q1212" i="6"/>
  <c r="R1212" i="6"/>
  <c r="S1212" i="6"/>
  <c r="T1212" i="6"/>
  <c r="U1212" i="6"/>
  <c r="V1212" i="6"/>
  <c r="W1212" i="6"/>
  <c r="X1212" i="6"/>
  <c r="Y1212" i="6"/>
  <c r="Z1212" i="6"/>
  <c r="AA1212" i="6"/>
  <c r="J1213" i="6"/>
  <c r="K1213" i="6"/>
  <c r="L1213" i="6"/>
  <c r="M1213" i="6"/>
  <c r="N1213" i="6"/>
  <c r="O1213" i="6"/>
  <c r="P1213" i="6"/>
  <c r="Q1213" i="6"/>
  <c r="R1213" i="6"/>
  <c r="S1213" i="6"/>
  <c r="T1213" i="6"/>
  <c r="U1213" i="6"/>
  <c r="V1213" i="6"/>
  <c r="W1213" i="6"/>
  <c r="X1213" i="6"/>
  <c r="Y1213" i="6"/>
  <c r="Z1213" i="6"/>
  <c r="AA1213" i="6"/>
  <c r="J1214" i="6"/>
  <c r="K1214" i="6"/>
  <c r="L1214" i="6"/>
  <c r="M1214" i="6"/>
  <c r="N1214" i="6"/>
  <c r="O1214" i="6"/>
  <c r="P1214" i="6"/>
  <c r="Q1214" i="6"/>
  <c r="R1214" i="6"/>
  <c r="S1214" i="6"/>
  <c r="T1214" i="6"/>
  <c r="U1214" i="6"/>
  <c r="V1214" i="6"/>
  <c r="W1214" i="6"/>
  <c r="X1214" i="6"/>
  <c r="Y1214" i="6"/>
  <c r="Z1214" i="6"/>
  <c r="AA1214" i="6"/>
  <c r="J1215" i="6"/>
  <c r="K1215" i="6"/>
  <c r="L1215" i="6"/>
  <c r="M1215" i="6"/>
  <c r="N1215" i="6"/>
  <c r="O1215" i="6"/>
  <c r="P1215" i="6"/>
  <c r="Q1215" i="6"/>
  <c r="R1215" i="6"/>
  <c r="S1215" i="6"/>
  <c r="T1215" i="6"/>
  <c r="U1215" i="6"/>
  <c r="V1215" i="6"/>
  <c r="W1215" i="6"/>
  <c r="X1215" i="6"/>
  <c r="Y1215" i="6"/>
  <c r="Z1215" i="6"/>
  <c r="AA1215" i="6"/>
  <c r="J1216" i="6"/>
  <c r="K1216" i="6"/>
  <c r="L1216" i="6"/>
  <c r="M1216" i="6"/>
  <c r="N1216" i="6"/>
  <c r="O1216" i="6"/>
  <c r="P1216" i="6"/>
  <c r="Q1216" i="6"/>
  <c r="R1216" i="6"/>
  <c r="S1216" i="6"/>
  <c r="T1216" i="6"/>
  <c r="U1216" i="6"/>
  <c r="V1216" i="6"/>
  <c r="W1216" i="6"/>
  <c r="X1216" i="6"/>
  <c r="Y1216" i="6"/>
  <c r="Z1216" i="6"/>
  <c r="AA1216" i="6"/>
  <c r="J1217" i="6"/>
  <c r="K1217" i="6"/>
  <c r="L1217" i="6"/>
  <c r="M1217" i="6"/>
  <c r="N1217" i="6"/>
  <c r="O1217" i="6"/>
  <c r="P1217" i="6"/>
  <c r="Q1217" i="6"/>
  <c r="R1217" i="6"/>
  <c r="S1217" i="6"/>
  <c r="T1217" i="6"/>
  <c r="U1217" i="6"/>
  <c r="V1217" i="6"/>
  <c r="W1217" i="6"/>
  <c r="X1217" i="6"/>
  <c r="Y1217" i="6"/>
  <c r="Z1217" i="6"/>
  <c r="AA1217" i="6"/>
  <c r="J1218" i="6"/>
  <c r="K1218" i="6"/>
  <c r="L1218" i="6"/>
  <c r="M1218" i="6"/>
  <c r="N1218" i="6"/>
  <c r="O1218" i="6"/>
  <c r="P1218" i="6"/>
  <c r="Q1218" i="6"/>
  <c r="R1218" i="6"/>
  <c r="S1218" i="6"/>
  <c r="T1218" i="6"/>
  <c r="U1218" i="6"/>
  <c r="V1218" i="6"/>
  <c r="W1218" i="6"/>
  <c r="X1218" i="6"/>
  <c r="Y1218" i="6"/>
  <c r="Z1218" i="6"/>
  <c r="AA1218" i="6"/>
  <c r="J1219" i="6"/>
  <c r="K1219" i="6"/>
  <c r="L1219" i="6"/>
  <c r="M1219" i="6"/>
  <c r="N1219" i="6"/>
  <c r="O1219" i="6"/>
  <c r="P1219" i="6"/>
  <c r="Q1219" i="6"/>
  <c r="R1219" i="6"/>
  <c r="S1219" i="6"/>
  <c r="T1219" i="6"/>
  <c r="U1219" i="6"/>
  <c r="V1219" i="6"/>
  <c r="W1219" i="6"/>
  <c r="X1219" i="6"/>
  <c r="Y1219" i="6"/>
  <c r="Z1219" i="6"/>
  <c r="AA1219" i="6"/>
  <c r="J1220" i="6"/>
  <c r="K1220" i="6"/>
  <c r="L1220" i="6"/>
  <c r="M1220" i="6"/>
  <c r="N1220" i="6"/>
  <c r="O1220" i="6"/>
  <c r="P1220" i="6"/>
  <c r="Q1220" i="6"/>
  <c r="R1220" i="6"/>
  <c r="S1220" i="6"/>
  <c r="T1220" i="6"/>
  <c r="U1220" i="6"/>
  <c r="V1220" i="6"/>
  <c r="W1220" i="6"/>
  <c r="X1220" i="6"/>
  <c r="Y1220" i="6"/>
  <c r="Z1220" i="6"/>
  <c r="AA1220" i="6"/>
  <c r="J1221" i="6"/>
  <c r="K1221" i="6"/>
  <c r="L1221" i="6"/>
  <c r="M1221" i="6"/>
  <c r="N1221" i="6"/>
  <c r="O1221" i="6"/>
  <c r="P1221" i="6"/>
  <c r="Q1221" i="6"/>
  <c r="R1221" i="6"/>
  <c r="S1221" i="6"/>
  <c r="T1221" i="6"/>
  <c r="U1221" i="6"/>
  <c r="V1221" i="6"/>
  <c r="W1221" i="6"/>
  <c r="X1221" i="6"/>
  <c r="Y1221" i="6"/>
  <c r="Z1221" i="6"/>
  <c r="AA1221" i="6"/>
  <c r="J1222" i="6"/>
  <c r="K1222" i="6"/>
  <c r="L1222" i="6"/>
  <c r="M1222" i="6"/>
  <c r="N1222" i="6"/>
  <c r="O1222" i="6"/>
  <c r="P1222" i="6"/>
  <c r="Q1222" i="6"/>
  <c r="R1222" i="6"/>
  <c r="S1222" i="6"/>
  <c r="T1222" i="6"/>
  <c r="U1222" i="6"/>
  <c r="V1222" i="6"/>
  <c r="W1222" i="6"/>
  <c r="X1222" i="6"/>
  <c r="Y1222" i="6"/>
  <c r="Z1222" i="6"/>
  <c r="AA1222" i="6"/>
  <c r="J1223" i="6"/>
  <c r="K1223" i="6"/>
  <c r="L1223" i="6"/>
  <c r="M1223" i="6"/>
  <c r="N1223" i="6"/>
  <c r="O1223" i="6"/>
  <c r="P1223" i="6"/>
  <c r="Q1223" i="6"/>
  <c r="R1223" i="6"/>
  <c r="S1223" i="6"/>
  <c r="T1223" i="6"/>
  <c r="U1223" i="6"/>
  <c r="V1223" i="6"/>
  <c r="W1223" i="6"/>
  <c r="X1223" i="6"/>
  <c r="Y1223" i="6"/>
  <c r="Z1223" i="6"/>
  <c r="AA1223" i="6"/>
  <c r="J1224" i="6"/>
  <c r="K1224" i="6"/>
  <c r="L1224" i="6"/>
  <c r="M1224" i="6"/>
  <c r="N1224" i="6"/>
  <c r="O1224" i="6"/>
  <c r="P1224" i="6"/>
  <c r="Q1224" i="6"/>
  <c r="R1224" i="6"/>
  <c r="S1224" i="6"/>
  <c r="T1224" i="6"/>
  <c r="U1224" i="6"/>
  <c r="V1224" i="6"/>
  <c r="W1224" i="6"/>
  <c r="X1224" i="6"/>
  <c r="Y1224" i="6"/>
  <c r="Z1224" i="6"/>
  <c r="AA1224" i="6"/>
  <c r="J1225" i="6"/>
  <c r="K1225" i="6"/>
  <c r="L1225" i="6"/>
  <c r="M1225" i="6"/>
  <c r="N1225" i="6"/>
  <c r="O1225" i="6"/>
  <c r="P1225" i="6"/>
  <c r="Q1225" i="6"/>
  <c r="R1225" i="6"/>
  <c r="S1225" i="6"/>
  <c r="T1225" i="6"/>
  <c r="U1225" i="6"/>
  <c r="V1225" i="6"/>
  <c r="W1225" i="6"/>
  <c r="X1225" i="6"/>
  <c r="Y1225" i="6"/>
  <c r="Z1225" i="6"/>
  <c r="AA1225" i="6"/>
  <c r="J1226" i="6"/>
  <c r="K1226" i="6"/>
  <c r="L1226" i="6"/>
  <c r="M1226" i="6"/>
  <c r="N1226" i="6"/>
  <c r="O1226" i="6"/>
  <c r="P1226" i="6"/>
  <c r="Q1226" i="6"/>
  <c r="R1226" i="6"/>
  <c r="S1226" i="6"/>
  <c r="T1226" i="6"/>
  <c r="U1226" i="6"/>
  <c r="V1226" i="6"/>
  <c r="W1226" i="6"/>
  <c r="X1226" i="6"/>
  <c r="Y1226" i="6"/>
  <c r="Z1226" i="6"/>
  <c r="AA1226" i="6"/>
  <c r="J1227" i="6"/>
  <c r="K1227" i="6"/>
  <c r="L1227" i="6"/>
  <c r="M1227" i="6"/>
  <c r="N1227" i="6"/>
  <c r="O1227" i="6"/>
  <c r="P1227" i="6"/>
  <c r="Q1227" i="6"/>
  <c r="R1227" i="6"/>
  <c r="S1227" i="6"/>
  <c r="T1227" i="6"/>
  <c r="U1227" i="6"/>
  <c r="V1227" i="6"/>
  <c r="W1227" i="6"/>
  <c r="X1227" i="6"/>
  <c r="Y1227" i="6"/>
  <c r="Z1227" i="6"/>
  <c r="AA1227" i="6"/>
  <c r="J1228" i="6"/>
  <c r="K1228" i="6"/>
  <c r="L1228" i="6"/>
  <c r="M1228" i="6"/>
  <c r="N1228" i="6"/>
  <c r="O1228" i="6"/>
  <c r="P1228" i="6"/>
  <c r="Q1228" i="6"/>
  <c r="R1228" i="6"/>
  <c r="S1228" i="6"/>
  <c r="T1228" i="6"/>
  <c r="U1228" i="6"/>
  <c r="V1228" i="6"/>
  <c r="W1228" i="6"/>
  <c r="X1228" i="6"/>
  <c r="Y1228" i="6"/>
  <c r="Z1228" i="6"/>
  <c r="AA1228" i="6"/>
  <c r="J1229" i="6"/>
  <c r="K1229" i="6"/>
  <c r="L1229" i="6"/>
  <c r="M1229" i="6"/>
  <c r="N1229" i="6"/>
  <c r="O1229" i="6"/>
  <c r="P1229" i="6"/>
  <c r="Q1229" i="6"/>
  <c r="R1229" i="6"/>
  <c r="S1229" i="6"/>
  <c r="T1229" i="6"/>
  <c r="U1229" i="6"/>
  <c r="V1229" i="6"/>
  <c r="W1229" i="6"/>
  <c r="X1229" i="6"/>
  <c r="Y1229" i="6"/>
  <c r="Z1229" i="6"/>
  <c r="AA1229" i="6"/>
  <c r="J1230" i="6"/>
  <c r="K1230" i="6"/>
  <c r="L1230" i="6"/>
  <c r="M1230" i="6"/>
  <c r="N1230" i="6"/>
  <c r="O1230" i="6"/>
  <c r="P1230" i="6"/>
  <c r="Q1230" i="6"/>
  <c r="R1230" i="6"/>
  <c r="S1230" i="6"/>
  <c r="T1230" i="6"/>
  <c r="U1230" i="6"/>
  <c r="V1230" i="6"/>
  <c r="W1230" i="6"/>
  <c r="X1230" i="6"/>
  <c r="Y1230" i="6"/>
  <c r="Z1230" i="6"/>
  <c r="AA1230" i="6"/>
  <c r="J1231" i="6"/>
  <c r="K1231" i="6"/>
  <c r="L1231" i="6"/>
  <c r="M1231" i="6"/>
  <c r="N1231" i="6"/>
  <c r="O1231" i="6"/>
  <c r="P1231" i="6"/>
  <c r="Q1231" i="6"/>
  <c r="R1231" i="6"/>
  <c r="S1231" i="6"/>
  <c r="T1231" i="6"/>
  <c r="U1231" i="6"/>
  <c r="V1231" i="6"/>
  <c r="W1231" i="6"/>
  <c r="X1231" i="6"/>
  <c r="Y1231" i="6"/>
  <c r="Z1231" i="6"/>
  <c r="AA1231" i="6"/>
  <c r="J1232" i="6"/>
  <c r="K1232" i="6"/>
  <c r="L1232" i="6"/>
  <c r="M1232" i="6"/>
  <c r="N1232" i="6"/>
  <c r="O1232" i="6"/>
  <c r="P1232" i="6"/>
  <c r="Q1232" i="6"/>
  <c r="R1232" i="6"/>
  <c r="S1232" i="6"/>
  <c r="T1232" i="6"/>
  <c r="U1232" i="6"/>
  <c r="V1232" i="6"/>
  <c r="W1232" i="6"/>
  <c r="X1232" i="6"/>
  <c r="Y1232" i="6"/>
  <c r="Z1232" i="6"/>
  <c r="AA1232" i="6"/>
  <c r="J1233" i="6"/>
  <c r="K1233" i="6"/>
  <c r="L1233" i="6"/>
  <c r="M1233" i="6"/>
  <c r="N1233" i="6"/>
  <c r="O1233" i="6"/>
  <c r="P1233" i="6"/>
  <c r="Q1233" i="6"/>
  <c r="R1233" i="6"/>
  <c r="S1233" i="6"/>
  <c r="T1233" i="6"/>
  <c r="U1233" i="6"/>
  <c r="V1233" i="6"/>
  <c r="W1233" i="6"/>
  <c r="X1233" i="6"/>
  <c r="Y1233" i="6"/>
  <c r="Z1233" i="6"/>
  <c r="AA1233" i="6"/>
  <c r="J1234" i="6"/>
  <c r="K1234" i="6"/>
  <c r="L1234" i="6"/>
  <c r="M1234" i="6"/>
  <c r="N1234" i="6"/>
  <c r="O1234" i="6"/>
  <c r="P1234" i="6"/>
  <c r="Q1234" i="6"/>
  <c r="R1234" i="6"/>
  <c r="S1234" i="6"/>
  <c r="T1234" i="6"/>
  <c r="U1234" i="6"/>
  <c r="V1234" i="6"/>
  <c r="W1234" i="6"/>
  <c r="X1234" i="6"/>
  <c r="Y1234" i="6"/>
  <c r="Z1234" i="6"/>
  <c r="AA1234" i="6"/>
  <c r="J1235" i="6"/>
  <c r="K1235" i="6"/>
  <c r="L1235" i="6"/>
  <c r="M1235" i="6"/>
  <c r="N1235" i="6"/>
  <c r="O1235" i="6"/>
  <c r="P1235" i="6"/>
  <c r="Q1235" i="6"/>
  <c r="R1235" i="6"/>
  <c r="S1235" i="6"/>
  <c r="T1235" i="6"/>
  <c r="U1235" i="6"/>
  <c r="V1235" i="6"/>
  <c r="W1235" i="6"/>
  <c r="X1235" i="6"/>
  <c r="Y1235" i="6"/>
  <c r="Z1235" i="6"/>
  <c r="AA1235" i="6"/>
  <c r="J1236" i="6"/>
  <c r="K1236" i="6"/>
  <c r="L1236" i="6"/>
  <c r="M1236" i="6"/>
  <c r="N1236" i="6"/>
  <c r="O1236" i="6"/>
  <c r="P1236" i="6"/>
  <c r="Q1236" i="6"/>
  <c r="R1236" i="6"/>
  <c r="S1236" i="6"/>
  <c r="T1236" i="6"/>
  <c r="U1236" i="6"/>
  <c r="V1236" i="6"/>
  <c r="W1236" i="6"/>
  <c r="X1236" i="6"/>
  <c r="Y1236" i="6"/>
  <c r="Z1236" i="6"/>
  <c r="AA1236" i="6"/>
  <c r="J1237" i="6"/>
  <c r="K1237" i="6"/>
  <c r="L1237" i="6"/>
  <c r="M1237" i="6"/>
  <c r="N1237" i="6"/>
  <c r="O1237" i="6"/>
  <c r="P1237" i="6"/>
  <c r="Q1237" i="6"/>
  <c r="R1237" i="6"/>
  <c r="S1237" i="6"/>
  <c r="T1237" i="6"/>
  <c r="U1237" i="6"/>
  <c r="V1237" i="6"/>
  <c r="W1237" i="6"/>
  <c r="X1237" i="6"/>
  <c r="Y1237" i="6"/>
  <c r="Z1237" i="6"/>
  <c r="AA1237" i="6"/>
  <c r="J1238" i="6"/>
  <c r="K1238" i="6"/>
  <c r="L1238" i="6"/>
  <c r="M1238" i="6"/>
  <c r="N1238" i="6"/>
  <c r="O1238" i="6"/>
  <c r="P1238" i="6"/>
  <c r="Q1238" i="6"/>
  <c r="R1238" i="6"/>
  <c r="S1238" i="6"/>
  <c r="T1238" i="6"/>
  <c r="U1238" i="6"/>
  <c r="V1238" i="6"/>
  <c r="W1238" i="6"/>
  <c r="X1238" i="6"/>
  <c r="Y1238" i="6"/>
  <c r="Z1238" i="6"/>
  <c r="AA1238" i="6"/>
  <c r="J1239" i="6"/>
  <c r="K1239" i="6"/>
  <c r="L1239" i="6"/>
  <c r="M1239" i="6"/>
  <c r="N1239" i="6"/>
  <c r="O1239" i="6"/>
  <c r="P1239" i="6"/>
  <c r="Q1239" i="6"/>
  <c r="R1239" i="6"/>
  <c r="S1239" i="6"/>
  <c r="T1239" i="6"/>
  <c r="U1239" i="6"/>
  <c r="V1239" i="6"/>
  <c r="W1239" i="6"/>
  <c r="X1239" i="6"/>
  <c r="Y1239" i="6"/>
  <c r="Z1239" i="6"/>
  <c r="AA1239" i="6"/>
  <c r="J1240" i="6"/>
  <c r="K1240" i="6"/>
  <c r="L1240" i="6"/>
  <c r="M1240" i="6"/>
  <c r="N1240" i="6"/>
  <c r="O1240" i="6"/>
  <c r="P1240" i="6"/>
  <c r="Q1240" i="6"/>
  <c r="R1240" i="6"/>
  <c r="S1240" i="6"/>
  <c r="T1240" i="6"/>
  <c r="U1240" i="6"/>
  <c r="V1240" i="6"/>
  <c r="W1240" i="6"/>
  <c r="X1240" i="6"/>
  <c r="Y1240" i="6"/>
  <c r="Z1240" i="6"/>
  <c r="AA1240" i="6"/>
  <c r="J1241" i="6"/>
  <c r="K1241" i="6"/>
  <c r="L1241" i="6"/>
  <c r="M1241" i="6"/>
  <c r="N1241" i="6"/>
  <c r="O1241" i="6"/>
  <c r="P1241" i="6"/>
  <c r="Q1241" i="6"/>
  <c r="R1241" i="6"/>
  <c r="S1241" i="6"/>
  <c r="T1241" i="6"/>
  <c r="U1241" i="6"/>
  <c r="V1241" i="6"/>
  <c r="W1241" i="6"/>
  <c r="X1241" i="6"/>
  <c r="Y1241" i="6"/>
  <c r="Z1241" i="6"/>
  <c r="AA1241" i="6"/>
  <c r="J1242" i="6"/>
  <c r="K1242" i="6"/>
  <c r="L1242" i="6"/>
  <c r="M1242" i="6"/>
  <c r="N1242" i="6"/>
  <c r="O1242" i="6"/>
  <c r="P1242" i="6"/>
  <c r="Q1242" i="6"/>
  <c r="R1242" i="6"/>
  <c r="S1242" i="6"/>
  <c r="T1242" i="6"/>
  <c r="U1242" i="6"/>
  <c r="V1242" i="6"/>
  <c r="W1242" i="6"/>
  <c r="X1242" i="6"/>
  <c r="Y1242" i="6"/>
  <c r="Z1242" i="6"/>
  <c r="AA1242" i="6"/>
  <c r="J1243" i="6"/>
  <c r="K1243" i="6"/>
  <c r="L1243" i="6"/>
  <c r="M1243" i="6"/>
  <c r="N1243" i="6"/>
  <c r="O1243" i="6"/>
  <c r="P1243" i="6"/>
  <c r="Q1243" i="6"/>
  <c r="R1243" i="6"/>
  <c r="S1243" i="6"/>
  <c r="T1243" i="6"/>
  <c r="U1243" i="6"/>
  <c r="V1243" i="6"/>
  <c r="W1243" i="6"/>
  <c r="X1243" i="6"/>
  <c r="Y1243" i="6"/>
  <c r="Z1243" i="6"/>
  <c r="AA1243" i="6"/>
  <c r="J1244" i="6"/>
  <c r="K1244" i="6"/>
  <c r="L1244" i="6"/>
  <c r="M1244" i="6"/>
  <c r="N1244" i="6"/>
  <c r="O1244" i="6"/>
  <c r="P1244" i="6"/>
  <c r="Q1244" i="6"/>
  <c r="R1244" i="6"/>
  <c r="S1244" i="6"/>
  <c r="T1244" i="6"/>
  <c r="U1244" i="6"/>
  <c r="V1244" i="6"/>
  <c r="W1244" i="6"/>
  <c r="X1244" i="6"/>
  <c r="Y1244" i="6"/>
  <c r="Z1244" i="6"/>
  <c r="AA1244" i="6"/>
  <c r="J1245" i="6"/>
  <c r="K1245" i="6"/>
  <c r="L1245" i="6"/>
  <c r="M1245" i="6"/>
  <c r="N1245" i="6"/>
  <c r="O1245" i="6"/>
  <c r="P1245" i="6"/>
  <c r="Q1245" i="6"/>
  <c r="R1245" i="6"/>
  <c r="S1245" i="6"/>
  <c r="T1245" i="6"/>
  <c r="U1245" i="6"/>
  <c r="V1245" i="6"/>
  <c r="W1245" i="6"/>
  <c r="X1245" i="6"/>
  <c r="Y1245" i="6"/>
  <c r="Z1245" i="6"/>
  <c r="AA1245" i="6"/>
  <c r="J1246" i="6"/>
  <c r="K1246" i="6"/>
  <c r="L1246" i="6"/>
  <c r="M1246" i="6"/>
  <c r="N1246" i="6"/>
  <c r="O1246" i="6"/>
  <c r="P1246" i="6"/>
  <c r="Q1246" i="6"/>
  <c r="R1246" i="6"/>
  <c r="S1246" i="6"/>
  <c r="T1246" i="6"/>
  <c r="U1246" i="6"/>
  <c r="V1246" i="6"/>
  <c r="W1246" i="6"/>
  <c r="X1246" i="6"/>
  <c r="Y1246" i="6"/>
  <c r="Z1246" i="6"/>
  <c r="AA1246" i="6"/>
  <c r="J1247" i="6"/>
  <c r="K1247" i="6"/>
  <c r="L1247" i="6"/>
  <c r="M1247" i="6"/>
  <c r="N1247" i="6"/>
  <c r="O1247" i="6"/>
  <c r="P1247" i="6"/>
  <c r="Q1247" i="6"/>
  <c r="R1247" i="6"/>
  <c r="S1247" i="6"/>
  <c r="T1247" i="6"/>
  <c r="U1247" i="6"/>
  <c r="V1247" i="6"/>
  <c r="W1247" i="6"/>
  <c r="X1247" i="6"/>
  <c r="Y1247" i="6"/>
  <c r="Z1247" i="6"/>
  <c r="AA1247" i="6"/>
  <c r="J1248" i="6"/>
  <c r="K1248" i="6"/>
  <c r="L1248" i="6"/>
  <c r="M1248" i="6"/>
  <c r="N1248" i="6"/>
  <c r="O1248" i="6"/>
  <c r="P1248" i="6"/>
  <c r="Q1248" i="6"/>
  <c r="R1248" i="6"/>
  <c r="S1248" i="6"/>
  <c r="T1248" i="6"/>
  <c r="U1248" i="6"/>
  <c r="V1248" i="6"/>
  <c r="W1248" i="6"/>
  <c r="X1248" i="6"/>
  <c r="Y1248" i="6"/>
  <c r="Z1248" i="6"/>
  <c r="AA1248" i="6"/>
  <c r="J1249" i="6"/>
  <c r="K1249" i="6"/>
  <c r="L1249" i="6"/>
  <c r="M1249" i="6"/>
  <c r="N1249" i="6"/>
  <c r="O1249" i="6"/>
  <c r="P1249" i="6"/>
  <c r="Q1249" i="6"/>
  <c r="R1249" i="6"/>
  <c r="S1249" i="6"/>
  <c r="T1249" i="6"/>
  <c r="U1249" i="6"/>
  <c r="V1249" i="6"/>
  <c r="W1249" i="6"/>
  <c r="X1249" i="6"/>
  <c r="Y1249" i="6"/>
  <c r="Z1249" i="6"/>
  <c r="AA1249" i="6"/>
  <c r="J1250" i="6"/>
  <c r="K1250" i="6"/>
  <c r="L1250" i="6"/>
  <c r="M1250" i="6"/>
  <c r="N1250" i="6"/>
  <c r="O1250" i="6"/>
  <c r="P1250" i="6"/>
  <c r="Q1250" i="6"/>
  <c r="R1250" i="6"/>
  <c r="S1250" i="6"/>
  <c r="T1250" i="6"/>
  <c r="U1250" i="6"/>
  <c r="V1250" i="6"/>
  <c r="W1250" i="6"/>
  <c r="X1250" i="6"/>
  <c r="Y1250" i="6"/>
  <c r="Z1250" i="6"/>
  <c r="AA1250" i="6"/>
  <c r="J1251" i="6"/>
  <c r="K1251" i="6"/>
  <c r="L1251" i="6"/>
  <c r="M1251" i="6"/>
  <c r="N1251" i="6"/>
  <c r="O1251" i="6"/>
  <c r="P1251" i="6"/>
  <c r="Q1251" i="6"/>
  <c r="R1251" i="6"/>
  <c r="S1251" i="6"/>
  <c r="T1251" i="6"/>
  <c r="U1251" i="6"/>
  <c r="V1251" i="6"/>
  <c r="W1251" i="6"/>
  <c r="X1251" i="6"/>
  <c r="Y1251" i="6"/>
  <c r="Z1251" i="6"/>
  <c r="AA1251" i="6"/>
  <c r="J1252" i="6"/>
  <c r="K1252" i="6"/>
  <c r="L1252" i="6"/>
  <c r="M1252" i="6"/>
  <c r="N1252" i="6"/>
  <c r="O1252" i="6"/>
  <c r="P1252" i="6"/>
  <c r="Q1252" i="6"/>
  <c r="R1252" i="6"/>
  <c r="S1252" i="6"/>
  <c r="T1252" i="6"/>
  <c r="U1252" i="6"/>
  <c r="V1252" i="6"/>
  <c r="W1252" i="6"/>
  <c r="X1252" i="6"/>
  <c r="Y1252" i="6"/>
  <c r="Z1252" i="6"/>
  <c r="AA1252" i="6"/>
  <c r="J1253" i="6"/>
  <c r="K1253" i="6"/>
  <c r="L1253" i="6"/>
  <c r="M1253" i="6"/>
  <c r="N1253" i="6"/>
  <c r="O1253" i="6"/>
  <c r="P1253" i="6"/>
  <c r="Q1253" i="6"/>
  <c r="R1253" i="6"/>
  <c r="S1253" i="6"/>
  <c r="T1253" i="6"/>
  <c r="U1253" i="6"/>
  <c r="V1253" i="6"/>
  <c r="W1253" i="6"/>
  <c r="X1253" i="6"/>
  <c r="Y1253" i="6"/>
  <c r="Z1253" i="6"/>
  <c r="AA1253" i="6"/>
  <c r="J1254" i="6"/>
  <c r="K1254" i="6"/>
  <c r="L1254" i="6"/>
  <c r="M1254" i="6"/>
  <c r="N1254" i="6"/>
  <c r="O1254" i="6"/>
  <c r="P1254" i="6"/>
  <c r="Q1254" i="6"/>
  <c r="R1254" i="6"/>
  <c r="S1254" i="6"/>
  <c r="T1254" i="6"/>
  <c r="U1254" i="6"/>
  <c r="V1254" i="6"/>
  <c r="W1254" i="6"/>
  <c r="X1254" i="6"/>
  <c r="Y1254" i="6"/>
  <c r="Z1254" i="6"/>
  <c r="AA1254" i="6"/>
  <c r="J1255" i="6"/>
  <c r="K1255" i="6"/>
  <c r="L1255" i="6"/>
  <c r="M1255" i="6"/>
  <c r="N1255" i="6"/>
  <c r="O1255" i="6"/>
  <c r="P1255" i="6"/>
  <c r="Q1255" i="6"/>
  <c r="R1255" i="6"/>
  <c r="S1255" i="6"/>
  <c r="T1255" i="6"/>
  <c r="U1255" i="6"/>
  <c r="V1255" i="6"/>
  <c r="W1255" i="6"/>
  <c r="X1255" i="6"/>
  <c r="Y1255" i="6"/>
  <c r="Z1255" i="6"/>
  <c r="AA1255" i="6"/>
  <c r="J1256" i="6"/>
  <c r="K1256" i="6"/>
  <c r="L1256" i="6"/>
  <c r="M1256" i="6"/>
  <c r="N1256" i="6"/>
  <c r="O1256" i="6"/>
  <c r="P1256" i="6"/>
  <c r="Q1256" i="6"/>
  <c r="R1256" i="6"/>
  <c r="S1256" i="6"/>
  <c r="T1256" i="6"/>
  <c r="U1256" i="6"/>
  <c r="V1256" i="6"/>
  <c r="W1256" i="6"/>
  <c r="X1256" i="6"/>
  <c r="Y1256" i="6"/>
  <c r="Z1256" i="6"/>
  <c r="AA1256" i="6"/>
  <c r="J1257" i="6"/>
  <c r="K1257" i="6"/>
  <c r="L1257" i="6"/>
  <c r="M1257" i="6"/>
  <c r="N1257" i="6"/>
  <c r="O1257" i="6"/>
  <c r="P1257" i="6"/>
  <c r="Q1257" i="6"/>
  <c r="R1257" i="6"/>
  <c r="S1257" i="6"/>
  <c r="T1257" i="6"/>
  <c r="U1257" i="6"/>
  <c r="V1257" i="6"/>
  <c r="W1257" i="6"/>
  <c r="X1257" i="6"/>
  <c r="Y1257" i="6"/>
  <c r="Z1257" i="6"/>
  <c r="AA1257" i="6"/>
  <c r="J1258" i="6"/>
  <c r="K1258" i="6"/>
  <c r="L1258" i="6"/>
  <c r="M1258" i="6"/>
  <c r="N1258" i="6"/>
  <c r="O1258" i="6"/>
  <c r="P1258" i="6"/>
  <c r="Q1258" i="6"/>
  <c r="R1258" i="6"/>
  <c r="S1258" i="6"/>
  <c r="T1258" i="6"/>
  <c r="U1258" i="6"/>
  <c r="V1258" i="6"/>
  <c r="W1258" i="6"/>
  <c r="X1258" i="6"/>
  <c r="Y1258" i="6"/>
  <c r="Z1258" i="6"/>
  <c r="AA1258" i="6"/>
  <c r="J1259" i="6"/>
  <c r="K1259" i="6"/>
  <c r="L1259" i="6"/>
  <c r="M1259" i="6"/>
  <c r="N1259" i="6"/>
  <c r="O1259" i="6"/>
  <c r="P1259" i="6"/>
  <c r="Q1259" i="6"/>
  <c r="R1259" i="6"/>
  <c r="S1259" i="6"/>
  <c r="T1259" i="6"/>
  <c r="U1259" i="6"/>
  <c r="V1259" i="6"/>
  <c r="W1259" i="6"/>
  <c r="X1259" i="6"/>
  <c r="Y1259" i="6"/>
  <c r="Z1259" i="6"/>
  <c r="AA1259" i="6"/>
  <c r="J1260" i="6"/>
  <c r="K1260" i="6"/>
  <c r="L1260" i="6"/>
  <c r="M1260" i="6"/>
  <c r="N1260" i="6"/>
  <c r="O1260" i="6"/>
  <c r="P1260" i="6"/>
  <c r="Q1260" i="6"/>
  <c r="R1260" i="6"/>
  <c r="S1260" i="6"/>
  <c r="T1260" i="6"/>
  <c r="U1260" i="6"/>
  <c r="V1260" i="6"/>
  <c r="W1260" i="6"/>
  <c r="X1260" i="6"/>
  <c r="Y1260" i="6"/>
  <c r="Z1260" i="6"/>
  <c r="AA1260" i="6"/>
  <c r="J1261" i="6"/>
  <c r="K1261" i="6"/>
  <c r="L1261" i="6"/>
  <c r="M1261" i="6"/>
  <c r="N1261" i="6"/>
  <c r="O1261" i="6"/>
  <c r="P1261" i="6"/>
  <c r="Q1261" i="6"/>
  <c r="R1261" i="6"/>
  <c r="S1261" i="6"/>
  <c r="T1261" i="6"/>
  <c r="U1261" i="6"/>
  <c r="V1261" i="6"/>
  <c r="W1261" i="6"/>
  <c r="X1261" i="6"/>
  <c r="Y1261" i="6"/>
  <c r="Z1261" i="6"/>
  <c r="AA1261" i="6"/>
  <c r="J1262" i="6"/>
  <c r="K1262" i="6"/>
  <c r="L1262" i="6"/>
  <c r="M1262" i="6"/>
  <c r="N1262" i="6"/>
  <c r="O1262" i="6"/>
  <c r="P1262" i="6"/>
  <c r="Q1262" i="6"/>
  <c r="R1262" i="6"/>
  <c r="S1262" i="6"/>
  <c r="T1262" i="6"/>
  <c r="U1262" i="6"/>
  <c r="V1262" i="6"/>
  <c r="W1262" i="6"/>
  <c r="X1262" i="6"/>
  <c r="Y1262" i="6"/>
  <c r="Z1262" i="6"/>
  <c r="AA1262" i="6"/>
  <c r="J1263" i="6"/>
  <c r="K1263" i="6"/>
  <c r="L1263" i="6"/>
  <c r="M1263" i="6"/>
  <c r="N1263" i="6"/>
  <c r="O1263" i="6"/>
  <c r="P1263" i="6"/>
  <c r="Q1263" i="6"/>
  <c r="R1263" i="6"/>
  <c r="S1263" i="6"/>
  <c r="T1263" i="6"/>
  <c r="U1263" i="6"/>
  <c r="V1263" i="6"/>
  <c r="W1263" i="6"/>
  <c r="X1263" i="6"/>
  <c r="Y1263" i="6"/>
  <c r="Z1263" i="6"/>
  <c r="AA1263" i="6"/>
  <c r="J1264" i="6"/>
  <c r="K1264" i="6"/>
  <c r="L1264" i="6"/>
  <c r="M1264" i="6"/>
  <c r="N1264" i="6"/>
  <c r="O1264" i="6"/>
  <c r="P1264" i="6"/>
  <c r="Q1264" i="6"/>
  <c r="R1264" i="6"/>
  <c r="S1264" i="6"/>
  <c r="T1264" i="6"/>
  <c r="U1264" i="6"/>
  <c r="V1264" i="6"/>
  <c r="W1264" i="6"/>
  <c r="X1264" i="6"/>
  <c r="Y1264" i="6"/>
  <c r="Z1264" i="6"/>
  <c r="AA1264" i="6"/>
  <c r="J1265" i="6"/>
  <c r="K1265" i="6"/>
  <c r="L1265" i="6"/>
  <c r="M1265" i="6"/>
  <c r="N1265" i="6"/>
  <c r="O1265" i="6"/>
  <c r="P1265" i="6"/>
  <c r="Q1265" i="6"/>
  <c r="R1265" i="6"/>
  <c r="S1265" i="6"/>
  <c r="T1265" i="6"/>
  <c r="U1265" i="6"/>
  <c r="V1265" i="6"/>
  <c r="W1265" i="6"/>
  <c r="X1265" i="6"/>
  <c r="Y1265" i="6"/>
  <c r="Z1265" i="6"/>
  <c r="AA1265" i="6"/>
  <c r="J1266" i="6"/>
  <c r="K1266" i="6"/>
  <c r="L1266" i="6"/>
  <c r="M1266" i="6"/>
  <c r="N1266" i="6"/>
  <c r="O1266" i="6"/>
  <c r="P1266" i="6"/>
  <c r="Q1266" i="6"/>
  <c r="R1266" i="6"/>
  <c r="S1266" i="6"/>
  <c r="T1266" i="6"/>
  <c r="U1266" i="6"/>
  <c r="V1266" i="6"/>
  <c r="W1266" i="6"/>
  <c r="X1266" i="6"/>
  <c r="Y1266" i="6"/>
  <c r="Z1266" i="6"/>
  <c r="AA1266" i="6"/>
  <c r="J1267" i="6"/>
  <c r="K1267" i="6"/>
  <c r="L1267" i="6"/>
  <c r="M1267" i="6"/>
  <c r="N1267" i="6"/>
  <c r="O1267" i="6"/>
  <c r="P1267" i="6"/>
  <c r="Q1267" i="6"/>
  <c r="R1267" i="6"/>
  <c r="S1267" i="6"/>
  <c r="T1267" i="6"/>
  <c r="U1267" i="6"/>
  <c r="V1267" i="6"/>
  <c r="W1267" i="6"/>
  <c r="X1267" i="6"/>
  <c r="Y1267" i="6"/>
  <c r="Z1267" i="6"/>
  <c r="AA1267" i="6"/>
  <c r="J1268" i="6"/>
  <c r="K1268" i="6"/>
  <c r="L1268" i="6"/>
  <c r="M1268" i="6"/>
  <c r="N1268" i="6"/>
  <c r="O1268" i="6"/>
  <c r="P1268" i="6"/>
  <c r="Q1268" i="6"/>
  <c r="R1268" i="6"/>
  <c r="S1268" i="6"/>
  <c r="T1268" i="6"/>
  <c r="U1268" i="6"/>
  <c r="V1268" i="6"/>
  <c r="W1268" i="6"/>
  <c r="X1268" i="6"/>
  <c r="Y1268" i="6"/>
  <c r="Z1268" i="6"/>
  <c r="AA1268" i="6"/>
  <c r="J1269" i="6"/>
  <c r="K1269" i="6"/>
  <c r="L1269" i="6"/>
  <c r="M1269" i="6"/>
  <c r="N1269" i="6"/>
  <c r="O1269" i="6"/>
  <c r="P1269" i="6"/>
  <c r="Q1269" i="6"/>
  <c r="R1269" i="6"/>
  <c r="S1269" i="6"/>
  <c r="T1269" i="6"/>
  <c r="U1269" i="6"/>
  <c r="V1269" i="6"/>
  <c r="W1269" i="6"/>
  <c r="X1269" i="6"/>
  <c r="Y1269" i="6"/>
  <c r="Z1269" i="6"/>
  <c r="AA1269" i="6"/>
  <c r="J1270" i="6"/>
  <c r="K1270" i="6"/>
  <c r="L1270" i="6"/>
  <c r="M1270" i="6"/>
  <c r="N1270" i="6"/>
  <c r="O1270" i="6"/>
  <c r="P1270" i="6"/>
  <c r="Q1270" i="6"/>
  <c r="R1270" i="6"/>
  <c r="S1270" i="6"/>
  <c r="T1270" i="6"/>
  <c r="U1270" i="6"/>
  <c r="V1270" i="6"/>
  <c r="W1270" i="6"/>
  <c r="X1270" i="6"/>
  <c r="Y1270" i="6"/>
  <c r="Z1270" i="6"/>
  <c r="AA1270" i="6"/>
  <c r="J1271" i="6"/>
  <c r="K1271" i="6"/>
  <c r="L1271" i="6"/>
  <c r="M1271" i="6"/>
  <c r="N1271" i="6"/>
  <c r="O1271" i="6"/>
  <c r="P1271" i="6"/>
  <c r="Q1271" i="6"/>
  <c r="R1271" i="6"/>
  <c r="S1271" i="6"/>
  <c r="T1271" i="6"/>
  <c r="U1271" i="6"/>
  <c r="V1271" i="6"/>
  <c r="W1271" i="6"/>
  <c r="X1271" i="6"/>
  <c r="Y1271" i="6"/>
  <c r="Z1271" i="6"/>
  <c r="AA1271" i="6"/>
  <c r="J1272" i="6"/>
  <c r="K1272" i="6"/>
  <c r="L1272" i="6"/>
  <c r="M1272" i="6"/>
  <c r="N1272" i="6"/>
  <c r="O1272" i="6"/>
  <c r="P1272" i="6"/>
  <c r="Q1272" i="6"/>
  <c r="R1272" i="6"/>
  <c r="S1272" i="6"/>
  <c r="T1272" i="6"/>
  <c r="U1272" i="6"/>
  <c r="V1272" i="6"/>
  <c r="W1272" i="6"/>
  <c r="X1272" i="6"/>
  <c r="Y1272" i="6"/>
  <c r="Z1272" i="6"/>
  <c r="AA1272" i="6"/>
  <c r="J1273" i="6"/>
  <c r="K1273" i="6"/>
  <c r="L1273" i="6"/>
  <c r="M1273" i="6"/>
  <c r="N1273" i="6"/>
  <c r="O1273" i="6"/>
  <c r="P1273" i="6"/>
  <c r="Q1273" i="6"/>
  <c r="R1273" i="6"/>
  <c r="S1273" i="6"/>
  <c r="T1273" i="6"/>
  <c r="U1273" i="6"/>
  <c r="V1273" i="6"/>
  <c r="W1273" i="6"/>
  <c r="X1273" i="6"/>
  <c r="Y1273" i="6"/>
  <c r="Z1273" i="6"/>
  <c r="AA1273" i="6"/>
  <c r="J1274" i="6"/>
  <c r="K1274" i="6"/>
  <c r="L1274" i="6"/>
  <c r="M1274" i="6"/>
  <c r="N1274" i="6"/>
  <c r="O1274" i="6"/>
  <c r="P1274" i="6"/>
  <c r="Q1274" i="6"/>
  <c r="R1274" i="6"/>
  <c r="S1274" i="6"/>
  <c r="T1274" i="6"/>
  <c r="U1274" i="6"/>
  <c r="V1274" i="6"/>
  <c r="W1274" i="6"/>
  <c r="X1274" i="6"/>
  <c r="Y1274" i="6"/>
  <c r="Z1274" i="6"/>
  <c r="AA1274" i="6"/>
  <c r="J1275" i="6"/>
  <c r="K1275" i="6"/>
  <c r="L1275" i="6"/>
  <c r="M1275" i="6"/>
  <c r="N1275" i="6"/>
  <c r="O1275" i="6"/>
  <c r="P1275" i="6"/>
  <c r="Q1275" i="6"/>
  <c r="R1275" i="6"/>
  <c r="S1275" i="6"/>
  <c r="T1275" i="6"/>
  <c r="U1275" i="6"/>
  <c r="V1275" i="6"/>
  <c r="W1275" i="6"/>
  <c r="X1275" i="6"/>
  <c r="Y1275" i="6"/>
  <c r="Z1275" i="6"/>
  <c r="AA1275" i="6"/>
  <c r="J1276" i="6"/>
  <c r="K1276" i="6"/>
  <c r="L1276" i="6"/>
  <c r="M1276" i="6"/>
  <c r="N1276" i="6"/>
  <c r="O1276" i="6"/>
  <c r="P1276" i="6"/>
  <c r="Q1276" i="6"/>
  <c r="R1276" i="6"/>
  <c r="S1276" i="6"/>
  <c r="T1276" i="6"/>
  <c r="U1276" i="6"/>
  <c r="V1276" i="6"/>
  <c r="W1276" i="6"/>
  <c r="X1276" i="6"/>
  <c r="Y1276" i="6"/>
  <c r="Z1276" i="6"/>
  <c r="AA1276" i="6"/>
  <c r="J1277" i="6"/>
  <c r="K1277" i="6"/>
  <c r="L1277" i="6"/>
  <c r="M1277" i="6"/>
  <c r="N1277" i="6"/>
  <c r="O1277" i="6"/>
  <c r="P1277" i="6"/>
  <c r="Q1277" i="6"/>
  <c r="R1277" i="6"/>
  <c r="S1277" i="6"/>
  <c r="T1277" i="6"/>
  <c r="U1277" i="6"/>
  <c r="V1277" i="6"/>
  <c r="W1277" i="6"/>
  <c r="X1277" i="6"/>
  <c r="Y1277" i="6"/>
  <c r="Z1277" i="6"/>
  <c r="AA1277" i="6"/>
  <c r="J1278" i="6"/>
  <c r="K1278" i="6"/>
  <c r="L1278" i="6"/>
  <c r="M1278" i="6"/>
  <c r="N1278" i="6"/>
  <c r="O1278" i="6"/>
  <c r="P1278" i="6"/>
  <c r="Q1278" i="6"/>
  <c r="R1278" i="6"/>
  <c r="S1278" i="6"/>
  <c r="T1278" i="6"/>
  <c r="U1278" i="6"/>
  <c r="V1278" i="6"/>
  <c r="W1278" i="6"/>
  <c r="X1278" i="6"/>
  <c r="Y1278" i="6"/>
  <c r="Z1278" i="6"/>
  <c r="AA1278" i="6"/>
  <c r="J1279" i="6"/>
  <c r="K1279" i="6"/>
  <c r="L1279" i="6"/>
  <c r="M1279" i="6"/>
  <c r="N1279" i="6"/>
  <c r="O1279" i="6"/>
  <c r="P1279" i="6"/>
  <c r="Q1279" i="6"/>
  <c r="R1279" i="6"/>
  <c r="S1279" i="6"/>
  <c r="T1279" i="6"/>
  <c r="U1279" i="6"/>
  <c r="V1279" i="6"/>
  <c r="W1279" i="6"/>
  <c r="X1279" i="6"/>
  <c r="Y1279" i="6"/>
  <c r="Z1279" i="6"/>
  <c r="AA1279" i="6"/>
  <c r="J1280" i="6"/>
  <c r="K1280" i="6"/>
  <c r="L1280" i="6"/>
  <c r="M1280" i="6"/>
  <c r="N1280" i="6"/>
  <c r="O1280" i="6"/>
  <c r="P1280" i="6"/>
  <c r="Q1280" i="6"/>
  <c r="R1280" i="6"/>
  <c r="S1280" i="6"/>
  <c r="T1280" i="6"/>
  <c r="U1280" i="6"/>
  <c r="V1280" i="6"/>
  <c r="W1280" i="6"/>
  <c r="X1280" i="6"/>
  <c r="Y1280" i="6"/>
  <c r="Z1280" i="6"/>
  <c r="AA1280" i="6"/>
  <c r="J1281" i="6"/>
  <c r="K1281" i="6"/>
  <c r="L1281" i="6"/>
  <c r="M1281" i="6"/>
  <c r="N1281" i="6"/>
  <c r="O1281" i="6"/>
  <c r="P1281" i="6"/>
  <c r="Q1281" i="6"/>
  <c r="R1281" i="6"/>
  <c r="S1281" i="6"/>
  <c r="T1281" i="6"/>
  <c r="U1281" i="6"/>
  <c r="V1281" i="6"/>
  <c r="W1281" i="6"/>
  <c r="X1281" i="6"/>
  <c r="Y1281" i="6"/>
  <c r="Z1281" i="6"/>
  <c r="AA1281" i="6"/>
  <c r="J1282" i="6"/>
  <c r="K1282" i="6"/>
  <c r="L1282" i="6"/>
  <c r="M1282" i="6"/>
  <c r="N1282" i="6"/>
  <c r="O1282" i="6"/>
  <c r="P1282" i="6"/>
  <c r="Q1282" i="6"/>
  <c r="R1282" i="6"/>
  <c r="S1282" i="6"/>
  <c r="T1282" i="6"/>
  <c r="U1282" i="6"/>
  <c r="V1282" i="6"/>
  <c r="W1282" i="6"/>
  <c r="X1282" i="6"/>
  <c r="Y1282" i="6"/>
  <c r="Z1282" i="6"/>
  <c r="AA1282" i="6"/>
  <c r="J1283" i="6"/>
  <c r="K1283" i="6"/>
  <c r="L1283" i="6"/>
  <c r="M1283" i="6"/>
  <c r="N1283" i="6"/>
  <c r="O1283" i="6"/>
  <c r="P1283" i="6"/>
  <c r="Q1283" i="6"/>
  <c r="R1283" i="6"/>
  <c r="S1283" i="6"/>
  <c r="T1283" i="6"/>
  <c r="U1283" i="6"/>
  <c r="V1283" i="6"/>
  <c r="W1283" i="6"/>
  <c r="X1283" i="6"/>
  <c r="Y1283" i="6"/>
  <c r="Z1283" i="6"/>
  <c r="AA1283" i="6"/>
  <c r="J1284" i="6"/>
  <c r="K1284" i="6"/>
  <c r="L1284" i="6"/>
  <c r="M1284" i="6"/>
  <c r="N1284" i="6"/>
  <c r="O1284" i="6"/>
  <c r="P1284" i="6"/>
  <c r="Q1284" i="6"/>
  <c r="R1284" i="6"/>
  <c r="S1284" i="6"/>
  <c r="T1284" i="6"/>
  <c r="U1284" i="6"/>
  <c r="V1284" i="6"/>
  <c r="W1284" i="6"/>
  <c r="X1284" i="6"/>
  <c r="Y1284" i="6"/>
  <c r="Z1284" i="6"/>
  <c r="AA1284" i="6"/>
  <c r="J1285" i="6"/>
  <c r="K1285" i="6"/>
  <c r="L1285" i="6"/>
  <c r="M1285" i="6"/>
  <c r="N1285" i="6"/>
  <c r="O1285" i="6"/>
  <c r="P1285" i="6"/>
  <c r="Q1285" i="6"/>
  <c r="R1285" i="6"/>
  <c r="S1285" i="6"/>
  <c r="T1285" i="6"/>
  <c r="U1285" i="6"/>
  <c r="V1285" i="6"/>
  <c r="W1285" i="6"/>
  <c r="X1285" i="6"/>
  <c r="Y1285" i="6"/>
  <c r="Z1285" i="6"/>
  <c r="AA1285" i="6"/>
  <c r="J1286" i="6"/>
  <c r="K1286" i="6"/>
  <c r="L1286" i="6"/>
  <c r="M1286" i="6"/>
  <c r="N1286" i="6"/>
  <c r="O1286" i="6"/>
  <c r="P1286" i="6"/>
  <c r="Q1286" i="6"/>
  <c r="R1286" i="6"/>
  <c r="S1286" i="6"/>
  <c r="T1286" i="6"/>
  <c r="U1286" i="6"/>
  <c r="V1286" i="6"/>
  <c r="W1286" i="6"/>
  <c r="X1286" i="6"/>
  <c r="Y1286" i="6"/>
  <c r="Z1286" i="6"/>
  <c r="AA1286" i="6"/>
  <c r="J1287" i="6"/>
  <c r="K1287" i="6"/>
  <c r="L1287" i="6"/>
  <c r="M1287" i="6"/>
  <c r="N1287" i="6"/>
  <c r="O1287" i="6"/>
  <c r="P1287" i="6"/>
  <c r="Q1287" i="6"/>
  <c r="R1287" i="6"/>
  <c r="S1287" i="6"/>
  <c r="T1287" i="6"/>
  <c r="U1287" i="6"/>
  <c r="V1287" i="6"/>
  <c r="W1287" i="6"/>
  <c r="X1287" i="6"/>
  <c r="Y1287" i="6"/>
  <c r="Z1287" i="6"/>
  <c r="AA1287" i="6"/>
  <c r="J1288" i="6"/>
  <c r="K1288" i="6"/>
  <c r="L1288" i="6"/>
  <c r="M1288" i="6"/>
  <c r="N1288" i="6"/>
  <c r="O1288" i="6"/>
  <c r="P1288" i="6"/>
  <c r="Q1288" i="6"/>
  <c r="R1288" i="6"/>
  <c r="S1288" i="6"/>
  <c r="T1288" i="6"/>
  <c r="U1288" i="6"/>
  <c r="V1288" i="6"/>
  <c r="W1288" i="6"/>
  <c r="X1288" i="6"/>
  <c r="Y1288" i="6"/>
  <c r="Z1288" i="6"/>
  <c r="AA1288" i="6"/>
  <c r="J1289" i="6"/>
  <c r="K1289" i="6"/>
  <c r="L1289" i="6"/>
  <c r="M1289" i="6"/>
  <c r="N1289" i="6"/>
  <c r="O1289" i="6"/>
  <c r="P1289" i="6"/>
  <c r="Q1289" i="6"/>
  <c r="R1289" i="6"/>
  <c r="S1289" i="6"/>
  <c r="T1289" i="6"/>
  <c r="U1289" i="6"/>
  <c r="V1289" i="6"/>
  <c r="W1289" i="6"/>
  <c r="X1289" i="6"/>
  <c r="Y1289" i="6"/>
  <c r="Z1289" i="6"/>
  <c r="AA1289" i="6"/>
  <c r="J1290" i="6"/>
  <c r="K1290" i="6"/>
  <c r="L1290" i="6"/>
  <c r="M1290" i="6"/>
  <c r="N1290" i="6"/>
  <c r="O1290" i="6"/>
  <c r="P1290" i="6"/>
  <c r="Q1290" i="6"/>
  <c r="R1290" i="6"/>
  <c r="S1290" i="6"/>
  <c r="T1290" i="6"/>
  <c r="U1290" i="6"/>
  <c r="V1290" i="6"/>
  <c r="W1290" i="6"/>
  <c r="X1290" i="6"/>
  <c r="Y1290" i="6"/>
  <c r="Z1290" i="6"/>
  <c r="AA1290" i="6"/>
  <c r="J1291" i="6"/>
  <c r="K1291" i="6"/>
  <c r="L1291" i="6"/>
  <c r="M1291" i="6"/>
  <c r="N1291" i="6"/>
  <c r="O1291" i="6"/>
  <c r="P1291" i="6"/>
  <c r="Q1291" i="6"/>
  <c r="R1291" i="6"/>
  <c r="S1291" i="6"/>
  <c r="T1291" i="6"/>
  <c r="U1291" i="6"/>
  <c r="V1291" i="6"/>
  <c r="W1291" i="6"/>
  <c r="X1291" i="6"/>
  <c r="Y1291" i="6"/>
  <c r="Z1291" i="6"/>
  <c r="AA1291" i="6"/>
  <c r="J1292" i="6"/>
  <c r="K1292" i="6"/>
  <c r="L1292" i="6"/>
  <c r="M1292" i="6"/>
  <c r="N1292" i="6"/>
  <c r="O1292" i="6"/>
  <c r="P1292" i="6"/>
  <c r="Q1292" i="6"/>
  <c r="R1292" i="6"/>
  <c r="S1292" i="6"/>
  <c r="T1292" i="6"/>
  <c r="U1292" i="6"/>
  <c r="V1292" i="6"/>
  <c r="W1292" i="6"/>
  <c r="X1292" i="6"/>
  <c r="Y1292" i="6"/>
  <c r="Z1292" i="6"/>
  <c r="AA1292" i="6"/>
  <c r="J1293" i="6"/>
  <c r="K1293" i="6"/>
  <c r="L1293" i="6"/>
  <c r="M1293" i="6"/>
  <c r="N1293" i="6"/>
  <c r="O1293" i="6"/>
  <c r="P1293" i="6"/>
  <c r="Q1293" i="6"/>
  <c r="R1293" i="6"/>
  <c r="S1293" i="6"/>
  <c r="T1293" i="6"/>
  <c r="U1293" i="6"/>
  <c r="V1293" i="6"/>
  <c r="W1293" i="6"/>
  <c r="X1293" i="6"/>
  <c r="Y1293" i="6"/>
  <c r="Z1293" i="6"/>
  <c r="AA1293" i="6"/>
  <c r="J1294" i="6"/>
  <c r="K1294" i="6"/>
  <c r="L1294" i="6"/>
  <c r="M1294" i="6"/>
  <c r="N1294" i="6"/>
  <c r="O1294" i="6"/>
  <c r="P1294" i="6"/>
  <c r="Q1294" i="6"/>
  <c r="R1294" i="6"/>
  <c r="S1294" i="6"/>
  <c r="T1294" i="6"/>
  <c r="U1294" i="6"/>
  <c r="V1294" i="6"/>
  <c r="W1294" i="6"/>
  <c r="X1294" i="6"/>
  <c r="Y1294" i="6"/>
  <c r="Z1294" i="6"/>
  <c r="AA1294" i="6"/>
  <c r="J1295" i="6"/>
  <c r="K1295" i="6"/>
  <c r="L1295" i="6"/>
  <c r="M1295" i="6"/>
  <c r="N1295" i="6"/>
  <c r="O1295" i="6"/>
  <c r="P1295" i="6"/>
  <c r="Q1295" i="6"/>
  <c r="R1295" i="6"/>
  <c r="S1295" i="6"/>
  <c r="T1295" i="6"/>
  <c r="U1295" i="6"/>
  <c r="V1295" i="6"/>
  <c r="W1295" i="6"/>
  <c r="X1295" i="6"/>
  <c r="Y1295" i="6"/>
  <c r="Z1295" i="6"/>
  <c r="AA1295" i="6"/>
  <c r="J1296" i="6"/>
  <c r="K1296" i="6"/>
  <c r="L1296" i="6"/>
  <c r="M1296" i="6"/>
  <c r="N1296" i="6"/>
  <c r="O1296" i="6"/>
  <c r="P1296" i="6"/>
  <c r="Q1296" i="6"/>
  <c r="R1296" i="6"/>
  <c r="S1296" i="6"/>
  <c r="T1296" i="6"/>
  <c r="U1296" i="6"/>
  <c r="V1296" i="6"/>
  <c r="W1296" i="6"/>
  <c r="X1296" i="6"/>
  <c r="Y1296" i="6"/>
  <c r="Z1296" i="6"/>
  <c r="AA1296" i="6"/>
  <c r="J1297" i="6"/>
  <c r="K1297" i="6"/>
  <c r="L1297" i="6"/>
  <c r="M1297" i="6"/>
  <c r="N1297" i="6"/>
  <c r="O1297" i="6"/>
  <c r="P1297" i="6"/>
  <c r="Q1297" i="6"/>
  <c r="R1297" i="6"/>
  <c r="S1297" i="6"/>
  <c r="T1297" i="6"/>
  <c r="U1297" i="6"/>
  <c r="V1297" i="6"/>
  <c r="W1297" i="6"/>
  <c r="X1297" i="6"/>
  <c r="Y1297" i="6"/>
  <c r="Z1297" i="6"/>
  <c r="AA1297" i="6"/>
  <c r="J1298" i="6"/>
  <c r="K1298" i="6"/>
  <c r="L1298" i="6"/>
  <c r="M1298" i="6"/>
  <c r="N1298" i="6"/>
  <c r="O1298" i="6"/>
  <c r="P1298" i="6"/>
  <c r="Q1298" i="6"/>
  <c r="R1298" i="6"/>
  <c r="S1298" i="6"/>
  <c r="T1298" i="6"/>
  <c r="U1298" i="6"/>
  <c r="V1298" i="6"/>
  <c r="W1298" i="6"/>
  <c r="X1298" i="6"/>
  <c r="Y1298" i="6"/>
  <c r="Z1298" i="6"/>
  <c r="AA1298" i="6"/>
  <c r="J1299" i="6"/>
  <c r="K1299" i="6"/>
  <c r="L1299" i="6"/>
  <c r="M1299" i="6"/>
  <c r="N1299" i="6"/>
  <c r="O1299" i="6"/>
  <c r="P1299" i="6"/>
  <c r="Q1299" i="6"/>
  <c r="R1299" i="6"/>
  <c r="S1299" i="6"/>
  <c r="T1299" i="6"/>
  <c r="U1299" i="6"/>
  <c r="V1299" i="6"/>
  <c r="W1299" i="6"/>
  <c r="X1299" i="6"/>
  <c r="Y1299" i="6"/>
  <c r="Z1299" i="6"/>
  <c r="AA1299" i="6"/>
  <c r="J1300" i="6"/>
  <c r="K1300" i="6"/>
  <c r="L1300" i="6"/>
  <c r="M1300" i="6"/>
  <c r="N1300" i="6"/>
  <c r="O1300" i="6"/>
  <c r="P1300" i="6"/>
  <c r="Q1300" i="6"/>
  <c r="R1300" i="6"/>
  <c r="S1300" i="6"/>
  <c r="T1300" i="6"/>
  <c r="U1300" i="6"/>
  <c r="V1300" i="6"/>
  <c r="W1300" i="6"/>
  <c r="X1300" i="6"/>
  <c r="Y1300" i="6"/>
  <c r="Z1300" i="6"/>
  <c r="AA1300" i="6"/>
  <c r="J1301" i="6"/>
  <c r="K1301" i="6"/>
  <c r="L1301" i="6"/>
  <c r="M1301" i="6"/>
  <c r="N1301" i="6"/>
  <c r="O1301" i="6"/>
  <c r="P1301" i="6"/>
  <c r="Q1301" i="6"/>
  <c r="R1301" i="6"/>
  <c r="S1301" i="6"/>
  <c r="T1301" i="6"/>
  <c r="U1301" i="6"/>
  <c r="V1301" i="6"/>
  <c r="W1301" i="6"/>
  <c r="X1301" i="6"/>
  <c r="Y1301" i="6"/>
  <c r="Z1301" i="6"/>
  <c r="AA1301" i="6"/>
  <c r="J1302" i="6"/>
  <c r="K1302" i="6"/>
  <c r="L1302" i="6"/>
  <c r="M1302" i="6"/>
  <c r="N1302" i="6"/>
  <c r="O1302" i="6"/>
  <c r="P1302" i="6"/>
  <c r="Q1302" i="6"/>
  <c r="R1302" i="6"/>
  <c r="S1302" i="6"/>
  <c r="T1302" i="6"/>
  <c r="U1302" i="6"/>
  <c r="V1302" i="6"/>
  <c r="W1302" i="6"/>
  <c r="X1302" i="6"/>
  <c r="Y1302" i="6"/>
  <c r="Z1302" i="6"/>
  <c r="AA1302" i="6"/>
  <c r="J1303" i="6"/>
  <c r="K1303" i="6"/>
  <c r="L1303" i="6"/>
  <c r="M1303" i="6"/>
  <c r="N1303" i="6"/>
  <c r="O1303" i="6"/>
  <c r="P1303" i="6"/>
  <c r="Q1303" i="6"/>
  <c r="R1303" i="6"/>
  <c r="S1303" i="6"/>
  <c r="T1303" i="6"/>
  <c r="U1303" i="6"/>
  <c r="V1303" i="6"/>
  <c r="W1303" i="6"/>
  <c r="X1303" i="6"/>
  <c r="Y1303" i="6"/>
  <c r="Z1303" i="6"/>
  <c r="AA1303" i="6"/>
  <c r="J1304" i="6"/>
  <c r="K1304" i="6"/>
  <c r="L1304" i="6"/>
  <c r="M1304" i="6"/>
  <c r="N1304" i="6"/>
  <c r="O1304" i="6"/>
  <c r="P1304" i="6"/>
  <c r="Q1304" i="6"/>
  <c r="R1304" i="6"/>
  <c r="S1304" i="6"/>
  <c r="T1304" i="6"/>
  <c r="U1304" i="6"/>
  <c r="V1304" i="6"/>
  <c r="W1304" i="6"/>
  <c r="X1304" i="6"/>
  <c r="Y1304" i="6"/>
  <c r="Z1304" i="6"/>
  <c r="AA1304" i="6"/>
  <c r="J1305" i="6"/>
  <c r="K1305" i="6"/>
  <c r="L1305" i="6"/>
  <c r="M1305" i="6"/>
  <c r="N1305" i="6"/>
  <c r="O1305" i="6"/>
  <c r="P1305" i="6"/>
  <c r="Q1305" i="6"/>
  <c r="R1305" i="6"/>
  <c r="S1305" i="6"/>
  <c r="T1305" i="6"/>
  <c r="U1305" i="6"/>
  <c r="V1305" i="6"/>
  <c r="W1305" i="6"/>
  <c r="X1305" i="6"/>
  <c r="Y1305" i="6"/>
  <c r="Z1305" i="6"/>
  <c r="AA1305" i="6"/>
  <c r="J1306" i="6"/>
  <c r="K1306" i="6"/>
  <c r="L1306" i="6"/>
  <c r="M1306" i="6"/>
  <c r="N1306" i="6"/>
  <c r="O1306" i="6"/>
  <c r="P1306" i="6"/>
  <c r="Q1306" i="6"/>
  <c r="R1306" i="6"/>
  <c r="S1306" i="6"/>
  <c r="T1306" i="6"/>
  <c r="U1306" i="6"/>
  <c r="V1306" i="6"/>
  <c r="W1306" i="6"/>
  <c r="X1306" i="6"/>
  <c r="Y1306" i="6"/>
  <c r="Z1306" i="6"/>
  <c r="AA1306" i="6"/>
  <c r="J1307" i="6"/>
  <c r="K1307" i="6"/>
  <c r="L1307" i="6"/>
  <c r="M1307" i="6"/>
  <c r="N1307" i="6"/>
  <c r="O1307" i="6"/>
  <c r="P1307" i="6"/>
  <c r="Q1307" i="6"/>
  <c r="R1307" i="6"/>
  <c r="S1307" i="6"/>
  <c r="T1307" i="6"/>
  <c r="U1307" i="6"/>
  <c r="V1307" i="6"/>
  <c r="W1307" i="6"/>
  <c r="X1307" i="6"/>
  <c r="Y1307" i="6"/>
  <c r="Z1307" i="6"/>
  <c r="AA1307" i="6"/>
  <c r="J1308" i="6"/>
  <c r="K1308" i="6"/>
  <c r="L1308" i="6"/>
  <c r="M1308" i="6"/>
  <c r="N1308" i="6"/>
  <c r="O1308" i="6"/>
  <c r="P1308" i="6"/>
  <c r="Q1308" i="6"/>
  <c r="R1308" i="6"/>
  <c r="S1308" i="6"/>
  <c r="T1308" i="6"/>
  <c r="U1308" i="6"/>
  <c r="V1308" i="6"/>
  <c r="W1308" i="6"/>
  <c r="X1308" i="6"/>
  <c r="Y1308" i="6"/>
  <c r="Z1308" i="6"/>
  <c r="AA1308" i="6"/>
  <c r="J1309" i="6"/>
  <c r="K1309" i="6"/>
  <c r="L1309" i="6"/>
  <c r="M1309" i="6"/>
  <c r="N1309" i="6"/>
  <c r="O1309" i="6"/>
  <c r="P1309" i="6"/>
  <c r="Q1309" i="6"/>
  <c r="R1309" i="6"/>
  <c r="S1309" i="6"/>
  <c r="T1309" i="6"/>
  <c r="U1309" i="6"/>
  <c r="V1309" i="6"/>
  <c r="W1309" i="6"/>
  <c r="X1309" i="6"/>
  <c r="Y1309" i="6"/>
  <c r="Z1309" i="6"/>
  <c r="AA1309" i="6"/>
  <c r="J1310" i="6"/>
  <c r="K1310" i="6"/>
  <c r="L1310" i="6"/>
  <c r="M1310" i="6"/>
  <c r="N1310" i="6"/>
  <c r="O1310" i="6"/>
  <c r="P1310" i="6"/>
  <c r="Q1310" i="6"/>
  <c r="R1310" i="6"/>
  <c r="S1310" i="6"/>
  <c r="T1310" i="6"/>
  <c r="U1310" i="6"/>
  <c r="V1310" i="6"/>
  <c r="W1310" i="6"/>
  <c r="X1310" i="6"/>
  <c r="Y1310" i="6"/>
  <c r="Z1310" i="6"/>
  <c r="AA1310" i="6"/>
  <c r="J1311" i="6"/>
  <c r="K1311" i="6"/>
  <c r="L1311" i="6"/>
  <c r="M1311" i="6"/>
  <c r="N1311" i="6"/>
  <c r="O1311" i="6"/>
  <c r="P1311" i="6"/>
  <c r="Q1311" i="6"/>
  <c r="R1311" i="6"/>
  <c r="S1311" i="6"/>
  <c r="T1311" i="6"/>
  <c r="U1311" i="6"/>
  <c r="V1311" i="6"/>
  <c r="W1311" i="6"/>
  <c r="X1311" i="6"/>
  <c r="Y1311" i="6"/>
  <c r="Z1311" i="6"/>
  <c r="AA1311" i="6"/>
  <c r="J1312" i="6"/>
  <c r="K1312" i="6"/>
  <c r="L1312" i="6"/>
  <c r="M1312" i="6"/>
  <c r="N1312" i="6"/>
  <c r="O1312" i="6"/>
  <c r="P1312" i="6"/>
  <c r="Q1312" i="6"/>
  <c r="R1312" i="6"/>
  <c r="S1312" i="6"/>
  <c r="T1312" i="6"/>
  <c r="U1312" i="6"/>
  <c r="V1312" i="6"/>
  <c r="W1312" i="6"/>
  <c r="X1312" i="6"/>
  <c r="Y1312" i="6"/>
  <c r="Z1312" i="6"/>
  <c r="AA1312" i="6"/>
  <c r="J1313" i="6"/>
  <c r="K1313" i="6"/>
  <c r="L1313" i="6"/>
  <c r="M1313" i="6"/>
  <c r="N1313" i="6"/>
  <c r="O1313" i="6"/>
  <c r="P1313" i="6"/>
  <c r="Q1313" i="6"/>
  <c r="R1313" i="6"/>
  <c r="S1313" i="6"/>
  <c r="T1313" i="6"/>
  <c r="U1313" i="6"/>
  <c r="V1313" i="6"/>
  <c r="W1313" i="6"/>
  <c r="X1313" i="6"/>
  <c r="Y1313" i="6"/>
  <c r="Z1313" i="6"/>
  <c r="AA1313" i="6"/>
  <c r="J1314" i="6"/>
  <c r="K1314" i="6"/>
  <c r="L1314" i="6"/>
  <c r="M1314" i="6"/>
  <c r="N1314" i="6"/>
  <c r="O1314" i="6"/>
  <c r="P1314" i="6"/>
  <c r="Q1314" i="6"/>
  <c r="R1314" i="6"/>
  <c r="S1314" i="6"/>
  <c r="T1314" i="6"/>
  <c r="U1314" i="6"/>
  <c r="V1314" i="6"/>
  <c r="W1314" i="6"/>
  <c r="X1314" i="6"/>
  <c r="Y1314" i="6"/>
  <c r="Z1314" i="6"/>
  <c r="AA1314" i="6"/>
  <c r="J1315" i="6"/>
  <c r="K1315" i="6"/>
  <c r="L1315" i="6"/>
  <c r="M1315" i="6"/>
  <c r="N1315" i="6"/>
  <c r="O1315" i="6"/>
  <c r="P1315" i="6"/>
  <c r="Q1315" i="6"/>
  <c r="R1315" i="6"/>
  <c r="S1315" i="6"/>
  <c r="T1315" i="6"/>
  <c r="U1315" i="6"/>
  <c r="V1315" i="6"/>
  <c r="W1315" i="6"/>
  <c r="X1315" i="6"/>
  <c r="Y1315" i="6"/>
  <c r="Z1315" i="6"/>
  <c r="AA1315" i="6"/>
  <c r="J1316" i="6"/>
  <c r="K1316" i="6"/>
  <c r="L1316" i="6"/>
  <c r="M1316" i="6"/>
  <c r="N1316" i="6"/>
  <c r="O1316" i="6"/>
  <c r="P1316" i="6"/>
  <c r="Q1316" i="6"/>
  <c r="R1316" i="6"/>
  <c r="S1316" i="6"/>
  <c r="T1316" i="6"/>
  <c r="U1316" i="6"/>
  <c r="V1316" i="6"/>
  <c r="W1316" i="6"/>
  <c r="X1316" i="6"/>
  <c r="Y1316" i="6"/>
  <c r="Z1316" i="6"/>
  <c r="AA1316" i="6"/>
  <c r="J1317" i="6"/>
  <c r="K1317" i="6"/>
  <c r="L1317" i="6"/>
  <c r="M1317" i="6"/>
  <c r="N1317" i="6"/>
  <c r="O1317" i="6"/>
  <c r="P1317" i="6"/>
  <c r="Q1317" i="6"/>
  <c r="R1317" i="6"/>
  <c r="S1317" i="6"/>
  <c r="T1317" i="6"/>
  <c r="U1317" i="6"/>
  <c r="V1317" i="6"/>
  <c r="W1317" i="6"/>
  <c r="X1317" i="6"/>
  <c r="Y1317" i="6"/>
  <c r="Z1317" i="6"/>
  <c r="AA1317" i="6"/>
  <c r="J1318" i="6"/>
  <c r="K1318" i="6"/>
  <c r="L1318" i="6"/>
  <c r="M1318" i="6"/>
  <c r="N1318" i="6"/>
  <c r="O1318" i="6"/>
  <c r="P1318" i="6"/>
  <c r="Q1318" i="6"/>
  <c r="R1318" i="6"/>
  <c r="S1318" i="6"/>
  <c r="T1318" i="6"/>
  <c r="U1318" i="6"/>
  <c r="V1318" i="6"/>
  <c r="W1318" i="6"/>
  <c r="X1318" i="6"/>
  <c r="Y1318" i="6"/>
  <c r="Z1318" i="6"/>
  <c r="AA1318" i="6"/>
  <c r="J1319" i="6"/>
  <c r="K1319" i="6"/>
  <c r="L1319" i="6"/>
  <c r="M1319" i="6"/>
  <c r="N1319" i="6"/>
  <c r="O1319" i="6"/>
  <c r="P1319" i="6"/>
  <c r="Q1319" i="6"/>
  <c r="R1319" i="6"/>
  <c r="S1319" i="6"/>
  <c r="T1319" i="6"/>
  <c r="U1319" i="6"/>
  <c r="V1319" i="6"/>
  <c r="W1319" i="6"/>
  <c r="X1319" i="6"/>
  <c r="Y1319" i="6"/>
  <c r="Z1319" i="6"/>
  <c r="AA1319" i="6"/>
  <c r="J1320" i="6"/>
  <c r="K1320" i="6"/>
  <c r="L1320" i="6"/>
  <c r="M1320" i="6"/>
  <c r="N1320" i="6"/>
  <c r="O1320" i="6"/>
  <c r="P1320" i="6"/>
  <c r="Q1320" i="6"/>
  <c r="R1320" i="6"/>
  <c r="S1320" i="6"/>
  <c r="T1320" i="6"/>
  <c r="U1320" i="6"/>
  <c r="V1320" i="6"/>
  <c r="W1320" i="6"/>
  <c r="X1320" i="6"/>
  <c r="Y1320" i="6"/>
  <c r="Z1320" i="6"/>
  <c r="AA1320" i="6"/>
  <c r="J1321" i="6"/>
  <c r="K1321" i="6"/>
  <c r="L1321" i="6"/>
  <c r="M1321" i="6"/>
  <c r="N1321" i="6"/>
  <c r="O1321" i="6"/>
  <c r="P1321" i="6"/>
  <c r="Q1321" i="6"/>
  <c r="R1321" i="6"/>
  <c r="S1321" i="6"/>
  <c r="T1321" i="6"/>
  <c r="U1321" i="6"/>
  <c r="V1321" i="6"/>
  <c r="W1321" i="6"/>
  <c r="X1321" i="6"/>
  <c r="Y1321" i="6"/>
  <c r="Z1321" i="6"/>
  <c r="AA1321" i="6"/>
  <c r="J1322" i="6"/>
  <c r="K1322" i="6"/>
  <c r="L1322" i="6"/>
  <c r="M1322" i="6"/>
  <c r="N1322" i="6"/>
  <c r="O1322" i="6"/>
  <c r="P1322" i="6"/>
  <c r="Q1322" i="6"/>
  <c r="R1322" i="6"/>
  <c r="S1322" i="6"/>
  <c r="T1322" i="6"/>
  <c r="U1322" i="6"/>
  <c r="V1322" i="6"/>
  <c r="W1322" i="6"/>
  <c r="X1322" i="6"/>
  <c r="Y1322" i="6"/>
  <c r="Z1322" i="6"/>
  <c r="AA1322" i="6"/>
  <c r="J1323" i="6"/>
  <c r="K1323" i="6"/>
  <c r="L1323" i="6"/>
  <c r="M1323" i="6"/>
  <c r="N1323" i="6"/>
  <c r="O1323" i="6"/>
  <c r="P1323" i="6"/>
  <c r="Q1323" i="6"/>
  <c r="R1323" i="6"/>
  <c r="S1323" i="6"/>
  <c r="T1323" i="6"/>
  <c r="U1323" i="6"/>
  <c r="V1323" i="6"/>
  <c r="W1323" i="6"/>
  <c r="X1323" i="6"/>
  <c r="Y1323" i="6"/>
  <c r="Z1323" i="6"/>
  <c r="AA1323" i="6"/>
  <c r="J1324" i="6"/>
  <c r="K1324" i="6"/>
  <c r="L1324" i="6"/>
  <c r="M1324" i="6"/>
  <c r="N1324" i="6"/>
  <c r="O1324" i="6"/>
  <c r="P1324" i="6"/>
  <c r="Q1324" i="6"/>
  <c r="R1324" i="6"/>
  <c r="S1324" i="6"/>
  <c r="T1324" i="6"/>
  <c r="U1324" i="6"/>
  <c r="V1324" i="6"/>
  <c r="W1324" i="6"/>
  <c r="X1324" i="6"/>
  <c r="Y1324" i="6"/>
  <c r="Z1324" i="6"/>
  <c r="AA1324" i="6"/>
  <c r="J1325" i="6"/>
  <c r="K1325" i="6"/>
  <c r="L1325" i="6"/>
  <c r="M1325" i="6"/>
  <c r="N1325" i="6"/>
  <c r="O1325" i="6"/>
  <c r="P1325" i="6"/>
  <c r="Q1325" i="6"/>
  <c r="R1325" i="6"/>
  <c r="S1325" i="6"/>
  <c r="T1325" i="6"/>
  <c r="U1325" i="6"/>
  <c r="V1325" i="6"/>
  <c r="W1325" i="6"/>
  <c r="X1325" i="6"/>
  <c r="Y1325" i="6"/>
  <c r="Z1325" i="6"/>
  <c r="AA1325" i="6"/>
  <c r="J1326" i="6"/>
  <c r="K1326" i="6"/>
  <c r="L1326" i="6"/>
  <c r="M1326" i="6"/>
  <c r="N1326" i="6"/>
  <c r="O1326" i="6"/>
  <c r="P1326" i="6"/>
  <c r="Q1326" i="6"/>
  <c r="R1326" i="6"/>
  <c r="S1326" i="6"/>
  <c r="T1326" i="6"/>
  <c r="U1326" i="6"/>
  <c r="V1326" i="6"/>
  <c r="W1326" i="6"/>
  <c r="X1326" i="6"/>
  <c r="Y1326" i="6"/>
  <c r="Z1326" i="6"/>
  <c r="AA1326" i="6"/>
  <c r="J1327" i="6"/>
  <c r="K1327" i="6"/>
  <c r="L1327" i="6"/>
  <c r="M1327" i="6"/>
  <c r="N1327" i="6"/>
  <c r="O1327" i="6"/>
  <c r="P1327" i="6"/>
  <c r="Q1327" i="6"/>
  <c r="R1327" i="6"/>
  <c r="S1327" i="6"/>
  <c r="T1327" i="6"/>
  <c r="U1327" i="6"/>
  <c r="V1327" i="6"/>
  <c r="W1327" i="6"/>
  <c r="X1327" i="6"/>
  <c r="Y1327" i="6"/>
  <c r="Z1327" i="6"/>
  <c r="AA1327" i="6"/>
  <c r="J1328" i="6"/>
  <c r="K1328" i="6"/>
  <c r="L1328" i="6"/>
  <c r="M1328" i="6"/>
  <c r="N1328" i="6"/>
  <c r="O1328" i="6"/>
  <c r="P1328" i="6"/>
  <c r="Q1328" i="6"/>
  <c r="R1328" i="6"/>
  <c r="S1328" i="6"/>
  <c r="T1328" i="6"/>
  <c r="U1328" i="6"/>
  <c r="V1328" i="6"/>
  <c r="W1328" i="6"/>
  <c r="X1328" i="6"/>
  <c r="Y1328" i="6"/>
  <c r="Z1328" i="6"/>
  <c r="AA1328" i="6"/>
  <c r="J1329" i="6"/>
  <c r="K1329" i="6"/>
  <c r="L1329" i="6"/>
  <c r="M1329" i="6"/>
  <c r="N1329" i="6"/>
  <c r="O1329" i="6"/>
  <c r="P1329" i="6"/>
  <c r="Q1329" i="6"/>
  <c r="R1329" i="6"/>
  <c r="S1329" i="6"/>
  <c r="T1329" i="6"/>
  <c r="U1329" i="6"/>
  <c r="V1329" i="6"/>
  <c r="W1329" i="6"/>
  <c r="X1329" i="6"/>
  <c r="Y1329" i="6"/>
  <c r="Z1329" i="6"/>
  <c r="AA1329" i="6"/>
  <c r="J1330" i="6"/>
  <c r="K1330" i="6"/>
  <c r="L1330" i="6"/>
  <c r="M1330" i="6"/>
  <c r="N1330" i="6"/>
  <c r="O1330" i="6"/>
  <c r="P1330" i="6"/>
  <c r="Q1330" i="6"/>
  <c r="R1330" i="6"/>
  <c r="S1330" i="6"/>
  <c r="T1330" i="6"/>
  <c r="U1330" i="6"/>
  <c r="V1330" i="6"/>
  <c r="W1330" i="6"/>
  <c r="X1330" i="6"/>
  <c r="Y1330" i="6"/>
  <c r="Z1330" i="6"/>
  <c r="AA1330" i="6"/>
  <c r="J1331" i="6"/>
  <c r="K1331" i="6"/>
  <c r="L1331" i="6"/>
  <c r="M1331" i="6"/>
  <c r="N1331" i="6"/>
  <c r="O1331" i="6"/>
  <c r="P1331" i="6"/>
  <c r="Q1331" i="6"/>
  <c r="R1331" i="6"/>
  <c r="S1331" i="6"/>
  <c r="T1331" i="6"/>
  <c r="U1331" i="6"/>
  <c r="V1331" i="6"/>
  <c r="W1331" i="6"/>
  <c r="X1331" i="6"/>
  <c r="Y1331" i="6"/>
  <c r="Z1331" i="6"/>
  <c r="AA1331" i="6"/>
  <c r="J1332" i="6"/>
  <c r="K1332" i="6"/>
  <c r="L1332" i="6"/>
  <c r="M1332" i="6"/>
  <c r="N1332" i="6"/>
  <c r="O1332" i="6"/>
  <c r="P1332" i="6"/>
  <c r="Q1332" i="6"/>
  <c r="R1332" i="6"/>
  <c r="S1332" i="6"/>
  <c r="T1332" i="6"/>
  <c r="U1332" i="6"/>
  <c r="V1332" i="6"/>
  <c r="W1332" i="6"/>
  <c r="X1332" i="6"/>
  <c r="Y1332" i="6"/>
  <c r="Z1332" i="6"/>
  <c r="AA1332" i="6"/>
  <c r="J1333" i="6"/>
  <c r="K1333" i="6"/>
  <c r="L1333" i="6"/>
  <c r="M1333" i="6"/>
  <c r="N1333" i="6"/>
  <c r="O1333" i="6"/>
  <c r="P1333" i="6"/>
  <c r="Q1333" i="6"/>
  <c r="R1333" i="6"/>
  <c r="S1333" i="6"/>
  <c r="T1333" i="6"/>
  <c r="U1333" i="6"/>
  <c r="V1333" i="6"/>
  <c r="W1333" i="6"/>
  <c r="X1333" i="6"/>
  <c r="Y1333" i="6"/>
  <c r="Z1333" i="6"/>
  <c r="AA1333" i="6"/>
  <c r="J1334" i="6"/>
  <c r="K1334" i="6"/>
  <c r="L1334" i="6"/>
  <c r="M1334" i="6"/>
  <c r="N1334" i="6"/>
  <c r="O1334" i="6"/>
  <c r="P1334" i="6"/>
  <c r="Q1334" i="6"/>
  <c r="R1334" i="6"/>
  <c r="S1334" i="6"/>
  <c r="T1334" i="6"/>
  <c r="U1334" i="6"/>
  <c r="V1334" i="6"/>
  <c r="W1334" i="6"/>
  <c r="X1334" i="6"/>
  <c r="Y1334" i="6"/>
  <c r="Z1334" i="6"/>
  <c r="AA1334" i="6"/>
  <c r="J1335" i="6"/>
  <c r="K1335" i="6"/>
  <c r="L1335" i="6"/>
  <c r="M1335" i="6"/>
  <c r="N1335" i="6"/>
  <c r="O1335" i="6"/>
  <c r="P1335" i="6"/>
  <c r="Q1335" i="6"/>
  <c r="R1335" i="6"/>
  <c r="S1335" i="6"/>
  <c r="T1335" i="6"/>
  <c r="U1335" i="6"/>
  <c r="V1335" i="6"/>
  <c r="W1335" i="6"/>
  <c r="X1335" i="6"/>
  <c r="Y1335" i="6"/>
  <c r="Z1335" i="6"/>
  <c r="AA1335" i="6"/>
  <c r="I3"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I109" i="6"/>
  <c r="I110" i="6"/>
  <c r="I111" i="6"/>
  <c r="I112" i="6"/>
  <c r="I113" i="6"/>
  <c r="I114" i="6"/>
  <c r="I115" i="6"/>
  <c r="I116" i="6"/>
  <c r="I117" i="6"/>
  <c r="I118" i="6"/>
  <c r="I119" i="6"/>
  <c r="I120" i="6"/>
  <c r="I121" i="6"/>
  <c r="I122" i="6"/>
  <c r="I123" i="6"/>
  <c r="I124" i="6"/>
  <c r="I125" i="6"/>
  <c r="I126" i="6"/>
  <c r="I127" i="6"/>
  <c r="I128" i="6"/>
  <c r="I129" i="6"/>
  <c r="I130" i="6"/>
  <c r="I131" i="6"/>
  <c r="I132" i="6"/>
  <c r="I133" i="6"/>
  <c r="I134" i="6"/>
  <c r="I135" i="6"/>
  <c r="I136" i="6"/>
  <c r="I137" i="6"/>
  <c r="I138" i="6"/>
  <c r="I139" i="6"/>
  <c r="I140" i="6"/>
  <c r="I141" i="6"/>
  <c r="I142" i="6"/>
  <c r="I143" i="6"/>
  <c r="I144" i="6"/>
  <c r="I145" i="6"/>
  <c r="I146" i="6"/>
  <c r="I147" i="6"/>
  <c r="I148" i="6"/>
  <c r="I149" i="6"/>
  <c r="I150" i="6"/>
  <c r="I151" i="6"/>
  <c r="I152" i="6"/>
  <c r="I153" i="6"/>
  <c r="I154" i="6"/>
  <c r="I155" i="6"/>
  <c r="I156" i="6"/>
  <c r="I157" i="6"/>
  <c r="I158" i="6"/>
  <c r="I159" i="6"/>
  <c r="I160" i="6"/>
  <c r="I161" i="6"/>
  <c r="I162" i="6"/>
  <c r="I163" i="6"/>
  <c r="I164" i="6"/>
  <c r="I165" i="6"/>
  <c r="I166" i="6"/>
  <c r="I167" i="6"/>
  <c r="I168" i="6"/>
  <c r="I169" i="6"/>
  <c r="I170" i="6"/>
  <c r="I171" i="6"/>
  <c r="I172" i="6"/>
  <c r="I173" i="6"/>
  <c r="I174" i="6"/>
  <c r="I175" i="6"/>
  <c r="I176" i="6"/>
  <c r="I177" i="6"/>
  <c r="I178" i="6"/>
  <c r="I179" i="6"/>
  <c r="I180" i="6"/>
  <c r="I181" i="6"/>
  <c r="I182" i="6"/>
  <c r="I183" i="6"/>
  <c r="I184" i="6"/>
  <c r="I185" i="6"/>
  <c r="I186" i="6"/>
  <c r="I187" i="6"/>
  <c r="I188" i="6"/>
  <c r="I189" i="6"/>
  <c r="I190" i="6"/>
  <c r="I191" i="6"/>
  <c r="I192" i="6"/>
  <c r="I193" i="6"/>
  <c r="I194" i="6"/>
  <c r="I195" i="6"/>
  <c r="I196" i="6"/>
  <c r="I197" i="6"/>
  <c r="I198" i="6"/>
  <c r="I199" i="6"/>
  <c r="I200" i="6"/>
  <c r="I201" i="6"/>
  <c r="I202" i="6"/>
  <c r="I203" i="6"/>
  <c r="I204" i="6"/>
  <c r="I205" i="6"/>
  <c r="I206" i="6"/>
  <c r="I207" i="6"/>
  <c r="I208" i="6"/>
  <c r="I209" i="6"/>
  <c r="I210" i="6"/>
  <c r="I211" i="6"/>
  <c r="I212" i="6"/>
  <c r="I213" i="6"/>
  <c r="I214" i="6"/>
  <c r="I215" i="6"/>
  <c r="I216" i="6"/>
  <c r="I217" i="6"/>
  <c r="I218" i="6"/>
  <c r="I219" i="6"/>
  <c r="I220" i="6"/>
  <c r="I221" i="6"/>
  <c r="I222" i="6"/>
  <c r="I223" i="6"/>
  <c r="I224" i="6"/>
  <c r="I225" i="6"/>
  <c r="I226" i="6"/>
  <c r="I227" i="6"/>
  <c r="I228" i="6"/>
  <c r="I229" i="6"/>
  <c r="I230" i="6"/>
  <c r="I231" i="6"/>
  <c r="I232" i="6"/>
  <c r="I233" i="6"/>
  <c r="I234" i="6"/>
  <c r="I235" i="6"/>
  <c r="I236" i="6"/>
  <c r="I237" i="6"/>
  <c r="I238" i="6"/>
  <c r="I239" i="6"/>
  <c r="I240" i="6"/>
  <c r="I241" i="6"/>
  <c r="I242" i="6"/>
  <c r="I243" i="6"/>
  <c r="I244" i="6"/>
  <c r="I245" i="6"/>
  <c r="I246" i="6"/>
  <c r="I247" i="6"/>
  <c r="I248" i="6"/>
  <c r="I249" i="6"/>
  <c r="I250" i="6"/>
  <c r="I251" i="6"/>
  <c r="I252" i="6"/>
  <c r="I253" i="6"/>
  <c r="I254" i="6"/>
  <c r="I255" i="6"/>
  <c r="I256" i="6"/>
  <c r="I257" i="6"/>
  <c r="I258" i="6"/>
  <c r="I259" i="6"/>
  <c r="I260" i="6"/>
  <c r="I261" i="6"/>
  <c r="I262" i="6"/>
  <c r="I263" i="6"/>
  <c r="I264" i="6"/>
  <c r="I265" i="6"/>
  <c r="I266" i="6"/>
  <c r="I267" i="6"/>
  <c r="I268" i="6"/>
  <c r="I269" i="6"/>
  <c r="I270" i="6"/>
  <c r="I271" i="6"/>
  <c r="I272" i="6"/>
  <c r="I273" i="6"/>
  <c r="I274" i="6"/>
  <c r="I275" i="6"/>
  <c r="I276" i="6"/>
  <c r="I277" i="6"/>
  <c r="I278" i="6"/>
  <c r="I279" i="6"/>
  <c r="I280" i="6"/>
  <c r="I281" i="6"/>
  <c r="I282" i="6"/>
  <c r="I283" i="6"/>
  <c r="I284" i="6"/>
  <c r="I285" i="6"/>
  <c r="I286" i="6"/>
  <c r="I287" i="6"/>
  <c r="I288" i="6"/>
  <c r="I289" i="6"/>
  <c r="I290" i="6"/>
  <c r="I291" i="6"/>
  <c r="I292" i="6"/>
  <c r="I293" i="6"/>
  <c r="I294" i="6"/>
  <c r="I295" i="6"/>
  <c r="I296" i="6"/>
  <c r="I297" i="6"/>
  <c r="I298" i="6"/>
  <c r="I299" i="6"/>
  <c r="I300" i="6"/>
  <c r="I301" i="6"/>
  <c r="I302" i="6"/>
  <c r="I303" i="6"/>
  <c r="I304" i="6"/>
  <c r="I305" i="6"/>
  <c r="I306" i="6"/>
  <c r="I307" i="6"/>
  <c r="I308" i="6"/>
  <c r="I309" i="6"/>
  <c r="I310" i="6"/>
  <c r="I311" i="6"/>
  <c r="I312" i="6"/>
  <c r="I313" i="6"/>
  <c r="I314" i="6"/>
  <c r="I315" i="6"/>
  <c r="I316" i="6"/>
  <c r="I317" i="6"/>
  <c r="I318" i="6"/>
  <c r="I319" i="6"/>
  <c r="I320" i="6"/>
  <c r="I321" i="6"/>
  <c r="I322" i="6"/>
  <c r="I323" i="6"/>
  <c r="I324" i="6"/>
  <c r="I325" i="6"/>
  <c r="I326" i="6"/>
  <c r="I327" i="6"/>
  <c r="I328" i="6"/>
  <c r="I329" i="6"/>
  <c r="I330" i="6"/>
  <c r="I331" i="6"/>
  <c r="I332" i="6"/>
  <c r="I333" i="6"/>
  <c r="I334" i="6"/>
  <c r="I335" i="6"/>
  <c r="I336" i="6"/>
  <c r="I337" i="6"/>
  <c r="I338" i="6"/>
  <c r="I339" i="6"/>
  <c r="I340" i="6"/>
  <c r="I341" i="6"/>
  <c r="I342" i="6"/>
  <c r="I343" i="6"/>
  <c r="I344" i="6"/>
  <c r="I345" i="6"/>
  <c r="I346" i="6"/>
  <c r="I347" i="6"/>
  <c r="I348" i="6"/>
  <c r="I349" i="6"/>
  <c r="I350" i="6"/>
  <c r="I351" i="6"/>
  <c r="I352" i="6"/>
  <c r="I353" i="6"/>
  <c r="I354" i="6"/>
  <c r="I355" i="6"/>
  <c r="I356" i="6"/>
  <c r="I357" i="6"/>
  <c r="I358" i="6"/>
  <c r="I359" i="6"/>
  <c r="I360" i="6"/>
  <c r="I361" i="6"/>
  <c r="I362" i="6"/>
  <c r="I363" i="6"/>
  <c r="I364" i="6"/>
  <c r="I365" i="6"/>
  <c r="I366" i="6"/>
  <c r="I367" i="6"/>
  <c r="I368" i="6"/>
  <c r="I369" i="6"/>
  <c r="I370" i="6"/>
  <c r="I371" i="6"/>
  <c r="I372" i="6"/>
  <c r="I373" i="6"/>
  <c r="I374" i="6"/>
  <c r="I375" i="6"/>
  <c r="I376" i="6"/>
  <c r="I377" i="6"/>
  <c r="I378" i="6"/>
  <c r="I379" i="6"/>
  <c r="I380" i="6"/>
  <c r="I381" i="6"/>
  <c r="I382" i="6"/>
  <c r="I383" i="6"/>
  <c r="I384" i="6"/>
  <c r="I385" i="6"/>
  <c r="I386" i="6"/>
  <c r="I387" i="6"/>
  <c r="I388" i="6"/>
  <c r="I389" i="6"/>
  <c r="I390" i="6"/>
  <c r="I391" i="6"/>
  <c r="I392" i="6"/>
  <c r="I393" i="6"/>
  <c r="I394" i="6"/>
  <c r="I395" i="6"/>
  <c r="I396" i="6"/>
  <c r="I397" i="6"/>
  <c r="I398" i="6"/>
  <c r="I399" i="6"/>
  <c r="I400" i="6"/>
  <c r="I401" i="6"/>
  <c r="I402" i="6"/>
  <c r="I403" i="6"/>
  <c r="I404" i="6"/>
  <c r="I405" i="6"/>
  <c r="I406" i="6"/>
  <c r="I407" i="6"/>
  <c r="I408" i="6"/>
  <c r="I409" i="6"/>
  <c r="I410" i="6"/>
  <c r="I411" i="6"/>
  <c r="I412" i="6"/>
  <c r="I413" i="6"/>
  <c r="I414" i="6"/>
  <c r="I415" i="6"/>
  <c r="I416" i="6"/>
  <c r="I417" i="6"/>
  <c r="I418" i="6"/>
  <c r="I419" i="6"/>
  <c r="I420" i="6"/>
  <c r="I421" i="6"/>
  <c r="I422" i="6"/>
  <c r="I423" i="6"/>
  <c r="I424" i="6"/>
  <c r="I425" i="6"/>
  <c r="I426" i="6"/>
  <c r="I427" i="6"/>
  <c r="I428" i="6"/>
  <c r="I429" i="6"/>
  <c r="I430" i="6"/>
  <c r="I431" i="6"/>
  <c r="I432" i="6"/>
  <c r="I433" i="6"/>
  <c r="I434" i="6"/>
  <c r="I435" i="6"/>
  <c r="I436" i="6"/>
  <c r="I437" i="6"/>
  <c r="I438" i="6"/>
  <c r="I439" i="6"/>
  <c r="I440" i="6"/>
  <c r="I441" i="6"/>
  <c r="I442" i="6"/>
  <c r="I443" i="6"/>
  <c r="I444" i="6"/>
  <c r="I445" i="6"/>
  <c r="I446" i="6"/>
  <c r="I447" i="6"/>
  <c r="I448" i="6"/>
  <c r="I449" i="6"/>
  <c r="I450" i="6"/>
  <c r="I451" i="6"/>
  <c r="I452" i="6"/>
  <c r="I453" i="6"/>
  <c r="I454" i="6"/>
  <c r="I455" i="6"/>
  <c r="I456" i="6"/>
  <c r="I457" i="6"/>
  <c r="I458" i="6"/>
  <c r="I459" i="6"/>
  <c r="I460" i="6"/>
  <c r="I461" i="6"/>
  <c r="I462" i="6"/>
  <c r="I463" i="6"/>
  <c r="I464" i="6"/>
  <c r="I465" i="6"/>
  <c r="I466" i="6"/>
  <c r="I467" i="6"/>
  <c r="I468" i="6"/>
  <c r="I469" i="6"/>
  <c r="I470" i="6"/>
  <c r="I471" i="6"/>
  <c r="I472" i="6"/>
  <c r="I473" i="6"/>
  <c r="I474" i="6"/>
  <c r="I475" i="6"/>
  <c r="I476" i="6"/>
  <c r="I477" i="6"/>
  <c r="I478" i="6"/>
  <c r="I479" i="6"/>
  <c r="I480" i="6"/>
  <c r="I481" i="6"/>
  <c r="I482" i="6"/>
  <c r="I483" i="6"/>
  <c r="I484" i="6"/>
  <c r="I485" i="6"/>
  <c r="I486" i="6"/>
  <c r="I487" i="6"/>
  <c r="I488" i="6"/>
  <c r="I489" i="6"/>
  <c r="I490" i="6"/>
  <c r="I491" i="6"/>
  <c r="I492" i="6"/>
  <c r="I493" i="6"/>
  <c r="I494" i="6"/>
  <c r="I495" i="6"/>
  <c r="I496" i="6"/>
  <c r="I497" i="6"/>
  <c r="I498" i="6"/>
  <c r="I499" i="6"/>
  <c r="I500" i="6"/>
  <c r="I501" i="6"/>
  <c r="I502" i="6"/>
  <c r="I503" i="6"/>
  <c r="I504" i="6"/>
  <c r="I505" i="6"/>
  <c r="I506" i="6"/>
  <c r="I507" i="6"/>
  <c r="I508" i="6"/>
  <c r="I509" i="6"/>
  <c r="I510" i="6"/>
  <c r="I511" i="6"/>
  <c r="I512" i="6"/>
  <c r="I513" i="6"/>
  <c r="I514" i="6"/>
  <c r="I515" i="6"/>
  <c r="I516" i="6"/>
  <c r="I517" i="6"/>
  <c r="I518" i="6"/>
  <c r="I519" i="6"/>
  <c r="I520" i="6"/>
  <c r="I521" i="6"/>
  <c r="I522" i="6"/>
  <c r="I523" i="6"/>
  <c r="I524" i="6"/>
  <c r="I525" i="6"/>
  <c r="I526" i="6"/>
  <c r="I527" i="6"/>
  <c r="I528" i="6"/>
  <c r="I529" i="6"/>
  <c r="I530" i="6"/>
  <c r="I531" i="6"/>
  <c r="I532" i="6"/>
  <c r="I533" i="6"/>
  <c r="I534" i="6"/>
  <c r="I535" i="6"/>
  <c r="I536" i="6"/>
  <c r="I537" i="6"/>
  <c r="I538" i="6"/>
  <c r="I539" i="6"/>
  <c r="I540" i="6"/>
  <c r="I541" i="6"/>
  <c r="I542" i="6"/>
  <c r="I543" i="6"/>
  <c r="I544" i="6"/>
  <c r="I545" i="6"/>
  <c r="I546" i="6"/>
  <c r="I547" i="6"/>
  <c r="I548" i="6"/>
  <c r="I549" i="6"/>
  <c r="I550" i="6"/>
  <c r="I551" i="6"/>
  <c r="I552" i="6"/>
  <c r="I553" i="6"/>
  <c r="I554" i="6"/>
  <c r="I555" i="6"/>
  <c r="I556" i="6"/>
  <c r="I557" i="6"/>
  <c r="I558" i="6"/>
  <c r="I559" i="6"/>
  <c r="I560" i="6"/>
  <c r="I561" i="6"/>
  <c r="I562" i="6"/>
  <c r="I563" i="6"/>
  <c r="I564" i="6"/>
  <c r="I565" i="6"/>
  <c r="I566" i="6"/>
  <c r="I567" i="6"/>
  <c r="I568" i="6"/>
  <c r="I569" i="6"/>
  <c r="I570" i="6"/>
  <c r="I571" i="6"/>
  <c r="I572" i="6"/>
  <c r="I573" i="6"/>
  <c r="I574" i="6"/>
  <c r="I575" i="6"/>
  <c r="I576" i="6"/>
  <c r="I577" i="6"/>
  <c r="I578" i="6"/>
  <c r="I579" i="6"/>
  <c r="I580" i="6"/>
  <c r="I581" i="6"/>
  <c r="I582" i="6"/>
  <c r="I583" i="6"/>
  <c r="I584" i="6"/>
  <c r="I585" i="6"/>
  <c r="I586" i="6"/>
  <c r="I587" i="6"/>
  <c r="I588" i="6"/>
  <c r="I589" i="6"/>
  <c r="I590" i="6"/>
  <c r="I591" i="6"/>
  <c r="I592" i="6"/>
  <c r="I593" i="6"/>
  <c r="I594" i="6"/>
  <c r="I595" i="6"/>
  <c r="I596" i="6"/>
  <c r="I597" i="6"/>
  <c r="I598" i="6"/>
  <c r="I599" i="6"/>
  <c r="I600" i="6"/>
  <c r="I601" i="6"/>
  <c r="I602" i="6"/>
  <c r="I603" i="6"/>
  <c r="I604" i="6"/>
  <c r="I605" i="6"/>
  <c r="I606" i="6"/>
  <c r="I607" i="6"/>
  <c r="I608" i="6"/>
  <c r="I609" i="6"/>
  <c r="I610" i="6"/>
  <c r="I611" i="6"/>
  <c r="I612" i="6"/>
  <c r="I613" i="6"/>
  <c r="I614" i="6"/>
  <c r="I615" i="6"/>
  <c r="I616" i="6"/>
  <c r="I617" i="6"/>
  <c r="I618" i="6"/>
  <c r="I619" i="6"/>
  <c r="I620" i="6"/>
  <c r="I621" i="6"/>
  <c r="I622" i="6"/>
  <c r="I623" i="6"/>
  <c r="I624" i="6"/>
  <c r="I625" i="6"/>
  <c r="I626" i="6"/>
  <c r="I627" i="6"/>
  <c r="I628" i="6"/>
  <c r="I629" i="6"/>
  <c r="I630" i="6"/>
  <c r="I631" i="6"/>
  <c r="I632" i="6"/>
  <c r="I633" i="6"/>
  <c r="I634" i="6"/>
  <c r="I635" i="6"/>
  <c r="I636" i="6"/>
  <c r="I637" i="6"/>
  <c r="I638" i="6"/>
  <c r="I639" i="6"/>
  <c r="I640" i="6"/>
  <c r="I641" i="6"/>
  <c r="I642" i="6"/>
  <c r="I643" i="6"/>
  <c r="I644" i="6"/>
  <c r="I645" i="6"/>
  <c r="I646" i="6"/>
  <c r="I647" i="6"/>
  <c r="I648" i="6"/>
  <c r="I649" i="6"/>
  <c r="I650" i="6"/>
  <c r="I651" i="6"/>
  <c r="I652" i="6"/>
  <c r="I653" i="6"/>
  <c r="I654" i="6"/>
  <c r="I655" i="6"/>
  <c r="I656" i="6"/>
  <c r="I657" i="6"/>
  <c r="I658" i="6"/>
  <c r="I659" i="6"/>
  <c r="I660" i="6"/>
  <c r="I661" i="6"/>
  <c r="I662" i="6"/>
  <c r="I663" i="6"/>
  <c r="I664" i="6"/>
  <c r="I665" i="6"/>
  <c r="I666" i="6"/>
  <c r="I667" i="6"/>
  <c r="I668" i="6"/>
  <c r="I669" i="6"/>
  <c r="I670" i="6"/>
  <c r="I671" i="6"/>
  <c r="I672" i="6"/>
  <c r="I673" i="6"/>
  <c r="I674" i="6"/>
  <c r="I675" i="6"/>
  <c r="I676" i="6"/>
  <c r="I677" i="6"/>
  <c r="I678" i="6"/>
  <c r="I679" i="6"/>
  <c r="I680" i="6"/>
  <c r="I681" i="6"/>
  <c r="I682" i="6"/>
  <c r="I683" i="6"/>
  <c r="I684" i="6"/>
  <c r="I685" i="6"/>
  <c r="I686" i="6"/>
  <c r="I687" i="6"/>
  <c r="I688" i="6"/>
  <c r="I689" i="6"/>
  <c r="I690" i="6"/>
  <c r="I691" i="6"/>
  <c r="I692" i="6"/>
  <c r="I693" i="6"/>
  <c r="I694" i="6"/>
  <c r="I695" i="6"/>
  <c r="I696" i="6"/>
  <c r="I697" i="6"/>
  <c r="I698" i="6"/>
  <c r="I699" i="6"/>
  <c r="I700" i="6"/>
  <c r="I701" i="6"/>
  <c r="I702" i="6"/>
  <c r="I703" i="6"/>
  <c r="I704" i="6"/>
  <c r="I705" i="6"/>
  <c r="I706" i="6"/>
  <c r="I707" i="6"/>
  <c r="I708" i="6"/>
  <c r="I709" i="6"/>
  <c r="I710" i="6"/>
  <c r="I711" i="6"/>
  <c r="I712" i="6"/>
  <c r="I713" i="6"/>
  <c r="I714" i="6"/>
  <c r="I715" i="6"/>
  <c r="I716" i="6"/>
  <c r="I717" i="6"/>
  <c r="I718" i="6"/>
  <c r="I719" i="6"/>
  <c r="I720" i="6"/>
  <c r="I721" i="6"/>
  <c r="I722" i="6"/>
  <c r="I723" i="6"/>
  <c r="I724" i="6"/>
  <c r="I725" i="6"/>
  <c r="I726" i="6"/>
  <c r="I727" i="6"/>
  <c r="I728" i="6"/>
  <c r="I729" i="6"/>
  <c r="I730" i="6"/>
  <c r="I731" i="6"/>
  <c r="I732" i="6"/>
  <c r="I733" i="6"/>
  <c r="I734" i="6"/>
  <c r="I735" i="6"/>
  <c r="I736" i="6"/>
  <c r="I737" i="6"/>
  <c r="I738" i="6"/>
  <c r="I739" i="6"/>
  <c r="I740" i="6"/>
  <c r="I741" i="6"/>
  <c r="I742" i="6"/>
  <c r="I743" i="6"/>
  <c r="I744" i="6"/>
  <c r="I745" i="6"/>
  <c r="I746" i="6"/>
  <c r="I747" i="6"/>
  <c r="I748" i="6"/>
  <c r="I749" i="6"/>
  <c r="I750" i="6"/>
  <c r="I751" i="6"/>
  <c r="I752" i="6"/>
  <c r="I753" i="6"/>
  <c r="I754" i="6"/>
  <c r="I755" i="6"/>
  <c r="I756" i="6"/>
  <c r="I757" i="6"/>
  <c r="I758" i="6"/>
  <c r="I759" i="6"/>
  <c r="I760" i="6"/>
  <c r="I761" i="6"/>
  <c r="I762" i="6"/>
  <c r="I763" i="6"/>
  <c r="I764" i="6"/>
  <c r="I765" i="6"/>
  <c r="I766" i="6"/>
  <c r="I767" i="6"/>
  <c r="I768" i="6"/>
  <c r="I769" i="6"/>
  <c r="I770" i="6"/>
  <c r="I771" i="6"/>
  <c r="I772" i="6"/>
  <c r="I773" i="6"/>
  <c r="I774" i="6"/>
  <c r="I775" i="6"/>
  <c r="I776" i="6"/>
  <c r="I777" i="6"/>
  <c r="I778" i="6"/>
  <c r="I779" i="6"/>
  <c r="I780" i="6"/>
  <c r="I781" i="6"/>
  <c r="I782" i="6"/>
  <c r="I783" i="6"/>
  <c r="I784" i="6"/>
  <c r="I785" i="6"/>
  <c r="I786" i="6"/>
  <c r="I787" i="6"/>
  <c r="I788" i="6"/>
  <c r="I789" i="6"/>
  <c r="I790" i="6"/>
  <c r="I791" i="6"/>
  <c r="I792" i="6"/>
  <c r="I793" i="6"/>
  <c r="I794" i="6"/>
  <c r="I795" i="6"/>
  <c r="I796" i="6"/>
  <c r="I797" i="6"/>
  <c r="I798" i="6"/>
  <c r="I799" i="6"/>
  <c r="I800" i="6"/>
  <c r="I801" i="6"/>
  <c r="I802" i="6"/>
  <c r="I803" i="6"/>
  <c r="I804" i="6"/>
  <c r="I805" i="6"/>
  <c r="I806" i="6"/>
  <c r="I807" i="6"/>
  <c r="I808" i="6"/>
  <c r="I809" i="6"/>
  <c r="I810" i="6"/>
  <c r="I811" i="6"/>
  <c r="I812" i="6"/>
  <c r="I813" i="6"/>
  <c r="I814" i="6"/>
  <c r="I815" i="6"/>
  <c r="I816" i="6"/>
  <c r="I817" i="6"/>
  <c r="I818" i="6"/>
  <c r="I819" i="6"/>
  <c r="I820" i="6"/>
  <c r="I821" i="6"/>
  <c r="I822" i="6"/>
  <c r="I823" i="6"/>
  <c r="I824" i="6"/>
  <c r="I825" i="6"/>
  <c r="I826" i="6"/>
  <c r="I827" i="6"/>
  <c r="I828" i="6"/>
  <c r="I829" i="6"/>
  <c r="I830" i="6"/>
  <c r="I831" i="6"/>
  <c r="I832" i="6"/>
  <c r="I833" i="6"/>
  <c r="I834" i="6"/>
  <c r="I835" i="6"/>
  <c r="I836" i="6"/>
  <c r="I837" i="6"/>
  <c r="I838" i="6"/>
  <c r="I839" i="6"/>
  <c r="I840" i="6"/>
  <c r="I841" i="6"/>
  <c r="I842" i="6"/>
  <c r="I843" i="6"/>
  <c r="I844" i="6"/>
  <c r="I845" i="6"/>
  <c r="I846" i="6"/>
  <c r="I847" i="6"/>
  <c r="I848" i="6"/>
  <c r="I849" i="6"/>
  <c r="I850" i="6"/>
  <c r="I851" i="6"/>
  <c r="I852" i="6"/>
  <c r="I853" i="6"/>
  <c r="I854" i="6"/>
  <c r="I855" i="6"/>
  <c r="I856" i="6"/>
  <c r="I857" i="6"/>
  <c r="I858" i="6"/>
  <c r="I859" i="6"/>
  <c r="I860" i="6"/>
  <c r="I861" i="6"/>
  <c r="I862" i="6"/>
  <c r="I863" i="6"/>
  <c r="I864" i="6"/>
  <c r="I865" i="6"/>
  <c r="I866" i="6"/>
  <c r="I867" i="6"/>
  <c r="I868" i="6"/>
  <c r="I869" i="6"/>
  <c r="I870" i="6"/>
  <c r="I871" i="6"/>
  <c r="I872" i="6"/>
  <c r="I873" i="6"/>
  <c r="I874" i="6"/>
  <c r="I875" i="6"/>
  <c r="I876" i="6"/>
  <c r="I877" i="6"/>
  <c r="I878" i="6"/>
  <c r="I879" i="6"/>
  <c r="I880" i="6"/>
  <c r="I881" i="6"/>
  <c r="I882" i="6"/>
  <c r="I883" i="6"/>
  <c r="I884" i="6"/>
  <c r="I885" i="6"/>
  <c r="I886" i="6"/>
  <c r="I887" i="6"/>
  <c r="I888" i="6"/>
  <c r="I889" i="6"/>
  <c r="I890" i="6"/>
  <c r="I891" i="6"/>
  <c r="I892" i="6"/>
  <c r="I893" i="6"/>
  <c r="I894" i="6"/>
  <c r="I895" i="6"/>
  <c r="I896" i="6"/>
  <c r="I897" i="6"/>
  <c r="I898" i="6"/>
  <c r="I899" i="6"/>
  <c r="I900" i="6"/>
  <c r="I901" i="6"/>
  <c r="I902" i="6"/>
  <c r="I903" i="6"/>
  <c r="I904" i="6"/>
  <c r="I905" i="6"/>
  <c r="I906" i="6"/>
  <c r="I907" i="6"/>
  <c r="I908" i="6"/>
  <c r="I909" i="6"/>
  <c r="I910" i="6"/>
  <c r="I911" i="6"/>
  <c r="I912" i="6"/>
  <c r="I913" i="6"/>
  <c r="I914" i="6"/>
  <c r="I915" i="6"/>
  <c r="I916" i="6"/>
  <c r="I917" i="6"/>
  <c r="I918" i="6"/>
  <c r="I919" i="6"/>
  <c r="I920" i="6"/>
  <c r="I921" i="6"/>
  <c r="I922" i="6"/>
  <c r="I923" i="6"/>
  <c r="I924" i="6"/>
  <c r="I925" i="6"/>
  <c r="I926" i="6"/>
  <c r="I927" i="6"/>
  <c r="I928" i="6"/>
  <c r="I929" i="6"/>
  <c r="I930" i="6"/>
  <c r="I931" i="6"/>
  <c r="I932" i="6"/>
  <c r="I933" i="6"/>
  <c r="I934" i="6"/>
  <c r="I935" i="6"/>
  <c r="I936" i="6"/>
  <c r="I937" i="6"/>
  <c r="I938" i="6"/>
  <c r="I939" i="6"/>
  <c r="I940" i="6"/>
  <c r="I941" i="6"/>
  <c r="I942" i="6"/>
  <c r="I943" i="6"/>
  <c r="I944" i="6"/>
  <c r="I945" i="6"/>
  <c r="I946" i="6"/>
  <c r="I947" i="6"/>
  <c r="I948" i="6"/>
  <c r="I949" i="6"/>
  <c r="I950" i="6"/>
  <c r="I951" i="6"/>
  <c r="I952" i="6"/>
  <c r="I953" i="6"/>
  <c r="I954" i="6"/>
  <c r="I955" i="6"/>
  <c r="I956" i="6"/>
  <c r="I957" i="6"/>
  <c r="I958" i="6"/>
  <c r="I959" i="6"/>
  <c r="I960" i="6"/>
  <c r="I961" i="6"/>
  <c r="I962" i="6"/>
  <c r="I963" i="6"/>
  <c r="I964" i="6"/>
  <c r="I965" i="6"/>
  <c r="I966" i="6"/>
  <c r="I967" i="6"/>
  <c r="I968" i="6"/>
  <c r="I969" i="6"/>
  <c r="I970" i="6"/>
  <c r="I971" i="6"/>
  <c r="I972" i="6"/>
  <c r="I973" i="6"/>
  <c r="I974" i="6"/>
  <c r="I975" i="6"/>
  <c r="I976" i="6"/>
  <c r="I977" i="6"/>
  <c r="I978" i="6"/>
  <c r="I979" i="6"/>
  <c r="I980" i="6"/>
  <c r="I981" i="6"/>
  <c r="I982" i="6"/>
  <c r="I983" i="6"/>
  <c r="I984" i="6"/>
  <c r="I985" i="6"/>
  <c r="I986" i="6"/>
  <c r="I987" i="6"/>
  <c r="I988" i="6"/>
  <c r="I989" i="6"/>
  <c r="I990" i="6"/>
  <c r="I991" i="6"/>
  <c r="I992" i="6"/>
  <c r="I993" i="6"/>
  <c r="I994" i="6"/>
  <c r="I995" i="6"/>
  <c r="I996" i="6"/>
  <c r="I997" i="6"/>
  <c r="I998" i="6"/>
  <c r="I999" i="6"/>
  <c r="I1000" i="6"/>
  <c r="I1001" i="6"/>
  <c r="I1002" i="6"/>
  <c r="I1003" i="6"/>
  <c r="I1004" i="6"/>
  <c r="I1005" i="6"/>
  <c r="I1006" i="6"/>
  <c r="I1007" i="6"/>
  <c r="I1008" i="6"/>
  <c r="I1009" i="6"/>
  <c r="I1010" i="6"/>
  <c r="I1011" i="6"/>
  <c r="I1012" i="6"/>
  <c r="I1013" i="6"/>
  <c r="I1014" i="6"/>
  <c r="I1015" i="6"/>
  <c r="I1016" i="6"/>
  <c r="I1017" i="6"/>
  <c r="I1018" i="6"/>
  <c r="I1019" i="6"/>
  <c r="I1020" i="6"/>
  <c r="I1021" i="6"/>
  <c r="I1022" i="6"/>
  <c r="I1023" i="6"/>
  <c r="I1024" i="6"/>
  <c r="I1025" i="6"/>
  <c r="I1026" i="6"/>
  <c r="I1027" i="6"/>
  <c r="I1028" i="6"/>
  <c r="I1029" i="6"/>
  <c r="I1030" i="6"/>
  <c r="I1031" i="6"/>
  <c r="I1032" i="6"/>
  <c r="I1033" i="6"/>
  <c r="I1034" i="6"/>
  <c r="I1035" i="6"/>
  <c r="I1036" i="6"/>
  <c r="I1037" i="6"/>
  <c r="I1038" i="6"/>
  <c r="I1039" i="6"/>
  <c r="I1040" i="6"/>
  <c r="I1041" i="6"/>
  <c r="I1042" i="6"/>
  <c r="I1043" i="6"/>
  <c r="I1044" i="6"/>
  <c r="I1045" i="6"/>
  <c r="I1046" i="6"/>
  <c r="I1047" i="6"/>
  <c r="I1048" i="6"/>
  <c r="I1049" i="6"/>
  <c r="I1050" i="6"/>
  <c r="I1051" i="6"/>
  <c r="I1052" i="6"/>
  <c r="I1053" i="6"/>
  <c r="I1054" i="6"/>
  <c r="I1055" i="6"/>
  <c r="I1056" i="6"/>
  <c r="I1057" i="6"/>
  <c r="I1058" i="6"/>
  <c r="I1059" i="6"/>
  <c r="I1060" i="6"/>
  <c r="I1061" i="6"/>
  <c r="I1062" i="6"/>
  <c r="I1063" i="6"/>
  <c r="I1064" i="6"/>
  <c r="I1065" i="6"/>
  <c r="I1066" i="6"/>
  <c r="I1067" i="6"/>
  <c r="I1068" i="6"/>
  <c r="I1069" i="6"/>
  <c r="I1070" i="6"/>
  <c r="I1071" i="6"/>
  <c r="I1072" i="6"/>
  <c r="I1073" i="6"/>
  <c r="I1074" i="6"/>
  <c r="I1075" i="6"/>
  <c r="I1076" i="6"/>
  <c r="I1077" i="6"/>
  <c r="I1078" i="6"/>
  <c r="I1079" i="6"/>
  <c r="I1080" i="6"/>
  <c r="I1081" i="6"/>
  <c r="I1082" i="6"/>
  <c r="I1083" i="6"/>
  <c r="I1084" i="6"/>
  <c r="I1085" i="6"/>
  <c r="I1086" i="6"/>
  <c r="I1087" i="6"/>
  <c r="I1088" i="6"/>
  <c r="I1089" i="6"/>
  <c r="I1090" i="6"/>
  <c r="I1091" i="6"/>
  <c r="I1092" i="6"/>
  <c r="I1093" i="6"/>
  <c r="I1094" i="6"/>
  <c r="I1095" i="6"/>
  <c r="I1096" i="6"/>
  <c r="I1097" i="6"/>
  <c r="I1098" i="6"/>
  <c r="I1099" i="6"/>
  <c r="I1100" i="6"/>
  <c r="I1101" i="6"/>
  <c r="I1102" i="6"/>
  <c r="I1103" i="6"/>
  <c r="I1104" i="6"/>
  <c r="I1105" i="6"/>
  <c r="I1106" i="6"/>
  <c r="I1107" i="6"/>
  <c r="I1108" i="6"/>
  <c r="I1109" i="6"/>
  <c r="I1110" i="6"/>
  <c r="I1111" i="6"/>
  <c r="I1112" i="6"/>
  <c r="I1113" i="6"/>
  <c r="I1114" i="6"/>
  <c r="I1115" i="6"/>
  <c r="I1116" i="6"/>
  <c r="I1117" i="6"/>
  <c r="I1118" i="6"/>
  <c r="I1119" i="6"/>
  <c r="I1120" i="6"/>
  <c r="I1121" i="6"/>
  <c r="I1122" i="6"/>
  <c r="I1123" i="6"/>
  <c r="I1124" i="6"/>
  <c r="I1125" i="6"/>
  <c r="I1126" i="6"/>
  <c r="I1127" i="6"/>
  <c r="I1128" i="6"/>
  <c r="I1129" i="6"/>
  <c r="I1130" i="6"/>
  <c r="I1131" i="6"/>
  <c r="I1132" i="6"/>
  <c r="I1133" i="6"/>
  <c r="I1134" i="6"/>
  <c r="I1135" i="6"/>
  <c r="I1136" i="6"/>
  <c r="I1137" i="6"/>
  <c r="I1138" i="6"/>
  <c r="I1139" i="6"/>
  <c r="I1140" i="6"/>
  <c r="I1141" i="6"/>
  <c r="I1142" i="6"/>
  <c r="I1143" i="6"/>
  <c r="I1144" i="6"/>
  <c r="I1145" i="6"/>
  <c r="I1146" i="6"/>
  <c r="I1147" i="6"/>
  <c r="I1148" i="6"/>
  <c r="I1149" i="6"/>
  <c r="I1150" i="6"/>
  <c r="I1151" i="6"/>
  <c r="I1152" i="6"/>
  <c r="I1153" i="6"/>
  <c r="I1154" i="6"/>
  <c r="I1155" i="6"/>
  <c r="I1156" i="6"/>
  <c r="I1157" i="6"/>
  <c r="I1158" i="6"/>
  <c r="I1159" i="6"/>
  <c r="I1160" i="6"/>
  <c r="I1161" i="6"/>
  <c r="I1162" i="6"/>
  <c r="I1163" i="6"/>
  <c r="I1164" i="6"/>
  <c r="I1165" i="6"/>
  <c r="I1166" i="6"/>
  <c r="I1167" i="6"/>
  <c r="I1168" i="6"/>
  <c r="I1169" i="6"/>
  <c r="I1170" i="6"/>
  <c r="I1171" i="6"/>
  <c r="I1172" i="6"/>
  <c r="I1173" i="6"/>
  <c r="I1174" i="6"/>
  <c r="I1175" i="6"/>
  <c r="I1176" i="6"/>
  <c r="I1177" i="6"/>
  <c r="I1178" i="6"/>
  <c r="I1179" i="6"/>
  <c r="I1180" i="6"/>
  <c r="I1181" i="6"/>
  <c r="I1182" i="6"/>
  <c r="I1183" i="6"/>
  <c r="I1184" i="6"/>
  <c r="I1185" i="6"/>
  <c r="I1186" i="6"/>
  <c r="I1187" i="6"/>
  <c r="I1188" i="6"/>
  <c r="I1189" i="6"/>
  <c r="I1190" i="6"/>
  <c r="I1191" i="6"/>
  <c r="I1192" i="6"/>
  <c r="I1193" i="6"/>
  <c r="I1194" i="6"/>
  <c r="I1195" i="6"/>
  <c r="I1196" i="6"/>
  <c r="I1197" i="6"/>
  <c r="I1198" i="6"/>
  <c r="I1199" i="6"/>
  <c r="I1200" i="6"/>
  <c r="I1201" i="6"/>
  <c r="I1202" i="6"/>
  <c r="I1203" i="6"/>
  <c r="I1204" i="6"/>
  <c r="I1205" i="6"/>
  <c r="I1206" i="6"/>
  <c r="I1207" i="6"/>
  <c r="I1208" i="6"/>
  <c r="I1209" i="6"/>
  <c r="I1210" i="6"/>
  <c r="I1211" i="6"/>
  <c r="I1212" i="6"/>
  <c r="I1213" i="6"/>
  <c r="I1214" i="6"/>
  <c r="I1215" i="6"/>
  <c r="I1216" i="6"/>
  <c r="I1217" i="6"/>
  <c r="I1218" i="6"/>
  <c r="I1219" i="6"/>
  <c r="I1220" i="6"/>
  <c r="I1221" i="6"/>
  <c r="I1222" i="6"/>
  <c r="I1223" i="6"/>
  <c r="I1224" i="6"/>
  <c r="I1225" i="6"/>
  <c r="I1226" i="6"/>
  <c r="I1227" i="6"/>
  <c r="I1228" i="6"/>
  <c r="I1229" i="6"/>
  <c r="I1230" i="6"/>
  <c r="I1231" i="6"/>
  <c r="I1232" i="6"/>
  <c r="I1233" i="6"/>
  <c r="I1234" i="6"/>
  <c r="I1235" i="6"/>
  <c r="I1236" i="6"/>
  <c r="I1237" i="6"/>
  <c r="I1238" i="6"/>
  <c r="I1239" i="6"/>
  <c r="I1240" i="6"/>
  <c r="I1241" i="6"/>
  <c r="I1242" i="6"/>
  <c r="I1243" i="6"/>
  <c r="I1244" i="6"/>
  <c r="I1245" i="6"/>
  <c r="I1246" i="6"/>
  <c r="I1247" i="6"/>
  <c r="I1248" i="6"/>
  <c r="I1249" i="6"/>
  <c r="I1250" i="6"/>
  <c r="I1251" i="6"/>
  <c r="I1252" i="6"/>
  <c r="I1253" i="6"/>
  <c r="I1254" i="6"/>
  <c r="I1255" i="6"/>
  <c r="I1256" i="6"/>
  <c r="I1257" i="6"/>
  <c r="I1258" i="6"/>
  <c r="I1259" i="6"/>
  <c r="I1260" i="6"/>
  <c r="I1261" i="6"/>
  <c r="I1262" i="6"/>
  <c r="I1263" i="6"/>
  <c r="I1264" i="6"/>
  <c r="I1265" i="6"/>
  <c r="I1266" i="6"/>
  <c r="I1267" i="6"/>
  <c r="I1268" i="6"/>
  <c r="I1269" i="6"/>
  <c r="I1270" i="6"/>
  <c r="I1271" i="6"/>
  <c r="I1272" i="6"/>
  <c r="I1273" i="6"/>
  <c r="I1274" i="6"/>
  <c r="I1275" i="6"/>
  <c r="I1276" i="6"/>
  <c r="I1277" i="6"/>
  <c r="I1278" i="6"/>
  <c r="I1279" i="6"/>
  <c r="I1280" i="6"/>
  <c r="I1281" i="6"/>
  <c r="I1282" i="6"/>
  <c r="I1283" i="6"/>
  <c r="I1284" i="6"/>
  <c r="I1285" i="6"/>
  <c r="I1286" i="6"/>
  <c r="I1287" i="6"/>
  <c r="I1288" i="6"/>
  <c r="I1289" i="6"/>
  <c r="I1290" i="6"/>
  <c r="I1291" i="6"/>
  <c r="I1292" i="6"/>
  <c r="I1293" i="6"/>
  <c r="I1294" i="6"/>
  <c r="I1295" i="6"/>
  <c r="I1296" i="6"/>
  <c r="I1297" i="6"/>
  <c r="I1298" i="6"/>
  <c r="I1299" i="6"/>
  <c r="I1300" i="6"/>
  <c r="I1301" i="6"/>
  <c r="I1302" i="6"/>
  <c r="I1303" i="6"/>
  <c r="I1304" i="6"/>
  <c r="I1305" i="6"/>
  <c r="I1306" i="6"/>
  <c r="I1307" i="6"/>
  <c r="I1308" i="6"/>
  <c r="I1309" i="6"/>
  <c r="I1310" i="6"/>
  <c r="I1311" i="6"/>
  <c r="I1312" i="6"/>
  <c r="I1313" i="6"/>
  <c r="I1314" i="6"/>
  <c r="I1315" i="6"/>
  <c r="I1316" i="6"/>
  <c r="I1317" i="6"/>
  <c r="I1318" i="6"/>
  <c r="I1319" i="6"/>
  <c r="I1320" i="6"/>
  <c r="I1321" i="6"/>
  <c r="I1322" i="6"/>
  <c r="I1323" i="6"/>
  <c r="I1324" i="6"/>
  <c r="I1325" i="6"/>
  <c r="I1326" i="6"/>
  <c r="I1327" i="6"/>
  <c r="I1328" i="6"/>
  <c r="I1329" i="6"/>
  <c r="I1330" i="6"/>
  <c r="I1331" i="6"/>
  <c r="I1332" i="6"/>
  <c r="I1333" i="6"/>
  <c r="I1334" i="6"/>
  <c r="I1335" i="6"/>
  <c r="I2" i="6"/>
</calcChain>
</file>

<file path=xl/sharedStrings.xml><?xml version="1.0" encoding="utf-8"?>
<sst xmlns="http://schemas.openxmlformats.org/spreadsheetml/2006/main" count="5468" uniqueCount="1318">
  <si>
    <t>Title</t>
  </si>
  <si>
    <t>Rank</t>
  </si>
  <si>
    <t>Website</t>
  </si>
  <si>
    <t>Genres</t>
  </si>
  <si>
    <t>Year</t>
  </si>
  <si>
    <t>Full Title</t>
  </si>
  <si>
    <t xml:space="preserve">Born in Flames </t>
  </si>
  <si>
    <t>Bfi</t>
  </si>
  <si>
    <t>['Drama', 'Science Fiction']</t>
  </si>
  <si>
    <t>Born in Flames</t>
  </si>
  <si>
    <t>Pandora's Box</t>
  </si>
  <si>
    <t>['Drama', 'Romance', 'Crime']</t>
  </si>
  <si>
    <t>Sullivan's Travels</t>
  </si>
  <si>
    <t>['Adventure', 'Comedy', 'Romance']</t>
  </si>
  <si>
    <t>Annie Hall</t>
  </si>
  <si>
    <t>['Comedy', 'Drama', 'Romance']</t>
  </si>
  <si>
    <t>Earth</t>
  </si>
  <si>
    <t>['Documentary']</t>
  </si>
  <si>
    <t>My Darling Clementine</t>
  </si>
  <si>
    <t>['Western', 'Romance', 'Drama']</t>
  </si>
  <si>
    <t>Mouchette</t>
  </si>
  <si>
    <t>['Drama']</t>
  </si>
  <si>
    <t>A Clockwork Orange</t>
  </si>
  <si>
    <t>['Science Fiction', 'Crime']</t>
  </si>
  <si>
    <t>A Canterbury Tale</t>
  </si>
  <si>
    <t>['Comedy', 'Drama', 'Mystery', 'War']</t>
  </si>
  <si>
    <t>Videodrome</t>
  </si>
  <si>
    <t>['Horror', 'Science Fiction', 'Mystery']</t>
  </si>
  <si>
    <t>Possession</t>
  </si>
  <si>
    <t>['Horror']</t>
  </si>
  <si>
    <t>Soleil Ã”</t>
  </si>
  <si>
    <t>Distant Voices, Still Lives</t>
  </si>
  <si>
    <t>['Drama', 'Music']</t>
  </si>
  <si>
    <t>Nostalgia for the Light</t>
  </si>
  <si>
    <t>Syndromes and a Century</t>
  </si>
  <si>
    <t>['Drama', 'Romance']</t>
  </si>
  <si>
    <t>The Intruder</t>
  </si>
  <si>
    <t>['Thriller']</t>
  </si>
  <si>
    <t>Morvern Callar</t>
  </si>
  <si>
    <t>In Vanda's Room</t>
  </si>
  <si>
    <t>Werckmeister Harmonies</t>
  </si>
  <si>
    <t>Taste of Cherry</t>
  </si>
  <si>
    <t>The Quince Tree Sun</t>
  </si>
  <si>
    <t>The Last Laugh</t>
  </si>
  <si>
    <t>['Comedy']</t>
  </si>
  <si>
    <t>Harlan County, USA</t>
  </si>
  <si>
    <t>Harlan County U.S.A.</t>
  </si>
  <si>
    <t>Cries and Whispers</t>
  </si>
  <si>
    <t>Star Wars</t>
  </si>
  <si>
    <t>['Adventure', 'Action', 'Science Fiction']</t>
  </si>
  <si>
    <t xml:space="preserve"> Intolerance</t>
  </si>
  <si>
    <t>The Hour of the Furnaces</t>
  </si>
  <si>
    <t>Europa '51</t>
  </si>
  <si>
    <t>NapolÃ©on</t>
  </si>
  <si>
    <t>['History', 'Drama', 'War']</t>
  </si>
  <si>
    <t>Napoleon</t>
  </si>
  <si>
    <t>The Crowd</t>
  </si>
  <si>
    <t>A Touch of Zen</t>
  </si>
  <si>
    <t>['Action', 'Adventure', 'Fantasy']</t>
  </si>
  <si>
    <t>Je, tu, il, elle</t>
  </si>
  <si>
    <t>Petite maman</t>
  </si>
  <si>
    <t>['Drama', 'Fantasy', 'Family']</t>
  </si>
  <si>
    <t>As I Was Moving Ahead, Occasionally I Saw Brief Glimpses of Beauty</t>
  </si>
  <si>
    <t>As I Was Moving Ahead Occasionally I Saw Brief Glimpses of Beauty</t>
  </si>
  <si>
    <t>Flowers of Shanghai</t>
  </si>
  <si>
    <t>Happy Together</t>
  </si>
  <si>
    <t>Crash</t>
  </si>
  <si>
    <t>Blue</t>
  </si>
  <si>
    <t>Grave of the Fireflies</t>
  </si>
  <si>
    <t>The Green Ray</t>
  </si>
  <si>
    <t>By the Bluest of Seas</t>
  </si>
  <si>
    <t>['Romance', 'Drama', 'Comedy']</t>
  </si>
  <si>
    <t>Duck Soup</t>
  </si>
  <si>
    <t>['Comedy', 'War']</t>
  </si>
  <si>
    <t>All about Eve</t>
  </si>
  <si>
    <t>All About Eve</t>
  </si>
  <si>
    <t>Brief Encounter</t>
  </si>
  <si>
    <t>Suspiria</t>
  </si>
  <si>
    <t>In a Lonely Place</t>
  </si>
  <si>
    <t>['Drama', 'Romance', 'Mystery', 'Crime', 'Thriller']</t>
  </si>
  <si>
    <t>The Deer Hunter</t>
  </si>
  <si>
    <t>['Drama', 'War']</t>
  </si>
  <si>
    <t>Army of Shadows</t>
  </si>
  <si>
    <t>['War', 'Drama', 'Thriller']</t>
  </si>
  <si>
    <t>Melancholia</t>
  </si>
  <si>
    <t>Twenty Years Later</t>
  </si>
  <si>
    <t>Twin Peaks: Fire Walk with Me</t>
  </si>
  <si>
    <t>['Drama', 'Mystery', 'Horror']</t>
  </si>
  <si>
    <t>Pink Flamingos</t>
  </si>
  <si>
    <t>['Comedy', 'Crime', 'Horror']</t>
  </si>
  <si>
    <t>Raiders of the Lost Ark</t>
  </si>
  <si>
    <t>['Adventure', 'Action']</t>
  </si>
  <si>
    <t>Limite</t>
  </si>
  <si>
    <t>['Drama', 'Adventure']</t>
  </si>
  <si>
    <t>The Life and Death of Colonel Blimp</t>
  </si>
  <si>
    <t>['Drama', 'Romance', 'War', 'Comedy']</t>
  </si>
  <si>
    <t>Wavelength</t>
  </si>
  <si>
    <t>I Know Where Iâ€™m Going!</t>
  </si>
  <si>
    <t>I Know Where I'm Going!</t>
  </si>
  <si>
    <t>L' eclisse</t>
  </si>
  <si>
    <t>['Romance', 'Drama']</t>
  </si>
  <si>
    <t>Double Indemnity</t>
  </si>
  <si>
    <t>['Crime', 'Thriller']</t>
  </si>
  <si>
    <t>Dr. Strangelove or: How I Learned to Stop Worrying and Love the Bomb</t>
  </si>
  <si>
    <t>One Way or Another</t>
  </si>
  <si>
    <t>['Drama', 'Thriller']</t>
  </si>
  <si>
    <t>Nosferatu</t>
  </si>
  <si>
    <t>Paisan</t>
  </si>
  <si>
    <t>Zama</t>
  </si>
  <si>
    <t>['Drama', 'History']</t>
  </si>
  <si>
    <t>Mad Max: Fury Road</t>
  </si>
  <si>
    <t>['Action', 'Adventure', 'Science Fiction']</t>
  </si>
  <si>
    <t>The Tree of Life</t>
  </si>
  <si>
    <t>['Drama', 'Fantasy']</t>
  </si>
  <si>
    <t>Uncle Boonmee Who Can Recall His Past Lives</t>
  </si>
  <si>
    <t>The Headless Woman</t>
  </si>
  <si>
    <t>['Drama', 'Mystery', 'Thriller']</t>
  </si>
  <si>
    <t>Paris Is Burning</t>
  </si>
  <si>
    <t>['War', 'Drama', 'History']</t>
  </si>
  <si>
    <t>Paris, Texas</t>
  </si>
  <si>
    <t>Les Demoiselles de Rochefort</t>
  </si>
  <si>
    <t>['Romance', 'Comedy', 'Drama']</t>
  </si>
  <si>
    <t>The Birds</t>
  </si>
  <si>
    <t>The River</t>
  </si>
  <si>
    <t>An Autumn Afternoon</t>
  </si>
  <si>
    <t>Love Streams</t>
  </si>
  <si>
    <t xml:space="preserve"> Greed</t>
  </si>
  <si>
    <t>['Action', 'Adventure', 'Comedy']</t>
  </si>
  <si>
    <t>Ran</t>
  </si>
  <si>
    <t>[]</t>
  </si>
  <si>
    <t xml:space="preserve"> Pyaasa</t>
  </si>
  <si>
    <t>Wings of Desire</t>
  </si>
  <si>
    <t>['Drama', 'Fantasy', 'Romance']</t>
  </si>
  <si>
    <t>Magnolia</t>
  </si>
  <si>
    <t>The Magnificent Ambersons</t>
  </si>
  <si>
    <t>['Drama', 'Romance', 'History']</t>
  </si>
  <si>
    <t>Hiroshima mon amour</t>
  </si>
  <si>
    <t>['Drama', 'History', 'Romance']</t>
  </si>
  <si>
    <t>Letter from an Unknown Woman</t>
  </si>
  <si>
    <t>Charulata</t>
  </si>
  <si>
    <t>The Good, the Bad and the Ugly</t>
  </si>
  <si>
    <t>['Western']</t>
  </si>
  <si>
    <t>Red Desert</t>
  </si>
  <si>
    <t>Black Narcissus</t>
  </si>
  <si>
    <t>Memories of Underdevelopment</t>
  </si>
  <si>
    <t>The Exterminating Angel</t>
  </si>
  <si>
    <t>Under the Skin</t>
  </si>
  <si>
    <t>['Thriller', 'Science Fiction', 'Drama']</t>
  </si>
  <si>
    <t xml:space="preserve"> Heat</t>
  </si>
  <si>
    <t>['Action', 'Crime', 'Thriller']</t>
  </si>
  <si>
    <t>Symbiopsychotaxiplasm: Take One</t>
  </si>
  <si>
    <t>Out 1</t>
  </si>
  <si>
    <t>['Mystery', 'Drama']</t>
  </si>
  <si>
    <t>Un chien andalou</t>
  </si>
  <si>
    <t>['Fantasy', 'Horror']</t>
  </si>
  <si>
    <t>L'Argent</t>
  </si>
  <si>
    <t>['Crime', 'Drama']</t>
  </si>
  <si>
    <t xml:space="preserve"> Last Year at Marienbad</t>
  </si>
  <si>
    <t>Los olvidados</t>
  </si>
  <si>
    <t>Ikiru</t>
  </si>
  <si>
    <t>Out of the Past</t>
  </si>
  <si>
    <t>['Crime', 'Drama', 'Romance', 'Thriller']</t>
  </si>
  <si>
    <t>Vivre sa vie</t>
  </si>
  <si>
    <t>Amarcord</t>
  </si>
  <si>
    <t>['Comedy', 'Drama']</t>
  </si>
  <si>
    <t>Once upon a Time in America</t>
  </si>
  <si>
    <t>['Drama', 'Crime']</t>
  </si>
  <si>
    <t>Once Upon a Time in America</t>
  </si>
  <si>
    <t>The Gospel According to St. Matthew</t>
  </si>
  <si>
    <t>['Comedy', 'Family', 'Music']</t>
  </si>
  <si>
    <t>Where Is the Friend's House?</t>
  </si>
  <si>
    <t>['Drama', 'Family']</t>
  </si>
  <si>
    <t>All about My Mother</t>
  </si>
  <si>
    <t>A City of Sadness</t>
  </si>
  <si>
    <t>Orlando</t>
  </si>
  <si>
    <t>West of the Tracks</t>
  </si>
  <si>
    <t>Le Bonheur</t>
  </si>
  <si>
    <t xml:space="preserve"> Meghe Dhaka Tara</t>
  </si>
  <si>
    <t>Days of Heaven</t>
  </si>
  <si>
    <t>West Indies: The Fugitive Slaves of Liberty</t>
  </si>
  <si>
    <t>Error</t>
  </si>
  <si>
    <t>Twin Peaks: The Return</t>
  </si>
  <si>
    <t>Bad Binoculars</t>
  </si>
  <si>
    <t>Chinatown</t>
  </si>
  <si>
    <t>['Crime', 'Drama', 'Mystery', 'Thriller']</t>
  </si>
  <si>
    <t>La Grande Illusion</t>
  </si>
  <si>
    <t>['Drama', 'History', 'War']</t>
  </si>
  <si>
    <t>India Song</t>
  </si>
  <si>
    <t>Alien</t>
  </si>
  <si>
    <t>['Horror', 'Science Fiction']</t>
  </si>
  <si>
    <t>Vampyr</t>
  </si>
  <si>
    <t>['Horror', 'Mystery', 'TV Movie']</t>
  </si>
  <si>
    <t>VampÃ½r</t>
  </si>
  <si>
    <t>The Watermelon Woman</t>
  </si>
  <si>
    <t>['Drama', 'Comedy', 'Romance']</t>
  </si>
  <si>
    <t>Gertrud</t>
  </si>
  <si>
    <t>All That Heaven Allows</t>
  </si>
  <si>
    <t>Partie de campagne</t>
  </si>
  <si>
    <t>['Drama', 'Romance', 'Comedy']</t>
  </si>
  <si>
    <t>Pickpocket</t>
  </si>
  <si>
    <t>The Seventh Seal</t>
  </si>
  <si>
    <t>['Fantasy', 'Drama']</t>
  </si>
  <si>
    <t xml:space="preserve"> Trouble in Paradise</t>
  </si>
  <si>
    <t>['Comedy', 'Crime', 'Romance']</t>
  </si>
  <si>
    <t>Trouble in Paradise</t>
  </si>
  <si>
    <t>Sambizanga</t>
  </si>
  <si>
    <t>The Wild Bunch</t>
  </si>
  <si>
    <t>Les Enfants du paradis</t>
  </si>
  <si>
    <t>La ciÃ©naga</t>
  </si>
  <si>
    <t>La CiÃ©naga</t>
  </si>
  <si>
    <t>It's a Wonderful Life</t>
  </si>
  <si>
    <t>['Drama', 'Family', 'Fantasy']</t>
  </si>
  <si>
    <t>Notorious</t>
  </si>
  <si>
    <t>['Music', 'Drama', 'History']</t>
  </si>
  <si>
    <t>Lawrence of Arabia</t>
  </si>
  <si>
    <t>['Adventure', 'Drama', 'History', 'War']</t>
  </si>
  <si>
    <t>Pulp Fiction</t>
  </si>
  <si>
    <t>['Thriller', 'Crime']</t>
  </si>
  <si>
    <t>Raging Bull</t>
  </si>
  <si>
    <t>His Girl Friday</t>
  </si>
  <si>
    <t>['Comedy', 'Romance']</t>
  </si>
  <si>
    <t>Fanny and Alexander</t>
  </si>
  <si>
    <t>['Fantasy', 'Drama', 'Mystery']</t>
  </si>
  <si>
    <t>The Ascent</t>
  </si>
  <si>
    <t>['Horror', 'Action', 'Science Fiction']</t>
  </si>
  <si>
    <t>Only Angels Have Wings</t>
  </si>
  <si>
    <t>['Romance', 'Adventure', 'Drama']</t>
  </si>
  <si>
    <t>The Umbrellas of Cherbourg</t>
  </si>
  <si>
    <t>Johnny Guitar</t>
  </si>
  <si>
    <t>['Drama', 'Western', 'Romance']</t>
  </si>
  <si>
    <t>The Colour of Pomegranates</t>
  </si>
  <si>
    <t>The World Is a Window: Making The Colour of Pomegranates</t>
  </si>
  <si>
    <t>The Matrix</t>
  </si>
  <si>
    <t>['Action', 'Science Fiction']</t>
  </si>
  <si>
    <t>There Will Be Blood</t>
  </si>
  <si>
    <t>The Thing</t>
  </si>
  <si>
    <t>['Horror', 'Mystery', 'Science Fiction']</t>
  </si>
  <si>
    <t>The Texas Chain Saw Massacre</t>
  </si>
  <si>
    <t>The Conformist</t>
  </si>
  <si>
    <t>Aguirre, Wrath of God</t>
  </si>
  <si>
    <t>['Adventure', 'Drama', 'History']</t>
  </si>
  <si>
    <t>Don't Look Now</t>
  </si>
  <si>
    <t>['Thriller', 'Drama', 'Horror']</t>
  </si>
  <si>
    <t>Nashville</t>
  </si>
  <si>
    <t>['Drama', 'Music', 'Comedy']</t>
  </si>
  <si>
    <t>A Woman under the Influence</t>
  </si>
  <si>
    <t>A Woman Under the Influence</t>
  </si>
  <si>
    <t>To Be or Not to Be</t>
  </si>
  <si>
    <t>Bringing Up Baby</t>
  </si>
  <si>
    <t>The Man Who Shot Liberty Valance</t>
  </si>
  <si>
    <t>Touch of Evil</t>
  </si>
  <si>
    <t>['Crime', 'Thriller', 'Mystery']</t>
  </si>
  <si>
    <t>Wild Strawberries</t>
  </si>
  <si>
    <t>The Wizard of Oz</t>
  </si>
  <si>
    <t>['Adventure', 'Fantasy', 'Family']</t>
  </si>
  <si>
    <t>Goodbye, Dragon Inn</t>
  </si>
  <si>
    <t>['Drama', 'Comedy']</t>
  </si>
  <si>
    <t>The Godfather Part II</t>
  </si>
  <si>
    <t>Jaws</t>
  </si>
  <si>
    <t>['Horror', 'Thriller', 'Adventure']</t>
  </si>
  <si>
    <t>Come and See</t>
  </si>
  <si>
    <t>La Maman et la Putain</t>
  </si>
  <si>
    <t>Vagabond</t>
  </si>
  <si>
    <t>The House Is Black</t>
  </si>
  <si>
    <t>Rio Bravo</t>
  </si>
  <si>
    <t>Once upon a Time in the West</t>
  </si>
  <si>
    <t>['Drama', 'Western']</t>
  </si>
  <si>
    <t>A Man Escaped</t>
  </si>
  <si>
    <t>The General</t>
  </si>
  <si>
    <t>['Comedy', 'War', 'Adventure', 'Action', 'History']</t>
  </si>
  <si>
    <t>Black Girl</t>
  </si>
  <si>
    <t>Tropical Malady</t>
  </si>
  <si>
    <t>['Drama', 'Romance', 'Fantasy']</t>
  </si>
  <si>
    <t>Get Out</t>
  </si>
  <si>
    <t>['Mystery', 'Thriller', 'Horror']</t>
  </si>
  <si>
    <t>Parasite</t>
  </si>
  <si>
    <t>Yi Yi</t>
  </si>
  <si>
    <t>Ugetsu Monogatari</t>
  </si>
  <si>
    <t>The Leopard</t>
  </si>
  <si>
    <t>Madame de...</t>
  </si>
  <si>
    <t>The Shining</t>
  </si>
  <si>
    <t>['Horror', 'Thriller']</t>
  </si>
  <si>
    <t>CHUNGKING EXPRESS</t>
  </si>
  <si>
    <t>Blue Velvet</t>
  </si>
  <si>
    <t>['Crime', 'Mystery', 'Thriller', 'Romance']</t>
  </si>
  <si>
    <t>The Spirit of the Beehive</t>
  </si>
  <si>
    <t>Pierrot le fou</t>
  </si>
  <si>
    <t>Histoire(s) du CinÃ©ma</t>
  </si>
  <si>
    <t>A Matter of Life and Death</t>
  </si>
  <si>
    <t>['Comedy', 'Fantasy', 'Romance', 'Drama']</t>
  </si>
  <si>
    <t>Modern Times</t>
  </si>
  <si>
    <t>Sunset Blvd.</t>
  </si>
  <si>
    <t>Ed Ruscha - Motorized Photographs of Sunset Blvd. and Other L.A. Streets</t>
  </si>
  <si>
    <t>CÃ©line and Julie Go Boating</t>
  </si>
  <si>
    <t>['Comedy', 'Drama', 'Fantasy']</t>
  </si>
  <si>
    <t>A Brighter Summer Day</t>
  </si>
  <si>
    <t>['Crime', 'Drama', 'Romance']</t>
  </si>
  <si>
    <t>SÃ¡tÃ¡ntangÃ³</t>
  </si>
  <si>
    <t>Spirited Away</t>
  </si>
  <si>
    <t>['Animation', 'Family', 'Fantasy']</t>
  </si>
  <si>
    <t>Sansho the Bailiff</t>
  </si>
  <si>
    <t>Imitation of Life</t>
  </si>
  <si>
    <t>L'avventura</t>
  </si>
  <si>
    <t>['Drama', 'Mystery']</t>
  </si>
  <si>
    <t>Journey to Italy</t>
  </si>
  <si>
    <t>My Neighbour Totoro</t>
  </si>
  <si>
    <t>['Fantasy', 'Animation', 'Family']</t>
  </si>
  <si>
    <t>The Red Shoes</t>
  </si>
  <si>
    <t>Metropolis</t>
  </si>
  <si>
    <t>Andrei Rublev</t>
  </si>
  <si>
    <t>La JetÃ©e</t>
  </si>
  <si>
    <t>['Romance', 'Science Fiction']</t>
  </si>
  <si>
    <t>The Gleaners and I</t>
  </si>
  <si>
    <t>Touki Bouki</t>
  </si>
  <si>
    <t>The Third Man</t>
  </si>
  <si>
    <t>['Thriller', 'Mystery']</t>
  </si>
  <si>
    <t>GoodFellas</t>
  </si>
  <si>
    <t>Casablanca</t>
  </si>
  <si>
    <t>Daughters of the Dust</t>
  </si>
  <si>
    <t>La dolce vita</t>
  </si>
  <si>
    <t>Moonlight</t>
  </si>
  <si>
    <t>Sans Soleil</t>
  </si>
  <si>
    <t>The Apartment</t>
  </si>
  <si>
    <t>Sherlock Jr.</t>
  </si>
  <si>
    <t>['Action', 'Comedy', 'Mystery']</t>
  </si>
  <si>
    <t>Le MÃ©pris</t>
  </si>
  <si>
    <t>Battleship Potemkin</t>
  </si>
  <si>
    <t>Blade Runner</t>
  </si>
  <si>
    <t>['Science Fiction', 'Drama', 'Thriller']</t>
  </si>
  <si>
    <t>News from Home</t>
  </si>
  <si>
    <t>Fear Eats the Soul</t>
  </si>
  <si>
    <t>The Piano</t>
  </si>
  <si>
    <t>The 400 Blows</t>
  </si>
  <si>
    <t>Ordet</t>
  </si>
  <si>
    <t>Wanda</t>
  </si>
  <si>
    <t>Barry Lyndon</t>
  </si>
  <si>
    <t>['Drama', 'Romance', 'War']</t>
  </si>
  <si>
    <t>North by Northwest</t>
  </si>
  <si>
    <t>['Mystery', 'Thriller', 'Adventure']</t>
  </si>
  <si>
    <t>The Battle of Algiers</t>
  </si>
  <si>
    <t>['Drama', 'War', 'History']</t>
  </si>
  <si>
    <t>Stalker</t>
  </si>
  <si>
    <t>['Thriller', 'Horror']</t>
  </si>
  <si>
    <t>Killer of Sheep</t>
  </si>
  <si>
    <t>Rashomon</t>
  </si>
  <si>
    <t>['Crime', 'Drama', 'Mystery']</t>
  </si>
  <si>
    <t>Bicycle Thieves</t>
  </si>
  <si>
    <t>Rear Window</t>
  </si>
  <si>
    <t>Ã€ bout de souffle</t>
  </si>
  <si>
    <t>Some Like It Hot</t>
  </si>
  <si>
    <t>['Comedy', 'Romance', 'Crime']</t>
  </si>
  <si>
    <t>M</t>
  </si>
  <si>
    <t>City Lights</t>
  </si>
  <si>
    <t>['Comedy', 'Romance', 'Drama']</t>
  </si>
  <si>
    <t>Pather Panchali</t>
  </si>
  <si>
    <t>L'Atalante</t>
  </si>
  <si>
    <t>8Â½</t>
  </si>
  <si>
    <t>Psycho</t>
  </si>
  <si>
    <t>['Horror', 'Drama', 'Thriller']</t>
  </si>
  <si>
    <t>Mirror</t>
  </si>
  <si>
    <t>['Science Fiction', 'Drama', 'Romance']</t>
  </si>
  <si>
    <t>Portrait of a Lady on Fire</t>
  </si>
  <si>
    <t>Taxi Driver</t>
  </si>
  <si>
    <t>Daisies</t>
  </si>
  <si>
    <t>Shoah</t>
  </si>
  <si>
    <t>['Documentary', 'History']</t>
  </si>
  <si>
    <t>The Night of the Hunter</t>
  </si>
  <si>
    <t>['Crime', 'Drama', 'Thriller']</t>
  </si>
  <si>
    <t>Au hasard Balthazar</t>
  </si>
  <si>
    <t>Do the Right Thing</t>
  </si>
  <si>
    <t>Playtime</t>
  </si>
  <si>
    <t>PlayTime</t>
  </si>
  <si>
    <t>Late Spring</t>
  </si>
  <si>
    <t>The Passion of Joan of Arc</t>
  </si>
  <si>
    <t>Seven Samurai</t>
  </si>
  <si>
    <t>['Action', 'Drama']</t>
  </si>
  <si>
    <t>Apocalypse Now</t>
  </si>
  <si>
    <t>Persona</t>
  </si>
  <si>
    <t>Close-up</t>
  </si>
  <si>
    <t>Meshes of the Afternoon</t>
  </si>
  <si>
    <t>['Mystery', 'Fantasy']</t>
  </si>
  <si>
    <t>The Searchers</t>
  </si>
  <si>
    <t>ClÃ©o from 5 to 7</t>
  </si>
  <si>
    <t>La RÃ¨gle du jeu</t>
  </si>
  <si>
    <t>The Godfather</t>
  </si>
  <si>
    <t>Sunrise: A Song of Two Humans</t>
  </si>
  <si>
    <t>Singin' in the Rain</t>
  </si>
  <si>
    <t>Man with a Movie Camera</t>
  </si>
  <si>
    <t>Mulholland Dr.</t>
  </si>
  <si>
    <t>['Thriller', 'TV Movie', 'Drama', 'Mystery']</t>
  </si>
  <si>
    <t>Beau travail</t>
  </si>
  <si>
    <t>2001: A Space Odyssey</t>
  </si>
  <si>
    <t>['Science Fiction', 'Mystery', 'Adventure']</t>
  </si>
  <si>
    <t>In the Mood for Love</t>
  </si>
  <si>
    <t>Tokyo Story</t>
  </si>
  <si>
    <t>Citizen Kane</t>
  </si>
  <si>
    <t>Vertigo</t>
  </si>
  <si>
    <t>['Mystery', 'Romance', 'Thriller']</t>
  </si>
  <si>
    <t>Jeanne Dielman, 23 Quai du Commerce, 1080 Bruxelles</t>
  </si>
  <si>
    <t>Jeanne Dielman, 23, quai du Commerce, 1080 Bruxelles</t>
  </si>
  <si>
    <t>Collider</t>
  </si>
  <si>
    <t>Dunkirk</t>
  </si>
  <si>
    <t>['War', 'Action', 'Drama']</t>
  </si>
  <si>
    <t>E.T. the Extra-Terrestrial</t>
  </si>
  <si>
    <t>['Science Fiction', 'Adventure', 'Family', 'Fantasy']</t>
  </si>
  <si>
    <t>Coco</t>
  </si>
  <si>
    <t>['Family', 'Animation', 'Fantasy', 'Music', 'Comedy', 'Adventure']</t>
  </si>
  <si>
    <t>The Cabinet of Dr. Caligari</t>
  </si>
  <si>
    <t>['Drama', 'Horror', 'Thriller', 'Crime']</t>
  </si>
  <si>
    <t>It Happened One Night</t>
  </si>
  <si>
    <t>Eighth Grade</t>
  </si>
  <si>
    <t>Inside Out</t>
  </si>
  <si>
    <t>['Animation', 'Family', 'Adventure', 'Drama', 'Comedy']</t>
  </si>
  <si>
    <t>Wonder Woman</t>
  </si>
  <si>
    <t>BlacKkKlansman</t>
  </si>
  <si>
    <t>['Comedy', 'Crime', 'Drama']</t>
  </si>
  <si>
    <t>Lady Bird</t>
  </si>
  <si>
    <t>Black Panther</t>
  </si>
  <si>
    <t>The Graduate</t>
  </si>
  <si>
    <t>Variety</t>
  </si>
  <si>
    <t>12 Angry Men</t>
  </si>
  <si>
    <t>Women on the Verge of a Nervous Breakdown</t>
  </si>
  <si>
    <t>A Hard Dayâ€™s Night</t>
  </si>
  <si>
    <t>['Music', 'Comedy']</t>
  </si>
  <si>
    <t>A Hard Day's Night</t>
  </si>
  <si>
    <t>Toy Story</t>
  </si>
  <si>
    <t>['Animation', 'Adventure', 'Family', 'Comedy']</t>
  </si>
  <si>
    <t>Bridesmaids</t>
  </si>
  <si>
    <t>Le SamouraÃ¯</t>
  </si>
  <si>
    <t>Scenes From a Marriage</t>
  </si>
  <si>
    <t>Belle de Jour</t>
  </si>
  <si>
    <t>Malcolm X</t>
  </si>
  <si>
    <t>The Sound of Music</t>
  </si>
  <si>
    <t>['Drama', 'Family', 'Music', 'Romance']</t>
  </si>
  <si>
    <t>Close-Up</t>
  </si>
  <si>
    <t>Natural Born Killers</t>
  </si>
  <si>
    <t>['Crime', 'Thriller', 'Drama']</t>
  </si>
  <si>
    <t>Panâ€™s Labyrinth</t>
  </si>
  <si>
    <t>['Fantasy', 'Drama', 'War']</t>
  </si>
  <si>
    <t>Kramer vs. Kramer</t>
  </si>
  <si>
    <t>The Dark Knight</t>
  </si>
  <si>
    <t>['Drama', 'Action', 'Crime', 'Thriller']</t>
  </si>
  <si>
    <t>Pixote</t>
  </si>
  <si>
    <t>Waiting for Guffman</t>
  </si>
  <si>
    <t>['Comedy', 'Music']</t>
  </si>
  <si>
    <t>Goldfinger</t>
  </si>
  <si>
    <t>['Adventure', 'Action', 'Thriller']</t>
  </si>
  <si>
    <t>Boogie Nights</t>
  </si>
  <si>
    <t>My Neighbor Totoro</t>
  </si>
  <si>
    <t>Intolerance</t>
  </si>
  <si>
    <t>Breaking the Waves</t>
  </si>
  <si>
    <t>My Best Friendâ€™s Wedding</t>
  </si>
  <si>
    <t>12 Years a Slave</t>
  </si>
  <si>
    <t>Beau Travail</t>
  </si>
  <si>
    <t>King Kong</t>
  </si>
  <si>
    <t>['Adventure', 'Drama', 'Action']</t>
  </si>
  <si>
    <t>Carrie</t>
  </si>
  <si>
    <t>Bambi</t>
  </si>
  <si>
    <t>['Animation', 'Drama', 'Family']</t>
  </si>
  <si>
    <t>Dazed and Confused</t>
  </si>
  <si>
    <t>Moulin Rouge!</t>
  </si>
  <si>
    <t>['Drama', 'Romance', 'Music']</t>
  </si>
  <si>
    <t>E.T.â€¯the Extra-Terrestrial</t>
  </si>
  <si>
    <t>Brokeback Mountain</t>
  </si>
  <si>
    <t>Rosemary's Baby</t>
  </si>
  <si>
    <t>['Drama', 'Horror', 'Thriller']</t>
  </si>
  <si>
    <t>The Road Warrior</t>
  </si>
  <si>
    <t>Breathless</t>
  </si>
  <si>
    <t>['Romance', 'Drama', 'Action']</t>
  </si>
  <si>
    <t>Mean Streets</t>
  </si>
  <si>
    <t>Titanic</t>
  </si>
  <si>
    <t>L'Avventura</t>
  </si>
  <si>
    <t>Fargo</t>
  </si>
  <si>
    <t>On the Waterfront</t>
  </si>
  <si>
    <t>The Silence of the Lambs</t>
  </si>
  <si>
    <t>Stagecoach</t>
  </si>
  <si>
    <t>['Western', 'Adventure']</t>
  </si>
  <si>
    <t>Network</t>
  </si>
  <si>
    <t>The Empire Strikes Back</t>
  </si>
  <si>
    <t>Bonnie and Clyde</t>
  </si>
  <si>
    <t>Gone With the Wind</t>
  </si>
  <si>
    <t>['Drama', 'War', 'Romance']</t>
  </si>
  <si>
    <t>Gone with the Wind</t>
  </si>
  <si>
    <t>The Rules of the Game</t>
  </si>
  <si>
    <t>Goodfellas</t>
  </si>
  <si>
    <t>Singinâ€™ in the Rain</t>
  </si>
  <si>
    <t>Saving Private Ryan</t>
  </si>
  <si>
    <t>Itâ€™s a Wonderful Life</t>
  </si>
  <si>
    <t xml:space="preserve"> Reservoir Dogs</t>
  </si>
  <si>
    <t>Empire</t>
  </si>
  <si>
    <t>Reservoir Dogs</t>
  </si>
  <si>
    <t xml:space="preserve"> Groundhog Day</t>
  </si>
  <si>
    <t>['Romance', 'Fantasy', 'Drama', 'Comedy']</t>
  </si>
  <si>
    <t>Groundhog Day</t>
  </si>
  <si>
    <t xml:space="preserve"> Paddington 2</t>
  </si>
  <si>
    <t>['Adventure', 'Comedy', 'Family']</t>
  </si>
  <si>
    <t>Paddington 2</t>
  </si>
  <si>
    <t xml:space="preserve"> Amelie</t>
  </si>
  <si>
    <t xml:space="preserve"> Brokeback Mountain</t>
  </si>
  <si>
    <t xml:space="preserve"> Donnie Darko</t>
  </si>
  <si>
    <t>Donnie Darko</t>
  </si>
  <si>
    <t xml:space="preserve"> Scott Pilgrim Vs. The World</t>
  </si>
  <si>
    <t>['Action', 'Comedy', 'Romance']</t>
  </si>
  <si>
    <t>Scott Pilgrim vs. the World</t>
  </si>
  <si>
    <t xml:space="preserve"> Portrait Of A Lady On Fire</t>
  </si>
  <si>
    <t xml:space="preserve"> LÃ©on</t>
  </si>
  <si>
    <t>['Crime', 'Drama', 'Action']</t>
  </si>
  <si>
    <t>LÃ©on: The Professional</t>
  </si>
  <si>
    <t xml:space="preserve"> Logan</t>
  </si>
  <si>
    <t>['Action', 'Drama', 'Science Fiction']</t>
  </si>
  <si>
    <t>Logan</t>
  </si>
  <si>
    <t xml:space="preserve"> The Terminator</t>
  </si>
  <si>
    <t>['Action', 'Thriller', 'Science Fiction']</t>
  </si>
  <si>
    <t>The Terminator</t>
  </si>
  <si>
    <t xml:space="preserve"> No Country For Old Men</t>
  </si>
  <si>
    <t>No Country for Old Men</t>
  </si>
  <si>
    <t xml:space="preserve"> Titanic</t>
  </si>
  <si>
    <t xml:space="preserve"> The Exorcist</t>
  </si>
  <si>
    <t>The Exorcist: Believer</t>
  </si>
  <si>
    <t xml:space="preserve"> Black Panther</t>
  </si>
  <si>
    <t>Black Panther: Wakanda Forever</t>
  </si>
  <si>
    <t xml:space="preserve"> Shaun Of The Dead</t>
  </si>
  <si>
    <t>['Horror', 'Comedy']</t>
  </si>
  <si>
    <t>Shaun of the Dead</t>
  </si>
  <si>
    <t xml:space="preserve"> Lost In Translation</t>
  </si>
  <si>
    <t>Lost in Translation</t>
  </si>
  <si>
    <t xml:space="preserve"> Thor: Ragnarok</t>
  </si>
  <si>
    <t>Thor: Ragnarok</t>
  </si>
  <si>
    <t xml:space="preserve"> The Usual Suspects</t>
  </si>
  <si>
    <t>['Drama', 'Crime', 'Thriller']</t>
  </si>
  <si>
    <t>The Usual Suspects</t>
  </si>
  <si>
    <t xml:space="preserve"> Psycho</t>
  </si>
  <si>
    <t xml:space="preserve"> L.A. Confidential</t>
  </si>
  <si>
    <t>['Crime', 'Mystery', 'Thriller']</t>
  </si>
  <si>
    <t>L.A. Confidential</t>
  </si>
  <si>
    <t xml:space="preserve"> E.T. â€“ The Extra Terrestrial</t>
  </si>
  <si>
    <t xml:space="preserve"> In The Mood For Love</t>
  </si>
  <si>
    <t xml:space="preserve"> Star Wars: Return Of The Jedi</t>
  </si>
  <si>
    <t>Return of the Jedi</t>
  </si>
  <si>
    <t xml:space="preserve"> Arrival</t>
  </si>
  <si>
    <t>['Drama', 'Science Fiction', 'Mystery']</t>
  </si>
  <si>
    <t>Arrival</t>
  </si>
  <si>
    <t xml:space="preserve"> A Quiet Place</t>
  </si>
  <si>
    <t>['Horror', 'Drama', 'Science Fiction']</t>
  </si>
  <si>
    <t>A Quiet Place</t>
  </si>
  <si>
    <t xml:space="preserve"> Trainspotting</t>
  </si>
  <si>
    <t>Trainspotting</t>
  </si>
  <si>
    <t xml:space="preserve"> Mulholland Drive</t>
  </si>
  <si>
    <t>['Thriller', 'Drama', 'Mystery']</t>
  </si>
  <si>
    <t>Mulholland Drive</t>
  </si>
  <si>
    <t xml:space="preserve"> Rear Window</t>
  </si>
  <si>
    <t xml:space="preserve"> Up</t>
  </si>
  <si>
    <t>['Family', 'Animation', 'Fantasy', 'Comedy']</t>
  </si>
  <si>
    <t>Once Upon a Studio</t>
  </si>
  <si>
    <t xml:space="preserve"> Spider-Man: Into The Spider-Verse</t>
  </si>
  <si>
    <t>['Action', 'Adventure', 'Animation', 'Science Fiction']</t>
  </si>
  <si>
    <t>Spider-Man: Into the Spider-Verse</t>
  </si>
  <si>
    <t xml:space="preserve"> Inglourious Basterds</t>
  </si>
  <si>
    <t>['Drama', 'Thriller', 'War']</t>
  </si>
  <si>
    <t>Inglourious Basterds</t>
  </si>
  <si>
    <t xml:space="preserve"> Lady Bird</t>
  </si>
  <si>
    <t xml:space="preserve"> Singin' In The Rain</t>
  </si>
  <si>
    <t xml:space="preserve"> One Flew Over The Cuckoo's Nest</t>
  </si>
  <si>
    <t>One Flew Over the Cuckoo's Nest</t>
  </si>
  <si>
    <t xml:space="preserve"> Seven Samurai</t>
  </si>
  <si>
    <t xml:space="preserve"> La La Land</t>
  </si>
  <si>
    <t xml:space="preserve"> Get Out</t>
  </si>
  <si>
    <t xml:space="preserve"> Lawrence Of Arabia</t>
  </si>
  <si>
    <t xml:space="preserve"> Pan's Labyrinth</t>
  </si>
  <si>
    <t xml:space="preserve"> Hot Fuzz</t>
  </si>
  <si>
    <t>['Crime', 'Action', 'Comedy']</t>
  </si>
  <si>
    <t>Hot Fuzz</t>
  </si>
  <si>
    <t xml:space="preserve"> Moonlight</t>
  </si>
  <si>
    <t>['Action', 'Adventure', 'Drama', 'War']</t>
  </si>
  <si>
    <t>Ill Met by Moonlight</t>
  </si>
  <si>
    <t xml:space="preserve"> Guardians Of The Galaxy</t>
  </si>
  <si>
    <t>['Science Fiction', 'Adventure', 'Action']</t>
  </si>
  <si>
    <t>Guardians of the Galaxy Vol. 3</t>
  </si>
  <si>
    <t xml:space="preserve"> Blade Runner 2049</t>
  </si>
  <si>
    <t>['Science Fiction', 'Drama']</t>
  </si>
  <si>
    <t>Blade Runner 2049</t>
  </si>
  <si>
    <t xml:space="preserve"> The Social Network</t>
  </si>
  <si>
    <t>The Social Network</t>
  </si>
  <si>
    <t xml:space="preserve"> Taxi Driver</t>
  </si>
  <si>
    <t>['Action', 'Drama', 'History']</t>
  </si>
  <si>
    <t xml:space="preserve"> Saving Private Ryan</t>
  </si>
  <si>
    <t xml:space="preserve"> Forrest Gump</t>
  </si>
  <si>
    <t>Forrest Gump</t>
  </si>
  <si>
    <t xml:space="preserve">  Point Break</t>
  </si>
  <si>
    <t>['Action', 'Thriller', 'Crime']</t>
  </si>
  <si>
    <t>Point Break</t>
  </si>
  <si>
    <t xml:space="preserve"> Whiplash</t>
  </si>
  <si>
    <t>Whiplash</t>
  </si>
  <si>
    <t xml:space="preserve"> Vertigo</t>
  </si>
  <si>
    <t xml:space="preserve"> Spirited Away</t>
  </si>
  <si>
    <t xml:space="preserve"> Ghostbusters</t>
  </si>
  <si>
    <t>['Fantasy', 'Comedy', 'Adventure']</t>
  </si>
  <si>
    <t>Ghostbusters: Afterlife</t>
  </si>
  <si>
    <t xml:space="preserve"> Do The Right Thing</t>
  </si>
  <si>
    <t xml:space="preserve"> Schindler's List</t>
  </si>
  <si>
    <t>Schindler's List</t>
  </si>
  <si>
    <t xml:space="preserve"> The Big Lebowski</t>
  </si>
  <si>
    <t>['Comedy', 'Crime']</t>
  </si>
  <si>
    <t>The Big Lebowski</t>
  </si>
  <si>
    <t xml:space="preserve"> It's A Wonderful Life</t>
  </si>
  <si>
    <t xml:space="preserve"> There Will Be Blood</t>
  </si>
  <si>
    <t xml:space="preserve"> 12 Angry Men</t>
  </si>
  <si>
    <t xml:space="preserve"> The Silence Of The Lambs</t>
  </si>
  <si>
    <t xml:space="preserve">  Citizen Kane</t>
  </si>
  <si>
    <t xml:space="preserve"> Gladiator</t>
  </si>
  <si>
    <t>['Animation', 'Family']</t>
  </si>
  <si>
    <t xml:space="preserve"> The Good, The Bad And The Ugly</t>
  </si>
  <si>
    <t xml:space="preserve"> Se7en</t>
  </si>
  <si>
    <t>Se7en</t>
  </si>
  <si>
    <t xml:space="preserve"> Eternal Sunshine Of The Spotless Mind</t>
  </si>
  <si>
    <t>Eternal Sunshine of the Spotless Mind</t>
  </si>
  <si>
    <t xml:space="preserve"> The Shining</t>
  </si>
  <si>
    <t xml:space="preserve"> The Lord Of The Rings: The Two Towers</t>
  </si>
  <si>
    <t>['Adventure', 'Fantasy', 'Action']</t>
  </si>
  <si>
    <t>The Lord of the Rings: The Two Towers</t>
  </si>
  <si>
    <t xml:space="preserve"> Casablanca</t>
  </si>
  <si>
    <t xml:space="preserve"> The Thing</t>
  </si>
  <si>
    <t xml:space="preserve"> Interstellar</t>
  </si>
  <si>
    <t>['Adventure', 'Drama', 'Science Fiction']</t>
  </si>
  <si>
    <t>Interstellar</t>
  </si>
  <si>
    <t xml:space="preserve"> Apocalypse Now</t>
  </si>
  <si>
    <t xml:space="preserve"> Indiana Jones And The Last Crusade</t>
  </si>
  <si>
    <t>Indiana Jones and the Last Crusade</t>
  </si>
  <si>
    <t xml:space="preserve"> The Lord Of The Rings The Return Of The King</t>
  </si>
  <si>
    <t>The Lord of the Rings: The Return of the King</t>
  </si>
  <si>
    <t xml:space="preserve"> Die Hard</t>
  </si>
  <si>
    <t>['Action', 'Thriller']</t>
  </si>
  <si>
    <t>A Good Day to Die Hard</t>
  </si>
  <si>
    <t xml:space="preserve"> Fight Club</t>
  </si>
  <si>
    <t>Fight Club</t>
  </si>
  <si>
    <t xml:space="preserve"> Terminator 2 Judgment Day</t>
  </si>
  <si>
    <t>Terminator 2: Judgment Day</t>
  </si>
  <si>
    <t xml:space="preserve"> 2001: A Space Odyssey</t>
  </si>
  <si>
    <t xml:space="preserve"> Avengers: Endgame</t>
  </si>
  <si>
    <t>['Adventure', 'Science Fiction', 'Action']</t>
  </si>
  <si>
    <t>Avengers: Endgame</t>
  </si>
  <si>
    <t xml:space="preserve"> Alien</t>
  </si>
  <si>
    <t>['Science Fiction', 'Action', 'Fantasy', 'Adventure']</t>
  </si>
  <si>
    <t xml:space="preserve"> The Matrix</t>
  </si>
  <si>
    <t xml:space="preserve"> Inception</t>
  </si>
  <si>
    <t>['Action', 'Science Fiction', 'Adventure']</t>
  </si>
  <si>
    <t>Inception</t>
  </si>
  <si>
    <t xml:space="preserve"> Parasite</t>
  </si>
  <si>
    <t>['Comedy', 'Thriller', 'Drama']</t>
  </si>
  <si>
    <t xml:space="preserve"> Aliens</t>
  </si>
  <si>
    <t xml:space="preserve"> Blade Runner</t>
  </si>
  <si>
    <t xml:space="preserve"> Jurassic Park</t>
  </si>
  <si>
    <t>['Adventure', 'Science Fiction']</t>
  </si>
  <si>
    <t>Jurassic Park</t>
  </si>
  <si>
    <t xml:space="preserve"> The Godfather Part II</t>
  </si>
  <si>
    <t xml:space="preserve"> Back To The Future</t>
  </si>
  <si>
    <t>['Adventure', 'Comedy', 'Science Fiction']</t>
  </si>
  <si>
    <t>Back to the Future</t>
  </si>
  <si>
    <t xml:space="preserve"> Mad Max: Fury Road</t>
  </si>
  <si>
    <t xml:space="preserve"> Star Wars</t>
  </si>
  <si>
    <t xml:space="preserve"> Goodfellas</t>
  </si>
  <si>
    <t xml:space="preserve"> Raiders Of The Lost Ark</t>
  </si>
  <si>
    <t xml:space="preserve"> Avengers: Infinity War</t>
  </si>
  <si>
    <t>Avengers: Infinity War</t>
  </si>
  <si>
    <t xml:space="preserve"> Pulp Fiction</t>
  </si>
  <si>
    <t xml:space="preserve"> Jaws</t>
  </si>
  <si>
    <t>['Action', 'Adventure', 'Thriller']</t>
  </si>
  <si>
    <t xml:space="preserve"> The Shawshank Redemption</t>
  </si>
  <si>
    <t>The Shawshank Redemption</t>
  </si>
  <si>
    <t xml:space="preserve"> The Dark Knight</t>
  </si>
  <si>
    <t xml:space="preserve"> The Godfather</t>
  </si>
  <si>
    <t xml:space="preserve"> Star Wars: The Empire Strikes Back</t>
  </si>
  <si>
    <t xml:space="preserve"> The Lord Of The Rings: The Fellowship Of The Ring</t>
  </si>
  <si>
    <t>The Lord of the Rings: The Fellowship of the Ring</t>
  </si>
  <si>
    <t>FilmCrave</t>
  </si>
  <si>
    <t>Lord of the Rings: The Fellowship of the Ring</t>
  </si>
  <si>
    <t>Lord of the Rings: The Return of the King</t>
  </si>
  <si>
    <t>Star Wars: Episode V - The Empire Strikes Back</t>
  </si>
  <si>
    <t>The Godfather: Part II</t>
  </si>
  <si>
    <t>Lord of the Rings: The Two Towers</t>
  </si>
  <si>
    <t>Star Wars: Episode IV - A New Hope</t>
  </si>
  <si>
    <t>Gladiator</t>
  </si>
  <si>
    <t>['Action', 'Drama', 'Adventure']</t>
  </si>
  <si>
    <t>Braveheart</t>
  </si>
  <si>
    <t>['Action', 'Drama', 'History', 'War']</t>
  </si>
  <si>
    <t>Die Hard</t>
  </si>
  <si>
    <t>The Departed</t>
  </si>
  <si>
    <t>['Drama', 'Thriller', 'Crime']</t>
  </si>
  <si>
    <t>The Lion King</t>
  </si>
  <si>
    <t>['Adventure', 'Drama', 'Family', 'Animation']</t>
  </si>
  <si>
    <t>Good, the Bad and the Ugly, The ( buono, il brutto, il cattivo, Il )</t>
  </si>
  <si>
    <t>Terminator 2: Judgement Day</t>
  </si>
  <si>
    <t>Memento</t>
  </si>
  <si>
    <t>['Mystery', 'Thriller']</t>
  </si>
  <si>
    <t>American History X</t>
  </si>
  <si>
    <t>The Green Mile</t>
  </si>
  <si>
    <t>['Fantasy', 'Drama', 'Crime']</t>
  </si>
  <si>
    <t>Batman Begins</t>
  </si>
  <si>
    <t>['Action', 'Crime', 'Drama']</t>
  </si>
  <si>
    <t>The Sixth Sense</t>
  </si>
  <si>
    <t>['Mystery', 'Thriller', 'Drama']</t>
  </si>
  <si>
    <t>American Beauty</t>
  </si>
  <si>
    <t>Star Wars: Episode VI - Return of the Jedi</t>
  </si>
  <si>
    <t>Finding Nemo</t>
  </si>
  <si>
    <t>The Avengers</t>
  </si>
  <si>
    <t>['Science Fiction', 'Action', 'Adventure']</t>
  </si>
  <si>
    <t>Up</t>
  </si>
  <si>
    <t>['Animation', 'Comedy', 'Family', 'Adventure']</t>
  </si>
  <si>
    <t>Parasite ( Gisaengchung )</t>
  </si>
  <si>
    <t>Aliens</t>
  </si>
  <si>
    <t>Spirited Away ( Sen to Chihiro no kamikakushi )</t>
  </si>
  <si>
    <t>The Princess Bride</t>
  </si>
  <si>
    <t>['Adventure', 'Family', 'Fantasy', 'Comedy', 'Romance']</t>
  </si>
  <si>
    <t>Full Metal Jacket</t>
  </si>
  <si>
    <t>Wall-E</t>
  </si>
  <si>
    <t>Unforgiven</t>
  </si>
  <si>
    <t>Toy Story 3</t>
  </si>
  <si>
    <t>['Animation', 'Family', 'Comedy']</t>
  </si>
  <si>
    <t>To Kill a Mockingbird</t>
  </si>
  <si>
    <t>The Dark Knight Rises</t>
  </si>
  <si>
    <t>['Action', 'Crime', 'Drama', 'Thriller']</t>
  </si>
  <si>
    <t>Professional, The ( LÃ©on )</t>
  </si>
  <si>
    <t>Pirates of the Caribbean: The Curse of the Black Pearl</t>
  </si>
  <si>
    <t>Pan's Labyrinth ( laberinto del fauno, El )</t>
  </si>
  <si>
    <t>Seven Samurai, The ( Shichinin no samurai )</t>
  </si>
  <si>
    <t>Avatar</t>
  </si>
  <si>
    <t>['Action', 'Adventure', 'Fantasy', 'Science Fiction']</t>
  </si>
  <si>
    <t>Iron Man</t>
  </si>
  <si>
    <t>The Bourne Identity</t>
  </si>
  <si>
    <t>['Action', 'Drama', 'Mystery', 'Thriller']</t>
  </si>
  <si>
    <t>Stand by Me</t>
  </si>
  <si>
    <t>['Animation', 'Family', 'Science Fiction', 'Fantasy']</t>
  </si>
  <si>
    <t>Monty Python and the Holy Grail</t>
  </si>
  <si>
    <t>['Adventure', 'Comedy', 'Fantasy']</t>
  </si>
  <si>
    <t>The Breakfast Club</t>
  </si>
  <si>
    <t>The Bourne Ultimatum</t>
  </si>
  <si>
    <t>Rocky</t>
  </si>
  <si>
    <t>City of God ( Cidade de Deus )</t>
  </si>
  <si>
    <t>Gran Torino</t>
  </si>
  <si>
    <t>Kill Bill: Volume 1</t>
  </si>
  <si>
    <t>['Action', 'Crime']</t>
  </si>
  <si>
    <t>Kill Bill: Vol. 1</t>
  </si>
  <si>
    <t>Django Unchained</t>
  </si>
  <si>
    <t>The Pianist</t>
  </si>
  <si>
    <t>Ferris Bueller's Day Off</t>
  </si>
  <si>
    <t>The Seven Samurai</t>
  </si>
  <si>
    <t>Hollywood</t>
  </si>
  <si>
    <t>Airplane!</t>
  </si>
  <si>
    <t>Pan's Labyrinth</t>
  </si>
  <si>
    <t>Doctor Zhivago</t>
  </si>
  <si>
    <t>Close Encounters of the Third Kind</t>
  </si>
  <si>
    <t>Slumdog Millionaire</t>
  </si>
  <si>
    <t>Beauty and the Beast</t>
  </si>
  <si>
    <t>['Romance', 'Family', 'Animation', 'Fantasy']</t>
  </si>
  <si>
    <t>Seven</t>
  </si>
  <si>
    <t>['Action', 'Adventure', 'Fantasy', 'Animation']</t>
  </si>
  <si>
    <t>Amadeus</t>
  </si>
  <si>
    <t>['History', 'Music', 'Drama']</t>
  </si>
  <si>
    <t>Ghostbusters</t>
  </si>
  <si>
    <t>['Action', 'Fantasy', 'Comedy']</t>
  </si>
  <si>
    <t>The Bridge on the River Kwai</t>
  </si>
  <si>
    <t>Blazing Saddles</t>
  </si>
  <si>
    <t>['Western', 'Comedy']</t>
  </si>
  <si>
    <t>All the President's Men</t>
  </si>
  <si>
    <t>['Drama', 'History', 'Mystery', 'Thriller']</t>
  </si>
  <si>
    <t>Young Frankenstein</t>
  </si>
  <si>
    <t>Almost Famous</t>
  </si>
  <si>
    <t>Monty Python and The Holy Grail</t>
  </si>
  <si>
    <t>Mary Poppins</t>
  </si>
  <si>
    <t>['Comedy', 'Family', 'Fantasy']</t>
  </si>
  <si>
    <t>West Side Story</t>
  </si>
  <si>
    <t>Amelie</t>
  </si>
  <si>
    <t>Thelma &amp; Louise</t>
  </si>
  <si>
    <t>['Drama', 'Thriller', 'Crime', 'Adventure']</t>
  </si>
  <si>
    <t>Butch Cassidy and the Sundance Kid</t>
  </si>
  <si>
    <t>Good Will Hunting</t>
  </si>
  <si>
    <t>When Harry Met Sally</t>
  </si>
  <si>
    <t>When Harry Met Sally...</t>
  </si>
  <si>
    <t>E.T. The Extra-Terrestrial</t>
  </si>
  <si>
    <t>Harakiri</t>
  </si>
  <si>
    <t>Letterbox</t>
  </si>
  <si>
    <t>High and Low</t>
  </si>
  <si>
    <t>The Human Condition III: A Soldier's Prayer</t>
  </si>
  <si>
    <t>City of God</t>
  </si>
  <si>
    <t>La Haine</t>
  </si>
  <si>
    <t>Spider-Man: Across the Spider-Verse</t>
  </si>
  <si>
    <t>['Animation', 'Action', 'Adventure']</t>
  </si>
  <si>
    <t>The Human Condition I: No Greater Love</t>
  </si>
  <si>
    <t>Neon Genesis Evangelion: The End of Evangelion</t>
  </si>
  <si>
    <t>['Animation', 'Science Fiction', 'Action', 'Drama']</t>
  </si>
  <si>
    <t>Paths of Glory</t>
  </si>
  <si>
    <t>Sunset Boulevard</t>
  </si>
  <si>
    <t>Autumn Sonata</t>
  </si>
  <si>
    <t>Woman in the Dunes</t>
  </si>
  <si>
    <t>Cinema Paradiso</t>
  </si>
  <si>
    <t>The Handmaiden</t>
  </si>
  <si>
    <t>['Thriller', 'Drama', 'Romance']</t>
  </si>
  <si>
    <t>Le Trou</t>
  </si>
  <si>
    <t>Memories of Murder</t>
  </si>
  <si>
    <t>Mishima: A Life in Four Chapters</t>
  </si>
  <si>
    <t>Oldboy</t>
  </si>
  <si>
    <t>['Drama', 'Thriller', 'Mystery', 'Action']</t>
  </si>
  <si>
    <t>Perfect Blue</t>
  </si>
  <si>
    <t>['Animation', 'Thriller']</t>
  </si>
  <si>
    <t>Incendies</t>
  </si>
  <si>
    <t>['Drama', 'War', 'Mystery']</t>
  </si>
  <si>
    <t>The Human Condition II: Road to Eternity</t>
  </si>
  <si>
    <t>Once Upon a Time in the West</t>
  </si>
  <si>
    <t>It's Such a Beautiful Day</t>
  </si>
  <si>
    <t>['Drama', 'Animation', 'Comedy']</t>
  </si>
  <si>
    <t>The Cranes Are Flying</t>
  </si>
  <si>
    <t>Princess Mononoke</t>
  </si>
  <si>
    <t>['Adventure', 'Fantasy', 'Animation']</t>
  </si>
  <si>
    <t>A Separation</t>
  </si>
  <si>
    <t>Sherlock, Jr.</t>
  </si>
  <si>
    <t>Before Sunset</t>
  </si>
  <si>
    <t>Satantango</t>
  </si>
  <si>
    <t>Love Exposure</t>
  </si>
  <si>
    <t>['Action', 'Comedy', 'Drama', 'Romance']</t>
  </si>
  <si>
    <t>Scenes from a Marriage</t>
  </si>
  <si>
    <t>Nights of Cabiria</t>
  </si>
  <si>
    <t>Before Sunrise</t>
  </si>
  <si>
    <t>Three Colours: Red</t>
  </si>
  <si>
    <t>['Drama', 'Mystery', 'Romance']</t>
  </si>
  <si>
    <t>I Am Cuba</t>
  </si>
  <si>
    <t>Everything Everywhere All at Once</t>
  </si>
  <si>
    <t>Eternity and a Day</t>
  </si>
  <si>
    <t>Witness for the Prosecution</t>
  </si>
  <si>
    <t>['Drama', 'Mystery', 'Crime']</t>
  </si>
  <si>
    <t>Life Is Beautiful</t>
  </si>
  <si>
    <t>Mommy</t>
  </si>
  <si>
    <t>An Elephant Sitting Still</t>
  </si>
  <si>
    <t>Nobody Knows</t>
  </si>
  <si>
    <t>Apur Sansar</t>
  </si>
  <si>
    <t>Paper Moon</t>
  </si>
  <si>
    <t>Dog Day Afternoon</t>
  </si>
  <si>
    <t>Still Walking</t>
  </si>
  <si>
    <t>Howl's Moving Castle</t>
  </si>
  <si>
    <t>['Fantasy', 'Animation', 'Adventure']</t>
  </si>
  <si>
    <t>The Wages of Fear</t>
  </si>
  <si>
    <t>['Drama', 'Thriller', 'Adventure']</t>
  </si>
  <si>
    <t>Children of Men</t>
  </si>
  <si>
    <t>['Drama', 'Action', 'Thriller', 'Science Fiction']</t>
  </si>
  <si>
    <t>Yojimbo</t>
  </si>
  <si>
    <t>Landscape in the Mist</t>
  </si>
  <si>
    <t>Chungking Express</t>
  </si>
  <si>
    <t>The Great Dictator</t>
  </si>
  <si>
    <t>Red Beard</t>
  </si>
  <si>
    <t>Shoplifters</t>
  </si>
  <si>
    <t>The Hunt</t>
  </si>
  <si>
    <t>['Action', 'Thriller', 'Horror']</t>
  </si>
  <si>
    <t>All That Jazz</t>
  </si>
  <si>
    <t>Oppenheimer</t>
  </si>
  <si>
    <t>The Father</t>
  </si>
  <si>
    <t>Tampopo</t>
  </si>
  <si>
    <t>The Sacrifice</t>
  </si>
  <si>
    <t>The Young Girls of Rochefort</t>
  </si>
  <si>
    <t>Funeral Parade of Roses</t>
  </si>
  <si>
    <t>Poor Things</t>
  </si>
  <si>
    <t>['Science Fiction', 'Romance', 'Comedy']</t>
  </si>
  <si>
    <t>Prisoners</t>
  </si>
  <si>
    <t>The Fifth Seal</t>
  </si>
  <si>
    <t>Z</t>
  </si>
  <si>
    <t>['Thriller', 'Crime', 'Drama']</t>
  </si>
  <si>
    <t>La Dolce Vita</t>
  </si>
  <si>
    <t>Raise the Red Lantern</t>
  </si>
  <si>
    <t>War and Peace</t>
  </si>
  <si>
    <t>['Drama', 'War', 'Romance', 'History']</t>
  </si>
  <si>
    <t>The Treasure of the Sierra Madre</t>
  </si>
  <si>
    <t>['Adventure', 'Drama', 'Western']</t>
  </si>
  <si>
    <t>Akira</t>
  </si>
  <si>
    <t>['Animation', 'Science Fiction', 'Action']</t>
  </si>
  <si>
    <t>Das Boot</t>
  </si>
  <si>
    <t>Heat</t>
  </si>
  <si>
    <t>The Lives of Others</t>
  </si>
  <si>
    <t>Fantastic Mr. Fox</t>
  </si>
  <si>
    <t>['Adventure', 'Animation', 'Comedy', 'Family']</t>
  </si>
  <si>
    <t>The Celebration</t>
  </si>
  <si>
    <t>Throne of Blood</t>
  </si>
  <si>
    <t>Past Lives</t>
  </si>
  <si>
    <t>The Best of Youth</t>
  </si>
  <si>
    <t>Rocco and His Brothers</t>
  </si>
  <si>
    <t>The Grand Budapest Hotel</t>
  </si>
  <si>
    <t>Solaris</t>
  </si>
  <si>
    <t>Aftersun</t>
  </si>
  <si>
    <t>Farewell My Concubine</t>
  </si>
  <si>
    <t>A Special Day</t>
  </si>
  <si>
    <t>La Notte</t>
  </si>
  <si>
    <t>Evangelion: 3.0+1.0 Thrice Upon a Time</t>
  </si>
  <si>
    <t>['Animation', 'Action', 'Science Fiction', 'Drama']</t>
  </si>
  <si>
    <t>Nostalgia</t>
  </si>
  <si>
    <t>Ugetsu</t>
  </si>
  <si>
    <t>Ace in the Hole</t>
  </si>
  <si>
    <t>The King of Comedy</t>
  </si>
  <si>
    <t>The Iron Giant</t>
  </si>
  <si>
    <t>['Family', 'Animation', 'Science Fiction', 'Drama']</t>
  </si>
  <si>
    <t>Children of Paradise</t>
  </si>
  <si>
    <t>Who's Afraid of Virginia Woolf?</t>
  </si>
  <si>
    <t>Rififi</t>
  </si>
  <si>
    <t>Killers of the Flower Moon</t>
  </si>
  <si>
    <t>['Crime', 'Drama', 'History']</t>
  </si>
  <si>
    <t>Cure</t>
  </si>
  <si>
    <t>['Comedy', 'Horror']</t>
  </si>
  <si>
    <t>CURE!</t>
  </si>
  <si>
    <t>Eureka</t>
  </si>
  <si>
    <t>The Elephant Man</t>
  </si>
  <si>
    <t>Sweet Smell of Success</t>
  </si>
  <si>
    <t>Opening Night</t>
  </si>
  <si>
    <t>Marcel the Shell with Shoes On</t>
  </si>
  <si>
    <t>['Animation', 'Comedy', 'Drama', 'Family']</t>
  </si>
  <si>
    <t>Winter Light</t>
  </si>
  <si>
    <t>Dead Poets Society</t>
  </si>
  <si>
    <t>Underground</t>
  </si>
  <si>
    <t>The Tale of the Princess Kaguya</t>
  </si>
  <si>
    <t>['Animation', 'Drama', 'Fantasy']</t>
  </si>
  <si>
    <t>The Cremator</t>
  </si>
  <si>
    <t>Life, and Nothing More...</t>
  </si>
  <si>
    <t>Umberto D.</t>
  </si>
  <si>
    <t>Secrets &amp; Lies</t>
  </si>
  <si>
    <t>Sorcerer</t>
  </si>
  <si>
    <t>['Thriller', 'Adventure', 'Drama']</t>
  </si>
  <si>
    <t>The Prestige</t>
  </si>
  <si>
    <t>['Drama', 'Mystery', 'Science Fiction']</t>
  </si>
  <si>
    <t>Samurai Rebellion</t>
  </si>
  <si>
    <t>['Drama', 'History', 'Action']</t>
  </si>
  <si>
    <t>Mary and Max</t>
  </si>
  <si>
    <t>['Animation', 'Comedy', 'Drama']</t>
  </si>
  <si>
    <t>Millennium Actress</t>
  </si>
  <si>
    <t>['Animation', 'Drama', 'Romance']</t>
  </si>
  <si>
    <t>Ritual</t>
  </si>
  <si>
    <t>Make Way for Tomorrow</t>
  </si>
  <si>
    <t>The Disappearance of Haruhi Suzumiya</t>
  </si>
  <si>
    <t>['Comedy', 'Science Fiction', 'Mystery', 'Animation', 'Drama']</t>
  </si>
  <si>
    <t>4 Months, 3 Weeks and 2 Days</t>
  </si>
  <si>
    <t>Your Name.</t>
  </si>
  <si>
    <t>['Romance', 'Animation', 'Drama']</t>
  </si>
  <si>
    <t>Amour</t>
  </si>
  <si>
    <t>Judgment at Nuremberg</t>
  </si>
  <si>
    <t>Fallen Angels</t>
  </si>
  <si>
    <t>['Action', 'Romance', 'Crime']</t>
  </si>
  <si>
    <t>The Truman Show</t>
  </si>
  <si>
    <t>The Big City</t>
  </si>
  <si>
    <t>Aparajito</t>
  </si>
  <si>
    <t>Dersu Uzala</t>
  </si>
  <si>
    <t>['Action', 'Adventure', 'Drama']</t>
  </si>
  <si>
    <t>Kill Bill Volume 1</t>
  </si>
  <si>
    <t>Rollingstone_AU</t>
  </si>
  <si>
    <t>Star Wars Episode III: Revenge of the Sith</t>
  </si>
  <si>
    <t>Star Wars: Episode III - Revenge of the Sith</t>
  </si>
  <si>
    <t xml:space="preserve">Moulin Rouge! </t>
  </si>
  <si>
    <t>Spider-Man: Far From Home</t>
  </si>
  <si>
    <t>The Fifth Element</t>
  </si>
  <si>
    <t>['Adventure', 'Fantasy', 'Action', 'Thriller', 'Science Fiction']</t>
  </si>
  <si>
    <t>Monty Python's Life of Brian</t>
  </si>
  <si>
    <t>Life of Brian</t>
  </si>
  <si>
    <t>The Goonies</t>
  </si>
  <si>
    <t>La La Land</t>
  </si>
  <si>
    <t>['Comedy', 'Drama', 'Romance', 'Music']</t>
  </si>
  <si>
    <t>Donny Darko</t>
  </si>
  <si>
    <t>Joker</t>
  </si>
  <si>
    <t>3 Godfathers</t>
  </si>
  <si>
    <t>The Castle</t>
  </si>
  <si>
    <t>Rocketman</t>
  </si>
  <si>
    <t>The Greatest Showman</t>
  </si>
  <si>
    <t>The Rocky Horror Picture Show</t>
  </si>
  <si>
    <t>['Comedy', 'Science Fiction', 'Fantasy', 'Horror']</t>
  </si>
  <si>
    <t>Frozen</t>
  </si>
  <si>
    <t>['Animation', 'Family', 'Adventure', 'Fantasy']</t>
  </si>
  <si>
    <t>Mad Max</t>
  </si>
  <si>
    <t>['Adventure', 'Action', 'Thriller', 'Science Fiction']</t>
  </si>
  <si>
    <t>Indiana Jones &amp; the Last Crusade</t>
  </si>
  <si>
    <t>Ghost</t>
  </si>
  <si>
    <t>['Fantasy', 'Drama', 'Thriller', 'Mystery', 'Romance']</t>
  </si>
  <si>
    <t>The Lord of the Rings: Two Towers</t>
  </si>
  <si>
    <t>Stand By Me</t>
  </si>
  <si>
    <t>Hunt for the Wilderpeople</t>
  </si>
  <si>
    <t>['Adventure', 'Comedy', 'Drama']</t>
  </si>
  <si>
    <t>The Notebook</t>
  </si>
  <si>
    <t>Ben Hur</t>
  </si>
  <si>
    <t>['History', 'Drama', 'Adventure', 'Action']</t>
  </si>
  <si>
    <t>Ben-Hur</t>
  </si>
  <si>
    <t>The Blues Brothers</t>
  </si>
  <si>
    <t>['Music', 'Comedy', 'Action', 'Crime']</t>
  </si>
  <si>
    <t>Silence of the Lambs</t>
  </si>
  <si>
    <t>Pretty Woman</t>
  </si>
  <si>
    <t>Top Gun</t>
  </si>
  <si>
    <t>The Godfather Part 2</t>
  </si>
  <si>
    <t>Grease</t>
  </si>
  <si>
    <t>['Romance', 'Comedy']</t>
  </si>
  <si>
    <t>Dirty Dancing</t>
  </si>
  <si>
    <t>['Drama', 'Music', 'Romance']</t>
  </si>
  <si>
    <t>Love Actually</t>
  </si>
  <si>
    <t>Star Wars Episode V: The Empire Strikes Back</t>
  </si>
  <si>
    <t>Star Wars Episode IV: A New Hope</t>
  </si>
  <si>
    <t>Stacker</t>
  </si>
  <si>
    <t>Jules and Jim</t>
  </si>
  <si>
    <t>The Best Years of Our Lives</t>
  </si>
  <si>
    <t>Pinocchio</t>
  </si>
  <si>
    <t>Manchester by the Sea</t>
  </si>
  <si>
    <t>Spotlight</t>
  </si>
  <si>
    <t>Anatomy of a Murder</t>
  </si>
  <si>
    <t>The Philadelphia Story</t>
  </si>
  <si>
    <t>The Shop Around the Corner</t>
  </si>
  <si>
    <t>The Adventures of Robin Hood</t>
  </si>
  <si>
    <t>['Adventure', 'Romance', 'History']</t>
  </si>
  <si>
    <t>The Lady Vanishes</t>
  </si>
  <si>
    <t>['Mystery', 'Thriller', 'Comedy']</t>
  </si>
  <si>
    <t>My Left Foot</t>
  </si>
  <si>
    <t>My Left Foot: The Story of Christy Brown</t>
  </si>
  <si>
    <t>A Streetcar Named Desire</t>
  </si>
  <si>
    <t>Star Wars: Episode IVâ€”A New Hope</t>
  </si>
  <si>
    <t>Quo Vadis, Aida?</t>
  </si>
  <si>
    <t>The Grapes of Wrath</t>
  </si>
  <si>
    <t>The Maltese Falcon</t>
  </si>
  <si>
    <t>['Mystery', 'Crime', 'Thriller']</t>
  </si>
  <si>
    <t>Ratatouille</t>
  </si>
  <si>
    <t>['Animation', 'Comedy', 'Family', 'Fantasy']</t>
  </si>
  <si>
    <t>Boyhood</t>
  </si>
  <si>
    <t>WALLÂ·E</t>
  </si>
  <si>
    <t>['Animation', 'Family', 'Science Fiction']</t>
  </si>
  <si>
    <t>Three Colors: Red</t>
  </si>
  <si>
    <t xml:space="preserve">2001: A Space Odyssey </t>
  </si>
  <si>
    <t>Timeout</t>
  </si>
  <si>
    <t xml:space="preserve">The Godfather </t>
  </si>
  <si>
    <t xml:space="preserve">Citizen Kane </t>
  </si>
  <si>
    <t xml:space="preserve">Jeanne Dielman, 23, Quai du Commerce, 1080 Bruxelles </t>
  </si>
  <si>
    <t xml:space="preserve">Raiders of the Lost Ark </t>
  </si>
  <si>
    <t xml:space="preserve">La Dolce Vita </t>
  </si>
  <si>
    <t xml:space="preserve">Seven Samurai </t>
  </si>
  <si>
    <t xml:space="preserve">In the Mood for Love </t>
  </si>
  <si>
    <t xml:space="preserve">There Will Be Blood </t>
  </si>
  <si>
    <t xml:space="preserve">Singinâ€™ in the Rain </t>
  </si>
  <si>
    <t xml:space="preserve">Goodfellas </t>
  </si>
  <si>
    <t xml:space="preserve">North by Northwest </t>
  </si>
  <si>
    <t xml:space="preserve">Mulholland Drive </t>
  </si>
  <si>
    <t xml:space="preserve">Bicycle Thieves </t>
  </si>
  <si>
    <t xml:space="preserve">The Dark Knight </t>
  </si>
  <si>
    <t xml:space="preserve">City Lights </t>
  </si>
  <si>
    <t xml:space="preserve">Grand Illusion </t>
  </si>
  <si>
    <t xml:space="preserve">His Girl Friday </t>
  </si>
  <si>
    <t xml:space="preserve">The Red Shoes </t>
  </si>
  <si>
    <t>['Animation', 'Romance', 'Family', 'Comedy', 'Fantasy']</t>
  </si>
  <si>
    <t xml:space="preserve">Vertigo </t>
  </si>
  <si>
    <t xml:space="preserve">Beau Travail </t>
  </si>
  <si>
    <t xml:space="preserve">The Searchers </t>
  </si>
  <si>
    <t xml:space="preserve">Persona </t>
  </si>
  <si>
    <t xml:space="preserve">Do the Right Thing </t>
  </si>
  <si>
    <t xml:space="preserve">Rashomon </t>
  </si>
  <si>
    <t xml:space="preserve">The Rules of the Game </t>
  </si>
  <si>
    <t xml:space="preserve">Jaws </t>
  </si>
  <si>
    <t xml:space="preserve">Double Indemnity </t>
  </si>
  <si>
    <t xml:space="preserve">The 400 Blows </t>
  </si>
  <si>
    <t xml:space="preserve">Star Wars </t>
  </si>
  <si>
    <t xml:space="preserve">The Passion of Joan of Arc </t>
  </si>
  <si>
    <t xml:space="preserve">Once Upon a Time in the West </t>
  </si>
  <si>
    <t xml:space="preserve">Alien </t>
  </si>
  <si>
    <t xml:space="preserve">Tokyo Story </t>
  </si>
  <si>
    <t xml:space="preserve">Pulp Fiction </t>
  </si>
  <si>
    <t xml:space="preserve">The Truman Show </t>
  </si>
  <si>
    <t xml:space="preserve">Lawrence of Arabia </t>
  </si>
  <si>
    <t xml:space="preserve">Psycho </t>
  </si>
  <si>
    <t xml:space="preserve">Sansho the Bailiff </t>
  </si>
  <si>
    <t xml:space="preserve">Andrei Rublev </t>
  </si>
  <si>
    <t xml:space="preserve">The Umbrellas of Cherbourg </t>
  </si>
  <si>
    <t xml:space="preserve">Chinatown </t>
  </si>
  <si>
    <t>['Comedy', 'Mystery', 'Action']</t>
  </si>
  <si>
    <t xml:space="preserve">The Seventh Seal </t>
  </si>
  <si>
    <t xml:space="preserve">Lost in Translation </t>
  </si>
  <si>
    <t xml:space="preserve">Taxi Driver </t>
  </si>
  <si>
    <t xml:space="preserve">Spirited Away </t>
  </si>
  <si>
    <t xml:space="preserve">Night of the Living Dead </t>
  </si>
  <si>
    <t>Night of the Living Dead: Re-Animation</t>
  </si>
  <si>
    <t xml:space="preserve">Battleship Potemkin </t>
  </si>
  <si>
    <t xml:space="preserve">Modern Times </t>
  </si>
  <si>
    <t xml:space="preserve">Breathless </t>
  </si>
  <si>
    <t xml:space="preserve">Dr. Strangelove or: How I Learned to Stop Worrying and Love the Bomb </t>
  </si>
  <si>
    <t xml:space="preserve">M </t>
  </si>
  <si>
    <t xml:space="preserve">Blade Runner </t>
  </si>
  <si>
    <t xml:space="preserve">The Bitter Tears of Petra von Kant </t>
  </si>
  <si>
    <t xml:space="preserve">Rome, Open City </t>
  </si>
  <si>
    <t xml:space="preserve">Nosferatu </t>
  </si>
  <si>
    <t xml:space="preserve">Airplane! </t>
  </si>
  <si>
    <t xml:space="preserve">Under the Skin </t>
  </si>
  <si>
    <t xml:space="preserve">Mad Max: Fury Road </t>
  </si>
  <si>
    <t xml:space="preserve">Apocalypse Now </t>
  </si>
  <si>
    <t xml:space="preserve">Brokeback Mountain </t>
  </si>
  <si>
    <t xml:space="preserve">Duck Soup </t>
  </si>
  <si>
    <t xml:space="preserve">The Blair Witch Project </t>
  </si>
  <si>
    <t>['Horror', 'Mystery']</t>
  </si>
  <si>
    <t>The Blair Witch Project</t>
  </si>
  <si>
    <t xml:space="preserve">All the Presidentâ€™s Men </t>
  </si>
  <si>
    <t>The Apu trilogy (1955, 1956,</t>
  </si>
  <si>
    <t xml:space="preserve">The General </t>
  </si>
  <si>
    <t xml:space="preserve">Eternal Sunshine of the Spotless Mind </t>
  </si>
  <si>
    <t xml:space="preserve">The Texas Chain Saw Massacre </t>
  </si>
  <si>
    <t xml:space="preserve">Come and See </t>
  </si>
  <si>
    <t xml:space="preserve">Heat </t>
  </si>
  <si>
    <t xml:space="preserve">The Shining </t>
  </si>
  <si>
    <t xml:space="preserve">Toy Story </t>
  </si>
  <si>
    <t xml:space="preserve">Killer of Sheep </t>
  </si>
  <si>
    <t xml:space="preserve">A Woman Under the Influence </t>
  </si>
  <si>
    <t xml:space="preserve">Annie Hall </t>
  </si>
  <si>
    <t xml:space="preserve">Some Like It Hot </t>
  </si>
  <si>
    <t xml:space="preserve">Metropolis </t>
  </si>
  <si>
    <t>['Animation', 'Science Fiction']</t>
  </si>
  <si>
    <t xml:space="preserve">The Maltese Falcon </t>
  </si>
  <si>
    <t xml:space="preserve">This Is Spinal Tap </t>
  </si>
  <si>
    <t>This Is Spinal Tap</t>
  </si>
  <si>
    <t xml:space="preserve">It Happened One Night </t>
  </si>
  <si>
    <t xml:space="preserve">Die Hard </t>
  </si>
  <si>
    <t xml:space="preserve">The Conformist </t>
  </si>
  <si>
    <t xml:space="preserve">The Thing </t>
  </si>
  <si>
    <t xml:space="preserve">Daughters of the Dust </t>
  </si>
  <si>
    <t xml:space="preserve">Barry Lyndon </t>
  </si>
  <si>
    <t xml:space="preserve">Raging Bull </t>
  </si>
  <si>
    <t xml:space="preserve">Seven </t>
  </si>
  <si>
    <t xml:space="preserve">Aguirre, the Wrath of God </t>
  </si>
  <si>
    <t xml:space="preserve">The Battle of Algiers </t>
  </si>
  <si>
    <t xml:space="preserve">No Country for Old Men </t>
  </si>
  <si>
    <t xml:space="preserve">Women on the Verge of a Nervous Breakdown </t>
  </si>
  <si>
    <t xml:space="preserve">The Discreet Charm of the Bourgeoisie </t>
  </si>
  <si>
    <t xml:space="preserve">Paths of Glory </t>
  </si>
  <si>
    <t xml:space="preserve">Secrets &amp; Lies </t>
  </si>
  <si>
    <t xml:space="preserve">Sweet Smell of Success </t>
  </si>
  <si>
    <t xml:space="preserve">The Cabinet of Dr. Caligari </t>
  </si>
  <si>
    <t xml:space="preserve">Nashville </t>
  </si>
  <si>
    <t>Nashville Girl</t>
  </si>
  <si>
    <t xml:space="preserve">Donâ€™t Look Now </t>
  </si>
  <si>
    <t xml:space="preserve">Bonnie and Clyde </t>
  </si>
  <si>
    <t xml:space="preserve">Get Out </t>
  </si>
  <si>
    <t>Once Upon a Time in Hollywood</t>
  </si>
  <si>
    <t>The Guardian</t>
  </si>
  <si>
    <t>['Comedy', 'Drama', 'Thriller']</t>
  </si>
  <si>
    <t>Once Upon a Timeâ€¦ in Hollywood</t>
  </si>
  <si>
    <t>Bright Star</t>
  </si>
  <si>
    <t>Fahrenheit 9/11</t>
  </si>
  <si>
    <t>Private Life</t>
  </si>
  <si>
    <t>Call Me By Your Name</t>
  </si>
  <si>
    <t>Call Me by Your Name</t>
  </si>
  <si>
    <t>You, the Living</t>
  </si>
  <si>
    <t>['Drama', 'Comedy', 'Music']</t>
  </si>
  <si>
    <t>The Hurt Locker</t>
  </si>
  <si>
    <t>Etre et Avoir</t>
  </si>
  <si>
    <t>Eden</t>
  </si>
  <si>
    <t>The Selfish Giant</t>
  </si>
  <si>
    <t>Gomorrah</t>
  </si>
  <si>
    <t>GOMORRAH</t>
  </si>
  <si>
    <t>The Wind that Shakes the Barley</t>
  </si>
  <si>
    <t>The Wind That Shakes the Barley</t>
  </si>
  <si>
    <t>Burning</t>
  </si>
  <si>
    <t>The Sonâ€™s Room</t>
  </si>
  <si>
    <t>Stories We Tell</t>
  </si>
  <si>
    <t>Fish Tank</t>
  </si>
  <si>
    <t>Requiem for a Dream</t>
  </si>
  <si>
    <t xml:space="preserve">Persepolis </t>
  </si>
  <si>
    <t>['Animation', 'Drama']</t>
  </si>
  <si>
    <t>Persepolis</t>
  </si>
  <si>
    <t>Oceanâ€™s Eleven</t>
  </si>
  <si>
    <t>Ocean's Eleven</t>
  </si>
  <si>
    <t xml:space="preserve">Ten </t>
  </si>
  <si>
    <t>Philomena</t>
  </si>
  <si>
    <t>A Prophet</t>
  </si>
  <si>
    <t>Love &amp; Friendship</t>
  </si>
  <si>
    <t>Waltz With Bashir</t>
  </si>
  <si>
    <t>['Drama', 'Animation', 'War', 'Documentary']</t>
  </si>
  <si>
    <t>Capernaum (2018)</t>
  </si>
  <si>
    <t>Anchorman: The Legend of Ron Burgundy</t>
  </si>
  <si>
    <t>Mr Turner</t>
  </si>
  <si>
    <t>['History', 'Drama']</t>
  </si>
  <si>
    <t>Mr. Turner</t>
  </si>
  <si>
    <t>Dogtooth</t>
  </si>
  <si>
    <t>Happy as Lazzaro</t>
  </si>
  <si>
    <t>The Incredibles</t>
  </si>
  <si>
    <t>['Action', 'Adventure', 'Animation', 'Family']</t>
  </si>
  <si>
    <t>We Need to Talk about Kevin</t>
  </si>
  <si>
    <t>We Need to Talk About Kevin</t>
  </si>
  <si>
    <t>Waiting for Happiness</t>
  </si>
  <si>
    <t>The Souvenir</t>
  </si>
  <si>
    <t>Ted</t>
  </si>
  <si>
    <t>['Comedy', 'Fantasy']</t>
  </si>
  <si>
    <t>Gangs of Wasseypur</t>
  </si>
  <si>
    <t>Wuthering Heights</t>
  </si>
  <si>
    <t>Leave No Trace</t>
  </si>
  <si>
    <t>Behind the Candelabra</t>
  </si>
  <si>
    <t>Russian Ark</t>
  </si>
  <si>
    <t>['Drama', 'Fantasy', 'History']</t>
  </si>
  <si>
    <t>Fire at Sea</t>
  </si>
  <si>
    <t>Amores Perros</t>
  </si>
  <si>
    <t>Crouching Tiger, Hidden Dragon</t>
  </si>
  <si>
    <t>['Adventure', 'Drama', 'Action', 'Romance']</t>
  </si>
  <si>
    <t>24 Hour Party People</t>
  </si>
  <si>
    <t>['Comedy', 'Drama', 'Music']</t>
  </si>
  <si>
    <t>The House of Mirth</t>
  </si>
  <si>
    <t>Margaret</t>
  </si>
  <si>
    <t>Volver</t>
  </si>
  <si>
    <t>13th (2016)</t>
  </si>
  <si>
    <t>Toni Erdmann</t>
  </si>
  <si>
    <t>The Wolf of Wall Street</t>
  </si>
  <si>
    <t>['Crime', 'Drama', 'Comedy']</t>
  </si>
  <si>
    <t>Unrelated</t>
  </si>
  <si>
    <t>Meekâ€™s Cutoff</t>
  </si>
  <si>
    <t>Meek's Cutoff</t>
  </si>
  <si>
    <t>Once Upon a Time in Anatolia</t>
  </si>
  <si>
    <t>Dogville</t>
  </si>
  <si>
    <t>45 Years</t>
  </si>
  <si>
    <t>The Child (Lâ€™Enfant</t>
  </si>
  <si>
    <t>The Golden Child</t>
  </si>
  <si>
    <t>The Royal Tenenbaums</t>
  </si>
  <si>
    <t>Gravity</t>
  </si>
  <si>
    <t>['Science Fiction', 'Thriller', 'Drama']</t>
  </si>
  <si>
    <t>Anomalisa</t>
  </si>
  <si>
    <t>['Animation', 'Drama', 'Romance', 'Comedy']</t>
  </si>
  <si>
    <t>Leviathan</t>
  </si>
  <si>
    <t>['Adventure', 'Horror', 'Action', 'Thriller', 'Science Fiction']</t>
  </si>
  <si>
    <t>Nebraska</t>
  </si>
  <si>
    <t>A One and a Two (Yi Yi</t>
  </si>
  <si>
    <t>Ida</t>
  </si>
  <si>
    <t>Borat: Cultural Learnings of America for Make Benefit Glorious Nation of Kazakhstan</t>
  </si>
  <si>
    <t>The White Ribbon</t>
  </si>
  <si>
    <t>Roma</t>
  </si>
  <si>
    <t>Lincoln</t>
  </si>
  <si>
    <t>A Serious Man</t>
  </si>
  <si>
    <t>The Great Beauty</t>
  </si>
  <si>
    <t>The Act of Killing</t>
  </si>
  <si>
    <t>White Material</t>
  </si>
  <si>
    <t>Far From Heaven</t>
  </si>
  <si>
    <t>Far from Heaven</t>
  </si>
  <si>
    <t>Son of Saul</t>
  </si>
  <si>
    <t>Team America: World Police</t>
  </si>
  <si>
    <t>['Adventure', 'Action', 'Comedy']</t>
  </si>
  <si>
    <t>Synecdoche, New York</t>
  </si>
  <si>
    <t>Hidden</t>
  </si>
  <si>
    <t>Action</t>
  </si>
  <si>
    <t>Drama</t>
  </si>
  <si>
    <t>Adventure</t>
  </si>
  <si>
    <t>Animation</t>
  </si>
  <si>
    <t>Comedy</t>
  </si>
  <si>
    <t>Crime</t>
  </si>
  <si>
    <t>Documentary</t>
  </si>
  <si>
    <t>Family</t>
  </si>
  <si>
    <t>Fantasy</t>
  </si>
  <si>
    <t>History</t>
  </si>
  <si>
    <t>Horror</t>
  </si>
  <si>
    <t>Music</t>
  </si>
  <si>
    <t>Mystery</t>
  </si>
  <si>
    <t>Romance</t>
  </si>
  <si>
    <t>Science Fiction</t>
  </si>
  <si>
    <t>TV Movie</t>
  </si>
  <si>
    <t>Thriller</t>
  </si>
  <si>
    <t>War</t>
  </si>
  <si>
    <t>Western</t>
  </si>
  <si>
    <t>Genre List</t>
  </si>
  <si>
    <t>C</t>
  </si>
  <si>
    <t>Genre</t>
  </si>
  <si>
    <t>Date</t>
  </si>
  <si>
    <t>Row Labels</t>
  </si>
  <si>
    <t>Grand Total</t>
  </si>
  <si>
    <t>Points</t>
  </si>
  <si>
    <t>Sum of Points</t>
  </si>
  <si>
    <t>(All)</t>
  </si>
  <si>
    <t>Oh, Sun</t>
  </si>
  <si>
    <t>Europe '51</t>
  </si>
  <si>
    <t>Je Tu Il Elle</t>
  </si>
  <si>
    <t>Petite Maman</t>
  </si>
  <si>
    <t>L'Eclisse</t>
  </si>
  <si>
    <t>Is Paris Burning?</t>
  </si>
  <si>
    <t>Greed in the Sun</t>
  </si>
  <si>
    <t>Pyaasa</t>
  </si>
  <si>
    <t>Hiroshima Mon Amour</t>
  </si>
  <si>
    <t>The Exterminating Angels</t>
  </si>
  <si>
    <t>Women in Heat Behind Bars</t>
  </si>
  <si>
    <t>Un Chien Andalou</t>
  </si>
  <si>
    <t>Last Year at Marienbad</t>
  </si>
  <si>
    <t>The Young and the Damned</t>
  </si>
  <si>
    <t>Vivre Sa Vie</t>
  </si>
  <si>
    <t>Godspell</t>
  </si>
  <si>
    <t>Where Is My Friend's House?</t>
  </si>
  <si>
    <t>All About My Mother</t>
  </si>
  <si>
    <t>Tie Xi Qu: West of the Tracks</t>
  </si>
  <si>
    <t>Happiness</t>
  </si>
  <si>
    <t>Meghe Dhaka Tara</t>
  </si>
  <si>
    <t>Grand Illusion</t>
  </si>
  <si>
    <t>A Day in the Country</t>
  </si>
  <si>
    <t>Aguirre, the Wrath of God</t>
  </si>
  <si>
    <t>The Mother and the Whore</t>
  </si>
  <si>
    <t>The Earrings of Madame de...</t>
  </si>
  <si>
    <t>Pierrot le Fou</t>
  </si>
  <si>
    <t>Histoire(s) du CinÃ©ma 1b: A Single (Hi)story</t>
  </si>
  <si>
    <t>Contempt</t>
  </si>
  <si>
    <t>Ali: Fear Eats the Soul</t>
  </si>
  <si>
    <t>My Fault</t>
  </si>
  <si>
    <t>Au Hasard Balthazar</t>
  </si>
  <si>
    <t>My Best Friend's Wedding</t>
  </si>
  <si>
    <t>Going Down in LA-LA Land</t>
  </si>
  <si>
    <t>A Taxi Driver</t>
  </si>
  <si>
    <t>Gladiators of Rome</t>
  </si>
  <si>
    <t>Alienoid</t>
  </si>
  <si>
    <t>Luis and the Aliens</t>
  </si>
  <si>
    <t>Jawan</t>
  </si>
  <si>
    <t>Wall Engravings</t>
  </si>
  <si>
    <t>Stand by Me Doraemon</t>
  </si>
  <si>
    <t>SEVEN</t>
  </si>
  <si>
    <t>The Tale of The Princess Kaguya</t>
  </si>
  <si>
    <t>Life, and Nothing Moreâ€¦</t>
  </si>
  <si>
    <t>Red Shoes and the Seven Dwarfs</t>
  </si>
  <si>
    <t>Detective Chinatown</t>
  </si>
  <si>
    <t>The Bitter Tears of Petra von Kant</t>
  </si>
  <si>
    <t>Rome, Open City</t>
  </si>
  <si>
    <t>A Bullet for the General</t>
  </si>
  <si>
    <t>The Seven Deadly Sins: Grudge of Edinburgh Part 2</t>
  </si>
  <si>
    <t>The Discreet Charm of the Bourgeoisie</t>
  </si>
  <si>
    <t>To Be and to Have</t>
  </si>
  <si>
    <t>The Son's Room</t>
  </si>
  <si>
    <t>365 Days: This Day</t>
  </si>
  <si>
    <t>Waltz with Bashir</t>
  </si>
  <si>
    <t>Gangs of Wasseypur - Part 1</t>
  </si>
  <si>
    <t>Select a Genre</t>
  </si>
  <si>
    <t>Action movies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</si>
</sst>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3">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Var(--jp-code-font-family)"/>
    </font>
    <font>
      <sz val="11"/>
      <color theme="9"/>
      <name val="Calibri"/>
      <family val="2"/>
      <scheme val="minor"/>
    </font>
    <font>
      <sz val="11"/>
      <color theme="7" tint="0.59999389629810485"/>
      <name val="Calibri"/>
      <family val="2"/>
      <scheme val="minor"/>
    </font>
    <font>
      <sz val="11"/>
      <color rgb="FF000000"/>
      <name val="Calibri"/>
      <family val="2"/>
      <scheme val="minor"/>
    </font>
    <font>
      <sz val="18"/>
      <color rgb="FF92D05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
      <patternFill patternType="solid">
        <fgColor theme="1" tint="0.14999847407452621"/>
        <bgColor indexed="64"/>
      </patternFill>
    </fill>
    <fill>
      <patternFill patternType="solid">
        <fgColor theme="1" tint="0.34998626667073579"/>
        <bgColor indexed="64"/>
      </patternFill>
    </fill>
    <fill>
      <patternFill patternType="solid">
        <fgColor rgb="FFA6A6A6"/>
        <bgColor rgb="FFA6A6A6"/>
      </patternFill>
    </fill>
    <fill>
      <patternFill patternType="solid">
        <fgColor rgb="FFD9D9D9"/>
        <bgColor rgb="FFD9D9D9"/>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style="thin">
        <color rgb="FFFFFFFF"/>
      </left>
      <right style="thin">
        <color rgb="FFFFFFFF"/>
      </right>
      <top style="thin">
        <color rgb="FFFFFFFF"/>
      </top>
      <bottom style="thin">
        <color rgb="FFFFFFFF"/>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1">
    <xf numFmtId="0" fontId="0" fillId="0" borderId="0" xfId="0"/>
    <xf numFmtId="14" fontId="0" fillId="0" borderId="0" xfId="0" applyNumberFormat="1"/>
    <xf numFmtId="0" fontId="0" fillId="33" borderId="10" xfId="0" applyFill="1" applyBorder="1"/>
    <xf numFmtId="0" fontId="0" fillId="0" borderId="10" xfId="0" applyBorder="1"/>
    <xf numFmtId="0" fontId="18" fillId="0" borderId="10" xfId="0" applyFont="1" applyBorder="1" applyAlignment="1">
      <alignment horizontal="left" vertical="center"/>
    </xf>
    <xf numFmtId="0" fontId="18" fillId="33" borderId="10" xfId="0" applyFont="1" applyFill="1" applyBorder="1" applyAlignment="1">
      <alignment horizontal="left" vertical="center"/>
    </xf>
    <xf numFmtId="0" fontId="18" fillId="33" borderId="11" xfId="0" applyFont="1" applyFill="1" applyBorder="1" applyAlignment="1">
      <alignment horizontal="left" vertical="center"/>
    </xf>
    <xf numFmtId="0" fontId="0" fillId="0" borderId="0" xfId="0" pivotButton="1"/>
    <xf numFmtId="0" fontId="0" fillId="0" borderId="0" xfId="0" applyAlignment="1">
      <alignment horizontal="left"/>
    </xf>
    <xf numFmtId="0" fontId="20" fillId="34" borderId="0" xfId="0" applyFont="1" applyFill="1"/>
    <xf numFmtId="0" fontId="0" fillId="35" borderId="0" xfId="0" applyFill="1"/>
    <xf numFmtId="0" fontId="14" fillId="35" borderId="0" xfId="0" applyFont="1" applyFill="1"/>
    <xf numFmtId="0" fontId="19" fillId="35" borderId="0" xfId="0" applyFont="1" applyFill="1"/>
    <xf numFmtId="0" fontId="20" fillId="35" borderId="0" xfId="0" applyFont="1" applyFill="1"/>
    <xf numFmtId="0" fontId="16" fillId="35" borderId="0" xfId="0" applyFont="1" applyFill="1"/>
    <xf numFmtId="0" fontId="21" fillId="36" borderId="12" xfId="0" applyFont="1" applyFill="1" applyBorder="1"/>
    <xf numFmtId="14" fontId="21" fillId="36" borderId="12" xfId="0" applyNumberFormat="1" applyFont="1" applyFill="1" applyBorder="1"/>
    <xf numFmtId="0" fontId="21" fillId="37" borderId="12" xfId="0" applyFont="1" applyFill="1" applyBorder="1"/>
    <xf numFmtId="14" fontId="21" fillId="37" borderId="12" xfId="0" applyNumberFormat="1" applyFont="1" applyFill="1" applyBorder="1"/>
    <xf numFmtId="0" fontId="22" fillId="34" borderId="0" xfId="0" applyFont="1" applyFill="1"/>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0">
    <dxf>
      <font>
        <b val="0"/>
        <i val="0"/>
        <strike val="0"/>
        <condense val="0"/>
        <extend val="0"/>
        <outline val="0"/>
        <shadow val="0"/>
        <u val="none"/>
        <vertAlign val="baseline"/>
        <sz val="10"/>
        <color theme="1"/>
        <name val="Var(--jp-code-font-family)"/>
        <scheme val="none"/>
      </font>
      <fill>
        <patternFill patternType="solid">
          <fgColor theme="4" tint="0.79998168889431442"/>
          <bgColor theme="4" tint="0.79998168889431442"/>
        </patternFill>
      </fill>
      <alignment horizontal="left" vertical="center" textRotation="0" wrapText="0" indent="0" justifyLastLine="0" shrinkToFit="0" readingOrder="0"/>
      <border diagonalUp="0" diagonalDown="0">
        <left style="thin">
          <color theme="4" tint="0.39997558519241921"/>
        </left>
        <right style="thin">
          <color theme="4" tint="0.39997558519241921"/>
        </right>
        <top style="thin">
          <color theme="4" tint="0.39997558519241921"/>
        </top>
        <bottom style="thin">
          <color theme="4" tint="0.39997558519241921"/>
        </bottom>
        <vertical/>
        <horizontal/>
      </border>
    </dxf>
    <dxf>
      <border outline="0">
        <bottom style="thin">
          <color theme="4" tint="0.39997558519241921"/>
        </bottom>
      </border>
    </dxf>
    <dxf>
      <font>
        <b val="0"/>
        <i val="0"/>
        <strike val="0"/>
        <condense val="0"/>
        <extend val="0"/>
        <outline val="0"/>
        <shadow val="0"/>
        <u val="none"/>
        <vertAlign val="baseline"/>
        <sz val="10"/>
        <color theme="1"/>
        <name val="Var(--jp-code-font-family)"/>
        <scheme val="none"/>
      </font>
      <fill>
        <patternFill patternType="solid">
          <fgColor theme="4" tint="0.79998168889431442"/>
          <bgColor theme="4" tint="0.79998168889431442"/>
        </patternFill>
      </fill>
      <alignment horizontal="left" vertical="center" textRotation="0" wrapText="0" indent="0" justifyLastLine="0" shrinkToFit="0" readingOrder="0"/>
    </dxf>
    <dxf>
      <numFmt numFmtId="0" formatCode="General"/>
    </dxf>
    <dxf>
      <numFmt numFmtId="0" formatCode="General"/>
    </dxf>
    <dxf>
      <numFmt numFmtId="19" formatCode="dd/mm/yyyy"/>
    </dxf>
    <dxf>
      <numFmt numFmtId="0" formatCode="General"/>
    </dxf>
    <dxf>
      <font>
        <color rgb="FF9C0006"/>
      </font>
      <fill>
        <patternFill>
          <bgColor rgb="FFFFC7CE"/>
        </patternFill>
      </fill>
    </dxf>
    <dxf>
      <font>
        <color theme="0"/>
      </font>
    </dxf>
    <dxf>
      <font>
        <color auto="1"/>
      </font>
      <fill>
        <patternFill>
          <bgColor theme="1" tint="0.14996795556505021"/>
        </patternFill>
      </fill>
    </dxf>
  </dxfs>
  <tableStyles count="1" defaultTableStyle="TableStyleMedium2" defaultPivotStyle="PivotStyleLight16">
    <tableStyle name="Slicer Style 1" pivot="0" table="0" count="9" xr9:uid="{E19BD9FB-E9FB-4D41-AF8E-FB04F8F15127}">
      <tableStyleElement type="wholeTable" dxfId="9"/>
      <tableStyleElement type="headerRow" dxfId="8"/>
    </tableStyle>
  </tableStyles>
  <colors>
    <mruColors>
      <color rgb="FFF49EF0"/>
    </mruColors>
  </colors>
  <extLst>
    <ext xmlns:x14="http://schemas.microsoft.com/office/spreadsheetml/2009/9/main" uri="{46F421CA-312F-682f-3DD2-61675219B42D}">
      <x14:dxfs count="7">
        <dxf>
          <fill>
            <patternFill>
              <bgColor theme="5" tint="0.39994506668294322"/>
            </patternFill>
          </fill>
        </dxf>
        <dxf>
          <fill>
            <patternFill>
              <bgColor theme="5" tint="0.79998168889431442"/>
            </patternFill>
          </fill>
        </dxf>
        <dxf>
          <fill>
            <patternFill>
              <bgColor theme="5" tint="0.39994506668294322"/>
            </patternFill>
          </fill>
        </dxf>
        <dxf>
          <fill>
            <patternFill>
              <bgColor theme="5" tint="0.79998168889431442"/>
            </patternFill>
          </fill>
        </dxf>
        <dxf>
          <fill>
            <patternFill>
              <bgColor rgb="FF00B050"/>
            </patternFill>
          </fill>
        </dxf>
        <dxf>
          <fill>
            <patternFill>
              <bgColor rgb="FF92D050"/>
            </patternFill>
          </fill>
        </dxf>
        <dxf>
          <fill>
            <patternFill>
              <bgColor rgb="FF92D05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unselectedItemWithNoData" dxfId="5"/>
            <x14:slicerStyleElement type="selectedItemWith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[Movies_Data.xlsm]Sheet2!PivotTable1</c:name>
    <c:fmtId val="4"/>
  </c:pivotSource>
  <c:chart>
    <c:title>
      <c:tx>
        <c:strRef>
          <c:f>Dashboard!$A$1</c:f>
          <c:strCache>
            <c:ptCount val="1"/>
            <c:pt idx="0">
              <c:v>Top 10 Action movies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6">
              <a:lumMod val="75000"/>
            </a:schemeClr>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200" b="0" i="0" u="none" strike="noStrike" kern="1200" baseline="0">
                  <a:solidFill>
                    <a:schemeClr val="bg1">
                      <a:lumMod val="95000"/>
                    </a:schemeClr>
                  </a:solidFill>
                  <a:latin typeface="+mn-lt"/>
                  <a:ea typeface="+mn-ea"/>
                  <a:cs typeface="+mn-cs"/>
                </a:defRPr>
              </a:pPr>
              <a:endParaRPr lang="en-US"/>
            </a:p>
          </c:txPr>
          <c:dLblPos val="ctr"/>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
        <c:dLbl>
          <c:idx val="0"/>
          <c:spPr>
            <a:noFill/>
            <a:ln>
              <a:noFill/>
            </a:ln>
            <a:effectLst/>
          </c:spPr>
          <c:txPr>
            <a:bodyPr rot="0" spcFirstLastPara="1" vertOverflow="clip" horzOverflow="clip" vert="horz" wrap="square" lIns="38100" tIns="19050" rIns="38100" bIns="19050" anchor="ctr" anchorCtr="0">
              <a:noAutofit/>
            </a:bodyPr>
            <a:lstStyle/>
            <a:p>
              <a:pPr>
                <a:defRPr sz="1100" b="0" i="0" u="none" strike="noStrike" kern="1200" baseline="0">
                  <a:solidFill>
                    <a:schemeClr val="bg1">
                      <a:lumMod val="95000"/>
                    </a:schemeClr>
                  </a:solidFill>
                  <a:latin typeface="+mn-lt"/>
                  <a:ea typeface="+mn-ea"/>
                  <a:cs typeface="+mn-cs"/>
                </a:defRPr>
              </a:pPr>
              <a:endParaRPr lang="en-US"/>
            </a:p>
          </c:txPr>
          <c:dLblPos val="ctr"/>
          <c:showLegendKey val="0"/>
          <c:showVal val="0"/>
          <c:showCatName val="1"/>
          <c:showSerName val="0"/>
          <c:showPercent val="0"/>
          <c:showBubbleSize val="0"/>
          <c:extLst>
            <c:ext xmlns:c15="http://schemas.microsoft.com/office/drawing/2012/chart" uri="{CE6537A1-D6FC-4f65-9D91-7224C49458BB}">
              <c15:layout>
                <c:manualLayout>
                  <c:w val="0.62487919038280737"/>
                  <c:h val="0.10261679790026246"/>
                </c:manualLayout>
              </c15:layout>
            </c:ext>
          </c:extLst>
        </c:dLbl>
      </c:pivotFmt>
      <c:pivotFmt>
        <c:idx val="4"/>
      </c:pivotFmt>
      <c:pivotFmt>
        <c:idx val="5"/>
      </c:pivotFmt>
      <c:pivotFmt>
        <c:idx val="6"/>
      </c:pivotFmt>
      <c:pivotFmt>
        <c:idx val="7"/>
        <c:dLbl>
          <c:idx val="0"/>
          <c:spPr>
            <a:noFill/>
            <a:ln>
              <a:noFill/>
            </a:ln>
            <a:effectLst/>
          </c:spPr>
          <c:txPr>
            <a:bodyPr rot="0" spcFirstLastPara="1" vertOverflow="overflow" horzOverflow="overflow" vert="horz" wrap="none" lIns="38100" tIns="19050" rIns="38100" bIns="19050" anchor="ctr" anchorCtr="0">
              <a:noAutofit/>
            </a:bodyPr>
            <a:lstStyle/>
            <a:p>
              <a:pPr>
                <a:defRPr sz="1200" b="0" i="0" u="none" strike="noStrike" kern="1200" baseline="0">
                  <a:solidFill>
                    <a:schemeClr val="bg1">
                      <a:lumMod val="95000"/>
                    </a:schemeClr>
                  </a:solidFill>
                  <a:latin typeface="+mn-lt"/>
                  <a:ea typeface="+mn-ea"/>
                  <a:cs typeface="+mn-cs"/>
                </a:defRPr>
              </a:pPr>
              <a:endParaRPr lang="en-US"/>
            </a:p>
          </c:txPr>
          <c:dLblPos val="ctr"/>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0.26731334189183276"/>
                  <c:h val="8.7299999999999989E-2"/>
                </c:manualLayout>
              </c15:layout>
            </c:ext>
          </c:extLst>
        </c:dLbl>
      </c:pivotFmt>
      <c:pivotFmt>
        <c:idx val="8"/>
        <c:dLbl>
          <c:idx val="0"/>
          <c:spPr>
            <a:noFill/>
            <a:ln>
              <a:noFill/>
            </a:ln>
            <a:effectLst/>
          </c:spPr>
          <c:txPr>
            <a:bodyPr rot="0" spcFirstLastPara="1" vertOverflow="clip" horzOverflow="clip" vert="horz" wrap="square" lIns="38100" tIns="19050" rIns="38100" bIns="19050" anchor="ctr" anchorCtr="0">
              <a:spAutoFit/>
            </a:bodyPr>
            <a:lstStyle/>
            <a:p>
              <a:pPr>
                <a:defRPr sz="950" b="0" i="0" u="none" strike="noStrike" kern="1200" baseline="0">
                  <a:solidFill>
                    <a:srgbClr val="F49EF0"/>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layout>
                <c:manualLayout>
                  <c:w val="0.37230366669781723"/>
                  <c:h val="0.12595013123359577"/>
                </c:manualLayout>
              </c15:layout>
            </c:ext>
          </c:extLst>
        </c:dLbl>
      </c:pivotFmt>
      <c:pivotFmt>
        <c:idx val="9"/>
        <c:dLbl>
          <c:idx val="0"/>
          <c:spPr>
            <a:noFill/>
            <a:ln>
              <a:noFill/>
            </a:ln>
            <a:effectLst/>
          </c:spPr>
          <c:txPr>
            <a:bodyPr rot="0" spcFirstLastPara="1" vertOverflow="overflow" horzOverflow="overflow" vert="horz" wrap="none" lIns="38100" tIns="19050" rIns="38100" bIns="19050" anchor="ctr" anchorCtr="0">
              <a:noAutofit/>
            </a:bodyPr>
            <a:lstStyle/>
            <a:p>
              <a:pPr>
                <a:defRPr sz="1200" b="0" i="0" u="none" strike="noStrike" kern="1200" baseline="0">
                  <a:solidFill>
                    <a:schemeClr val="bg1">
                      <a:lumMod val="95000"/>
                    </a:schemeClr>
                  </a:solidFill>
                  <a:latin typeface="+mn-lt"/>
                  <a:ea typeface="+mn-ea"/>
                  <a:cs typeface="+mn-cs"/>
                </a:defRPr>
              </a:pPr>
              <a:endParaRPr lang="en-US"/>
            </a:p>
          </c:txPr>
          <c:dLblPos val="ctr"/>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0.16191831583870278"/>
                  <c:h val="4.8650131233595795E-2"/>
                </c:manualLayout>
              </c15:layout>
            </c:ext>
          </c:extLst>
        </c:dLbl>
      </c:pivotFmt>
      <c:pivotFmt>
        <c:idx val="10"/>
        <c:dLbl>
          <c:idx val="0"/>
          <c:spPr>
            <a:noFill/>
            <a:ln>
              <a:noFill/>
            </a:ln>
            <a:effectLst/>
          </c:spPr>
          <c:txPr>
            <a:bodyPr rot="0" spcFirstLastPara="1" vertOverflow="overflow" horzOverflow="overflow" vert="horz" wrap="none" lIns="38100" tIns="19050" rIns="38100" bIns="19050" anchor="ctr" anchorCtr="0">
              <a:noAutofit/>
            </a:bodyPr>
            <a:lstStyle/>
            <a:p>
              <a:pPr>
                <a:defRPr sz="1200" b="0" i="0" u="none" strike="noStrike" kern="1200" baseline="0">
                  <a:solidFill>
                    <a:schemeClr val="bg1">
                      <a:lumMod val="95000"/>
                    </a:schemeClr>
                  </a:solidFill>
                  <a:latin typeface="+mn-lt"/>
                  <a:ea typeface="+mn-ea"/>
                  <a:cs typeface="+mn-cs"/>
                </a:defRPr>
              </a:pPr>
              <a:endParaRPr lang="en-US"/>
            </a:p>
          </c:txPr>
          <c:dLblPos val="ctr"/>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4.7440260109408924E-2"/>
                  <c:h val="4.8650131233595795E-2"/>
                </c:manualLayout>
              </c15:layout>
            </c:ext>
          </c:extLst>
        </c:dLbl>
      </c:pivotFmt>
      <c:pivotFmt>
        <c:idx val="11"/>
        <c:dLbl>
          <c:idx val="0"/>
          <c:spPr>
            <a:noFill/>
            <a:ln>
              <a:noFill/>
            </a:ln>
            <a:effectLst/>
          </c:spPr>
          <c:txPr>
            <a:bodyPr rot="0" spcFirstLastPara="1" vertOverflow="overflow" horzOverflow="overflow" vert="horz" wrap="none" lIns="38100" tIns="19050" rIns="38100" bIns="19050" anchor="ctr" anchorCtr="0">
              <a:noAutofit/>
            </a:bodyPr>
            <a:lstStyle/>
            <a:p>
              <a:pPr>
                <a:defRPr sz="1200" b="0" i="0" u="none" strike="noStrike" kern="1200" baseline="0">
                  <a:solidFill>
                    <a:schemeClr val="bg1">
                      <a:lumMod val="95000"/>
                    </a:schemeClr>
                  </a:solidFill>
                  <a:latin typeface="+mn-lt"/>
                  <a:ea typeface="+mn-ea"/>
                  <a:cs typeface="+mn-cs"/>
                </a:defRPr>
              </a:pPr>
              <a:endParaRPr lang="en-US"/>
            </a:p>
          </c:txPr>
          <c:dLblPos val="ctr"/>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0.10059509482235889"/>
                  <c:h val="4.8650131233595795E-2"/>
                </c:manualLayout>
              </c15:layout>
            </c:ext>
          </c:extLst>
        </c:dLbl>
      </c:pivotFmt>
      <c:pivotFmt>
        <c:idx val="12"/>
        <c:dLbl>
          <c:idx val="0"/>
          <c:dLblPos val="inBase"/>
          <c:showLegendKey val="0"/>
          <c:showVal val="0"/>
          <c:showCatName val="1"/>
          <c:showSerName val="0"/>
          <c:showPercent val="0"/>
          <c:showBubbleSize val="0"/>
          <c:extLst>
            <c:ext xmlns:c15="http://schemas.microsoft.com/office/drawing/2012/chart" uri="{CE6537A1-D6FC-4f65-9D91-7224C49458BB}">
              <c15:layout>
                <c:manualLayout>
                  <c:w val="0.15335327762344697"/>
                  <c:h val="8.7300000000000003E-2"/>
                </c:manualLayout>
              </c15:layout>
            </c:ext>
          </c:extLst>
        </c:dLbl>
      </c:pivotFmt>
      <c:pivotFmt>
        <c:idx val="13"/>
        <c:dLbl>
          <c:idx val="0"/>
          <c:spPr>
            <a:noFill/>
            <a:ln>
              <a:noFill/>
            </a:ln>
            <a:effectLst/>
          </c:spPr>
          <c:txPr>
            <a:bodyPr rot="0" spcFirstLastPara="1" vertOverflow="overflow" horzOverflow="overflow" vert="horz" wrap="none" lIns="38100" tIns="19050" rIns="38100" bIns="19050" anchor="ctr" anchorCtr="0">
              <a:noAutofit/>
            </a:bodyPr>
            <a:lstStyle/>
            <a:p>
              <a:pPr>
                <a:defRPr sz="1200" b="0" i="0" u="none" strike="noStrike" kern="1200" baseline="0">
                  <a:solidFill>
                    <a:schemeClr val="bg1">
                      <a:lumMod val="95000"/>
                    </a:schemeClr>
                  </a:solidFill>
                  <a:latin typeface="+mn-lt"/>
                  <a:ea typeface="+mn-ea"/>
                  <a:cs typeface="+mn-cs"/>
                </a:defRPr>
              </a:pPr>
              <a:endParaRPr lang="en-US"/>
            </a:p>
          </c:txPr>
          <c:dLblPos val="ctr"/>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6.0693438178828489E-2"/>
                  <c:h val="4.8650131233595795E-2"/>
                </c:manualLayout>
              </c15:layout>
            </c:ext>
          </c:extLst>
        </c:dLbl>
      </c:pivotFmt>
      <c:pivotFmt>
        <c:idx val="14"/>
        <c:dLbl>
          <c:idx val="0"/>
          <c:spPr>
            <a:noFill/>
            <a:ln>
              <a:noFill/>
            </a:ln>
            <a:effectLst/>
          </c:spPr>
          <c:txPr>
            <a:bodyPr rot="0" spcFirstLastPara="1" vertOverflow="overflow" horzOverflow="overflow" vert="horz" wrap="none" lIns="38100" tIns="19050" rIns="38100" bIns="19050" anchor="ctr" anchorCtr="0">
              <a:noAutofit/>
            </a:bodyPr>
            <a:lstStyle/>
            <a:p>
              <a:pPr>
                <a:defRPr sz="1200" b="0" i="0" u="none" strike="noStrike" kern="1200" baseline="0">
                  <a:solidFill>
                    <a:schemeClr val="bg1">
                      <a:lumMod val="95000"/>
                    </a:schemeClr>
                  </a:solidFill>
                  <a:latin typeface="+mn-lt"/>
                  <a:ea typeface="+mn-ea"/>
                  <a:cs typeface="+mn-cs"/>
                </a:defRPr>
              </a:pPr>
              <a:endParaRPr lang="en-US"/>
            </a:p>
          </c:txPr>
          <c:dLblPos val="ctr"/>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9.1869403649489395E-2"/>
                  <c:h val="4.8650131233595795E-2"/>
                </c:manualLayout>
              </c15:layout>
            </c:ext>
          </c:extLst>
        </c:dLbl>
      </c:pivotFmt>
      <c:pivotFmt>
        <c:idx val="15"/>
        <c:dLbl>
          <c:idx val="0"/>
          <c:spPr>
            <a:noFill/>
            <a:ln>
              <a:noFill/>
            </a:ln>
            <a:effectLst/>
          </c:spPr>
          <c:txPr>
            <a:bodyPr rot="0" spcFirstLastPara="1" vertOverflow="overflow" horzOverflow="overflow" vert="horz" wrap="none" lIns="38100" tIns="19050" rIns="38100" bIns="19050" anchor="ctr" anchorCtr="0">
              <a:noAutofit/>
            </a:bodyPr>
            <a:lstStyle/>
            <a:p>
              <a:pPr>
                <a:defRPr sz="1200" b="0" i="0" u="none" strike="noStrike" kern="1200" baseline="0">
                  <a:solidFill>
                    <a:schemeClr val="bg1">
                      <a:lumMod val="95000"/>
                    </a:schemeClr>
                  </a:solidFill>
                  <a:latin typeface="+mn-lt"/>
                  <a:ea typeface="+mn-ea"/>
                  <a:cs typeface="+mn-cs"/>
                </a:defRPr>
              </a:pPr>
              <a:endParaRPr lang="en-US"/>
            </a:p>
          </c:txPr>
          <c:dLblPos val="ctr"/>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0.11983262659857913"/>
                  <c:h val="4.8650131233595795E-2"/>
                </c:manualLayout>
              </c15:layout>
            </c:ext>
          </c:extLst>
        </c:dLbl>
      </c:pivotFmt>
      <c:pivotFmt>
        <c:idx val="16"/>
        <c:spPr>
          <a:solidFill>
            <a:schemeClr val="accent6">
              <a:lumMod val="75000"/>
            </a:schemeClr>
          </a:solidFill>
          <a:ln>
            <a:noFill/>
          </a:ln>
          <a:effectLst/>
        </c:spPr>
        <c:dLbl>
          <c:idx val="0"/>
          <c:spPr>
            <a:noFill/>
            <a:ln>
              <a:noFill/>
            </a:ln>
            <a:effectLst/>
          </c:spPr>
          <c:txPr>
            <a:bodyPr rot="0" spcFirstLastPara="1" vertOverflow="overflow" horzOverflow="overflow" vert="horz" wrap="none" lIns="38100" tIns="19050" rIns="38100" bIns="19050" anchor="ctr" anchorCtr="0">
              <a:noAutofit/>
            </a:bodyPr>
            <a:lstStyle/>
            <a:p>
              <a:pPr>
                <a:defRPr sz="1200" b="0" i="0" u="none" strike="noStrike" kern="1200" baseline="0">
                  <a:solidFill>
                    <a:schemeClr val="bg1">
                      <a:lumMod val="95000"/>
                    </a:schemeClr>
                  </a:solidFill>
                  <a:latin typeface="+mn-lt"/>
                  <a:ea typeface="+mn-ea"/>
                  <a:cs typeface="+mn-cs"/>
                </a:defRPr>
              </a:pPr>
              <a:endParaRPr lang="en-US"/>
            </a:p>
          </c:txPr>
          <c:dLblPos val="ctr"/>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9.6935485124204537E-2"/>
                  <c:h val="4.1983464566929134E-2"/>
                </c:manualLayout>
              </c15:layout>
            </c:ext>
          </c:extLst>
        </c:dLbl>
      </c:pivotFmt>
      <c:pivotFmt>
        <c:idx val="17"/>
        <c:dLbl>
          <c:idx val="0"/>
          <c:spPr>
            <a:noFill/>
            <a:ln>
              <a:noFill/>
            </a:ln>
            <a:effectLst/>
          </c:spPr>
          <c:txPr>
            <a:bodyPr rot="0" spcFirstLastPara="1" vertOverflow="overflow" horzOverflow="overflow" vert="horz" wrap="none" lIns="38100" tIns="19050" rIns="38100" bIns="19050" anchor="ctr" anchorCtr="0">
              <a:noAutofit/>
            </a:bodyPr>
            <a:lstStyle/>
            <a:p>
              <a:pPr>
                <a:defRPr sz="1200" b="0" i="0" u="none" strike="noStrike" kern="1200" baseline="0">
                  <a:solidFill>
                    <a:schemeClr val="bg1">
                      <a:lumMod val="95000"/>
                    </a:schemeClr>
                  </a:solidFill>
                  <a:latin typeface="+mn-lt"/>
                  <a:ea typeface="+mn-ea"/>
                  <a:cs typeface="+mn-cs"/>
                </a:defRPr>
              </a:pPr>
              <a:endParaRPr lang="en-US"/>
            </a:p>
          </c:txPr>
          <c:dLblPos val="ctr"/>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0.12893532251055331"/>
                  <c:h val="4.8650131233595795E-2"/>
                </c:manualLayout>
              </c15:layout>
            </c:ext>
          </c:extLst>
        </c:dLbl>
      </c:pivotFmt>
      <c:pivotFmt>
        <c:idx val="18"/>
      </c:pivotFmt>
      <c:pivotFmt>
        <c:idx val="19"/>
        <c:dLbl>
          <c:idx val="0"/>
          <c:spPr>
            <a:noFill/>
            <a:ln>
              <a:noFill/>
            </a:ln>
            <a:effectLst/>
          </c:spPr>
          <c:txPr>
            <a:bodyPr rot="0" spcFirstLastPara="1" vertOverflow="overflow" horzOverflow="overflow" vert="horz" wrap="none" lIns="38100" tIns="19050" rIns="38100" bIns="19050" anchor="ctr" anchorCtr="0">
              <a:noAutofit/>
            </a:bodyPr>
            <a:lstStyle/>
            <a:p>
              <a:pPr>
                <a:defRPr sz="950" b="0" i="0" u="none" strike="noStrike" kern="1200" baseline="0">
                  <a:solidFill>
                    <a:schemeClr val="bg1">
                      <a:lumMod val="95000"/>
                    </a:schemeClr>
                  </a:solidFill>
                  <a:latin typeface="+mn-lt"/>
                  <a:ea typeface="+mn-ea"/>
                  <a:cs typeface="+mn-cs"/>
                </a:defRPr>
              </a:pPr>
              <a:endParaRPr lang="en-US"/>
            </a:p>
          </c:txPr>
          <c:dLblPos val="ctr"/>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0.67015166429030948"/>
                  <c:h val="0.16460006561679788"/>
                </c:manualLayout>
              </c15:layout>
            </c:ext>
          </c:extLst>
        </c:dLbl>
      </c:pivotFmt>
      <c:pivotFmt>
        <c:idx val="20"/>
        <c:dLbl>
          <c:idx val="0"/>
          <c:spPr>
            <a:noFill/>
            <a:ln>
              <a:noFill/>
            </a:ln>
            <a:effectLst/>
          </c:spPr>
          <c:txPr>
            <a:bodyPr rot="0" spcFirstLastPara="1" vertOverflow="overflow" horzOverflow="overflow" vert="horz" wrap="none" lIns="38100" tIns="19050" rIns="38100" bIns="19050" anchor="ctr" anchorCtr="0">
              <a:noAutofit/>
            </a:bodyPr>
            <a:lstStyle/>
            <a:p>
              <a:pPr>
                <a:defRPr sz="950" b="0" i="0" u="none" strike="noStrike" kern="1200" baseline="0">
                  <a:solidFill>
                    <a:schemeClr val="bg1">
                      <a:lumMod val="95000"/>
                    </a:schemeClr>
                  </a:solidFill>
                  <a:latin typeface="+mn-lt"/>
                  <a:ea typeface="+mn-ea"/>
                  <a:cs typeface="+mn-cs"/>
                </a:defRPr>
              </a:pPr>
              <a:endParaRPr lang="en-US"/>
            </a:p>
          </c:txPr>
          <c:dLblPos val="ctr"/>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0.21568106913458407"/>
                  <c:h val="8.7299999999999989E-2"/>
                </c:manualLayout>
              </c15:layout>
            </c:ext>
          </c:extLst>
        </c:dLbl>
      </c:pivotFmt>
      <c:pivotFmt>
        <c:idx val="21"/>
      </c:pivotFmt>
      <c:pivotFmt>
        <c:idx val="22"/>
      </c:pivotFmt>
      <c:pivotFmt>
        <c:idx val="23"/>
        <c:spPr>
          <a:solidFill>
            <a:schemeClr val="accent6">
              <a:lumMod val="75000"/>
            </a:schemeClr>
          </a:solidFill>
          <a:ln>
            <a:noFill/>
          </a:ln>
          <a:effectLst/>
        </c:spPr>
        <c:dLbl>
          <c:idx val="0"/>
          <c:spPr>
            <a:noFill/>
            <a:ln>
              <a:noFill/>
            </a:ln>
            <a:effectLst/>
          </c:spPr>
          <c:txPr>
            <a:bodyPr rot="0" spcFirstLastPara="1" vertOverflow="overflow" horzOverflow="overflow" vert="horz" wrap="none" lIns="38100" tIns="19050" rIns="38100" bIns="19050" anchor="ctr" anchorCtr="0">
              <a:noAutofit/>
            </a:bodyPr>
            <a:lstStyle/>
            <a:p>
              <a:pPr>
                <a:defRPr sz="1100" b="0" i="0" u="none" strike="noStrike" kern="1200" baseline="0">
                  <a:solidFill>
                    <a:schemeClr val="bg1">
                      <a:lumMod val="95000"/>
                    </a:schemeClr>
                  </a:solidFill>
                  <a:latin typeface="+mn-lt"/>
                  <a:ea typeface="+mn-ea"/>
                  <a:cs typeface="+mn-cs"/>
                </a:defRPr>
              </a:pPr>
              <a:endParaRPr lang="en-US"/>
            </a:p>
          </c:txPr>
          <c:dLblPos val="ctr"/>
          <c:showLegendKey val="0"/>
          <c:showVal val="0"/>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0.20838530811607525"/>
                  <c:h val="9.9533333333333335E-2"/>
                </c:manualLayout>
              </c15:layout>
            </c:ext>
          </c:extLst>
        </c:dLbl>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s>
    <c:plotArea>
      <c:layout/>
      <c:barChart>
        <c:barDir val="bar"/>
        <c:grouping val="clustered"/>
        <c:varyColors val="0"/>
        <c:ser>
          <c:idx val="0"/>
          <c:order val="0"/>
          <c:tx>
            <c:strRef>
              <c:f>Dashboard!$A$1</c:f>
              <c:strCache>
                <c:ptCount val="1"/>
                <c:pt idx="0">
                  <c:v>Total</c:v>
                </c:pt>
              </c:strCache>
            </c:strRef>
          </c:tx>
          <c:spPr>
            <a:solidFill>
              <a:schemeClr val="accent6">
                <a:lumMod val="75000"/>
              </a:schemeClr>
            </a:solidFill>
            <a:ln>
              <a:noFill/>
            </a:ln>
            <a:effectLst/>
          </c:spPr>
          <c:invertIfNegative val="0"/>
          <c:dPt>
            <c:idx val="8"/>
            <c:invertIfNegative val="0"/>
            <c:bubble3D val="0"/>
            <c:extLst>
              <c:ext xmlns:c16="http://schemas.microsoft.com/office/drawing/2014/chart" uri="{C3380CC4-5D6E-409C-BE32-E72D297353CC}">
                <c16:uniqueId val="{00000001-DD45-4A1D-9DFF-0CD77B979072}"/>
              </c:ext>
            </c:extLst>
          </c:dPt>
          <c:dLbls>
            <c:spPr>
              <a:noFill/>
              <a:ln>
                <a:noFill/>
              </a:ln>
              <a:effectLst/>
            </c:spPr>
            <c:txPr>
              <a:bodyPr rot="0" spcFirstLastPara="1" vertOverflow="ellipsis" vert="horz" wrap="none" lIns="38100" tIns="19050" rIns="38100" bIns="19050" anchor="ctr" anchorCtr="1">
                <a:spAutoFit/>
              </a:bodyPr>
              <a:lstStyle/>
              <a:p>
                <a:pPr>
                  <a:defRPr sz="1200" b="0" i="0" u="none" strike="noStrike" kern="1200" baseline="0">
                    <a:solidFill>
                      <a:schemeClr val="bg1">
                        <a:lumMod val="95000"/>
                      </a:schemeClr>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Dashboard!$A$1</c:f>
              <c:strCache>
                <c:ptCount val="10"/>
                <c:pt idx="0">
                  <c:v>Mad Max: Fury Road</c:v>
                </c:pt>
                <c:pt idx="1">
                  <c:v>The Lord of the Rings: The Two Towers</c:v>
                </c:pt>
                <c:pt idx="2">
                  <c:v>The Matrix</c:v>
                </c:pt>
                <c:pt idx="3">
                  <c:v>Raiders of the Lost Ark</c:v>
                </c:pt>
                <c:pt idx="4">
                  <c:v>The Lord of the Rings: The Fellowship of the Ring</c:v>
                </c:pt>
                <c:pt idx="5">
                  <c:v>The Lord of the Rings: The Return of the King</c:v>
                </c:pt>
                <c:pt idx="6">
                  <c:v>The Empire Strikes Back</c:v>
                </c:pt>
                <c:pt idx="7">
                  <c:v>Star Wars</c:v>
                </c:pt>
                <c:pt idx="8">
                  <c:v>Seven Samurai</c:v>
                </c:pt>
                <c:pt idx="9">
                  <c:v>The Dark Knight</c:v>
                </c:pt>
              </c:strCache>
            </c:strRef>
          </c:cat>
          <c:val>
            <c:numRef>
              <c:f>Dashboard!$A$1</c:f>
              <c:numCache>
                <c:formatCode>General</c:formatCode>
                <c:ptCount val="10"/>
                <c:pt idx="0">
                  <c:v>1</c:v>
                </c:pt>
                <c:pt idx="1">
                  <c:v>2</c:v>
                </c:pt>
                <c:pt idx="2">
                  <c:v>3</c:v>
                </c:pt>
                <c:pt idx="3">
                  <c:v>4</c:v>
                </c:pt>
                <c:pt idx="4">
                  <c:v>5</c:v>
                </c:pt>
                <c:pt idx="5">
                  <c:v>6</c:v>
                </c:pt>
                <c:pt idx="6">
                  <c:v>7</c:v>
                </c:pt>
                <c:pt idx="7">
                  <c:v>8</c:v>
                </c:pt>
                <c:pt idx="8">
                  <c:v>9</c:v>
                </c:pt>
                <c:pt idx="9">
                  <c:v>10</c:v>
                </c:pt>
              </c:numCache>
            </c:numRef>
          </c:val>
          <c:extLst>
            <c:ext xmlns:c16="http://schemas.microsoft.com/office/drawing/2014/chart" uri="{C3380CC4-5D6E-409C-BE32-E72D297353CC}">
              <c16:uniqueId val="{00000000-176F-43BD-93E6-998D0217575A}"/>
            </c:ext>
          </c:extLst>
        </c:ser>
        <c:dLbls>
          <c:showLegendKey val="0"/>
          <c:showVal val="1"/>
          <c:showCatName val="0"/>
          <c:showSerName val="0"/>
          <c:showPercent val="0"/>
          <c:showBubbleSize val="0"/>
        </c:dLbls>
        <c:gapWidth val="35"/>
        <c:axId val="1469774767"/>
        <c:axId val="1468567167"/>
      </c:barChart>
      <c:catAx>
        <c:axId val="1469774767"/>
        <c:scaling>
          <c:orientation val="minMax"/>
        </c:scaling>
        <c:delete val="1"/>
        <c:axPos val="l"/>
        <c:numFmt formatCode="General" sourceLinked="1"/>
        <c:majorTickMark val="out"/>
        <c:minorTickMark val="none"/>
        <c:tickLblPos val="nextTo"/>
        <c:crossAx val="1468567167"/>
        <c:crosses val="autoZero"/>
        <c:auto val="1"/>
        <c:lblAlgn val="ctr"/>
        <c:lblOffset val="100"/>
        <c:noMultiLvlLbl val="0"/>
      </c:catAx>
      <c:valAx>
        <c:axId val="1468567167"/>
        <c:scaling>
          <c:orientation val="minMax"/>
        </c:scaling>
        <c:delete val="1"/>
        <c:axPos val="b"/>
        <c:numFmt formatCode="General" sourceLinked="1"/>
        <c:majorTickMark val="none"/>
        <c:minorTickMark val="none"/>
        <c:tickLblPos val="nextTo"/>
        <c:crossAx val="14697747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[Movies_Data.xlsm]Top 10 all time!PivotTable1</c:name>
    <c:fmtId val="4"/>
  </c:pivotSource>
  <c:chart>
    <c:title>
      <c:tx>
        <c:rich>
          <a:bodyPr rot="0" spcFirstLastPara="1" vertOverflow="ellipsis" vert="horz" wrap="square" anchor="ctr" anchorCtr="1"/>
          <a:lstStyle/>
          <a:p>
            <a:pPr>
              <a:defRPr lang="en-US" sz="1400" b="0" i="0" u="none" strike="noStrike" kern="1200" spc="0" baseline="0">
                <a:solidFill>
                  <a:schemeClr val="tx1"/>
                </a:solidFill>
                <a:latin typeface="+mn-lt"/>
                <a:ea typeface="+mn-ea"/>
                <a:cs typeface="+mn-cs"/>
              </a:defRPr>
            </a:pPr>
            <a:r>
              <a:rPr lang="en-US" sz="1400" baseline="0">
                <a:solidFill>
                  <a:schemeClr val="bg1"/>
                </a:solidFill>
              </a:rPr>
              <a:t>Top 10 Movies of all time</a:t>
            </a:r>
          </a:p>
        </c:rich>
      </c:tx>
      <c:overlay val="0"/>
      <c:spPr>
        <a:noFill/>
        <a:ln>
          <a:noFill/>
        </a:ln>
        <a:effectLst/>
      </c:spPr>
      <c:txPr>
        <a:bodyPr rot="0" spcFirstLastPara="1" vertOverflow="ellipsis" vert="horz" wrap="square" anchor="ctr" anchorCtr="1"/>
        <a:lstStyle/>
        <a:p>
          <a:pPr>
            <a:defRPr lang="en-US"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horzOverflow="clip" vert="horz" wrap="none" lIns="38100" tIns="19050" rIns="38100" bIns="19050" anchor="ctr" anchorCtr="1">
              <a:spAutoFit/>
            </a:bodyPr>
            <a:lstStyle/>
            <a:p>
              <a:pPr>
                <a:defRPr lang="en-US" sz="900" b="0" i="0" u="none" strike="noStrike" kern="1200" baseline="0">
                  <a:solidFill>
                    <a:schemeClr val="accent2">
                      <a:lumMod val="7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horzOverflow="clip" vert="horz" wrap="none" lIns="38100" tIns="19050" rIns="38100" bIns="19050" anchor="ctr" anchorCtr="1">
              <a:spAutoFit/>
            </a:bodyPr>
            <a:lstStyle/>
            <a:p>
              <a:pPr>
                <a:defRPr lang="en-US" sz="900" b="0" i="0" u="none" strike="noStrike" kern="1200" baseline="0">
                  <a:solidFill>
                    <a:schemeClr val="accent2">
                      <a:lumMod val="7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solidFill>
            <a:srgbClr val="7030A0"/>
          </a:solidFill>
          <a:ln>
            <a:noFill/>
          </a:ln>
          <a:effectLst/>
        </c:spPr>
        <c:marker>
          <c:symbol val="none"/>
        </c:marker>
        <c:dLbl>
          <c:idx val="0"/>
          <c:spPr>
            <a:noFill/>
            <a:ln>
              <a:noFill/>
            </a:ln>
            <a:effectLst/>
          </c:spPr>
          <c:txPr>
            <a:bodyPr rot="0" spcFirstLastPara="1" vertOverflow="clip" horzOverflow="clip" vert="horz" wrap="square" lIns="36576" tIns="18288" rIns="36576" bIns="18288" anchor="ctr" anchorCtr="1">
              <a:spAutoFit/>
            </a:bodyPr>
            <a:lstStyle/>
            <a:p>
              <a:pPr>
                <a:defRPr lang="en-US" sz="1400" b="0" i="0" u="none" strike="noStrike" kern="1200" baseline="0">
                  <a:solidFill>
                    <a:srgbClr val="FFFF00"/>
                  </a:solidFill>
                  <a:latin typeface="+mn-lt"/>
                  <a:ea typeface="+mn-ea"/>
                  <a:cs typeface="+mn-cs"/>
                </a:defRPr>
              </a:pPr>
              <a:endParaRPr lang="en-US"/>
            </a:p>
          </c:txPr>
          <c:dLblPos val="ctr"/>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barChart>
        <c:barDir val="bar"/>
        <c:grouping val="clustered"/>
        <c:varyColors val="0"/>
        <c:ser>
          <c:idx val="0"/>
          <c:order val="0"/>
          <c:tx>
            <c:strRef>
              <c:f>'Top 10 all time'!$B$3</c:f>
              <c:strCache>
                <c:ptCount val="1"/>
                <c:pt idx="0">
                  <c:v>Total</c:v>
                </c:pt>
              </c:strCache>
            </c:strRef>
          </c:tx>
          <c:spPr>
            <a:solidFill>
              <a:srgbClr val="7030A0"/>
            </a:solidFill>
            <a:ln>
              <a:noFill/>
            </a:ln>
            <a:effectLst/>
          </c:spPr>
          <c:invertIfNegative val="0"/>
          <c:dLbls>
            <c:spPr>
              <a:noFill/>
              <a:ln>
                <a:noFill/>
              </a:ln>
              <a:effectLst/>
            </c:spPr>
            <c:txPr>
              <a:bodyPr rot="0" spcFirstLastPara="1" vertOverflow="clip" horzOverflow="clip" vert="horz" wrap="square" lIns="36576" tIns="18288" rIns="36576" bIns="18288" anchor="ctr" anchorCtr="1">
                <a:spAutoFit/>
              </a:bodyPr>
              <a:lstStyle/>
              <a:p>
                <a:pPr>
                  <a:defRPr lang="en-US" sz="1400" b="0" i="0" u="none" strike="noStrike" kern="1200" baseline="0">
                    <a:solidFill>
                      <a:srgbClr val="FFFF00"/>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'Top 10 all time'!$A$4:$A$14</c:f>
              <c:strCache>
                <c:ptCount val="10"/>
                <c:pt idx="0">
                  <c:v>Seven Samurai</c:v>
                </c:pt>
                <c:pt idx="1">
                  <c:v>The Godfather Part II</c:v>
                </c:pt>
                <c:pt idx="2">
                  <c:v>Psycho</c:v>
                </c:pt>
                <c:pt idx="3">
                  <c:v>The Dark Knight</c:v>
                </c:pt>
                <c:pt idx="4">
                  <c:v>Pulp Fiction</c:v>
                </c:pt>
                <c:pt idx="5">
                  <c:v>Casablanca</c:v>
                </c:pt>
                <c:pt idx="6">
                  <c:v>Apocalypse Now</c:v>
                </c:pt>
                <c:pt idx="7">
                  <c:v>GoodFellas</c:v>
                </c:pt>
                <c:pt idx="8">
                  <c:v>Citizen Kane</c:v>
                </c:pt>
                <c:pt idx="9">
                  <c:v>The Godfather</c:v>
                </c:pt>
              </c:strCache>
            </c:strRef>
          </c:cat>
          <c:val>
            <c:numRef>
              <c:f>'Top 10 all time'!$B$4:$B$14</c:f>
              <c:numCache>
                <c:formatCode>General</c:formatCode>
                <c:ptCount val="10"/>
                <c:pt idx="0">
                  <c:v>1</c:v>
                </c:pt>
                <c:pt idx="1">
                  <c:v>2</c:v>
                </c:pt>
                <c:pt idx="2">
                  <c:v>3</c:v>
                </c:pt>
                <c:pt idx="3">
                  <c:v>4</c:v>
                </c:pt>
                <c:pt idx="4">
                  <c:v>5</c:v>
                </c:pt>
                <c:pt idx="5">
                  <c:v>6</c:v>
                </c:pt>
                <c:pt idx="6">
                  <c:v>7</c:v>
                </c:pt>
                <c:pt idx="7">
                  <c:v>8</c:v>
                </c:pt>
                <c:pt idx="8">
                  <c:v>9</c:v>
                </c:pt>
                <c:pt idx="9">
                  <c:v>10</c:v>
                </c:pt>
              </c:numCache>
            </c:numRef>
          </c:val>
          <c:extLst>
            <c:ext xmlns:c16="http://schemas.microsoft.com/office/drawing/2014/chart" uri="{C3380CC4-5D6E-409C-BE32-E72D297353CC}">
              <c16:uniqueId val="{00000000-25E5-44DF-8FDE-28BDE5E2C8BC}"/>
            </c:ext>
          </c:extLst>
        </c:ser>
        <c:dLbls>
          <c:dLblPos val="outEnd"/>
          <c:showLegendKey val="0"/>
          <c:showVal val="1"/>
          <c:showCatName val="0"/>
          <c:showSerName val="0"/>
          <c:showPercent val="0"/>
          <c:showBubbleSize val="0"/>
        </c:dLbls>
        <c:gapWidth val="35"/>
        <c:axId val="1226885023"/>
        <c:axId val="1372134127"/>
      </c:barChart>
      <c:catAx>
        <c:axId val="1226885023"/>
        <c:scaling>
          <c:orientation val="minMax"/>
        </c:scaling>
        <c:delete val="1"/>
        <c:axPos val="l"/>
        <c:numFmt formatCode="General" sourceLinked="1"/>
        <c:majorTickMark val="none"/>
        <c:minorTickMark val="none"/>
        <c:tickLblPos val="nextTo"/>
        <c:crossAx val="1372134127"/>
        <c:crosses val="autoZero"/>
        <c:auto val="1"/>
        <c:lblAlgn val="ctr"/>
        <c:lblOffset val="100"/>
        <c:noMultiLvlLbl val="0"/>
      </c:catAx>
      <c:valAx>
        <c:axId val="1372134127"/>
        <c:scaling>
          <c:orientation val="minMax"/>
        </c:scaling>
        <c:delete val="1"/>
        <c:axPos val="b"/>
        <c:numFmt formatCode="General" sourceLinked="1"/>
        <c:majorTickMark val="none"/>
        <c:minorTickMark val="none"/>
        <c:tickLblPos val="nextTo"/>
        <c:crossAx val="12268850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95000"/>
        <a:lumOff val="5000"/>
      </a:schemeClr>
    </a:solid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[Movies_Data.xlsm]Top of the year!PivotTable3</c:name>
    <c:fmtId val="4"/>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aseline="0">
                <a:solidFill>
                  <a:schemeClr val="bg1"/>
                </a:solidFill>
              </a:rPr>
              <a:t>Top Movies of the year</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6">
              <a:lumMod val="75000"/>
            </a:schemeClr>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1200" b="0" i="0" u="none" strike="noStrike" kern="1200" baseline="0">
                  <a:solidFill>
                    <a:schemeClr val="bg1">
                      <a:lumMod val="95000"/>
                    </a:schemeClr>
                  </a:solidFill>
                  <a:latin typeface="+mn-lt"/>
                  <a:ea typeface="+mn-ea"/>
                  <a:cs typeface="+mn-cs"/>
                </a:defRPr>
              </a:pPr>
              <a:endParaRPr lang="en-US"/>
            </a:p>
          </c:txPr>
          <c:dLblPos val="ctr"/>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barChart>
        <c:barDir val="bar"/>
        <c:grouping val="clustered"/>
        <c:varyColors val="0"/>
        <c:ser>
          <c:idx val="0"/>
          <c:order val="0"/>
          <c:tx>
            <c:strRef>
              <c:f>'Top of the year'!$B$3</c:f>
              <c:strCache>
                <c:ptCount val="1"/>
                <c:pt idx="0">
                  <c:v>Total</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none" lIns="38100" tIns="19050" rIns="38100" bIns="19050" anchor="ctr" anchorCtr="1">
                <a:spAutoFit/>
              </a:bodyPr>
              <a:lstStyle/>
              <a:p>
                <a:pPr>
                  <a:defRPr sz="1200" b="0" i="0" u="none" strike="noStrike" kern="1200" baseline="0">
                    <a:solidFill>
                      <a:schemeClr val="bg1">
                        <a:lumMod val="95000"/>
                      </a:schemeClr>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'Top of the year'!$A$4:$A$12</c:f>
              <c:strCache>
                <c:ptCount val="8"/>
                <c:pt idx="0">
                  <c:v>Crash</c:v>
                </c:pt>
                <c:pt idx="1">
                  <c:v>The Watermelon Woman</c:v>
                </c:pt>
                <c:pt idx="2">
                  <c:v>Waiting for Guffman</c:v>
                </c:pt>
                <c:pt idx="3">
                  <c:v>Trainspotting</c:v>
                </c:pt>
                <c:pt idx="4">
                  <c:v>Breaking the Waves</c:v>
                </c:pt>
                <c:pt idx="5">
                  <c:v>Secrets &amp; Lies</c:v>
                </c:pt>
                <c:pt idx="6">
                  <c:v>Intolerance</c:v>
                </c:pt>
                <c:pt idx="7">
                  <c:v>Fargo</c:v>
                </c:pt>
              </c:strCache>
            </c:strRef>
          </c:cat>
          <c:val>
            <c:numRef>
              <c:f>'Top of the year'!$B$4:$B$12</c:f>
              <c:numCache>
                <c:formatCode>General</c:formatCode>
                <c:ptCount val="8"/>
                <c:pt idx="0">
                  <c:v>1</c:v>
                </c:pt>
                <c:pt idx="1">
                  <c:v>2</c:v>
                </c:pt>
                <c:pt idx="2">
                  <c:v>3</c:v>
                </c:pt>
                <c:pt idx="3">
                  <c:v>4</c:v>
                </c:pt>
                <c:pt idx="4">
                  <c:v>5</c:v>
                </c:pt>
                <c:pt idx="5">
                  <c:v>6</c:v>
                </c:pt>
                <c:pt idx="6">
                  <c:v>7</c:v>
                </c:pt>
                <c:pt idx="7">
                  <c:v>8</c:v>
                </c:pt>
              </c:numCache>
            </c:numRef>
          </c:val>
          <c:extLst>
            <c:ext xmlns:c16="http://schemas.microsoft.com/office/drawing/2014/chart" uri="{C3380CC4-5D6E-409C-BE32-E72D297353CC}">
              <c16:uniqueId val="{00000000-2115-48E6-A21E-F9828E68495A}"/>
            </c:ext>
          </c:extLst>
        </c:ser>
        <c:dLbls>
          <c:dLblPos val="outEnd"/>
          <c:showLegendKey val="0"/>
          <c:showVal val="1"/>
          <c:showCatName val="0"/>
          <c:showSerName val="0"/>
          <c:showPercent val="0"/>
          <c:showBubbleSize val="0"/>
        </c:dLbls>
        <c:gapWidth val="35"/>
        <c:axId val="1536073903"/>
        <c:axId val="1372152975"/>
      </c:barChart>
      <c:catAx>
        <c:axId val="1536073903"/>
        <c:scaling>
          <c:orientation val="minMax"/>
        </c:scaling>
        <c:delete val="1"/>
        <c:axPos val="l"/>
        <c:numFmt formatCode="General" sourceLinked="1"/>
        <c:majorTickMark val="none"/>
        <c:minorTickMark val="none"/>
        <c:tickLblPos val="nextTo"/>
        <c:crossAx val="1372152975"/>
        <c:crosses val="autoZero"/>
        <c:auto val="1"/>
        <c:lblAlgn val="ctr"/>
        <c:lblOffset val="100"/>
        <c:noMultiLvlLbl val="0"/>
      </c:catAx>
      <c:valAx>
        <c:axId val="1372152975"/>
        <c:scaling>
          <c:orientation val="minMax"/>
        </c:scaling>
        <c:delete val="1"/>
        <c:axPos val="b"/>
        <c:numFmt formatCode="General" sourceLinked="1"/>
        <c:majorTickMark val="none"/>
        <c:minorTickMark val="none"/>
        <c:tickLblPos val="nextTo"/>
        <c:crossAx val="15360739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[Movies_Data.xlsm]Sheet2!PivotTable1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Sheet2!$B$22</c:f>
              <c:strCache>
                <c:ptCount val="1"/>
                <c:pt idx="0">
                  <c:v>Total</c:v>
                </c:pt>
              </c:strCache>
            </c:strRef>
          </c:tx>
          <c:spPr>
            <a:solidFill>
              <a:schemeClr val="accent1"/>
            </a:solidFill>
            <a:ln>
              <a:noFill/>
            </a:ln>
            <a:effectLst/>
          </c:spPr>
          <c:invertIfNegative val="0"/>
          <c:cat>
            <c:strRef>
              <c:f>Sheet2!$A$23:$A$33</c:f>
              <c:strCache>
                <c:ptCount val="10"/>
                <c:pt idx="0">
                  <c:v>Mad Max: Fury Road</c:v>
                </c:pt>
                <c:pt idx="1">
                  <c:v>The Lord of the Rings: The Two Towers</c:v>
                </c:pt>
                <c:pt idx="2">
                  <c:v>The Matrix</c:v>
                </c:pt>
                <c:pt idx="3">
                  <c:v>Raiders of the Lost Ark</c:v>
                </c:pt>
                <c:pt idx="4">
                  <c:v>The Lord of the Rings: The Fellowship of the Ring</c:v>
                </c:pt>
                <c:pt idx="5">
                  <c:v>The Lord of the Rings: The Return of the King</c:v>
                </c:pt>
                <c:pt idx="6">
                  <c:v>The Empire Strikes Back</c:v>
                </c:pt>
                <c:pt idx="7">
                  <c:v>Star Wars</c:v>
                </c:pt>
                <c:pt idx="8">
                  <c:v>Seven Samurai</c:v>
                </c:pt>
                <c:pt idx="9">
                  <c:v>The Dark Knight</c:v>
                </c:pt>
              </c:strCache>
            </c:strRef>
          </c:cat>
          <c:val>
            <c:numRef>
              <c:f>Sheet2!$B$23:$B$33</c:f>
              <c:numCache>
                <c:formatCode>General</c:formatCode>
                <c:ptCount val="10"/>
                <c:pt idx="0">
                  <c:v>1</c:v>
                </c:pt>
                <c:pt idx="1">
                  <c:v>2</c:v>
                </c:pt>
                <c:pt idx="2">
                  <c:v>3</c:v>
                </c:pt>
                <c:pt idx="3">
                  <c:v>4</c:v>
                </c:pt>
                <c:pt idx="4">
                  <c:v>5</c:v>
                </c:pt>
                <c:pt idx="5">
                  <c:v>6</c:v>
                </c:pt>
                <c:pt idx="6">
                  <c:v>7</c:v>
                </c:pt>
                <c:pt idx="7">
                  <c:v>8</c:v>
                </c:pt>
                <c:pt idx="8">
                  <c:v>9</c:v>
                </c:pt>
                <c:pt idx="9">
                  <c:v>10</c:v>
                </c:pt>
              </c:numCache>
            </c:numRef>
          </c:val>
          <c:extLst>
            <c:ext xmlns:c16="http://schemas.microsoft.com/office/drawing/2014/chart" uri="{C3380CC4-5D6E-409C-BE32-E72D297353CC}">
              <c16:uniqueId val="{00000000-74EA-4B71-9A7E-589E08EC6212}"/>
            </c:ext>
          </c:extLst>
        </c:ser>
        <c:dLbls>
          <c:showLegendKey val="0"/>
          <c:showVal val="0"/>
          <c:showCatName val="0"/>
          <c:showSerName val="0"/>
          <c:showPercent val="0"/>
          <c:showBubbleSize val="0"/>
        </c:dLbls>
        <c:gapWidth val="182"/>
        <c:axId val="1469774767"/>
        <c:axId val="1468567167"/>
      </c:barChart>
      <c:catAx>
        <c:axId val="14697747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8567167"/>
        <c:crosses val="autoZero"/>
        <c:auto val="1"/>
        <c:lblAlgn val="ctr"/>
        <c:lblOffset val="100"/>
        <c:noMultiLvlLbl val="0"/>
      </c:catAx>
      <c:valAx>
        <c:axId val="146856716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97747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[Movies_Data.xlsm]Top 10 all time!PivotTable1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10 Movies</a:t>
            </a:r>
            <a:r>
              <a:rPr lang="en-US" baseline="0"/>
              <a:t> of all time</a:t>
            </a:r>
            <a:endParaRPr lang="en-US"/>
          </a:p>
        </c:rich>
      </c:tx>
      <c:overlay val="0"/>
      <c:spPr>
        <a:noFill/>
        <a:ln>
          <a:noFill/>
        </a:ln>
        <a:effectLst/>
      </c:sp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900" b="0" i="0" u="none" strike="noStrike" kern="1200" baseline="0">
                  <a:solidFill>
                    <a:schemeClr val="accent2">
                      <a:lumMod val="75000"/>
                    </a:schemeClr>
                  </a:solidFill>
                  <a:latin typeface="+mn-lt"/>
                  <a:ea typeface="+mn-ea"/>
                  <a:cs typeface="+mn-cs"/>
                </a:defRPr>
              </a:pPr>
              <a:endParaRPr lang="en-US"/>
            </a:p>
          </c:txPr>
          <c:dLblPos val="inBase"/>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barChart>
        <c:barDir val="bar"/>
        <c:grouping val="clustered"/>
        <c:varyColors val="0"/>
        <c:ser>
          <c:idx val="0"/>
          <c:order val="0"/>
          <c:tx>
            <c:strRef>
              <c:f>'Top 10 all time'!$B$3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none" lIns="38100" tIns="19050" rIns="38100" bIns="19050" anchor="ctr" anchorCtr="1">
                <a:spAutoFit/>
              </a:bodyPr>
              <a:lstStyle/>
              <a:p>
                <a:pPr>
                  <a:defRPr sz="900" b="0" i="0" u="none" strike="noStrike" kern="1200" baseline="0">
                    <a:solidFill>
                      <a:schemeClr val="accent2">
                        <a:lumMod val="7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'Top 10 all time'!$A$4:$A$14</c:f>
              <c:strCache>
                <c:ptCount val="10"/>
                <c:pt idx="0">
                  <c:v>Seven Samurai</c:v>
                </c:pt>
                <c:pt idx="1">
                  <c:v>The Godfather Part II</c:v>
                </c:pt>
                <c:pt idx="2">
                  <c:v>Psycho</c:v>
                </c:pt>
                <c:pt idx="3">
                  <c:v>The Dark Knight</c:v>
                </c:pt>
                <c:pt idx="4">
                  <c:v>Pulp Fiction</c:v>
                </c:pt>
                <c:pt idx="5">
                  <c:v>Casablanca</c:v>
                </c:pt>
                <c:pt idx="6">
                  <c:v>Apocalypse Now</c:v>
                </c:pt>
                <c:pt idx="7">
                  <c:v>GoodFellas</c:v>
                </c:pt>
                <c:pt idx="8">
                  <c:v>Citizen Kane</c:v>
                </c:pt>
                <c:pt idx="9">
                  <c:v>The Godfather</c:v>
                </c:pt>
              </c:strCache>
            </c:strRef>
          </c:cat>
          <c:val>
            <c:numRef>
              <c:f>'Top 10 all time'!$B$4:$B$14</c:f>
              <c:numCache>
                <c:formatCode>General</c:formatCode>
                <c:ptCount val="10"/>
                <c:pt idx="0">
                  <c:v>1</c:v>
                </c:pt>
                <c:pt idx="1">
                  <c:v>2</c:v>
                </c:pt>
                <c:pt idx="2">
                  <c:v>3</c:v>
                </c:pt>
                <c:pt idx="3">
                  <c:v>4</c:v>
                </c:pt>
                <c:pt idx="4">
                  <c:v>5</c:v>
                </c:pt>
                <c:pt idx="5">
                  <c:v>6</c:v>
                </c:pt>
                <c:pt idx="6">
                  <c:v>7</c:v>
                </c:pt>
                <c:pt idx="7">
                  <c:v>8</c:v>
                </c:pt>
                <c:pt idx="8">
                  <c:v>9</c:v>
                </c:pt>
                <c:pt idx="9">
                  <c:v>10</c:v>
                </c:pt>
              </c:numCache>
            </c:numRef>
          </c:val>
          <c:extLst>
            <c:ext xmlns:c16="http://schemas.microsoft.com/office/drawing/2014/chart" uri="{C3380CC4-5D6E-409C-BE32-E72D297353CC}">
              <c16:uniqueId val="{00000000-2364-4ACB-B4AF-ABA0F8890E83}"/>
            </c:ext>
          </c:extLst>
        </c:ser>
        <c:dLbls>
          <c:dLblPos val="outEnd"/>
          <c:showLegendKey val="0"/>
          <c:showVal val="1"/>
          <c:showCatName val="0"/>
          <c:showSerName val="0"/>
          <c:showPercent val="0"/>
          <c:showBubbleSize val="0"/>
        </c:dLbls>
        <c:gapWidth val="182"/>
        <c:axId val="1226885023"/>
        <c:axId val="1372134127"/>
      </c:barChart>
      <c:catAx>
        <c:axId val="1226885023"/>
        <c:scaling>
          <c:orientation val="minMax"/>
        </c:scaling>
        <c:delete val="1"/>
        <c:axPos val="l"/>
        <c:numFmt formatCode="General" sourceLinked="1"/>
        <c:majorTickMark val="none"/>
        <c:minorTickMark val="none"/>
        <c:tickLblPos val="nextTo"/>
        <c:crossAx val="1372134127"/>
        <c:crosses val="autoZero"/>
        <c:auto val="1"/>
        <c:lblAlgn val="ctr"/>
        <c:lblOffset val="100"/>
        <c:noMultiLvlLbl val="0"/>
      </c:catAx>
      <c:valAx>
        <c:axId val="1372134127"/>
        <c:scaling>
          <c:orientation val="minMax"/>
        </c:scaling>
        <c:delete val="1"/>
        <c:axPos val="b"/>
        <c:numFmt formatCode="General" sourceLinked="1"/>
        <c:majorTickMark val="none"/>
        <c:minorTickMark val="none"/>
        <c:tickLblPos val="nextTo"/>
        <c:crossAx val="12268850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[Movies_Data.xlsm]Top of the year!PivotTable3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of the year'!$B$3</c:f>
              <c:strCache>
                <c:ptCount val="1"/>
                <c:pt idx="0">
                  <c:v>Total</c:v>
                </c:pt>
              </c:strCache>
            </c:strRef>
          </c:tx>
          <c:spPr>
            <a:solidFill>
              <a:schemeClr val="accent1"/>
            </a:solidFill>
            <a:ln>
              <a:noFill/>
            </a:ln>
            <a:effectLst/>
          </c:spPr>
          <c:invertIfNegative val="0"/>
          <c:cat>
            <c:strRef>
              <c:f>'Top of the year'!$A$4:$A$12</c:f>
              <c:strCache>
                <c:ptCount val="8"/>
                <c:pt idx="0">
                  <c:v>Crash</c:v>
                </c:pt>
                <c:pt idx="1">
                  <c:v>The Watermelon Woman</c:v>
                </c:pt>
                <c:pt idx="2">
                  <c:v>Waiting for Guffman</c:v>
                </c:pt>
                <c:pt idx="3">
                  <c:v>Trainspotting</c:v>
                </c:pt>
                <c:pt idx="4">
                  <c:v>Breaking the Waves</c:v>
                </c:pt>
                <c:pt idx="5">
                  <c:v>Secrets &amp; Lies</c:v>
                </c:pt>
                <c:pt idx="6">
                  <c:v>Intolerance</c:v>
                </c:pt>
                <c:pt idx="7">
                  <c:v>Fargo</c:v>
                </c:pt>
              </c:strCache>
            </c:strRef>
          </c:cat>
          <c:val>
            <c:numRef>
              <c:f>'Top of the year'!$B$4:$B$12</c:f>
              <c:numCache>
                <c:formatCode>General</c:formatCode>
                <c:ptCount val="8"/>
                <c:pt idx="0">
                  <c:v>1</c:v>
                </c:pt>
                <c:pt idx="1">
                  <c:v>2</c:v>
                </c:pt>
                <c:pt idx="2">
                  <c:v>3</c:v>
                </c:pt>
                <c:pt idx="3">
                  <c:v>4</c:v>
                </c:pt>
                <c:pt idx="4">
                  <c:v>5</c:v>
                </c:pt>
                <c:pt idx="5">
                  <c:v>6</c:v>
                </c:pt>
                <c:pt idx="6">
                  <c:v>7</c:v>
                </c:pt>
                <c:pt idx="7">
                  <c:v>8</c:v>
                </c:pt>
              </c:numCache>
            </c:numRef>
          </c:val>
          <c:extLst>
            <c:ext xmlns:c16="http://schemas.microsoft.com/office/drawing/2014/chart" uri="{C3380CC4-5D6E-409C-BE32-E72D297353CC}">
              <c16:uniqueId val="{00000000-8977-4B5F-8554-4F906F20A3C4}"/>
            </c:ext>
          </c:extLst>
        </c:ser>
        <c:dLbls>
          <c:showLegendKey val="0"/>
          <c:showVal val="0"/>
          <c:showCatName val="0"/>
          <c:showSerName val="0"/>
          <c:showPercent val="0"/>
          <c:showBubbleSize val="0"/>
        </c:dLbls>
        <c:gapWidth val="182"/>
        <c:axId val="1536073903"/>
        <c:axId val="1372152975"/>
      </c:barChart>
      <c:catAx>
        <c:axId val="15360739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2152975"/>
        <c:crosses val="autoZero"/>
        <c:auto val="1"/>
        <c:lblAlgn val="ctr"/>
        <c:lblOffset val="100"/>
        <c:noMultiLvlLbl val="0"/>
      </c:catAx>
      <c:valAx>
        <c:axId val="137215297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60739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max="100" page="10" val="80"/>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10</xdr:col>
      <xdr:colOff>0</xdr:colOff>
      <xdr:row>1</xdr:row>
      <xdr:rowOff>0</xdr:rowOff>
    </xdr:from>
    <xdr:to>
      <xdr:col>11</xdr:col>
      <xdr:colOff>0</xdr:colOff>
      <xdr:row>2</xdr:row>
      <xdr:rowOff>0</xdr:rowOff>
    </xdr:to>
    <xdr:sp macro="[0]!Action" textlink="">
      <xdr:nvSpPr>
        <xdr:cNvPr id="5" name="Rectangle 4">
          <a:extLst>
            <a:ext uri="{FF2B5EF4-FFF2-40B4-BE49-F238E27FC236}">
              <a16:creationId xmlns:a16="http://schemas.microsoft.com/office/drawing/2014/main" id="{00000000-0008-0000-0100-000005000000}"/>
            </a:ext>
          </a:extLst>
        </xdr:cNvPr>
        <xdr:cNvSpPr/>
      </xdr:nvSpPr>
      <xdr:spPr>
        <a:xfrm>
          <a:off x="6705600" y="190500"/>
          <a:ext cx="952500" cy="190500"/>
        </a:xfrm>
        <a:prstGeom prst="rect">
          <a:avLst/>
        </a:prstGeom>
        <a:solidFill>
          <a:schemeClr val="accent1">
            <a:alpha val="0"/>
          </a:scheme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0</xdr:colOff>
      <xdr:row>2</xdr:row>
      <xdr:rowOff>0</xdr:rowOff>
    </xdr:from>
    <xdr:to>
      <xdr:col>11</xdr:col>
      <xdr:colOff>0</xdr:colOff>
      <xdr:row>3</xdr:row>
      <xdr:rowOff>0</xdr:rowOff>
    </xdr:to>
    <xdr:sp macro="[0]!Adventure" textlink="">
      <xdr:nvSpPr>
        <xdr:cNvPr id="6" name="Rectangle 5">
          <a:extLst>
            <a:ext uri="{FF2B5EF4-FFF2-40B4-BE49-F238E27FC236}">
              <a16:creationId xmlns:a16="http://schemas.microsoft.com/office/drawing/2014/main" id="{00000000-0008-0000-0100-000006000000}"/>
            </a:ext>
          </a:extLst>
        </xdr:cNvPr>
        <xdr:cNvSpPr/>
      </xdr:nvSpPr>
      <xdr:spPr>
        <a:xfrm>
          <a:off x="6705600" y="381000"/>
          <a:ext cx="952500" cy="190500"/>
        </a:xfrm>
        <a:prstGeom prst="rect">
          <a:avLst/>
        </a:prstGeom>
        <a:solidFill>
          <a:schemeClr val="accent1">
            <a:alpha val="0"/>
          </a:scheme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0</xdr:colOff>
      <xdr:row>3</xdr:row>
      <xdr:rowOff>0</xdr:rowOff>
    </xdr:from>
    <xdr:to>
      <xdr:col>11</xdr:col>
      <xdr:colOff>0</xdr:colOff>
      <xdr:row>4</xdr:row>
      <xdr:rowOff>0</xdr:rowOff>
    </xdr:to>
    <xdr:sp macro="[0]!Animation" textlink="">
      <xdr:nvSpPr>
        <xdr:cNvPr id="7" name="Rectangle 6">
          <a:extLst>
            <a:ext uri="{FF2B5EF4-FFF2-40B4-BE49-F238E27FC236}">
              <a16:creationId xmlns:a16="http://schemas.microsoft.com/office/drawing/2014/main" id="{00000000-0008-0000-0100-000007000000}"/>
            </a:ext>
          </a:extLst>
        </xdr:cNvPr>
        <xdr:cNvSpPr/>
      </xdr:nvSpPr>
      <xdr:spPr>
        <a:xfrm>
          <a:off x="6705600" y="571500"/>
          <a:ext cx="952500" cy="190500"/>
        </a:xfrm>
        <a:prstGeom prst="rect">
          <a:avLst/>
        </a:prstGeom>
        <a:solidFill>
          <a:schemeClr val="accent1">
            <a:alpha val="0"/>
          </a:scheme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0</xdr:colOff>
      <xdr:row>4</xdr:row>
      <xdr:rowOff>0</xdr:rowOff>
    </xdr:from>
    <xdr:to>
      <xdr:col>11</xdr:col>
      <xdr:colOff>0</xdr:colOff>
      <xdr:row>5</xdr:row>
      <xdr:rowOff>0</xdr:rowOff>
    </xdr:to>
    <xdr:sp macro="[0]!Comedy" textlink="">
      <xdr:nvSpPr>
        <xdr:cNvPr id="8" name="Rectangle 7">
          <a:extLst>
            <a:ext uri="{FF2B5EF4-FFF2-40B4-BE49-F238E27FC236}">
              <a16:creationId xmlns:a16="http://schemas.microsoft.com/office/drawing/2014/main" id="{00000000-0008-0000-0100-000008000000}"/>
            </a:ext>
          </a:extLst>
        </xdr:cNvPr>
        <xdr:cNvSpPr/>
      </xdr:nvSpPr>
      <xdr:spPr>
        <a:xfrm>
          <a:off x="6705600" y="762000"/>
          <a:ext cx="952500" cy="190500"/>
        </a:xfrm>
        <a:prstGeom prst="rect">
          <a:avLst/>
        </a:prstGeom>
        <a:solidFill>
          <a:schemeClr val="accent1">
            <a:alpha val="0"/>
          </a:scheme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0</xdr:colOff>
      <xdr:row>5</xdr:row>
      <xdr:rowOff>0</xdr:rowOff>
    </xdr:from>
    <xdr:to>
      <xdr:col>11</xdr:col>
      <xdr:colOff>0</xdr:colOff>
      <xdr:row>6</xdr:row>
      <xdr:rowOff>0</xdr:rowOff>
    </xdr:to>
    <xdr:sp macro="[0]!Crime" textlink="">
      <xdr:nvSpPr>
        <xdr:cNvPr id="9" name="Rectangle 8">
          <a:extLst>
            <a:ext uri="{FF2B5EF4-FFF2-40B4-BE49-F238E27FC236}">
              <a16:creationId xmlns:a16="http://schemas.microsoft.com/office/drawing/2014/main" id="{00000000-0008-0000-0100-000009000000}"/>
            </a:ext>
          </a:extLst>
        </xdr:cNvPr>
        <xdr:cNvSpPr/>
      </xdr:nvSpPr>
      <xdr:spPr>
        <a:xfrm>
          <a:off x="6705600" y="952500"/>
          <a:ext cx="952500" cy="190500"/>
        </a:xfrm>
        <a:prstGeom prst="rect">
          <a:avLst/>
        </a:prstGeom>
        <a:solidFill>
          <a:schemeClr val="accent1">
            <a:alpha val="0"/>
          </a:scheme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0</xdr:colOff>
      <xdr:row>6</xdr:row>
      <xdr:rowOff>0</xdr:rowOff>
    </xdr:from>
    <xdr:to>
      <xdr:col>11</xdr:col>
      <xdr:colOff>0</xdr:colOff>
      <xdr:row>7</xdr:row>
      <xdr:rowOff>0</xdr:rowOff>
    </xdr:to>
    <xdr:sp macro="[0]!Documentary" textlink="">
      <xdr:nvSpPr>
        <xdr:cNvPr id="10" name="Rectangle 9">
          <a:extLst>
            <a:ext uri="{FF2B5EF4-FFF2-40B4-BE49-F238E27FC236}">
              <a16:creationId xmlns:a16="http://schemas.microsoft.com/office/drawing/2014/main" id="{00000000-0008-0000-0100-00000A000000}"/>
            </a:ext>
          </a:extLst>
        </xdr:cNvPr>
        <xdr:cNvSpPr/>
      </xdr:nvSpPr>
      <xdr:spPr>
        <a:xfrm>
          <a:off x="6705600" y="1143000"/>
          <a:ext cx="952500" cy="190500"/>
        </a:xfrm>
        <a:prstGeom prst="rect">
          <a:avLst/>
        </a:prstGeom>
        <a:solidFill>
          <a:schemeClr val="accent1">
            <a:alpha val="0"/>
          </a:scheme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0</xdr:colOff>
      <xdr:row>7</xdr:row>
      <xdr:rowOff>0</xdr:rowOff>
    </xdr:from>
    <xdr:to>
      <xdr:col>11</xdr:col>
      <xdr:colOff>0</xdr:colOff>
      <xdr:row>8</xdr:row>
      <xdr:rowOff>0</xdr:rowOff>
    </xdr:to>
    <xdr:sp macro="[0]!Drama" textlink="">
      <xdr:nvSpPr>
        <xdr:cNvPr id="11" name="Rectangle 10">
          <a:extLst>
            <a:ext uri="{FF2B5EF4-FFF2-40B4-BE49-F238E27FC236}">
              <a16:creationId xmlns:a16="http://schemas.microsoft.com/office/drawing/2014/main" id="{00000000-0008-0000-0100-00000B000000}"/>
            </a:ext>
          </a:extLst>
        </xdr:cNvPr>
        <xdr:cNvSpPr/>
      </xdr:nvSpPr>
      <xdr:spPr>
        <a:xfrm>
          <a:off x="6705600" y="1333500"/>
          <a:ext cx="952500" cy="190500"/>
        </a:xfrm>
        <a:prstGeom prst="rect">
          <a:avLst/>
        </a:prstGeom>
        <a:solidFill>
          <a:schemeClr val="accent1">
            <a:alpha val="0"/>
          </a:scheme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0</xdr:colOff>
      <xdr:row>8</xdr:row>
      <xdr:rowOff>0</xdr:rowOff>
    </xdr:from>
    <xdr:to>
      <xdr:col>11</xdr:col>
      <xdr:colOff>0</xdr:colOff>
      <xdr:row>9</xdr:row>
      <xdr:rowOff>0</xdr:rowOff>
    </xdr:to>
    <xdr:sp macro="[0]!Family" textlink="">
      <xdr:nvSpPr>
        <xdr:cNvPr id="12" name="Rectangle 11">
          <a:extLst>
            <a:ext uri="{FF2B5EF4-FFF2-40B4-BE49-F238E27FC236}">
              <a16:creationId xmlns:a16="http://schemas.microsoft.com/office/drawing/2014/main" id="{00000000-0008-0000-0100-00000C000000}"/>
            </a:ext>
          </a:extLst>
        </xdr:cNvPr>
        <xdr:cNvSpPr/>
      </xdr:nvSpPr>
      <xdr:spPr>
        <a:xfrm>
          <a:off x="6705600" y="1524000"/>
          <a:ext cx="952500" cy="190500"/>
        </a:xfrm>
        <a:prstGeom prst="rect">
          <a:avLst/>
        </a:prstGeom>
        <a:solidFill>
          <a:schemeClr val="accent1">
            <a:alpha val="0"/>
          </a:scheme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0</xdr:colOff>
      <xdr:row>9</xdr:row>
      <xdr:rowOff>0</xdr:rowOff>
    </xdr:from>
    <xdr:to>
      <xdr:col>11</xdr:col>
      <xdr:colOff>0</xdr:colOff>
      <xdr:row>10</xdr:row>
      <xdr:rowOff>0</xdr:rowOff>
    </xdr:to>
    <xdr:sp macro="[0]!Fantasy" textlink="">
      <xdr:nvSpPr>
        <xdr:cNvPr id="13" name="Rectangle 12">
          <a:extLst>
            <a:ext uri="{FF2B5EF4-FFF2-40B4-BE49-F238E27FC236}">
              <a16:creationId xmlns:a16="http://schemas.microsoft.com/office/drawing/2014/main" id="{00000000-0008-0000-0100-00000D000000}"/>
            </a:ext>
          </a:extLst>
        </xdr:cNvPr>
        <xdr:cNvSpPr/>
      </xdr:nvSpPr>
      <xdr:spPr>
        <a:xfrm>
          <a:off x="6705600" y="1714500"/>
          <a:ext cx="952500" cy="190500"/>
        </a:xfrm>
        <a:prstGeom prst="rect">
          <a:avLst/>
        </a:prstGeom>
        <a:solidFill>
          <a:schemeClr val="accent1">
            <a:alpha val="0"/>
          </a:scheme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0</xdr:colOff>
      <xdr:row>10</xdr:row>
      <xdr:rowOff>0</xdr:rowOff>
    </xdr:from>
    <xdr:to>
      <xdr:col>11</xdr:col>
      <xdr:colOff>0</xdr:colOff>
      <xdr:row>11</xdr:row>
      <xdr:rowOff>0</xdr:rowOff>
    </xdr:to>
    <xdr:sp macro="[0]!History" textlink="">
      <xdr:nvSpPr>
        <xdr:cNvPr id="14" name="Rectangle 13">
          <a:extLst>
            <a:ext uri="{FF2B5EF4-FFF2-40B4-BE49-F238E27FC236}">
              <a16:creationId xmlns:a16="http://schemas.microsoft.com/office/drawing/2014/main" id="{00000000-0008-0000-0100-00000E000000}"/>
            </a:ext>
          </a:extLst>
        </xdr:cNvPr>
        <xdr:cNvSpPr/>
      </xdr:nvSpPr>
      <xdr:spPr>
        <a:xfrm>
          <a:off x="6705600" y="1905000"/>
          <a:ext cx="952500" cy="190500"/>
        </a:xfrm>
        <a:prstGeom prst="rect">
          <a:avLst/>
        </a:prstGeom>
        <a:solidFill>
          <a:schemeClr val="accent1">
            <a:alpha val="0"/>
          </a:scheme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0</xdr:colOff>
      <xdr:row>11</xdr:row>
      <xdr:rowOff>0</xdr:rowOff>
    </xdr:from>
    <xdr:to>
      <xdr:col>11</xdr:col>
      <xdr:colOff>0</xdr:colOff>
      <xdr:row>12</xdr:row>
      <xdr:rowOff>0</xdr:rowOff>
    </xdr:to>
    <xdr:sp macro="[0]!Horror" textlink="">
      <xdr:nvSpPr>
        <xdr:cNvPr id="15" name="Rectangle 14">
          <a:extLst>
            <a:ext uri="{FF2B5EF4-FFF2-40B4-BE49-F238E27FC236}">
              <a16:creationId xmlns:a16="http://schemas.microsoft.com/office/drawing/2014/main" id="{00000000-0008-0000-0100-00000F000000}"/>
            </a:ext>
          </a:extLst>
        </xdr:cNvPr>
        <xdr:cNvSpPr/>
      </xdr:nvSpPr>
      <xdr:spPr>
        <a:xfrm>
          <a:off x="6705600" y="2095500"/>
          <a:ext cx="952500" cy="190500"/>
        </a:xfrm>
        <a:prstGeom prst="rect">
          <a:avLst/>
        </a:prstGeom>
        <a:solidFill>
          <a:schemeClr val="accent1">
            <a:alpha val="0"/>
          </a:scheme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0</xdr:colOff>
      <xdr:row>12</xdr:row>
      <xdr:rowOff>0</xdr:rowOff>
    </xdr:from>
    <xdr:to>
      <xdr:col>11</xdr:col>
      <xdr:colOff>0</xdr:colOff>
      <xdr:row>13</xdr:row>
      <xdr:rowOff>0</xdr:rowOff>
    </xdr:to>
    <xdr:sp macro="[0]!Music" textlink="">
      <xdr:nvSpPr>
        <xdr:cNvPr id="16" name="Rectangle 15">
          <a:extLst>
            <a:ext uri="{FF2B5EF4-FFF2-40B4-BE49-F238E27FC236}">
              <a16:creationId xmlns:a16="http://schemas.microsoft.com/office/drawing/2014/main" id="{00000000-0008-0000-0100-000010000000}"/>
            </a:ext>
          </a:extLst>
        </xdr:cNvPr>
        <xdr:cNvSpPr/>
      </xdr:nvSpPr>
      <xdr:spPr>
        <a:xfrm>
          <a:off x="6705600" y="2286000"/>
          <a:ext cx="952500" cy="190500"/>
        </a:xfrm>
        <a:prstGeom prst="rect">
          <a:avLst/>
        </a:prstGeom>
        <a:solidFill>
          <a:schemeClr val="accent1">
            <a:alpha val="0"/>
          </a:scheme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0</xdr:colOff>
      <xdr:row>13</xdr:row>
      <xdr:rowOff>0</xdr:rowOff>
    </xdr:from>
    <xdr:to>
      <xdr:col>11</xdr:col>
      <xdr:colOff>0</xdr:colOff>
      <xdr:row>14</xdr:row>
      <xdr:rowOff>0</xdr:rowOff>
    </xdr:to>
    <xdr:sp macro="[0]!Mystery" textlink="">
      <xdr:nvSpPr>
        <xdr:cNvPr id="17" name="Rectangle 16">
          <a:extLst>
            <a:ext uri="{FF2B5EF4-FFF2-40B4-BE49-F238E27FC236}">
              <a16:creationId xmlns:a16="http://schemas.microsoft.com/office/drawing/2014/main" id="{00000000-0008-0000-0100-000011000000}"/>
            </a:ext>
          </a:extLst>
        </xdr:cNvPr>
        <xdr:cNvSpPr/>
      </xdr:nvSpPr>
      <xdr:spPr>
        <a:xfrm>
          <a:off x="6705600" y="2476500"/>
          <a:ext cx="952500" cy="190500"/>
        </a:xfrm>
        <a:prstGeom prst="rect">
          <a:avLst/>
        </a:prstGeom>
        <a:solidFill>
          <a:schemeClr val="accent1">
            <a:alpha val="0"/>
          </a:scheme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0</xdr:colOff>
      <xdr:row>14</xdr:row>
      <xdr:rowOff>0</xdr:rowOff>
    </xdr:from>
    <xdr:to>
      <xdr:col>11</xdr:col>
      <xdr:colOff>0</xdr:colOff>
      <xdr:row>15</xdr:row>
      <xdr:rowOff>0</xdr:rowOff>
    </xdr:to>
    <xdr:sp macro="[0]!Romance" textlink="">
      <xdr:nvSpPr>
        <xdr:cNvPr id="18" name="Rectangle 17">
          <a:extLst>
            <a:ext uri="{FF2B5EF4-FFF2-40B4-BE49-F238E27FC236}">
              <a16:creationId xmlns:a16="http://schemas.microsoft.com/office/drawing/2014/main" id="{00000000-0008-0000-0100-000012000000}"/>
            </a:ext>
          </a:extLst>
        </xdr:cNvPr>
        <xdr:cNvSpPr/>
      </xdr:nvSpPr>
      <xdr:spPr>
        <a:xfrm>
          <a:off x="6705600" y="2667000"/>
          <a:ext cx="952500" cy="190500"/>
        </a:xfrm>
        <a:prstGeom prst="rect">
          <a:avLst/>
        </a:prstGeom>
        <a:solidFill>
          <a:schemeClr val="accent1">
            <a:alpha val="0"/>
          </a:scheme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0</xdr:colOff>
      <xdr:row>15</xdr:row>
      <xdr:rowOff>0</xdr:rowOff>
    </xdr:from>
    <xdr:to>
      <xdr:col>11</xdr:col>
      <xdr:colOff>0</xdr:colOff>
      <xdr:row>16</xdr:row>
      <xdr:rowOff>0</xdr:rowOff>
    </xdr:to>
    <xdr:sp macro="[0]!ScienceFiction" textlink="">
      <xdr:nvSpPr>
        <xdr:cNvPr id="19" name="Rectangle 18">
          <a:extLst>
            <a:ext uri="{FF2B5EF4-FFF2-40B4-BE49-F238E27FC236}">
              <a16:creationId xmlns:a16="http://schemas.microsoft.com/office/drawing/2014/main" id="{00000000-0008-0000-0100-000013000000}"/>
            </a:ext>
          </a:extLst>
        </xdr:cNvPr>
        <xdr:cNvSpPr/>
      </xdr:nvSpPr>
      <xdr:spPr>
        <a:xfrm>
          <a:off x="6705600" y="2857500"/>
          <a:ext cx="952500" cy="190500"/>
        </a:xfrm>
        <a:prstGeom prst="rect">
          <a:avLst/>
        </a:prstGeom>
        <a:solidFill>
          <a:schemeClr val="accent1">
            <a:alpha val="0"/>
          </a:scheme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0</xdr:colOff>
      <xdr:row>16</xdr:row>
      <xdr:rowOff>0</xdr:rowOff>
    </xdr:from>
    <xdr:to>
      <xdr:col>11</xdr:col>
      <xdr:colOff>0</xdr:colOff>
      <xdr:row>17</xdr:row>
      <xdr:rowOff>0</xdr:rowOff>
    </xdr:to>
    <xdr:sp macro="[0]!TVMovie" textlink="">
      <xdr:nvSpPr>
        <xdr:cNvPr id="20" name="Rectangle 19">
          <a:extLst>
            <a:ext uri="{FF2B5EF4-FFF2-40B4-BE49-F238E27FC236}">
              <a16:creationId xmlns:a16="http://schemas.microsoft.com/office/drawing/2014/main" id="{00000000-0008-0000-0100-000014000000}"/>
            </a:ext>
          </a:extLst>
        </xdr:cNvPr>
        <xdr:cNvSpPr/>
      </xdr:nvSpPr>
      <xdr:spPr>
        <a:xfrm>
          <a:off x="6705600" y="3048000"/>
          <a:ext cx="952500" cy="190500"/>
        </a:xfrm>
        <a:prstGeom prst="rect">
          <a:avLst/>
        </a:prstGeom>
        <a:solidFill>
          <a:schemeClr val="accent1">
            <a:alpha val="0"/>
          </a:scheme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0</xdr:colOff>
      <xdr:row>17</xdr:row>
      <xdr:rowOff>0</xdr:rowOff>
    </xdr:from>
    <xdr:to>
      <xdr:col>11</xdr:col>
      <xdr:colOff>0</xdr:colOff>
      <xdr:row>18</xdr:row>
      <xdr:rowOff>0</xdr:rowOff>
    </xdr:to>
    <xdr:sp macro="[0]!Thriller" textlink="">
      <xdr:nvSpPr>
        <xdr:cNvPr id="29" name="Rectangle 28">
          <a:extLst>
            <a:ext uri="{FF2B5EF4-FFF2-40B4-BE49-F238E27FC236}">
              <a16:creationId xmlns:a16="http://schemas.microsoft.com/office/drawing/2014/main" id="{00000000-0008-0000-0100-00001D000000}"/>
            </a:ext>
          </a:extLst>
        </xdr:cNvPr>
        <xdr:cNvSpPr/>
      </xdr:nvSpPr>
      <xdr:spPr>
        <a:xfrm>
          <a:off x="6705600" y="3238500"/>
          <a:ext cx="952500" cy="190500"/>
        </a:xfrm>
        <a:prstGeom prst="rect">
          <a:avLst/>
        </a:prstGeom>
        <a:solidFill>
          <a:schemeClr val="accent1">
            <a:alpha val="0"/>
          </a:scheme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0</xdr:colOff>
      <xdr:row>18</xdr:row>
      <xdr:rowOff>0</xdr:rowOff>
    </xdr:from>
    <xdr:to>
      <xdr:col>11</xdr:col>
      <xdr:colOff>0</xdr:colOff>
      <xdr:row>19</xdr:row>
      <xdr:rowOff>0</xdr:rowOff>
    </xdr:to>
    <xdr:sp macro="[0]!War" textlink="">
      <xdr:nvSpPr>
        <xdr:cNvPr id="30" name="Rectangle 29">
          <a:extLst>
            <a:ext uri="{FF2B5EF4-FFF2-40B4-BE49-F238E27FC236}">
              <a16:creationId xmlns:a16="http://schemas.microsoft.com/office/drawing/2014/main" id="{00000000-0008-0000-0100-00001E000000}"/>
            </a:ext>
          </a:extLst>
        </xdr:cNvPr>
        <xdr:cNvSpPr/>
      </xdr:nvSpPr>
      <xdr:spPr>
        <a:xfrm>
          <a:off x="6705600" y="3429000"/>
          <a:ext cx="952500" cy="190500"/>
        </a:xfrm>
        <a:prstGeom prst="rect">
          <a:avLst/>
        </a:prstGeom>
        <a:solidFill>
          <a:schemeClr val="accent1">
            <a:alpha val="0"/>
          </a:scheme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0</xdr:colOff>
      <xdr:row>19</xdr:row>
      <xdr:rowOff>0</xdr:rowOff>
    </xdr:from>
    <xdr:to>
      <xdr:col>11</xdr:col>
      <xdr:colOff>0</xdr:colOff>
      <xdr:row>20</xdr:row>
      <xdr:rowOff>0</xdr:rowOff>
    </xdr:to>
    <xdr:sp macro="[0]!Western" textlink="">
      <xdr:nvSpPr>
        <xdr:cNvPr id="31" name="Rectangle 30">
          <a:extLst>
            <a:ext uri="{FF2B5EF4-FFF2-40B4-BE49-F238E27FC236}">
              <a16:creationId xmlns:a16="http://schemas.microsoft.com/office/drawing/2014/main" id="{00000000-0008-0000-0100-00001F000000}"/>
            </a:ext>
          </a:extLst>
        </xdr:cNvPr>
        <xdr:cNvSpPr/>
      </xdr:nvSpPr>
      <xdr:spPr>
        <a:xfrm>
          <a:off x="6705600" y="3619500"/>
          <a:ext cx="952500" cy="190500"/>
        </a:xfrm>
        <a:prstGeom prst="rect">
          <a:avLst/>
        </a:prstGeom>
        <a:solidFill>
          <a:schemeClr val="accent1">
            <a:alpha val="0"/>
          </a:scheme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0</xdr:rowOff>
    </xdr:from>
    <xdr:to>
      <xdr:col>9</xdr:col>
      <xdr:colOff>612912</xdr:colOff>
      <xdr:row>16</xdr:row>
      <xdr:rowOff>0</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0</xdr:row>
      <xdr:rowOff>0</xdr:rowOff>
    </xdr:from>
    <xdr:to>
      <xdr:col>23</xdr:col>
      <xdr:colOff>496957</xdr:colOff>
      <xdr:row>32</xdr:row>
      <xdr:rowOff>0</xdr:rowOff>
    </xdr:to>
    <xdr:graphicFrame macro="">
      <xdr:nvGraphicFramePr>
        <xdr:cNvPr id="21" name="Chart 20">
          <a:extLst>
            <a:ext uri="{FF2B5EF4-FFF2-40B4-BE49-F238E27FC236}">
              <a16:creationId xmlns:a16="http://schemas.microsoft.com/office/drawing/2014/main" id="{00000000-0008-0000-0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16</xdr:row>
      <xdr:rowOff>0</xdr:rowOff>
    </xdr:from>
    <xdr:to>
      <xdr:col>10</xdr:col>
      <xdr:colOff>0</xdr:colOff>
      <xdr:row>32</xdr:row>
      <xdr:rowOff>0</xdr:rowOff>
    </xdr:to>
    <xdr:graphicFrame macro="">
      <xdr:nvGraphicFramePr>
        <xdr:cNvPr id="23" name="Chart 22">
          <a:extLst>
            <a:ext uri="{FF2B5EF4-FFF2-40B4-BE49-F238E27FC236}">
              <a16:creationId xmlns:a16="http://schemas.microsoft.com/office/drawing/2014/main" id="{00000000-0008-0000-0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0</xdr:colOff>
      <xdr:row>20</xdr:row>
      <xdr:rowOff>1</xdr:rowOff>
    </xdr:from>
    <xdr:to>
      <xdr:col>11</xdr:col>
      <xdr:colOff>0</xdr:colOff>
      <xdr:row>32</xdr:row>
      <xdr:rowOff>1</xdr:rowOff>
    </xdr:to>
    <mc:AlternateContent xmlns:mc="http://schemas.openxmlformats.org/markup-compatibility/2006" xmlns:a14="http://schemas.microsoft.com/office/drawing/2010/main">
      <mc:Choice Requires="a14">
        <xdr:graphicFrame macro="">
          <xdr:nvGraphicFramePr>
            <xdr:cNvPr id="24" name="Year 1">
              <a:extLst>
                <a:ext uri="{FF2B5EF4-FFF2-40B4-BE49-F238E27FC236}">
                  <a16:creationId xmlns:a16="http://schemas.microsoft.com/office/drawing/2014/main" id="{00000000-0008-0000-0100-000018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6129130" y="3810001"/>
              <a:ext cx="1789044" cy="228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238125</xdr:colOff>
      <xdr:row>10</xdr:row>
      <xdr:rowOff>171450</xdr:rowOff>
    </xdr:from>
    <xdr:to>
      <xdr:col>12</xdr:col>
      <xdr:colOff>447675</xdr:colOff>
      <xdr:row>30</xdr:row>
      <xdr:rowOff>33337</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333375</xdr:colOff>
      <xdr:row>5</xdr:row>
      <xdr:rowOff>147637</xdr:rowOff>
    </xdr:from>
    <xdr:to>
      <xdr:col>12</xdr:col>
      <xdr:colOff>276225</xdr:colOff>
      <xdr:row>20</xdr:row>
      <xdr:rowOff>33337</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11</xdr:col>
      <xdr:colOff>28575</xdr:colOff>
      <xdr:row>8</xdr:row>
      <xdr:rowOff>38100</xdr:rowOff>
    </xdr:from>
    <xdr:to>
      <xdr:col>14</xdr:col>
      <xdr:colOff>28575</xdr:colOff>
      <xdr:row>21</xdr:row>
      <xdr:rowOff>85725</xdr:rowOff>
    </xdr:to>
    <mc:AlternateContent xmlns:mc="http://schemas.openxmlformats.org/markup-compatibility/2006" xmlns:a14="http://schemas.microsoft.com/office/drawing/2010/main">
      <mc:Choice Requires="a14">
        <xdr:graphicFrame macro="">
          <xdr:nvGraphicFramePr>
            <xdr:cNvPr id="4" name="Year">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9267825" y="15621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304800</xdr:colOff>
      <xdr:row>4</xdr:row>
      <xdr:rowOff>85725</xdr:rowOff>
    </xdr:from>
    <xdr:to>
      <xdr:col>10</xdr:col>
      <xdr:colOff>0</xdr:colOff>
      <xdr:row>18</xdr:row>
      <xdr:rowOff>161925</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438150</xdr:colOff>
          <xdr:row>1</xdr:row>
          <xdr:rowOff>152400</xdr:rowOff>
        </xdr:from>
        <xdr:to>
          <xdr:col>7</xdr:col>
          <xdr:colOff>19050</xdr:colOff>
          <xdr:row>20</xdr:row>
          <xdr:rowOff>152400</xdr:rowOff>
        </xdr:to>
        <xdr:sp macro="" textlink="">
          <xdr:nvSpPr>
            <xdr:cNvPr id="5123" name="ScrollBar1"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1</xdr:row>
          <xdr:rowOff>114300</xdr:rowOff>
        </xdr:from>
        <xdr:to>
          <xdr:col>7</xdr:col>
          <xdr:colOff>342900</xdr:colOff>
          <xdr:row>11</xdr:row>
          <xdr:rowOff>47625</xdr:rowOff>
        </xdr:to>
        <xdr:sp macro="" textlink="">
          <xdr:nvSpPr>
            <xdr:cNvPr id="5125" name="Scroll Bar 5" hidden="1">
              <a:extLst>
                <a:ext uri="{63B3BB69-23CF-44E3-9099-C40C66FF867C}">
                  <a14:compatExt spid="_x0000_s5125"/>
                </a:ext>
                <a:ext uri="{FF2B5EF4-FFF2-40B4-BE49-F238E27FC236}">
                  <a16:creationId xmlns:a16="http://schemas.microsoft.com/office/drawing/2014/main" id="{00000000-0008-0000-0500-0000051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our Anwar" refreshedDate="45242.759180324072" createdVersion="8" refreshedVersion="8" minRefreshableVersion="3" recordCount="1334" xr:uid="{0AC0FE24-139F-4F0C-8860-C9D094CECE7F}">
  <cacheSource type="worksheet">
    <worksheetSource name="Table13"/>
  </cacheSource>
  <cacheFields count="27">
    <cacheField name="Title" numFmtId="0">
      <sharedItems containsMixedTypes="1" containsNumber="1" containsInteger="1" minValue="1917" maxValue="1917"/>
    </cacheField>
    <cacheField name="Rank" numFmtId="0">
      <sharedItems containsSemiMixedTypes="0" containsString="0" containsNumber="1" containsInteger="1" minValue="1" maxValue="264"/>
    </cacheField>
    <cacheField name="Points" numFmtId="0">
      <sharedItems containsSemiMixedTypes="0" containsString="0" containsNumber="1" containsInteger="1" minValue="0" maxValue="263"/>
    </cacheField>
    <cacheField name="Website" numFmtId="0">
      <sharedItems/>
    </cacheField>
    <cacheField name="Genres" numFmtId="0">
      <sharedItems count="266">
        <s v="['Drama', 'Science Fiction']"/>
        <s v="['Drama', 'Romance', 'Crime']"/>
        <s v="['Adventure', 'Comedy', 'Romance']"/>
        <s v="['Comedy', 'Drama', 'Romance']"/>
        <s v="['Documentary']"/>
        <s v="['Western', 'Romance', 'Drama']"/>
        <s v="['Drama']"/>
        <s v="['Science Fiction', 'Crime']"/>
        <s v="['Comedy', 'Drama', 'Mystery', 'War']"/>
        <s v="['Horror', 'Science Fiction', 'Mystery']"/>
        <s v="['Horror']"/>
        <s v="['Drama', 'Music']"/>
        <s v="['Drama', 'Romance']"/>
        <s v="['Thriller']"/>
        <s v="['Comedy']"/>
        <s v="['Adventure', 'Action', 'Science Fiction']"/>
        <s v="['History', 'Drama', 'War']"/>
        <s v="['Action', 'Adventure', 'Fantasy']"/>
        <s v="['Drama', 'Fantasy', 'Family']"/>
        <s v="['Romance', 'Drama', 'Comedy']"/>
        <s v="['Comedy', 'War']"/>
        <s v="['Drama', 'Romance', 'Mystery', 'Crime', 'Thriller']"/>
        <s v="['Drama', 'War']"/>
        <s v="['War', 'Drama', 'Thriller']"/>
        <s v="['Drama', 'Mystery', 'Horror']"/>
        <s v="['Comedy', 'Crime', 'Horror']"/>
        <s v="['Adventure', 'Action']"/>
        <s v="['Drama', 'Adventure']"/>
        <s v="['Drama', 'Romance', 'War', 'Comedy']"/>
        <s v="['Romance', 'Drama']"/>
        <s v="['Crime', 'Thriller']"/>
        <s v="['Drama', 'Thriller']"/>
        <s v="['Drama', 'History']"/>
        <s v="['Action', 'Adventure', 'Science Fiction']"/>
        <s v="['Drama', 'Fantasy']"/>
        <s v="['Drama', 'Mystery', 'Thriller']"/>
        <s v="['War', 'Drama', 'History']"/>
        <s v="['Romance', 'Comedy', 'Drama']"/>
        <s v="['Action', 'Adventure', 'Comedy']"/>
        <s v="[]"/>
        <s v="['Drama', 'Fantasy', 'Romance']"/>
        <s v="['Drama', 'Romance', 'History']"/>
        <s v="['Drama', 'History', 'Romance']"/>
        <s v="['Western']"/>
        <s v="['Thriller', 'Science Fiction', 'Drama']"/>
        <s v="['Action', 'Crime', 'Thriller']"/>
        <s v="['Mystery', 'Drama']"/>
        <s v="['Fantasy', 'Horror']"/>
        <s v="['Crime', 'Drama']"/>
        <s v="['Crime', 'Drama', 'Romance', 'Thriller']"/>
        <s v="['Comedy', 'Drama']"/>
        <s v="['Drama', 'Crime']"/>
        <s v="['Comedy', 'Family', 'Music']"/>
        <s v="['Drama', 'Family']"/>
        <s v="Error"/>
        <s v="['Crime', 'Drama', 'Mystery', 'Thriller']"/>
        <s v="['Drama', 'History', 'War']"/>
        <s v="['Horror', 'Science Fiction']"/>
        <s v="['Horror', 'Mystery', 'TV Movie']"/>
        <s v="['Drama', 'Comedy', 'Romance']"/>
        <s v="['Drama', 'Romance', 'Comedy']"/>
        <s v="['Fantasy', 'Drama']"/>
        <s v="['Comedy', 'Crime', 'Romance']"/>
        <s v="['Drama', 'Family', 'Fantasy']"/>
        <s v="['Music', 'Drama', 'History']"/>
        <s v="['Adventure', 'Drama', 'History', 'War']"/>
        <s v="['Thriller', 'Crime']"/>
        <s v="['Comedy', 'Romance']"/>
        <s v="['Fantasy', 'Drama', 'Mystery']"/>
        <s v="['Horror', 'Action', 'Science Fiction']"/>
        <s v="['Romance', 'Adventure', 'Drama']"/>
        <s v="['Drama', 'Western', 'Romance']"/>
        <s v="['Action', 'Science Fiction']"/>
        <s v="['Horror', 'Mystery', 'Science Fiction']"/>
        <s v="['Adventure', 'Drama', 'History']"/>
        <s v="['Thriller', 'Drama', 'Horror']"/>
        <s v="['Drama', 'Music', 'Comedy']"/>
        <s v="['Crime', 'Thriller', 'Mystery']"/>
        <s v="['Adventure', 'Fantasy', 'Family']"/>
        <s v="['Drama', 'Comedy']"/>
        <s v="['Horror', 'Thriller', 'Adventure']"/>
        <s v="['Drama', 'Western']"/>
        <s v="['Comedy', 'War', 'Adventure', 'Action', 'History']"/>
        <s v="['Drama', 'Romance', 'Fantasy']"/>
        <s v="['Mystery', 'Thriller', 'Horror']"/>
        <s v="['Horror', 'Thriller']"/>
        <s v="['Crime', 'Mystery', 'Thriller', 'Romance']"/>
        <s v="['Comedy', 'Fantasy', 'Romance', 'Drama']"/>
        <s v="['Comedy', 'Drama', 'Fantasy']"/>
        <s v="['Crime', 'Drama', 'Romance']"/>
        <s v="['Animation', 'Family', 'Fantasy']"/>
        <s v="['Drama', 'Mystery']"/>
        <s v="['Fantasy', 'Animation', 'Family']"/>
        <s v="['Romance', 'Science Fiction']"/>
        <s v="['Thriller', 'Mystery']"/>
        <s v="['Action', 'Comedy', 'Mystery']"/>
        <s v="['Science Fiction', 'Drama', 'Thriller']"/>
        <s v="['Drama', 'Romance', 'War']"/>
        <s v="['Mystery', 'Thriller', 'Adventure']"/>
        <s v="['Drama', 'War', 'History']"/>
        <s v="['Crime', 'Drama', 'Mystery']"/>
        <s v="['Comedy', 'Romance', 'Crime']"/>
        <s v="['Comedy', 'Romance', 'Drama']"/>
        <s v="['Horror', 'Drama', 'Thriller']"/>
        <s v="['Science Fiction', 'Drama', 'Romance']"/>
        <s v="['Documentary', 'History']"/>
        <s v="['Crime', 'Drama', 'Thriller']"/>
        <s v="['Action', 'Drama']"/>
        <s v="['Mystery', 'Fantasy']"/>
        <s v="['Thriller', 'TV Movie', 'Drama', 'Mystery']"/>
        <s v="['Science Fiction', 'Mystery', 'Adventure']"/>
        <s v="['Mystery', 'Romance', 'Thriller']"/>
        <s v="['War', 'Action', 'Drama']"/>
        <s v="['Science Fiction', 'Adventure', 'Family', 'Fantasy']"/>
        <s v="['Family', 'Animation', 'Fantasy', 'Music', 'Comedy', 'Adventure']"/>
        <s v="['Drama', 'Horror', 'Thriller', 'Crime']"/>
        <s v="['Animation', 'Family', 'Adventure', 'Drama', 'Comedy']"/>
        <s v="['Comedy', 'Crime', 'Drama']"/>
        <s v="['Music', 'Comedy']"/>
        <s v="['Animation', 'Adventure', 'Family', 'Comedy']"/>
        <s v="['Drama', 'Family', 'Music', 'Romance']"/>
        <s v="['Crime', 'Thriller', 'Drama']"/>
        <s v="['Fantasy', 'Drama', 'War']"/>
        <s v="['Drama', 'Action', 'Crime', 'Thriller']"/>
        <s v="['Comedy', 'Music']"/>
        <s v="['Adventure', 'Action', 'Thriller']"/>
        <s v="['Adventure', 'Drama', 'Action']"/>
        <s v="['Animation', 'Drama', 'Family']"/>
        <s v="['Drama', 'Romance', 'Music']"/>
        <s v="['Drama', 'Horror', 'Thriller']"/>
        <s v="['Romance', 'Drama', 'Action']"/>
        <s v="['Western', 'Adventure']"/>
        <s v="['Drama', 'War', 'Romance']"/>
        <s v="['Romance', 'Fantasy', 'Drama', 'Comedy']"/>
        <s v="['Adventure', 'Comedy', 'Family']"/>
        <s v="['Action', 'Comedy', 'Romance']"/>
        <s v="['Crime', 'Drama', 'Action']"/>
        <s v="['Action', 'Drama', 'Science Fiction']"/>
        <s v="['Action', 'Thriller', 'Science Fiction']"/>
        <s v="['Horror', 'Comedy']"/>
        <s v="['Drama', 'Crime', 'Thriller']"/>
        <s v="['Crime', 'Mystery', 'Thriller']"/>
        <s v="['Drama', 'Science Fiction', 'Mystery']"/>
        <s v="['Horror', 'Drama', 'Science Fiction']"/>
        <s v="['Thriller', 'Drama', 'Mystery']"/>
        <s v="['Family', 'Animation', 'Fantasy', 'Comedy']"/>
        <s v="['Action', 'Adventure', 'Animation', 'Science Fiction']"/>
        <s v="['Drama', 'Thriller', 'War']"/>
        <s v="['Crime', 'Action', 'Comedy']"/>
        <s v="['Action', 'Adventure', 'Drama', 'War']"/>
        <s v="['Science Fiction', 'Adventure', 'Action']"/>
        <s v="['Science Fiction', 'Drama']"/>
        <s v="['Action', 'Drama', 'History']"/>
        <s v="['Action', 'Thriller', 'Crime']"/>
        <s v="['Fantasy', 'Comedy', 'Adventure']"/>
        <s v="['Comedy', 'Crime']"/>
        <s v="['Animation', 'Family']"/>
        <s v="['Adventure', 'Fantasy', 'Action']"/>
        <s v="['Adventure', 'Drama', 'Science Fiction']"/>
        <s v="['Action', 'Thriller']"/>
        <s v="['Adventure', 'Science Fiction', 'Action']"/>
        <s v="['Science Fiction', 'Action', 'Fantasy', 'Adventure']"/>
        <s v="['Action', 'Science Fiction', 'Adventure']"/>
        <s v="['Comedy', 'Thriller', 'Drama']"/>
        <s v="['Adventure', 'Science Fiction']"/>
        <s v="['Adventure', 'Comedy', 'Science Fiction']"/>
        <s v="['Action', 'Adventure', 'Thriller']"/>
        <s v="['Action', 'Drama', 'Adventure']"/>
        <s v="['Action', 'Drama', 'History', 'War']"/>
        <s v="['Drama', 'Thriller', 'Crime']"/>
        <s v="['Adventure', 'Drama', 'Family', 'Animation']"/>
        <s v="['Mystery', 'Thriller']"/>
        <s v="['Fantasy', 'Drama', 'Crime']"/>
        <s v="['Action', 'Crime', 'Drama']"/>
        <s v="['Mystery', 'Thriller', 'Drama']"/>
        <s v="['Science Fiction', 'Action', 'Adventure']"/>
        <s v="['Animation', 'Comedy', 'Family', 'Adventure']"/>
        <s v="['Adventure', 'Family', 'Fantasy', 'Comedy', 'Romance']"/>
        <s v="['Animation', 'Family', 'Comedy']"/>
        <s v="['Action', 'Crime', 'Drama', 'Thriller']"/>
        <s v="['Action', 'Adventure', 'Fantasy', 'Science Fiction']"/>
        <s v="['Action', 'Drama', 'Mystery', 'Thriller']"/>
        <s v="['Animation', 'Family', 'Science Fiction', 'Fantasy']"/>
        <s v="['Adventure', 'Comedy', 'Fantasy']"/>
        <s v="['Action', 'Crime']"/>
        <s v="['Romance', 'Family', 'Animation', 'Fantasy']"/>
        <s v="['Action', 'Adventure', 'Fantasy', 'Animation']"/>
        <s v="['History', 'Music', 'Drama']"/>
        <s v="['Action', 'Fantasy', 'Comedy']"/>
        <s v="['Western', 'Comedy']"/>
        <s v="['Drama', 'History', 'Mystery', 'Thriller']"/>
        <s v="['Comedy', 'Family', 'Fantasy']"/>
        <s v="['Drama', 'Thriller', 'Crime', 'Adventure']"/>
        <s v="['Animation', 'Action', 'Adventure']"/>
        <s v="['Animation', 'Science Fiction', 'Action', 'Drama']"/>
        <s v="['Thriller', 'Drama', 'Romance']"/>
        <s v="['Drama', 'Thriller', 'Mystery', 'Action']"/>
        <s v="['Animation', 'Thriller']"/>
        <s v="['Drama', 'War', 'Mystery']"/>
        <s v="['Drama', 'Animation', 'Comedy']"/>
        <s v="['Adventure', 'Fantasy', 'Animation']"/>
        <s v="['Action', 'Comedy', 'Drama', 'Romance']"/>
        <s v="['Drama', 'Mystery', 'Romance']"/>
        <s v="['Drama', 'Mystery', 'Crime']"/>
        <s v="['Fantasy', 'Animation', 'Adventure']"/>
        <s v="['Drama', 'Thriller', 'Adventure']"/>
        <s v="['Drama', 'Action', 'Thriller', 'Science Fiction']"/>
        <s v="['Action', 'Thriller', 'Horror']"/>
        <s v="['Science Fiction', 'Romance', 'Comedy']"/>
        <s v="['Thriller', 'Crime', 'Drama']"/>
        <s v="['Drama', 'War', 'Romance', 'History']"/>
        <s v="['Adventure', 'Drama', 'Western']"/>
        <s v="['Animation', 'Science Fiction', 'Action']"/>
        <s v="['Adventure', 'Animation', 'Comedy', 'Family']"/>
        <s v="['Animation', 'Action', 'Science Fiction', 'Drama']"/>
        <s v="['Family', 'Animation', 'Science Fiction', 'Drama']"/>
        <s v="['Crime', 'Drama', 'History']"/>
        <s v="['Comedy', 'Horror']"/>
        <s v="['Animation', 'Comedy', 'Drama', 'Family']"/>
        <s v="['Animation', 'Drama', 'Fantasy']"/>
        <s v="['Thriller', 'Adventure', 'Drama']"/>
        <s v="['Drama', 'Mystery', 'Science Fiction']"/>
        <s v="['Drama', 'History', 'Action']"/>
        <s v="['Animation', 'Comedy', 'Drama']"/>
        <s v="['Animation', 'Drama', 'Romance']"/>
        <s v="['Comedy', 'Science Fiction', 'Mystery', 'Animation', 'Drama']"/>
        <s v="['Romance', 'Animation', 'Drama']"/>
        <s v="['Action', 'Romance', 'Crime']"/>
        <s v="['Action', 'Adventure', 'Drama']"/>
        <s v="['Adventure', 'Fantasy', 'Action', 'Thriller', 'Science Fiction']"/>
        <s v="['Comedy', 'Drama', 'Romance', 'Music']"/>
        <s v="['Comedy', 'Science Fiction', 'Fantasy', 'Horror']"/>
        <s v="['Animation', 'Family', 'Adventure', 'Fantasy']"/>
        <s v="['Adventure', 'Action', 'Thriller', 'Science Fiction']"/>
        <s v="['Fantasy', 'Drama', 'Thriller', 'Mystery', 'Romance']"/>
        <s v="['Adventure', 'Comedy', 'Drama']"/>
        <s v="['History', 'Drama', 'Adventure', 'Action']"/>
        <s v="['Music', 'Comedy', 'Action', 'Crime']"/>
        <s v="['Romance', 'Comedy']"/>
        <s v="['Drama', 'Music', 'Romance']"/>
        <s v="['Adventure', 'Romance', 'History']"/>
        <s v="['Mystery', 'Thriller', 'Comedy']"/>
        <s v="['Mystery', 'Crime', 'Thriller']"/>
        <s v="['Animation', 'Comedy', 'Family', 'Fantasy']"/>
        <s v="['Animation', 'Family', 'Science Fiction']"/>
        <s v="['Animation', 'Romance', 'Family', 'Comedy', 'Fantasy']"/>
        <s v="['Comedy', 'Mystery', 'Action']"/>
        <s v="['Horror', 'Mystery']"/>
        <s v="['Animation', 'Science Fiction']"/>
        <s v="['Comedy', 'Drama', 'Thriller']"/>
        <s v="['Drama', 'Comedy', 'Music']"/>
        <s v="['Animation', 'Drama']"/>
        <s v="['Drama', 'Animation', 'War', 'Documentary']"/>
        <s v="['History', 'Drama']"/>
        <s v="['Action', 'Adventure', 'Animation', 'Family']"/>
        <s v="['Comedy', 'Fantasy']"/>
        <s v="['Drama', 'Fantasy', 'History']"/>
        <s v="['Adventure', 'Drama', 'Action', 'Romance']"/>
        <s v="['Comedy', 'Drama', 'Music']"/>
        <s v="['Crime', 'Drama', 'Comedy']"/>
        <s v="['Science Fiction', 'Thriller', 'Drama']"/>
        <s v="['Animation', 'Drama', 'Romance', 'Comedy']"/>
        <s v="['Adventure', 'Horror', 'Action', 'Thriller', 'Science Fiction']"/>
        <s v="['Adventure', 'Action', 'Comedy']"/>
        <s v="['Thriller', 'Horror']"/>
        <s v="['Science Fiction', 'Action', 'Crime', 'Animation']" u="1"/>
      </sharedItems>
    </cacheField>
    <cacheField name="Date" numFmtId="0">
      <sharedItems containsDate="1" containsBlank="1" containsMixedTypes="1" minDate="1911-06-09T00:00:00" maxDate="2023-12-08T00:00:00"/>
    </cacheField>
    <cacheField name="Year" numFmtId="0">
      <sharedItems containsMixedTypes="1" containsNumber="1" containsInteger="1" minValue="1900" maxValue="2023" count="104">
        <n v="1983"/>
        <n v="1929"/>
        <n v="1941"/>
        <n v="1977"/>
        <n v="2007"/>
        <n v="1946"/>
        <n v="1967"/>
        <n v="1971"/>
        <n v="1944"/>
        <n v="1981"/>
        <n v="1973"/>
        <n v="1988"/>
        <n v="2010"/>
        <n v="2006"/>
        <n v="2019"/>
        <n v="2002"/>
        <n v="2001"/>
        <n v="1997"/>
        <n v="1992"/>
        <n v="1972"/>
        <n v="1996"/>
        <n v="1968"/>
        <n v="1952"/>
        <n v="2023"/>
        <n v="1928"/>
        <n v="1974"/>
        <n v="2021"/>
        <n v="2000"/>
        <n v="1998"/>
        <n v="1993"/>
        <n v="2005"/>
        <n v="1986"/>
        <n v="1936"/>
        <n v="1933"/>
        <n v="1950"/>
        <n v="1945"/>
        <n v="1978"/>
        <n v="1969"/>
        <n v="2011"/>
        <n v="1984"/>
        <n v="1931"/>
        <n v="1943"/>
        <n v="1962"/>
        <n v="1964"/>
        <n v="1976"/>
        <n v="1900"/>
        <n v="2017"/>
        <n v="2015"/>
        <n v="2008"/>
        <n v="1966"/>
        <n v="1963"/>
        <n v="2018"/>
        <n v="1957"/>
        <n v="1987"/>
        <n v="1999"/>
        <n v="1942"/>
        <n v="1959"/>
        <n v="1948"/>
        <n v="1947"/>
        <n v="2014"/>
        <n v="1961"/>
        <n v="1989"/>
        <n v="1965"/>
        <n v="2013"/>
        <e v="#VALUE!"/>
        <n v="1937"/>
        <n v="1975"/>
        <n v="1979"/>
        <n v="1955"/>
        <n v="1932"/>
        <n v="2009"/>
        <n v="1994"/>
        <n v="1980"/>
        <n v="1940"/>
        <n v="1982"/>
        <n v="1939"/>
        <n v="1954"/>
        <n v="1938"/>
        <n v="1958"/>
        <n v="2003"/>
        <n v="1985"/>
        <n v="1956"/>
        <n v="1926"/>
        <n v="2004"/>
        <n v="1953"/>
        <n v="1991"/>
        <n v="1960"/>
        <n v="1927"/>
        <n v="1949"/>
        <n v="1990"/>
        <n v="2016"/>
        <n v="1924"/>
        <n v="1925"/>
        <n v="1970"/>
        <n v="1934"/>
        <n v="1920"/>
        <n v="1995"/>
        <n v="2022"/>
        <n v="2012"/>
        <n v="1919"/>
        <n v="2020"/>
        <n v="1911"/>
        <n v="1951"/>
        <n v="1922"/>
      </sharedItems>
    </cacheField>
    <cacheField name="Full Title" numFmtId="0">
      <sharedItems containsMixedTypes="1" containsNumber="1" containsInteger="1" minValue="1917" maxValue="1917" count="676">
        <s v="Born in Flames"/>
        <s v="Pandora's Box"/>
        <s v="Sullivan's Travels"/>
        <s v="Annie Hall"/>
        <s v="Earth"/>
        <s v="My Darling Clementine"/>
        <s v="Mouchette"/>
        <s v="A Clockwork Orange"/>
        <s v="A Canterbury Tale"/>
        <s v="Videodrome"/>
        <s v="Possession"/>
        <s v="Oh, Sun"/>
        <s v="Distant Voices, Still Lives"/>
        <s v="Nostalgia for the Light"/>
        <s v="Syndromes and a Century"/>
        <s v="The Intruder"/>
        <s v="Morvern Callar"/>
        <s v="In Vanda's Room"/>
        <s v="Werckmeister Harmonies"/>
        <s v="Taste of Cherry"/>
        <s v="The Quince Tree Sun"/>
        <s v="The Last Laugh"/>
        <s v="Harlan County U.S.A."/>
        <s v="Cries and Whispers"/>
        <s v="Star Wars"/>
        <s v="Intolerance"/>
        <s v="The Hour of the Furnaces"/>
        <s v="Europe '51"/>
        <s v="Napoleon"/>
        <s v="The Crowd"/>
        <s v="A Touch of Zen"/>
        <s v="Je Tu Il Elle"/>
        <s v="Petite Maman"/>
        <s v="As I Was Moving Ahead Occasionally I Saw Brief Glimpses of Beauty"/>
        <s v="Flowers of Shanghai"/>
        <s v="Happy Together"/>
        <s v="Crash"/>
        <s v="Blue"/>
        <s v="Grave of the Fireflies"/>
        <s v="The Green Ray"/>
        <s v="By the Bluest of Seas"/>
        <s v="Duck Soup"/>
        <s v="All About Eve"/>
        <s v="Brief Encounter"/>
        <s v="Suspiria"/>
        <s v="In a Lonely Place"/>
        <s v="The Deer Hunter"/>
        <s v="Army of Shadows"/>
        <s v="Melancholia"/>
        <s v="Twenty Years Later"/>
        <s v="Twin Peaks: Fire Walk with Me"/>
        <s v="Pink Flamingos"/>
        <s v="Raiders of the Lost Ark"/>
        <s v="Limite"/>
        <s v="The Life and Death of Colonel Blimp"/>
        <s v="Wavelength"/>
        <s v="I Know Where I'm Going!"/>
        <s v="L'Eclisse"/>
        <s v="Double Indemnity"/>
        <s v="Dr. Strangelove or: How I Learned to Stop Worrying and Love the Bomb"/>
        <s v="One Way or Another"/>
        <s v="Nosferatu"/>
        <s v="Paisan"/>
        <s v="Zama"/>
        <s v="Mad Max: Fury Road"/>
        <s v="The Tree of Life"/>
        <s v="Uncle Boonmee Who Can Recall His Past Lives"/>
        <s v="The Headless Woman"/>
        <s v="Is Paris Burning?"/>
        <s v="Paris, Texas"/>
        <s v="The Young Girls of Rochefort"/>
        <s v="The Birds"/>
        <s v="The River"/>
        <s v="An Autumn Afternoon"/>
        <s v="Love Streams"/>
        <s v="Greed in the Sun"/>
        <s v="Ran"/>
        <s v="Pyaasa"/>
        <s v="Wings of Desire"/>
        <s v="Magnolia"/>
        <s v="The Magnificent Ambersons"/>
        <s v="Hiroshima Mon Amour"/>
        <s v="Letter from an Unknown Woman"/>
        <s v="Charulata"/>
        <s v="The Good, the Bad and the Ugly"/>
        <s v="Red Desert"/>
        <s v="Black Narcissus"/>
        <s v="Memories of Underdevelopment"/>
        <s v="The Exterminating Angels"/>
        <s v="Under the Skin"/>
        <s v="Women in Heat Behind Bars"/>
        <s v="Symbiopsychotaxiplasm: Take One"/>
        <s v="Out 1"/>
        <s v="Un Chien Andalou"/>
        <s v="L'Argent"/>
        <s v="Last Year at Marienbad"/>
        <s v="The Young and the Damned"/>
        <s v="Ikiru"/>
        <s v="Out of the Past"/>
        <s v="Vivre Sa Vie"/>
        <s v="Amarcord"/>
        <s v="Once Upon a Time in America"/>
        <s v="Godspell"/>
        <s v="Where Is My Friend's House?"/>
        <s v="All About My Mother"/>
        <s v="A City of Sadness"/>
        <s v="Orlando"/>
        <s v="Tie Xi Qu: West of the Tracks"/>
        <s v="Happiness"/>
        <s v="Meghe Dhaka Tara"/>
        <s v="Days of Heaven"/>
        <s v="Error"/>
        <s v="Bad Binoculars"/>
        <s v="Chinatown"/>
        <s v="Grand Illusion"/>
        <s v="India Song"/>
        <s v="Alien"/>
        <s v="VampÃ½r"/>
        <s v="The Watermelon Woman"/>
        <s v="Gertrud"/>
        <s v="All That Heaven Allows"/>
        <s v="A Day in the Country"/>
        <s v="Pickpocket"/>
        <s v="The Seventh Seal"/>
        <s v="Trouble in Paradise"/>
        <s v="Sambizanga"/>
        <s v="The Wild Bunch"/>
        <s v="Children of Paradise"/>
        <s v="La CiÃ©naga"/>
        <s v="It's a Wonderful Life"/>
        <s v="Notorious"/>
        <s v="Lawrence of Arabia"/>
        <s v="Pulp Fiction"/>
        <s v="Raging Bull"/>
        <s v="His Girl Friday"/>
        <s v="Fanny and Alexander"/>
        <s v="The Ascent"/>
        <s v="Only Angels Have Wings"/>
        <s v="The Umbrellas of Cherbourg"/>
        <s v="Johnny Guitar"/>
        <s v="The World Is a Window: Making The Colour of Pomegranates"/>
        <s v="The Matrix"/>
        <s v="There Will Be Blood"/>
        <s v="The Thing"/>
        <s v="The Texas Chain Saw Massacre"/>
        <s v="The Conformist"/>
        <s v="Aguirre, the Wrath of God"/>
        <s v="Don't Look Now"/>
        <s v="Nashville"/>
        <s v="A Woman Under the Influence"/>
        <s v="To Be or Not to Be"/>
        <s v="Bringing Up Baby"/>
        <s v="The Man Who Shot Liberty Valance"/>
        <s v="Touch of Evil"/>
        <s v="Wild Strawberries"/>
        <s v="The Wizard of Oz"/>
        <s v="Goodbye, Dragon Inn"/>
        <s v="The Godfather Part II"/>
        <s v="Jaws"/>
        <s v="Come and See"/>
        <s v="The Mother and the Whore"/>
        <s v="Vagabond"/>
        <s v="The House Is Black"/>
        <s v="Rio Bravo"/>
        <s v="Once Upon a Time in the West"/>
        <s v="A Man Escaped"/>
        <s v="The General"/>
        <s v="Black Girl"/>
        <s v="Tropical Malady"/>
        <s v="Get Out"/>
        <s v="Parasite"/>
        <s v="Yi Yi"/>
        <s v="Ugetsu"/>
        <s v="The Leopard"/>
        <s v="The Earrings of Madame de..."/>
        <s v="The Shining"/>
        <s v="Chungking Express"/>
        <s v="Blue Velvet"/>
        <s v="The Spirit of the Beehive"/>
        <s v="Pierrot le Fou"/>
        <s v="Histoire(s) du CinÃ©ma 1b: A Single (Hi)story"/>
        <s v="A Matter of Life and Death"/>
        <s v="Modern Times"/>
        <s v="Ed Ruscha - Motorized Photographs of Sunset Blvd. and Other L.A. Streets"/>
        <s v="CÃ©line and Julie Go Boating"/>
        <s v="A Brighter Summer Day"/>
        <s v="Satantango"/>
        <s v="Spirited Away"/>
        <s v="Sansho the Bailiff"/>
        <s v="Imitation of Life"/>
        <s v="L'Avventura"/>
        <s v="Journey to Italy"/>
        <s v="My Neighbor Totoro"/>
        <s v="The Red Shoes"/>
        <s v="Metropolis"/>
        <s v="Andrei Rublev"/>
        <s v="La JetÃ©e"/>
        <s v="The Gleaners and I"/>
        <s v="Touki Bouki"/>
        <s v="The Third Man"/>
        <s v="GoodFellas"/>
        <s v="Casablanca"/>
        <s v="Daughters of the Dust"/>
        <s v="La Dolce Vita"/>
        <s v="Moonlight"/>
        <s v="Sans Soleil"/>
        <s v="The Apartment"/>
        <s v="Sherlock Jr."/>
        <s v="Contempt"/>
        <s v="Battleship Potemkin"/>
        <s v="Blade Runner"/>
        <s v="News from Home"/>
        <s v="Ali: Fear Eats the Soul"/>
        <s v="The Piano"/>
        <s v="The 400 Blows"/>
        <s v="Ordet"/>
        <s v="Wanda"/>
        <s v="Barry Lyndon"/>
        <s v="North by Northwest"/>
        <s v="The Battle of Algiers"/>
        <s v="Stalker"/>
        <s v="Killer of Sheep"/>
        <s v="Rashomon"/>
        <s v="Bicycle Thieves"/>
        <s v="Rear Window"/>
        <s v="Breathless"/>
        <s v="Some Like It Hot"/>
        <s v="My Fault"/>
        <s v="City Lights"/>
        <s v="Pather Panchali"/>
        <s v="L'Atalante"/>
        <s v="8Â½"/>
        <s v="Psycho"/>
        <s v="Mirror"/>
        <s v="Portrait of a Lady on Fire"/>
        <s v="Taxi Driver"/>
        <s v="Daisies"/>
        <s v="Shoah"/>
        <s v="The Night of the Hunter"/>
        <s v="Au Hasard Balthazar"/>
        <s v="Do the Right Thing"/>
        <s v="PlayTime"/>
        <s v="Late Spring"/>
        <s v="The Passion of Joan of Arc"/>
        <s v="Seven Samurai"/>
        <s v="Apocalypse Now"/>
        <s v="Persona"/>
        <s v="Close-Up"/>
        <s v="Meshes of the Afternoon"/>
        <s v="The Searchers"/>
        <s v="ClÃ©o from 5 to 7"/>
        <s v="The Rules of the Game"/>
        <s v="The Godfather"/>
        <s v="Sunrise: A Song of Two Humans"/>
        <s v="Singin' in the Rain"/>
        <s v="Man with a Movie Camera"/>
        <s v="Mulholland Dr."/>
        <s v="Beau Travail"/>
        <s v="2001: A Space Odyssey"/>
        <s v="In the Mood for Love"/>
        <s v="Tokyo Story"/>
        <s v="Citizen Kane"/>
        <s v="Vertigo"/>
        <s v="Jeanne Dielman, 23, quai du Commerce, 1080 Bruxelles"/>
        <s v="Dunkirk"/>
        <s v="E.T. the Extra-Terrestrial"/>
        <s v="Coco"/>
        <s v="The Cabinet of Dr. Caligari"/>
        <s v="It Happened One Night"/>
        <s v="Eighth Grade"/>
        <s v="Inside Out"/>
        <s v="Wonder Woman"/>
        <s v="BlacKkKlansman"/>
        <s v="Lady Bird"/>
        <s v="Black Panther"/>
        <s v="The Graduate"/>
        <s v="12 Angry Men"/>
        <s v="Women on the Verge of a Nervous Breakdown"/>
        <s v="A Hard Day's Night"/>
        <s v="Toy Story"/>
        <s v="Bridesmaids"/>
        <s v="Le SamouraÃ¯"/>
        <s v="Scenes from a Marriage"/>
        <s v="Belle de Jour"/>
        <s v="Malcolm X"/>
        <s v="The Sound of Music"/>
        <s v="Natural Born Killers"/>
        <s v="Pan's Labyrinth"/>
        <s v="Kramer vs. Kramer"/>
        <s v="The Dark Knight"/>
        <s v="Pixote"/>
        <s v="Waiting for Guffman"/>
        <s v="Goldfinger"/>
        <s v="Boogie Nights"/>
        <s v="Breaking the Waves"/>
        <s v="My Best Friend's Wedding"/>
        <s v="12 Years a Slave"/>
        <s v="King Kong"/>
        <s v="Carrie"/>
        <s v="Bambi"/>
        <s v="Dazed and Confused"/>
        <s v="Moulin Rouge!"/>
        <s v="Brokeback Mountain"/>
        <s v="Rosemary's Baby"/>
        <s v="The Road Warrior"/>
        <s v="Mean Streets"/>
        <s v="Titanic"/>
        <s v="Fargo"/>
        <s v="On the Waterfront"/>
        <s v="The Silence of the Lambs"/>
        <s v="Stagecoach"/>
        <s v="Network"/>
        <s v="The Empire Strikes Back"/>
        <s v="Bonnie and Clyde"/>
        <s v="Gone with the Wind"/>
        <s v="Saving Private Ryan"/>
        <s v="Reservoir Dogs"/>
        <s v="Groundhog Day"/>
        <s v="Paddington 2"/>
        <s v="Amelie"/>
        <s v="Donnie Darko"/>
        <s v="Scott Pilgrim vs. the World"/>
        <s v="LÃ©on: The Professional"/>
        <s v="Logan"/>
        <s v="The Terminator"/>
        <s v="No Country for Old Men"/>
        <s v="The Exorcist: Believer"/>
        <s v="Black Panther: Wakanda Forever"/>
        <s v="Shaun of the Dead"/>
        <s v="Lost in Translation"/>
        <s v="Thor: Ragnarok"/>
        <s v="The Usual Suspects"/>
        <s v="L.A. Confidential"/>
        <s v="Return of the Jedi"/>
        <s v="Arrival"/>
        <s v="A Quiet Place"/>
        <s v="Trainspotting"/>
        <s v="Mulholland Drive"/>
        <s v="Once Upon a Studio"/>
        <s v="Spider-Man: Into the Spider-Verse"/>
        <s v="Inglourious Basterds"/>
        <s v="One Flew Over the Cuckoo's Nest"/>
        <s v="Going Down in LA-LA Land"/>
        <s v="Hot Fuzz"/>
        <s v="Ill Met by Moonlight"/>
        <s v="Guardians of the Galaxy Vol. 3"/>
        <s v="Blade Runner 2049"/>
        <s v="The Social Network"/>
        <s v="A Taxi Driver"/>
        <s v="Forrest Gump"/>
        <s v="Point Break"/>
        <s v="Whiplash"/>
        <s v="Ghostbusters: Afterlife"/>
        <s v="Schindler's List"/>
        <s v="The Big Lebowski"/>
        <s v="Gladiators of Rome"/>
        <s v="Se7en"/>
        <s v="Eternal Sunshine of the Spotless Mind"/>
        <s v="The Lord of the Rings: The Two Towers"/>
        <s v="Interstellar"/>
        <s v="Indiana Jones and the Last Crusade"/>
        <s v="The Lord of the Rings: The Return of the King"/>
        <s v="A Good Day to Die Hard"/>
        <s v="Fight Club"/>
        <s v="Terminator 2: Judgment Day"/>
        <s v="Avengers: Endgame"/>
        <s v="Alienoid"/>
        <s v="Inception"/>
        <s v="Luis and the Aliens"/>
        <s v="Jurassic Park"/>
        <s v="Back to the Future"/>
        <s v="Avengers: Infinity War"/>
        <s v="Jawan"/>
        <s v="The Shawshank Redemption"/>
        <s v="The Lord of the Rings: The Fellowship of the Ring"/>
        <s v="Gladiator"/>
        <s v="Braveheart"/>
        <s v="Die Hard"/>
        <s v="The Departed"/>
        <s v="The Lion King"/>
        <s v="Memento"/>
        <s v="American History X"/>
        <s v="The Green Mile"/>
        <s v="Batman Begins"/>
        <s v="The Sixth Sense"/>
        <s v="American Beauty"/>
        <s v="Finding Nemo"/>
        <s v="The Avengers"/>
        <s v="Up"/>
        <s v="Aliens"/>
        <s v="The Princess Bride"/>
        <s v="Full Metal Jacket"/>
        <s v="Wall Engravings"/>
        <s v="Unforgiven"/>
        <s v="Toy Story 3"/>
        <s v="To Kill a Mockingbird"/>
        <s v="The Dark Knight Rises"/>
        <s v="Pirates of the Caribbean: The Curse of the Black Pearl"/>
        <s v="Avatar"/>
        <s v="Iron Man"/>
        <s v="Stand by Me Doraemon"/>
        <s v="The Bourne Identity"/>
        <s v="Monty Python and the Holy Grail"/>
        <s v="The Breakfast Club"/>
        <s v="The Bourne Ultimatum"/>
        <s v="Rocky"/>
        <s v="City of God"/>
        <s v="Gran Torino"/>
        <s v="Kill Bill: Vol. 1"/>
        <s v="Django Unchained"/>
        <s v="The Pianist"/>
        <s v="Ferris Bueller's Day Off"/>
        <s v="Airplane!"/>
        <s v="Doctor Zhivago"/>
        <s v="Close Encounters of the Third Kind"/>
        <s v="Slumdog Millionaire"/>
        <s v="Beauty and the Beast"/>
        <s v="SEVEN"/>
        <s v="Amadeus"/>
        <s v="Ghostbusters"/>
        <s v="The Bridge on the River Kwai"/>
        <s v="Blazing Saddles"/>
        <s v="All the President's Men"/>
        <s v="Young Frankenstein"/>
        <s v="Almost Famous"/>
        <s v="Mary Poppins"/>
        <s v="West Side Story"/>
        <s v="Thelma &amp; Louise"/>
        <s v="Sunset Boulevard"/>
        <s v="Butch Cassidy and the Sundance Kid"/>
        <s v="Good Will Hunting"/>
        <s v="When Harry Met Sally..."/>
        <s v="Harakiri"/>
        <s v="High and Low"/>
        <s v="The Human Condition III: A Soldier's Prayer"/>
        <s v="La Haine"/>
        <s v="Spider-Man: Across the Spider-Verse"/>
        <s v="The Human Condition I: No Greater Love"/>
        <s v="Neon Genesis Evangelion: The End of Evangelion"/>
        <s v="Paths of Glory"/>
        <s v="Autumn Sonata"/>
        <s v="Woman in the Dunes"/>
        <s v="Cinema Paradiso"/>
        <s v="The Handmaiden"/>
        <s v="Le Trou"/>
        <s v="Memories of Murder"/>
        <s v="Mishima: A Life in Four Chapters"/>
        <s v="Oldboy"/>
        <s v="Perfect Blue"/>
        <s v="Incendies"/>
        <s v="The Human Condition II: Road to Eternity"/>
        <s v="It's Such a Beautiful Day"/>
        <s v="The Cranes Are Flying"/>
        <s v="Princess Mononoke"/>
        <s v="A Separation"/>
        <s v="Before Sunset"/>
        <s v="Love Exposure"/>
        <s v="Nights of Cabiria"/>
        <s v="Before Sunrise"/>
        <s v="Three Colors: Red"/>
        <s v="I Am Cuba"/>
        <s v="Everything Everywhere All at Once"/>
        <s v="Eternity and a Day"/>
        <s v="Witness for the Prosecution"/>
        <s v="Life Is Beautiful"/>
        <s v="Mommy"/>
        <s v="An Elephant Sitting Still"/>
        <s v="Nobody Knows"/>
        <s v="Apur Sansar"/>
        <s v="Paper Moon"/>
        <s v="Dog Day Afternoon"/>
        <s v="Still Walking"/>
        <s v="Howl's Moving Castle"/>
        <s v="The Wages of Fear"/>
        <s v="Children of Men"/>
        <s v="Yojimbo"/>
        <s v="Landscape in the Mist"/>
        <s v="The Great Dictator"/>
        <s v="Red Beard"/>
        <s v="Shoplifters"/>
        <s v="The Hunt"/>
        <s v="All That Jazz"/>
        <s v="Oppenheimer"/>
        <s v="The Father"/>
        <s v="Tampopo"/>
        <s v="The Sacrifice"/>
        <s v="Funeral Parade of Roses"/>
        <s v="Poor Things"/>
        <s v="Prisoners"/>
        <s v="The Fifth Seal"/>
        <s v="Z"/>
        <s v="Raise the Red Lantern"/>
        <s v="War and Peace"/>
        <s v="The Treasure of the Sierra Madre"/>
        <s v="Akira"/>
        <s v="Das Boot"/>
        <s v="Heat"/>
        <s v="The Lives of Others"/>
        <s v="Fantastic Mr. Fox"/>
        <s v="The Celebration"/>
        <s v="Throne of Blood"/>
        <s v="Past Lives"/>
        <s v="The Best of Youth"/>
        <s v="Rocco and His Brothers"/>
        <s v="The Grand Budapest Hotel"/>
        <s v="Solaris"/>
        <s v="Aftersun"/>
        <s v="Farewell My Concubine"/>
        <s v="A Special Day"/>
        <s v="La Notte"/>
        <s v="Evangelion: 3.0+1.0 Thrice Upon a Time"/>
        <s v="Nostalgia"/>
        <s v="Ace in the Hole"/>
        <s v="The King of Comedy"/>
        <s v="The Iron Giant"/>
        <s v="Who's Afraid of Virginia Woolf?"/>
        <s v="Rififi"/>
        <s v="Killers of the Flower Moon"/>
        <s v="CURE!"/>
        <s v="Eureka"/>
        <s v="The Elephant Man"/>
        <s v="Sweet Smell of Success"/>
        <s v="Opening Night"/>
        <s v="Marcel the Shell with Shoes On"/>
        <s v="Winter Light"/>
        <s v="Dead Poets Society"/>
        <s v="Underground"/>
        <s v="The Tale of The Princess Kaguya"/>
        <s v="The Cremator"/>
        <s v="Life, and Nothing Moreâ€¦"/>
        <s v="Umberto D."/>
        <s v="Secrets &amp; Lies"/>
        <s v="Sorcerer"/>
        <s v="The Prestige"/>
        <s v="Samurai Rebellion"/>
        <s v="Mary and Max"/>
        <s v="Millennium Actress"/>
        <s v="Ritual"/>
        <s v="Make Way for Tomorrow"/>
        <s v="The Disappearance of Haruhi Suzumiya"/>
        <s v="4 Months, 3 Weeks and 2 Days"/>
        <s v="Your Name."/>
        <s v="Amour"/>
        <s v="Judgment at Nuremberg"/>
        <s v="Fallen Angels"/>
        <s v="The Truman Show"/>
        <s v="The Big City"/>
        <s v="Aparajito"/>
        <s v="Dersu Uzala"/>
        <s v="Star Wars: Episode III - Revenge of the Sith"/>
        <s v="Spider-Man: Far From Home"/>
        <s v="The Fifth Element"/>
        <s v="Life of Brian"/>
        <s v="The Goonies"/>
        <s v="La La Land"/>
        <s v="Joker"/>
        <s v="3 Godfathers"/>
        <s v="The Castle"/>
        <s v="Rocketman"/>
        <s v="The Greatest Showman"/>
        <s v="The Rocky Horror Picture Show"/>
        <s v="Frozen"/>
        <s v="Mad Max"/>
        <s v="Ghost"/>
        <s v="Hunt for the Wilderpeople"/>
        <s v="The Notebook"/>
        <s v="Ben-Hur"/>
        <s v="The Blues Brothers"/>
        <n v="1917"/>
        <s v="Pretty Woman"/>
        <s v="Top Gun"/>
        <s v="Grease"/>
        <s v="Dirty Dancing"/>
        <s v="Love Actually"/>
        <s v="Jules and Jim"/>
        <s v="The Best Years of Our Lives"/>
        <s v="Pinocchio"/>
        <s v="Manchester by the Sea"/>
        <s v="Spotlight"/>
        <s v="Anatomy of a Murder"/>
        <s v="The Philadelphia Story"/>
        <s v="The Shop Around the Corner"/>
        <s v="The Adventures of Robin Hood"/>
        <s v="The Lady Vanishes"/>
        <s v="My Left Foot: The Story of Christy Brown"/>
        <s v="A Streetcar Named Desire"/>
        <s v="Quo Vadis, Aida?"/>
        <s v="The Grapes of Wrath"/>
        <s v="The Maltese Falcon"/>
        <s v="Ratatouille"/>
        <s v="Boyhood"/>
        <s v="WALLÂ·E"/>
        <s v="Red Shoes and the Seven Dwarfs"/>
        <s v="Detective Chinatown"/>
        <s v="Night of the Living Dead: Re-Animation"/>
        <s v="M"/>
        <s v="The Bitter Tears of Petra von Kant"/>
        <s v="Rome, Open City"/>
        <s v="The Blair Witch Project"/>
        <s v="A Bullet for the General"/>
        <s v="This Is Spinal Tap"/>
        <s v="The Seven Deadly Sins: Grudge of Edinburgh Part 2"/>
        <s v="The Discreet Charm of the Bourgeoisie"/>
        <s v="Nashville Girl"/>
        <s v="Once Upon a Timeâ€¦ in Hollywood"/>
        <s v="Bright Star"/>
        <s v="Fahrenheit 9/11"/>
        <s v="Private Life"/>
        <s v="Call Me by Your Name"/>
        <s v="You, the Living"/>
        <s v="The Hurt Locker"/>
        <s v="To Be and to Have"/>
        <s v="Eden"/>
        <s v="The Selfish Giant"/>
        <s v="GOMORRAH"/>
        <s v="The Wind That Shakes the Barley"/>
        <s v="Burning"/>
        <s v="The Son's Room"/>
        <s v="Stories We Tell"/>
        <s v="Fish Tank"/>
        <s v="Requiem for a Dream"/>
        <s v="Persepolis"/>
        <s v="Ocean's Eleven"/>
        <s v="365 Days: This Day"/>
        <s v="Philomena"/>
        <s v="A Prophet"/>
        <s v="Love &amp; Friendship"/>
        <s v="Waltz with Bashir"/>
        <s v="Anchorman: The Legend of Ron Burgundy"/>
        <s v="Mr. Turner"/>
        <s v="Dogtooth"/>
        <s v="Happy as Lazzaro"/>
        <s v="The Incredibles"/>
        <s v="We Need to Talk About Kevin"/>
        <s v="Waiting for Happiness"/>
        <s v="The Souvenir"/>
        <s v="Ted"/>
        <s v="Gangs of Wasseypur - Part 1"/>
        <s v="Wuthering Heights"/>
        <s v="Leave No Trace"/>
        <s v="Behind the Candelabra"/>
        <s v="Russian Ark"/>
        <s v="Fire at Sea"/>
        <s v="Amores Perros"/>
        <s v="Crouching Tiger, Hidden Dragon"/>
        <s v="24 Hour Party People"/>
        <s v="The House of Mirth"/>
        <s v="Margaret"/>
        <s v="Volver"/>
        <s v="Toni Erdmann"/>
        <s v="The Wolf of Wall Street"/>
        <s v="Unrelated"/>
        <s v="Meek's Cutoff"/>
        <s v="Once Upon a Time in Anatolia"/>
        <s v="Dogville"/>
        <s v="45 Years"/>
        <s v="The Golden Child"/>
        <s v="The Royal Tenenbaums"/>
        <s v="Gravity"/>
        <s v="Anomalisa"/>
        <s v="Leviathan"/>
        <s v="Nebraska"/>
        <s v="Ida"/>
        <s v="Borat: Cultural Learnings of America for Make Benefit Glorious Nation of Kazakhstan"/>
        <s v="The White Ribbon"/>
        <s v="Roma"/>
        <s v="Lincoln"/>
        <s v="A Serious Man"/>
        <s v="The Great Beauty"/>
        <s v="The Act of Killing"/>
        <s v="White Material"/>
        <s v="Far from Heaven"/>
        <s v="Son of Saul"/>
        <s v="Team America: World Police"/>
        <s v="Synecdoche, New York"/>
        <s v="Hidden"/>
      </sharedItems>
    </cacheField>
    <cacheField name="Action" numFmtId="0">
      <sharedItems containsSemiMixedTypes="0" containsString="0" containsNumber="1" containsInteger="1" minValue="0" maxValue="1" count="2">
        <n v="0"/>
        <n v="1"/>
      </sharedItems>
    </cacheField>
    <cacheField name="Adventure" numFmtId="0">
      <sharedItems containsSemiMixedTypes="0" containsString="0" containsNumber="1" containsInteger="1" minValue="0" maxValue="1" count="2">
        <n v="0"/>
        <n v="1"/>
      </sharedItems>
    </cacheField>
    <cacheField name="Animation" numFmtId="0">
      <sharedItems containsSemiMixedTypes="0" containsString="0" containsNumber="1" containsInteger="1" minValue="0" maxValue="1" count="2">
        <n v="0"/>
        <n v="1"/>
      </sharedItems>
    </cacheField>
    <cacheField name="Comedy" numFmtId="0">
      <sharedItems containsSemiMixedTypes="0" containsString="0" containsNumber="1" containsInteger="1" minValue="0" maxValue="1" count="2">
        <n v="0"/>
        <n v="1"/>
      </sharedItems>
    </cacheField>
    <cacheField name="Crime" numFmtId="0">
      <sharedItems containsSemiMixedTypes="0" containsString="0" containsNumber="1" containsInteger="1" minValue="0" maxValue="1" count="2">
        <n v="0"/>
        <n v="1"/>
      </sharedItems>
    </cacheField>
    <cacheField name="Documentary" numFmtId="0">
      <sharedItems containsSemiMixedTypes="0" containsString="0" containsNumber="1" containsInteger="1" minValue="0" maxValue="1" count="2">
        <n v="0"/>
        <n v="1"/>
      </sharedItems>
    </cacheField>
    <cacheField name="Drama" numFmtId="0">
      <sharedItems containsSemiMixedTypes="0" containsString="0" containsNumber="1" containsInteger="1" minValue="0" maxValue="1" count="2">
        <n v="1"/>
        <n v="0"/>
      </sharedItems>
    </cacheField>
    <cacheField name="Family" numFmtId="0">
      <sharedItems containsSemiMixedTypes="0" containsString="0" containsNumber="1" containsInteger="1" minValue="0" maxValue="1" count="2">
        <n v="0"/>
        <n v="1"/>
      </sharedItems>
    </cacheField>
    <cacheField name="Fantasy" numFmtId="0">
      <sharedItems containsSemiMixedTypes="0" containsString="0" containsNumber="1" containsInteger="1" minValue="0" maxValue="1" count="2">
        <n v="0"/>
        <n v="1"/>
      </sharedItems>
    </cacheField>
    <cacheField name="History" numFmtId="0">
      <sharedItems containsSemiMixedTypes="0" containsString="0" containsNumber="1" containsInteger="1" minValue="0" maxValue="1" count="2">
        <n v="0"/>
        <n v="1"/>
      </sharedItems>
    </cacheField>
    <cacheField name="Horror" numFmtId="0">
      <sharedItems containsSemiMixedTypes="0" containsString="0" containsNumber="1" containsInteger="1" minValue="0" maxValue="1" count="2">
        <n v="0"/>
        <n v="1"/>
      </sharedItems>
    </cacheField>
    <cacheField name="Music" numFmtId="0">
      <sharedItems containsSemiMixedTypes="0" containsString="0" containsNumber="1" containsInteger="1" minValue="0" maxValue="1" count="2">
        <n v="0"/>
        <n v="1"/>
      </sharedItems>
    </cacheField>
    <cacheField name="Mystery" numFmtId="0">
      <sharedItems containsSemiMixedTypes="0" containsString="0" containsNumber="1" containsInteger="1" minValue="0" maxValue="1" count="2">
        <n v="0"/>
        <n v="1"/>
      </sharedItems>
    </cacheField>
    <cacheField name="Romance" numFmtId="0">
      <sharedItems containsSemiMixedTypes="0" containsString="0" containsNumber="1" containsInteger="1" minValue="0" maxValue="1" count="2">
        <n v="0"/>
        <n v="1"/>
      </sharedItems>
    </cacheField>
    <cacheField name="Science Fiction" numFmtId="0">
      <sharedItems containsSemiMixedTypes="0" containsString="0" containsNumber="1" containsInteger="1" minValue="0" maxValue="1" count="2">
        <n v="1"/>
        <n v="0"/>
      </sharedItems>
    </cacheField>
    <cacheField name="TV Movie" numFmtId="0">
      <sharedItems containsSemiMixedTypes="0" containsString="0" containsNumber="1" containsInteger="1" minValue="0" maxValue="1" count="2">
        <n v="0"/>
        <n v="1"/>
      </sharedItems>
    </cacheField>
    <cacheField name="Thriller" numFmtId="0">
      <sharedItems containsSemiMixedTypes="0" containsString="0" containsNumber="1" containsInteger="1" minValue="0" maxValue="1" count="2">
        <n v="0"/>
        <n v="1"/>
      </sharedItems>
    </cacheField>
    <cacheField name="War" numFmtId="0">
      <sharedItems containsSemiMixedTypes="0" containsString="0" containsNumber="1" containsInteger="1" minValue="0" maxValue="1" count="2">
        <n v="0"/>
        <n v="1"/>
      </sharedItems>
    </cacheField>
    <cacheField name="Western" numFmtId="0">
      <sharedItems containsSemiMixedTypes="0" containsString="0" containsNumber="1" containsInteger="1" minValue="0" maxValue="1" count="2">
        <n v="0"/>
        <n v="1"/>
      </sharedItems>
    </cacheField>
  </cacheFields>
  <extLst>
    <ext xmlns:x14="http://schemas.microsoft.com/office/spreadsheetml/2009/9/main" uri="{725AE2AE-9491-48be-B2B4-4EB974FC3084}">
      <x14:pivotCacheDefinition pivotCacheId="173232998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34">
  <r>
    <s v="Born in Flames "/>
    <n v="264"/>
    <n v="0"/>
    <s v="Bfi"/>
    <x v="0"/>
    <d v="1983-04-01T00:00:00"/>
    <x v="0"/>
    <x v="0"/>
    <x v="0"/>
    <x v="0"/>
    <x v="0"/>
    <x v="0"/>
    <x v="0"/>
    <x v="0"/>
    <x v="0"/>
    <x v="0"/>
    <x v="0"/>
    <x v="0"/>
    <x v="0"/>
    <x v="0"/>
    <x v="0"/>
    <x v="0"/>
    <x v="0"/>
    <x v="0"/>
    <x v="0"/>
    <x v="0"/>
    <x v="0"/>
  </r>
  <r>
    <s v="Pandora's Box"/>
    <n v="263"/>
    <n v="1"/>
    <s v="Bfi"/>
    <x v="1"/>
    <d v="1929-01-30T00:00:00"/>
    <x v="1"/>
    <x v="1"/>
    <x v="0"/>
    <x v="0"/>
    <x v="0"/>
    <x v="0"/>
    <x v="1"/>
    <x v="0"/>
    <x v="0"/>
    <x v="0"/>
    <x v="0"/>
    <x v="0"/>
    <x v="0"/>
    <x v="0"/>
    <x v="0"/>
    <x v="1"/>
    <x v="1"/>
    <x v="0"/>
    <x v="0"/>
    <x v="0"/>
    <x v="0"/>
  </r>
  <r>
    <s v="C"/>
    <n v="262"/>
    <n v="2"/>
    <s v="Bfi"/>
    <x v="2"/>
    <d v="1941-11-30T00:00:00"/>
    <x v="2"/>
    <x v="2"/>
    <x v="0"/>
    <x v="1"/>
    <x v="0"/>
    <x v="1"/>
    <x v="0"/>
    <x v="0"/>
    <x v="1"/>
    <x v="0"/>
    <x v="0"/>
    <x v="0"/>
    <x v="0"/>
    <x v="0"/>
    <x v="0"/>
    <x v="1"/>
    <x v="1"/>
    <x v="0"/>
    <x v="0"/>
    <x v="0"/>
    <x v="0"/>
  </r>
  <r>
    <s v="Annie Hall"/>
    <n v="261"/>
    <n v="3"/>
    <s v="Bfi"/>
    <x v="3"/>
    <d v="1977-04-19T00:00:00"/>
    <x v="3"/>
    <x v="3"/>
    <x v="0"/>
    <x v="0"/>
    <x v="0"/>
    <x v="1"/>
    <x v="0"/>
    <x v="0"/>
    <x v="0"/>
    <x v="0"/>
    <x v="0"/>
    <x v="0"/>
    <x v="0"/>
    <x v="0"/>
    <x v="0"/>
    <x v="1"/>
    <x v="1"/>
    <x v="0"/>
    <x v="0"/>
    <x v="0"/>
    <x v="0"/>
  </r>
  <r>
    <s v="Earth"/>
    <n v="260"/>
    <n v="4"/>
    <s v="Bfi"/>
    <x v="4"/>
    <d v="2007-10-10T00:00:00"/>
    <x v="4"/>
    <x v="4"/>
    <x v="0"/>
    <x v="0"/>
    <x v="0"/>
    <x v="0"/>
    <x v="0"/>
    <x v="1"/>
    <x v="1"/>
    <x v="0"/>
    <x v="0"/>
    <x v="0"/>
    <x v="0"/>
    <x v="0"/>
    <x v="0"/>
    <x v="0"/>
    <x v="1"/>
    <x v="0"/>
    <x v="0"/>
    <x v="0"/>
    <x v="0"/>
  </r>
  <r>
    <s v="My Darling Clementine"/>
    <n v="259"/>
    <n v="5"/>
    <s v="Bfi"/>
    <x v="5"/>
    <d v="1946-10-17T00:00:00"/>
    <x v="5"/>
    <x v="5"/>
    <x v="0"/>
    <x v="0"/>
    <x v="0"/>
    <x v="0"/>
    <x v="0"/>
    <x v="0"/>
    <x v="0"/>
    <x v="0"/>
    <x v="0"/>
    <x v="0"/>
    <x v="0"/>
    <x v="0"/>
    <x v="0"/>
    <x v="1"/>
    <x v="1"/>
    <x v="0"/>
    <x v="0"/>
    <x v="0"/>
    <x v="1"/>
  </r>
  <r>
    <s v="Mouchette"/>
    <n v="258"/>
    <n v="6"/>
    <s v="Bfi"/>
    <x v="6"/>
    <d v="1967-03-28T00:00:00"/>
    <x v="6"/>
    <x v="6"/>
    <x v="0"/>
    <x v="0"/>
    <x v="0"/>
    <x v="0"/>
    <x v="0"/>
    <x v="0"/>
    <x v="0"/>
    <x v="0"/>
    <x v="0"/>
    <x v="0"/>
    <x v="0"/>
    <x v="0"/>
    <x v="0"/>
    <x v="0"/>
    <x v="1"/>
    <x v="0"/>
    <x v="0"/>
    <x v="0"/>
    <x v="0"/>
  </r>
  <r>
    <s v="A Clockwork Orange"/>
    <n v="257"/>
    <n v="7"/>
    <s v="Bfi"/>
    <x v="7"/>
    <d v="1971-12-19T00:00:00"/>
    <x v="7"/>
    <x v="7"/>
    <x v="0"/>
    <x v="0"/>
    <x v="0"/>
    <x v="0"/>
    <x v="1"/>
    <x v="0"/>
    <x v="1"/>
    <x v="0"/>
    <x v="0"/>
    <x v="0"/>
    <x v="0"/>
    <x v="0"/>
    <x v="0"/>
    <x v="0"/>
    <x v="0"/>
    <x v="0"/>
    <x v="0"/>
    <x v="0"/>
    <x v="0"/>
  </r>
  <r>
    <s v="A Canterbury Tale"/>
    <n v="256"/>
    <n v="8"/>
    <s v="Bfi"/>
    <x v="8"/>
    <d v="1944-08-21T00:00:00"/>
    <x v="8"/>
    <x v="8"/>
    <x v="0"/>
    <x v="0"/>
    <x v="0"/>
    <x v="1"/>
    <x v="0"/>
    <x v="0"/>
    <x v="0"/>
    <x v="0"/>
    <x v="0"/>
    <x v="0"/>
    <x v="0"/>
    <x v="0"/>
    <x v="1"/>
    <x v="0"/>
    <x v="1"/>
    <x v="0"/>
    <x v="0"/>
    <x v="1"/>
    <x v="0"/>
  </r>
  <r>
    <s v="Videodrome"/>
    <n v="255"/>
    <n v="9"/>
    <s v="Bfi"/>
    <x v="9"/>
    <d v="1983-02-04T00:00:00"/>
    <x v="0"/>
    <x v="9"/>
    <x v="0"/>
    <x v="0"/>
    <x v="0"/>
    <x v="0"/>
    <x v="0"/>
    <x v="0"/>
    <x v="1"/>
    <x v="0"/>
    <x v="0"/>
    <x v="0"/>
    <x v="1"/>
    <x v="0"/>
    <x v="1"/>
    <x v="0"/>
    <x v="0"/>
    <x v="0"/>
    <x v="0"/>
    <x v="0"/>
    <x v="0"/>
  </r>
  <r>
    <s v="Possession"/>
    <n v="254"/>
    <n v="10"/>
    <s v="Bfi"/>
    <x v="10"/>
    <d v="1981-05-27T00:00:00"/>
    <x v="9"/>
    <x v="10"/>
    <x v="0"/>
    <x v="0"/>
    <x v="0"/>
    <x v="0"/>
    <x v="0"/>
    <x v="0"/>
    <x v="1"/>
    <x v="0"/>
    <x v="0"/>
    <x v="0"/>
    <x v="1"/>
    <x v="0"/>
    <x v="0"/>
    <x v="0"/>
    <x v="1"/>
    <x v="0"/>
    <x v="0"/>
    <x v="0"/>
    <x v="0"/>
  </r>
  <r>
    <s v="Soleil Ã”"/>
    <n v="253"/>
    <n v="11"/>
    <s v="Bfi"/>
    <x v="6"/>
    <d v="1973-01-04T00:00:00"/>
    <x v="10"/>
    <x v="11"/>
    <x v="0"/>
    <x v="0"/>
    <x v="0"/>
    <x v="0"/>
    <x v="0"/>
    <x v="0"/>
    <x v="0"/>
    <x v="0"/>
    <x v="0"/>
    <x v="0"/>
    <x v="0"/>
    <x v="0"/>
    <x v="0"/>
    <x v="0"/>
    <x v="1"/>
    <x v="0"/>
    <x v="0"/>
    <x v="0"/>
    <x v="0"/>
  </r>
  <r>
    <s v="Distant Voices, Still Lives"/>
    <n v="252"/>
    <n v="12"/>
    <s v="Bfi"/>
    <x v="11"/>
    <d v="1988-11-16T00:00:00"/>
    <x v="11"/>
    <x v="12"/>
    <x v="0"/>
    <x v="0"/>
    <x v="0"/>
    <x v="0"/>
    <x v="0"/>
    <x v="0"/>
    <x v="0"/>
    <x v="0"/>
    <x v="0"/>
    <x v="0"/>
    <x v="0"/>
    <x v="1"/>
    <x v="0"/>
    <x v="0"/>
    <x v="1"/>
    <x v="0"/>
    <x v="0"/>
    <x v="0"/>
    <x v="0"/>
  </r>
  <r>
    <s v="Nostalgia for the Light"/>
    <n v="251"/>
    <n v="13"/>
    <s v="Bfi"/>
    <x v="4"/>
    <d v="2010-10-27T00:00:00"/>
    <x v="12"/>
    <x v="13"/>
    <x v="0"/>
    <x v="0"/>
    <x v="0"/>
    <x v="0"/>
    <x v="0"/>
    <x v="1"/>
    <x v="1"/>
    <x v="0"/>
    <x v="0"/>
    <x v="0"/>
    <x v="0"/>
    <x v="0"/>
    <x v="0"/>
    <x v="0"/>
    <x v="1"/>
    <x v="0"/>
    <x v="0"/>
    <x v="0"/>
    <x v="0"/>
  </r>
  <r>
    <s v="Syndromes and a Century"/>
    <n v="250"/>
    <n v="14"/>
    <s v="Bfi"/>
    <x v="12"/>
    <d v="2006-08-31T00:00:00"/>
    <x v="13"/>
    <x v="14"/>
    <x v="0"/>
    <x v="0"/>
    <x v="0"/>
    <x v="0"/>
    <x v="0"/>
    <x v="0"/>
    <x v="0"/>
    <x v="0"/>
    <x v="0"/>
    <x v="0"/>
    <x v="0"/>
    <x v="0"/>
    <x v="0"/>
    <x v="1"/>
    <x v="1"/>
    <x v="0"/>
    <x v="0"/>
    <x v="0"/>
    <x v="0"/>
  </r>
  <r>
    <s v="The Intruder"/>
    <n v="249"/>
    <n v="15"/>
    <s v="Bfi"/>
    <x v="13"/>
    <d v="2019-05-03T00:00:00"/>
    <x v="14"/>
    <x v="15"/>
    <x v="0"/>
    <x v="0"/>
    <x v="0"/>
    <x v="0"/>
    <x v="0"/>
    <x v="0"/>
    <x v="1"/>
    <x v="0"/>
    <x v="0"/>
    <x v="0"/>
    <x v="0"/>
    <x v="0"/>
    <x v="0"/>
    <x v="0"/>
    <x v="1"/>
    <x v="0"/>
    <x v="1"/>
    <x v="0"/>
    <x v="0"/>
  </r>
  <r>
    <s v="Morvern Callar"/>
    <n v="248"/>
    <n v="16"/>
    <s v="Bfi"/>
    <x v="6"/>
    <d v="2002-11-01T00:00:00"/>
    <x v="15"/>
    <x v="16"/>
    <x v="0"/>
    <x v="0"/>
    <x v="0"/>
    <x v="0"/>
    <x v="0"/>
    <x v="0"/>
    <x v="0"/>
    <x v="0"/>
    <x v="0"/>
    <x v="0"/>
    <x v="0"/>
    <x v="0"/>
    <x v="0"/>
    <x v="0"/>
    <x v="1"/>
    <x v="0"/>
    <x v="0"/>
    <x v="0"/>
    <x v="0"/>
  </r>
  <r>
    <s v="In Vanda's Room"/>
    <n v="247"/>
    <n v="17"/>
    <s v="Bfi"/>
    <x v="6"/>
    <d v="2001-03-02T00:00:00"/>
    <x v="16"/>
    <x v="17"/>
    <x v="0"/>
    <x v="0"/>
    <x v="0"/>
    <x v="0"/>
    <x v="0"/>
    <x v="0"/>
    <x v="0"/>
    <x v="0"/>
    <x v="0"/>
    <x v="0"/>
    <x v="0"/>
    <x v="0"/>
    <x v="0"/>
    <x v="0"/>
    <x v="1"/>
    <x v="0"/>
    <x v="0"/>
    <x v="0"/>
    <x v="0"/>
  </r>
  <r>
    <s v="Werckmeister Harmonies"/>
    <n v="246"/>
    <n v="18"/>
    <s v="Bfi"/>
    <x v="6"/>
    <d v="2001-02-01T00:00:00"/>
    <x v="16"/>
    <x v="18"/>
    <x v="0"/>
    <x v="0"/>
    <x v="0"/>
    <x v="0"/>
    <x v="0"/>
    <x v="0"/>
    <x v="0"/>
    <x v="0"/>
    <x v="0"/>
    <x v="0"/>
    <x v="0"/>
    <x v="0"/>
    <x v="0"/>
    <x v="0"/>
    <x v="1"/>
    <x v="0"/>
    <x v="0"/>
    <x v="0"/>
    <x v="0"/>
  </r>
  <r>
    <s v="Taste of Cherry"/>
    <n v="245"/>
    <n v="19"/>
    <s v="Bfi"/>
    <x v="6"/>
    <d v="1997-09-28T00:00:00"/>
    <x v="17"/>
    <x v="19"/>
    <x v="0"/>
    <x v="0"/>
    <x v="0"/>
    <x v="0"/>
    <x v="0"/>
    <x v="0"/>
    <x v="0"/>
    <x v="0"/>
    <x v="0"/>
    <x v="0"/>
    <x v="0"/>
    <x v="0"/>
    <x v="0"/>
    <x v="0"/>
    <x v="1"/>
    <x v="0"/>
    <x v="0"/>
    <x v="0"/>
    <x v="0"/>
  </r>
  <r>
    <s v="The Quince Tree Sun"/>
    <n v="244"/>
    <n v="20"/>
    <s v="Bfi"/>
    <x v="4"/>
    <d v="1992-10-01T00:00:00"/>
    <x v="18"/>
    <x v="20"/>
    <x v="0"/>
    <x v="0"/>
    <x v="0"/>
    <x v="0"/>
    <x v="0"/>
    <x v="1"/>
    <x v="1"/>
    <x v="0"/>
    <x v="0"/>
    <x v="0"/>
    <x v="0"/>
    <x v="0"/>
    <x v="0"/>
    <x v="0"/>
    <x v="1"/>
    <x v="0"/>
    <x v="0"/>
    <x v="0"/>
    <x v="0"/>
  </r>
  <r>
    <s v="The Last Laugh"/>
    <n v="243"/>
    <n v="21"/>
    <s v="Bfi"/>
    <x v="14"/>
    <d v="2019-01-11T00:00:00"/>
    <x v="14"/>
    <x v="21"/>
    <x v="0"/>
    <x v="0"/>
    <x v="0"/>
    <x v="1"/>
    <x v="0"/>
    <x v="0"/>
    <x v="1"/>
    <x v="0"/>
    <x v="0"/>
    <x v="0"/>
    <x v="0"/>
    <x v="0"/>
    <x v="0"/>
    <x v="0"/>
    <x v="1"/>
    <x v="0"/>
    <x v="0"/>
    <x v="0"/>
    <x v="0"/>
  </r>
  <r>
    <s v="Harlan County, USA"/>
    <n v="242"/>
    <n v="22"/>
    <s v="Bfi"/>
    <x v="4"/>
    <d v="1977-01-23T00:00:00"/>
    <x v="3"/>
    <x v="22"/>
    <x v="0"/>
    <x v="0"/>
    <x v="0"/>
    <x v="0"/>
    <x v="0"/>
    <x v="1"/>
    <x v="1"/>
    <x v="0"/>
    <x v="0"/>
    <x v="0"/>
    <x v="0"/>
    <x v="0"/>
    <x v="0"/>
    <x v="0"/>
    <x v="1"/>
    <x v="0"/>
    <x v="0"/>
    <x v="0"/>
    <x v="0"/>
  </r>
  <r>
    <s v="Cries and Whispers"/>
    <n v="241"/>
    <n v="23"/>
    <s v="Bfi"/>
    <x v="6"/>
    <d v="1972-12-21T00:00:00"/>
    <x v="19"/>
    <x v="23"/>
    <x v="0"/>
    <x v="0"/>
    <x v="0"/>
    <x v="0"/>
    <x v="0"/>
    <x v="0"/>
    <x v="0"/>
    <x v="0"/>
    <x v="0"/>
    <x v="0"/>
    <x v="0"/>
    <x v="0"/>
    <x v="0"/>
    <x v="0"/>
    <x v="1"/>
    <x v="0"/>
    <x v="0"/>
    <x v="0"/>
    <x v="0"/>
  </r>
  <r>
    <s v="Star Wars"/>
    <n v="240"/>
    <n v="24"/>
    <s v="Bfi"/>
    <x v="15"/>
    <d v="1977-05-25T00:00:00"/>
    <x v="3"/>
    <x v="24"/>
    <x v="1"/>
    <x v="1"/>
    <x v="0"/>
    <x v="0"/>
    <x v="0"/>
    <x v="0"/>
    <x v="1"/>
    <x v="0"/>
    <x v="0"/>
    <x v="0"/>
    <x v="0"/>
    <x v="0"/>
    <x v="0"/>
    <x v="0"/>
    <x v="0"/>
    <x v="0"/>
    <x v="0"/>
    <x v="0"/>
    <x v="0"/>
  </r>
  <r>
    <s v=" Intolerance"/>
    <n v="239"/>
    <n v="25"/>
    <s v="Bfi"/>
    <x v="6"/>
    <d v="1996-11-11T00:00:00"/>
    <x v="20"/>
    <x v="25"/>
    <x v="0"/>
    <x v="0"/>
    <x v="0"/>
    <x v="0"/>
    <x v="0"/>
    <x v="0"/>
    <x v="0"/>
    <x v="0"/>
    <x v="0"/>
    <x v="0"/>
    <x v="0"/>
    <x v="0"/>
    <x v="0"/>
    <x v="0"/>
    <x v="1"/>
    <x v="0"/>
    <x v="0"/>
    <x v="0"/>
    <x v="0"/>
  </r>
  <r>
    <s v="The Hour of the Furnaces"/>
    <n v="238"/>
    <n v="26"/>
    <s v="Bfi"/>
    <x v="4"/>
    <d v="1968-09-08T00:00:00"/>
    <x v="21"/>
    <x v="26"/>
    <x v="0"/>
    <x v="0"/>
    <x v="0"/>
    <x v="0"/>
    <x v="0"/>
    <x v="1"/>
    <x v="1"/>
    <x v="0"/>
    <x v="0"/>
    <x v="0"/>
    <x v="0"/>
    <x v="0"/>
    <x v="0"/>
    <x v="0"/>
    <x v="1"/>
    <x v="0"/>
    <x v="0"/>
    <x v="0"/>
    <x v="0"/>
  </r>
  <r>
    <s v="Europa '51"/>
    <n v="237"/>
    <n v="27"/>
    <s v="Bfi"/>
    <x v="6"/>
    <d v="1952-12-04T00:00:00"/>
    <x v="22"/>
    <x v="27"/>
    <x v="0"/>
    <x v="0"/>
    <x v="0"/>
    <x v="0"/>
    <x v="0"/>
    <x v="0"/>
    <x v="0"/>
    <x v="0"/>
    <x v="0"/>
    <x v="0"/>
    <x v="0"/>
    <x v="0"/>
    <x v="0"/>
    <x v="0"/>
    <x v="1"/>
    <x v="0"/>
    <x v="0"/>
    <x v="0"/>
    <x v="0"/>
  </r>
  <r>
    <s v="NapolÃ©on"/>
    <n v="236"/>
    <n v="28"/>
    <s v="Bfi"/>
    <x v="16"/>
    <d v="2023-11-22T00:00:00"/>
    <x v="23"/>
    <x v="28"/>
    <x v="0"/>
    <x v="0"/>
    <x v="0"/>
    <x v="0"/>
    <x v="0"/>
    <x v="0"/>
    <x v="0"/>
    <x v="0"/>
    <x v="0"/>
    <x v="1"/>
    <x v="0"/>
    <x v="0"/>
    <x v="0"/>
    <x v="0"/>
    <x v="1"/>
    <x v="0"/>
    <x v="0"/>
    <x v="1"/>
    <x v="0"/>
  </r>
  <r>
    <s v="The Crowd"/>
    <n v="235"/>
    <n v="29"/>
    <s v="Bfi"/>
    <x v="12"/>
    <d v="1928-03-03T00:00:00"/>
    <x v="24"/>
    <x v="29"/>
    <x v="0"/>
    <x v="0"/>
    <x v="0"/>
    <x v="0"/>
    <x v="0"/>
    <x v="0"/>
    <x v="0"/>
    <x v="0"/>
    <x v="0"/>
    <x v="0"/>
    <x v="0"/>
    <x v="0"/>
    <x v="0"/>
    <x v="1"/>
    <x v="1"/>
    <x v="0"/>
    <x v="0"/>
    <x v="0"/>
    <x v="0"/>
  </r>
  <r>
    <s v="A Touch of Zen"/>
    <n v="234"/>
    <n v="30"/>
    <s v="Bfi"/>
    <x v="17"/>
    <d v="1971-11-18T00:00:00"/>
    <x v="7"/>
    <x v="30"/>
    <x v="1"/>
    <x v="1"/>
    <x v="0"/>
    <x v="0"/>
    <x v="0"/>
    <x v="0"/>
    <x v="1"/>
    <x v="0"/>
    <x v="1"/>
    <x v="0"/>
    <x v="0"/>
    <x v="0"/>
    <x v="0"/>
    <x v="0"/>
    <x v="1"/>
    <x v="0"/>
    <x v="0"/>
    <x v="0"/>
    <x v="0"/>
  </r>
  <r>
    <s v="Je, tu, il, elle"/>
    <n v="233"/>
    <n v="31"/>
    <s v="Bfi"/>
    <x v="6"/>
    <d v="1974-12-31T00:00:00"/>
    <x v="25"/>
    <x v="31"/>
    <x v="0"/>
    <x v="0"/>
    <x v="0"/>
    <x v="0"/>
    <x v="0"/>
    <x v="0"/>
    <x v="0"/>
    <x v="0"/>
    <x v="0"/>
    <x v="0"/>
    <x v="0"/>
    <x v="0"/>
    <x v="0"/>
    <x v="0"/>
    <x v="1"/>
    <x v="0"/>
    <x v="0"/>
    <x v="0"/>
    <x v="0"/>
  </r>
  <r>
    <s v="Petite maman"/>
    <n v="232"/>
    <n v="32"/>
    <s v="Bfi"/>
    <x v="18"/>
    <d v="2021-06-02T00:00:00"/>
    <x v="26"/>
    <x v="32"/>
    <x v="0"/>
    <x v="0"/>
    <x v="0"/>
    <x v="0"/>
    <x v="0"/>
    <x v="0"/>
    <x v="0"/>
    <x v="1"/>
    <x v="1"/>
    <x v="0"/>
    <x v="0"/>
    <x v="0"/>
    <x v="0"/>
    <x v="0"/>
    <x v="1"/>
    <x v="0"/>
    <x v="0"/>
    <x v="0"/>
    <x v="0"/>
  </r>
  <r>
    <s v="As I Was Moving Ahead, Occasionally I Saw Brief Glimpses of Beauty"/>
    <n v="231"/>
    <n v="33"/>
    <s v="Bfi"/>
    <x v="4"/>
    <d v="2000-11-05T00:00:00"/>
    <x v="27"/>
    <x v="33"/>
    <x v="0"/>
    <x v="0"/>
    <x v="0"/>
    <x v="0"/>
    <x v="0"/>
    <x v="1"/>
    <x v="1"/>
    <x v="0"/>
    <x v="0"/>
    <x v="0"/>
    <x v="0"/>
    <x v="0"/>
    <x v="0"/>
    <x v="0"/>
    <x v="1"/>
    <x v="0"/>
    <x v="0"/>
    <x v="0"/>
    <x v="0"/>
  </r>
  <r>
    <s v="Flowers of Shanghai"/>
    <n v="230"/>
    <n v="34"/>
    <s v="Bfi"/>
    <x v="6"/>
    <d v="1998-10-01T00:00:00"/>
    <x v="28"/>
    <x v="34"/>
    <x v="0"/>
    <x v="0"/>
    <x v="0"/>
    <x v="0"/>
    <x v="0"/>
    <x v="0"/>
    <x v="0"/>
    <x v="0"/>
    <x v="0"/>
    <x v="0"/>
    <x v="0"/>
    <x v="0"/>
    <x v="0"/>
    <x v="0"/>
    <x v="1"/>
    <x v="0"/>
    <x v="0"/>
    <x v="0"/>
    <x v="0"/>
  </r>
  <r>
    <s v="Happy Together"/>
    <n v="229"/>
    <n v="35"/>
    <s v="Bfi"/>
    <x v="12"/>
    <d v="1997-05-30T00:00:00"/>
    <x v="17"/>
    <x v="35"/>
    <x v="0"/>
    <x v="0"/>
    <x v="0"/>
    <x v="0"/>
    <x v="0"/>
    <x v="0"/>
    <x v="0"/>
    <x v="0"/>
    <x v="0"/>
    <x v="0"/>
    <x v="0"/>
    <x v="0"/>
    <x v="0"/>
    <x v="1"/>
    <x v="1"/>
    <x v="0"/>
    <x v="0"/>
    <x v="0"/>
    <x v="0"/>
  </r>
  <r>
    <s v="Crash"/>
    <n v="228"/>
    <n v="36"/>
    <s v="Bfi"/>
    <x v="6"/>
    <d v="1996-07-17T00:00:00"/>
    <x v="20"/>
    <x v="36"/>
    <x v="0"/>
    <x v="0"/>
    <x v="0"/>
    <x v="0"/>
    <x v="0"/>
    <x v="0"/>
    <x v="0"/>
    <x v="0"/>
    <x v="0"/>
    <x v="0"/>
    <x v="0"/>
    <x v="0"/>
    <x v="0"/>
    <x v="0"/>
    <x v="1"/>
    <x v="0"/>
    <x v="0"/>
    <x v="0"/>
    <x v="0"/>
  </r>
  <r>
    <s v="Blue"/>
    <n v="227"/>
    <n v="37"/>
    <s v="Bfi"/>
    <x v="4"/>
    <d v="1993-08-19T00:00:00"/>
    <x v="29"/>
    <x v="37"/>
    <x v="0"/>
    <x v="0"/>
    <x v="0"/>
    <x v="0"/>
    <x v="0"/>
    <x v="1"/>
    <x v="1"/>
    <x v="0"/>
    <x v="0"/>
    <x v="0"/>
    <x v="0"/>
    <x v="0"/>
    <x v="0"/>
    <x v="0"/>
    <x v="1"/>
    <x v="0"/>
    <x v="0"/>
    <x v="0"/>
    <x v="0"/>
  </r>
  <r>
    <s v="Grave of the Fireflies"/>
    <n v="226"/>
    <n v="38"/>
    <s v="Bfi"/>
    <x v="6"/>
    <d v="2005-11-01T00:00:00"/>
    <x v="30"/>
    <x v="38"/>
    <x v="0"/>
    <x v="0"/>
    <x v="0"/>
    <x v="0"/>
    <x v="0"/>
    <x v="0"/>
    <x v="0"/>
    <x v="0"/>
    <x v="0"/>
    <x v="0"/>
    <x v="0"/>
    <x v="0"/>
    <x v="0"/>
    <x v="0"/>
    <x v="1"/>
    <x v="0"/>
    <x v="0"/>
    <x v="0"/>
    <x v="0"/>
  </r>
  <r>
    <s v="The Green Ray"/>
    <n v="225"/>
    <n v="39"/>
    <s v="Bfi"/>
    <x v="12"/>
    <d v="1986-08-29T00:00:00"/>
    <x v="31"/>
    <x v="39"/>
    <x v="0"/>
    <x v="0"/>
    <x v="0"/>
    <x v="0"/>
    <x v="0"/>
    <x v="0"/>
    <x v="0"/>
    <x v="0"/>
    <x v="0"/>
    <x v="0"/>
    <x v="0"/>
    <x v="0"/>
    <x v="0"/>
    <x v="1"/>
    <x v="1"/>
    <x v="0"/>
    <x v="0"/>
    <x v="0"/>
    <x v="0"/>
  </r>
  <r>
    <s v="By the Bluest of Seas"/>
    <n v="224"/>
    <n v="40"/>
    <s v="Bfi"/>
    <x v="19"/>
    <d v="1936-04-20T00:00:00"/>
    <x v="32"/>
    <x v="40"/>
    <x v="0"/>
    <x v="0"/>
    <x v="0"/>
    <x v="1"/>
    <x v="0"/>
    <x v="0"/>
    <x v="0"/>
    <x v="0"/>
    <x v="0"/>
    <x v="0"/>
    <x v="0"/>
    <x v="0"/>
    <x v="0"/>
    <x v="1"/>
    <x v="1"/>
    <x v="0"/>
    <x v="0"/>
    <x v="0"/>
    <x v="0"/>
  </r>
  <r>
    <s v="Duck Soup"/>
    <n v="223"/>
    <n v="41"/>
    <s v="Bfi"/>
    <x v="20"/>
    <d v="1933-11-12T00:00:00"/>
    <x v="33"/>
    <x v="41"/>
    <x v="0"/>
    <x v="0"/>
    <x v="0"/>
    <x v="1"/>
    <x v="0"/>
    <x v="0"/>
    <x v="1"/>
    <x v="0"/>
    <x v="0"/>
    <x v="0"/>
    <x v="0"/>
    <x v="0"/>
    <x v="0"/>
    <x v="0"/>
    <x v="1"/>
    <x v="0"/>
    <x v="0"/>
    <x v="1"/>
    <x v="0"/>
  </r>
  <r>
    <s v="All about Eve"/>
    <n v="222"/>
    <n v="42"/>
    <s v="Bfi"/>
    <x v="6"/>
    <d v="1950-11-09T00:00:00"/>
    <x v="34"/>
    <x v="42"/>
    <x v="0"/>
    <x v="0"/>
    <x v="0"/>
    <x v="0"/>
    <x v="0"/>
    <x v="0"/>
    <x v="0"/>
    <x v="0"/>
    <x v="0"/>
    <x v="0"/>
    <x v="0"/>
    <x v="0"/>
    <x v="0"/>
    <x v="0"/>
    <x v="1"/>
    <x v="0"/>
    <x v="0"/>
    <x v="0"/>
    <x v="0"/>
  </r>
  <r>
    <s v="Brief Encounter"/>
    <n v="221"/>
    <n v="43"/>
    <s v="Bfi"/>
    <x v="12"/>
    <d v="1945-11-24T00:00:00"/>
    <x v="35"/>
    <x v="43"/>
    <x v="0"/>
    <x v="0"/>
    <x v="0"/>
    <x v="0"/>
    <x v="0"/>
    <x v="0"/>
    <x v="0"/>
    <x v="0"/>
    <x v="0"/>
    <x v="0"/>
    <x v="0"/>
    <x v="0"/>
    <x v="0"/>
    <x v="1"/>
    <x v="1"/>
    <x v="0"/>
    <x v="0"/>
    <x v="0"/>
    <x v="0"/>
  </r>
  <r>
    <s v="Suspiria"/>
    <n v="220"/>
    <n v="44"/>
    <s v="Bfi"/>
    <x v="10"/>
    <d v="1977-02-01T00:00:00"/>
    <x v="3"/>
    <x v="44"/>
    <x v="0"/>
    <x v="0"/>
    <x v="0"/>
    <x v="0"/>
    <x v="0"/>
    <x v="0"/>
    <x v="1"/>
    <x v="0"/>
    <x v="0"/>
    <x v="0"/>
    <x v="1"/>
    <x v="0"/>
    <x v="0"/>
    <x v="0"/>
    <x v="1"/>
    <x v="0"/>
    <x v="0"/>
    <x v="0"/>
    <x v="0"/>
  </r>
  <r>
    <s v="In a Lonely Place"/>
    <n v="219"/>
    <n v="45"/>
    <s v="Bfi"/>
    <x v="21"/>
    <d v="1950-05-17T00:00:00"/>
    <x v="34"/>
    <x v="45"/>
    <x v="0"/>
    <x v="0"/>
    <x v="0"/>
    <x v="0"/>
    <x v="1"/>
    <x v="0"/>
    <x v="0"/>
    <x v="0"/>
    <x v="0"/>
    <x v="0"/>
    <x v="0"/>
    <x v="0"/>
    <x v="1"/>
    <x v="1"/>
    <x v="1"/>
    <x v="0"/>
    <x v="1"/>
    <x v="0"/>
    <x v="0"/>
  </r>
  <r>
    <s v="The Deer Hunter"/>
    <n v="218"/>
    <n v="46"/>
    <s v="Bfi"/>
    <x v="22"/>
    <d v="1978-12-08T00:00:00"/>
    <x v="36"/>
    <x v="46"/>
    <x v="0"/>
    <x v="0"/>
    <x v="0"/>
    <x v="0"/>
    <x v="0"/>
    <x v="0"/>
    <x v="0"/>
    <x v="0"/>
    <x v="0"/>
    <x v="0"/>
    <x v="0"/>
    <x v="0"/>
    <x v="0"/>
    <x v="0"/>
    <x v="1"/>
    <x v="0"/>
    <x v="0"/>
    <x v="1"/>
    <x v="0"/>
  </r>
  <r>
    <s v="Army of Shadows"/>
    <n v="217"/>
    <n v="47"/>
    <s v="Bfi"/>
    <x v="23"/>
    <d v="1969-09-10T00:00:00"/>
    <x v="37"/>
    <x v="47"/>
    <x v="0"/>
    <x v="0"/>
    <x v="0"/>
    <x v="0"/>
    <x v="0"/>
    <x v="0"/>
    <x v="0"/>
    <x v="0"/>
    <x v="0"/>
    <x v="0"/>
    <x v="0"/>
    <x v="0"/>
    <x v="0"/>
    <x v="0"/>
    <x v="1"/>
    <x v="0"/>
    <x v="1"/>
    <x v="1"/>
    <x v="0"/>
  </r>
  <r>
    <s v="Melancholia"/>
    <n v="216"/>
    <n v="48"/>
    <s v="Bfi"/>
    <x v="0"/>
    <d v="2011-05-26T00:00:00"/>
    <x v="38"/>
    <x v="48"/>
    <x v="0"/>
    <x v="0"/>
    <x v="0"/>
    <x v="0"/>
    <x v="0"/>
    <x v="0"/>
    <x v="0"/>
    <x v="0"/>
    <x v="0"/>
    <x v="0"/>
    <x v="0"/>
    <x v="0"/>
    <x v="0"/>
    <x v="0"/>
    <x v="0"/>
    <x v="0"/>
    <x v="0"/>
    <x v="0"/>
    <x v="0"/>
  </r>
  <r>
    <s v="Twenty Years Later"/>
    <n v="215"/>
    <n v="49"/>
    <s v="Bfi"/>
    <x v="4"/>
    <d v="1984-12-03T00:00:00"/>
    <x v="39"/>
    <x v="49"/>
    <x v="0"/>
    <x v="0"/>
    <x v="0"/>
    <x v="0"/>
    <x v="0"/>
    <x v="1"/>
    <x v="1"/>
    <x v="0"/>
    <x v="0"/>
    <x v="0"/>
    <x v="0"/>
    <x v="0"/>
    <x v="0"/>
    <x v="0"/>
    <x v="1"/>
    <x v="0"/>
    <x v="0"/>
    <x v="0"/>
    <x v="0"/>
  </r>
  <r>
    <s v="Twin Peaks: Fire Walk with Me"/>
    <n v="214"/>
    <n v="50"/>
    <s v="Bfi"/>
    <x v="24"/>
    <d v="1992-06-03T00:00:00"/>
    <x v="18"/>
    <x v="50"/>
    <x v="0"/>
    <x v="0"/>
    <x v="0"/>
    <x v="0"/>
    <x v="0"/>
    <x v="0"/>
    <x v="0"/>
    <x v="0"/>
    <x v="0"/>
    <x v="0"/>
    <x v="1"/>
    <x v="0"/>
    <x v="1"/>
    <x v="0"/>
    <x v="1"/>
    <x v="0"/>
    <x v="0"/>
    <x v="0"/>
    <x v="0"/>
  </r>
  <r>
    <s v="Pink Flamingos"/>
    <n v="213"/>
    <n v="51"/>
    <s v="Bfi"/>
    <x v="25"/>
    <d v="1972-03-17T00:00:00"/>
    <x v="19"/>
    <x v="51"/>
    <x v="0"/>
    <x v="0"/>
    <x v="0"/>
    <x v="1"/>
    <x v="1"/>
    <x v="0"/>
    <x v="1"/>
    <x v="0"/>
    <x v="0"/>
    <x v="0"/>
    <x v="1"/>
    <x v="0"/>
    <x v="0"/>
    <x v="0"/>
    <x v="1"/>
    <x v="0"/>
    <x v="0"/>
    <x v="0"/>
    <x v="0"/>
  </r>
  <r>
    <s v="Raiders of the Lost Ark"/>
    <n v="212"/>
    <n v="52"/>
    <s v="Bfi"/>
    <x v="26"/>
    <d v="1981-06-12T00:00:00"/>
    <x v="9"/>
    <x v="52"/>
    <x v="1"/>
    <x v="1"/>
    <x v="0"/>
    <x v="0"/>
    <x v="0"/>
    <x v="0"/>
    <x v="1"/>
    <x v="0"/>
    <x v="0"/>
    <x v="0"/>
    <x v="0"/>
    <x v="0"/>
    <x v="0"/>
    <x v="0"/>
    <x v="1"/>
    <x v="0"/>
    <x v="0"/>
    <x v="0"/>
    <x v="0"/>
  </r>
  <r>
    <s v="Limite"/>
    <n v="211"/>
    <n v="53"/>
    <s v="Bfi"/>
    <x v="27"/>
    <d v="1931-05-17T00:00:00"/>
    <x v="40"/>
    <x v="53"/>
    <x v="0"/>
    <x v="1"/>
    <x v="0"/>
    <x v="0"/>
    <x v="0"/>
    <x v="0"/>
    <x v="0"/>
    <x v="0"/>
    <x v="0"/>
    <x v="0"/>
    <x v="0"/>
    <x v="0"/>
    <x v="0"/>
    <x v="0"/>
    <x v="1"/>
    <x v="0"/>
    <x v="0"/>
    <x v="0"/>
    <x v="0"/>
  </r>
  <r>
    <s v="The Life and Death of Colonel Blimp"/>
    <n v="210"/>
    <n v="54"/>
    <s v="Bfi"/>
    <x v="28"/>
    <d v="1943-07-26T00:00:00"/>
    <x v="41"/>
    <x v="54"/>
    <x v="0"/>
    <x v="0"/>
    <x v="0"/>
    <x v="1"/>
    <x v="0"/>
    <x v="0"/>
    <x v="0"/>
    <x v="0"/>
    <x v="0"/>
    <x v="0"/>
    <x v="0"/>
    <x v="0"/>
    <x v="0"/>
    <x v="1"/>
    <x v="1"/>
    <x v="0"/>
    <x v="0"/>
    <x v="1"/>
    <x v="0"/>
  </r>
  <r>
    <s v="Wavelength"/>
    <n v="209"/>
    <n v="55"/>
    <s v="Bfi"/>
    <x v="6"/>
    <d v="1967-03-17T00:00:00"/>
    <x v="6"/>
    <x v="55"/>
    <x v="0"/>
    <x v="0"/>
    <x v="0"/>
    <x v="0"/>
    <x v="0"/>
    <x v="0"/>
    <x v="0"/>
    <x v="0"/>
    <x v="0"/>
    <x v="0"/>
    <x v="0"/>
    <x v="0"/>
    <x v="0"/>
    <x v="0"/>
    <x v="1"/>
    <x v="0"/>
    <x v="0"/>
    <x v="0"/>
    <x v="0"/>
  </r>
  <r>
    <s v="I Know Where Iâ€™m Going!"/>
    <n v="208"/>
    <n v="56"/>
    <s v="Bfi"/>
    <x v="12"/>
    <d v="1945-11-16T00:00:00"/>
    <x v="35"/>
    <x v="56"/>
    <x v="0"/>
    <x v="0"/>
    <x v="0"/>
    <x v="0"/>
    <x v="0"/>
    <x v="0"/>
    <x v="0"/>
    <x v="0"/>
    <x v="0"/>
    <x v="0"/>
    <x v="0"/>
    <x v="0"/>
    <x v="0"/>
    <x v="1"/>
    <x v="1"/>
    <x v="0"/>
    <x v="0"/>
    <x v="0"/>
    <x v="0"/>
  </r>
  <r>
    <s v="L' eclisse"/>
    <n v="207"/>
    <n v="57"/>
    <s v="Bfi"/>
    <x v="29"/>
    <d v="1962-04-12T00:00:00"/>
    <x v="42"/>
    <x v="57"/>
    <x v="0"/>
    <x v="0"/>
    <x v="0"/>
    <x v="0"/>
    <x v="0"/>
    <x v="0"/>
    <x v="0"/>
    <x v="0"/>
    <x v="0"/>
    <x v="0"/>
    <x v="0"/>
    <x v="0"/>
    <x v="0"/>
    <x v="1"/>
    <x v="1"/>
    <x v="0"/>
    <x v="0"/>
    <x v="0"/>
    <x v="0"/>
  </r>
  <r>
    <s v="Double Indemnity"/>
    <n v="206"/>
    <n v="58"/>
    <s v="Bfi"/>
    <x v="30"/>
    <d v="1944-06-14T00:00:00"/>
    <x v="8"/>
    <x v="58"/>
    <x v="0"/>
    <x v="0"/>
    <x v="0"/>
    <x v="0"/>
    <x v="1"/>
    <x v="0"/>
    <x v="1"/>
    <x v="0"/>
    <x v="0"/>
    <x v="0"/>
    <x v="0"/>
    <x v="0"/>
    <x v="0"/>
    <x v="0"/>
    <x v="1"/>
    <x v="0"/>
    <x v="1"/>
    <x v="0"/>
    <x v="0"/>
  </r>
  <r>
    <s v="Dr. Strangelove or: How I Learned to Stop Worrying and Love the Bomb"/>
    <n v="205"/>
    <n v="59"/>
    <s v="Bfi"/>
    <x v="20"/>
    <d v="1964-01-29T00:00:00"/>
    <x v="43"/>
    <x v="59"/>
    <x v="0"/>
    <x v="0"/>
    <x v="0"/>
    <x v="1"/>
    <x v="0"/>
    <x v="0"/>
    <x v="1"/>
    <x v="0"/>
    <x v="0"/>
    <x v="0"/>
    <x v="0"/>
    <x v="0"/>
    <x v="0"/>
    <x v="0"/>
    <x v="1"/>
    <x v="0"/>
    <x v="0"/>
    <x v="1"/>
    <x v="0"/>
  </r>
  <r>
    <s v="One Way or Another"/>
    <n v="204"/>
    <n v="60"/>
    <s v="Bfi"/>
    <x v="31"/>
    <d v="1976-04-30T00:00:00"/>
    <x v="44"/>
    <x v="60"/>
    <x v="0"/>
    <x v="0"/>
    <x v="0"/>
    <x v="0"/>
    <x v="0"/>
    <x v="0"/>
    <x v="0"/>
    <x v="0"/>
    <x v="0"/>
    <x v="0"/>
    <x v="0"/>
    <x v="0"/>
    <x v="0"/>
    <x v="0"/>
    <x v="1"/>
    <x v="0"/>
    <x v="1"/>
    <x v="0"/>
    <x v="0"/>
  </r>
  <r>
    <s v="Nosferatu"/>
    <n v="203"/>
    <n v="61"/>
    <s v="Bfi"/>
    <x v="10"/>
    <m/>
    <x v="45"/>
    <x v="61"/>
    <x v="0"/>
    <x v="0"/>
    <x v="0"/>
    <x v="0"/>
    <x v="0"/>
    <x v="0"/>
    <x v="1"/>
    <x v="0"/>
    <x v="0"/>
    <x v="0"/>
    <x v="1"/>
    <x v="0"/>
    <x v="0"/>
    <x v="0"/>
    <x v="1"/>
    <x v="0"/>
    <x v="0"/>
    <x v="0"/>
    <x v="0"/>
  </r>
  <r>
    <s v="Paisan"/>
    <n v="202"/>
    <n v="62"/>
    <s v="Bfi"/>
    <x v="22"/>
    <d v="1946-12-10T00:00:00"/>
    <x v="5"/>
    <x v="62"/>
    <x v="0"/>
    <x v="0"/>
    <x v="0"/>
    <x v="0"/>
    <x v="0"/>
    <x v="0"/>
    <x v="0"/>
    <x v="0"/>
    <x v="0"/>
    <x v="0"/>
    <x v="0"/>
    <x v="0"/>
    <x v="0"/>
    <x v="0"/>
    <x v="1"/>
    <x v="0"/>
    <x v="0"/>
    <x v="1"/>
    <x v="0"/>
  </r>
  <r>
    <s v="Zama"/>
    <n v="201"/>
    <n v="63"/>
    <s v="Bfi"/>
    <x v="32"/>
    <d v="2017-09-28T00:00:00"/>
    <x v="46"/>
    <x v="63"/>
    <x v="0"/>
    <x v="0"/>
    <x v="0"/>
    <x v="0"/>
    <x v="0"/>
    <x v="0"/>
    <x v="0"/>
    <x v="0"/>
    <x v="0"/>
    <x v="1"/>
    <x v="0"/>
    <x v="0"/>
    <x v="0"/>
    <x v="0"/>
    <x v="1"/>
    <x v="0"/>
    <x v="0"/>
    <x v="0"/>
    <x v="0"/>
  </r>
  <r>
    <s v="Mad Max: Fury Road"/>
    <n v="200"/>
    <n v="64"/>
    <s v="Bfi"/>
    <x v="33"/>
    <d v="2015-05-13T00:00:00"/>
    <x v="47"/>
    <x v="64"/>
    <x v="1"/>
    <x v="1"/>
    <x v="0"/>
    <x v="0"/>
    <x v="0"/>
    <x v="0"/>
    <x v="1"/>
    <x v="0"/>
    <x v="0"/>
    <x v="0"/>
    <x v="0"/>
    <x v="0"/>
    <x v="0"/>
    <x v="0"/>
    <x v="0"/>
    <x v="0"/>
    <x v="0"/>
    <x v="0"/>
    <x v="0"/>
  </r>
  <r>
    <s v="The Tree of Life"/>
    <n v="199"/>
    <n v="65"/>
    <s v="Bfi"/>
    <x v="34"/>
    <d v="2011-05-17T00:00:00"/>
    <x v="38"/>
    <x v="65"/>
    <x v="0"/>
    <x v="0"/>
    <x v="0"/>
    <x v="0"/>
    <x v="0"/>
    <x v="0"/>
    <x v="0"/>
    <x v="0"/>
    <x v="1"/>
    <x v="0"/>
    <x v="0"/>
    <x v="0"/>
    <x v="0"/>
    <x v="0"/>
    <x v="1"/>
    <x v="0"/>
    <x v="0"/>
    <x v="0"/>
    <x v="0"/>
  </r>
  <r>
    <s v="Uncle Boonmee Who Can Recall His Past Lives"/>
    <n v="198"/>
    <n v="66"/>
    <s v="Bfi"/>
    <x v="34"/>
    <d v="2010-06-25T00:00:00"/>
    <x v="12"/>
    <x v="66"/>
    <x v="0"/>
    <x v="0"/>
    <x v="0"/>
    <x v="0"/>
    <x v="0"/>
    <x v="0"/>
    <x v="0"/>
    <x v="0"/>
    <x v="1"/>
    <x v="0"/>
    <x v="0"/>
    <x v="0"/>
    <x v="0"/>
    <x v="0"/>
    <x v="1"/>
    <x v="0"/>
    <x v="0"/>
    <x v="0"/>
    <x v="0"/>
  </r>
  <r>
    <s v="The Headless Woman"/>
    <n v="197"/>
    <n v="67"/>
    <s v="Bfi"/>
    <x v="35"/>
    <d v="2008-08-21T00:00:00"/>
    <x v="48"/>
    <x v="67"/>
    <x v="0"/>
    <x v="0"/>
    <x v="0"/>
    <x v="0"/>
    <x v="0"/>
    <x v="0"/>
    <x v="0"/>
    <x v="0"/>
    <x v="0"/>
    <x v="0"/>
    <x v="0"/>
    <x v="0"/>
    <x v="1"/>
    <x v="0"/>
    <x v="1"/>
    <x v="0"/>
    <x v="1"/>
    <x v="0"/>
    <x v="0"/>
  </r>
  <r>
    <s v="Paris Is Burning"/>
    <n v="196"/>
    <n v="68"/>
    <s v="Bfi"/>
    <x v="36"/>
    <d v="1966-10-26T00:00:00"/>
    <x v="49"/>
    <x v="68"/>
    <x v="0"/>
    <x v="0"/>
    <x v="0"/>
    <x v="0"/>
    <x v="0"/>
    <x v="0"/>
    <x v="0"/>
    <x v="0"/>
    <x v="0"/>
    <x v="1"/>
    <x v="0"/>
    <x v="0"/>
    <x v="0"/>
    <x v="0"/>
    <x v="1"/>
    <x v="0"/>
    <x v="0"/>
    <x v="1"/>
    <x v="0"/>
  </r>
  <r>
    <s v="Paris, Texas"/>
    <n v="195"/>
    <n v="69"/>
    <s v="Bfi"/>
    <x v="6"/>
    <d v="1984-07-16T00:00:00"/>
    <x v="39"/>
    <x v="69"/>
    <x v="0"/>
    <x v="0"/>
    <x v="0"/>
    <x v="0"/>
    <x v="0"/>
    <x v="0"/>
    <x v="0"/>
    <x v="0"/>
    <x v="0"/>
    <x v="0"/>
    <x v="0"/>
    <x v="0"/>
    <x v="0"/>
    <x v="0"/>
    <x v="1"/>
    <x v="0"/>
    <x v="0"/>
    <x v="0"/>
    <x v="0"/>
  </r>
  <r>
    <s v="Les Demoiselles de Rochefort"/>
    <n v="194"/>
    <n v="70"/>
    <s v="Bfi"/>
    <x v="37"/>
    <d v="1967-03-08T00:00:00"/>
    <x v="6"/>
    <x v="70"/>
    <x v="0"/>
    <x v="0"/>
    <x v="0"/>
    <x v="1"/>
    <x v="0"/>
    <x v="0"/>
    <x v="0"/>
    <x v="0"/>
    <x v="0"/>
    <x v="0"/>
    <x v="0"/>
    <x v="0"/>
    <x v="0"/>
    <x v="1"/>
    <x v="1"/>
    <x v="0"/>
    <x v="0"/>
    <x v="0"/>
    <x v="0"/>
  </r>
  <r>
    <s v="The Birds"/>
    <n v="193"/>
    <n v="71"/>
    <s v="Bfi"/>
    <x v="10"/>
    <d v="1963-03-28T00:00:00"/>
    <x v="50"/>
    <x v="71"/>
    <x v="0"/>
    <x v="0"/>
    <x v="0"/>
    <x v="0"/>
    <x v="0"/>
    <x v="0"/>
    <x v="1"/>
    <x v="0"/>
    <x v="0"/>
    <x v="0"/>
    <x v="1"/>
    <x v="0"/>
    <x v="0"/>
    <x v="0"/>
    <x v="1"/>
    <x v="0"/>
    <x v="0"/>
    <x v="0"/>
    <x v="0"/>
  </r>
  <r>
    <s v="The River"/>
    <n v="192"/>
    <n v="72"/>
    <s v="Bfi"/>
    <x v="6"/>
    <d v="1984-12-01T00:00:00"/>
    <x v="39"/>
    <x v="72"/>
    <x v="0"/>
    <x v="0"/>
    <x v="0"/>
    <x v="0"/>
    <x v="0"/>
    <x v="0"/>
    <x v="0"/>
    <x v="0"/>
    <x v="0"/>
    <x v="0"/>
    <x v="0"/>
    <x v="0"/>
    <x v="0"/>
    <x v="0"/>
    <x v="1"/>
    <x v="0"/>
    <x v="0"/>
    <x v="0"/>
    <x v="0"/>
  </r>
  <r>
    <s v="An Autumn Afternoon"/>
    <n v="191"/>
    <n v="73"/>
    <s v="Bfi"/>
    <x v="6"/>
    <d v="1962-11-18T00:00:00"/>
    <x v="42"/>
    <x v="73"/>
    <x v="0"/>
    <x v="0"/>
    <x v="0"/>
    <x v="0"/>
    <x v="0"/>
    <x v="0"/>
    <x v="0"/>
    <x v="0"/>
    <x v="0"/>
    <x v="0"/>
    <x v="0"/>
    <x v="0"/>
    <x v="0"/>
    <x v="0"/>
    <x v="1"/>
    <x v="0"/>
    <x v="0"/>
    <x v="0"/>
    <x v="0"/>
  </r>
  <r>
    <s v="Love Streams"/>
    <n v="190"/>
    <n v="74"/>
    <s v="Bfi"/>
    <x v="6"/>
    <d v="1984-02-20T00:00:00"/>
    <x v="39"/>
    <x v="74"/>
    <x v="0"/>
    <x v="0"/>
    <x v="0"/>
    <x v="0"/>
    <x v="0"/>
    <x v="0"/>
    <x v="0"/>
    <x v="0"/>
    <x v="0"/>
    <x v="0"/>
    <x v="0"/>
    <x v="0"/>
    <x v="0"/>
    <x v="0"/>
    <x v="1"/>
    <x v="0"/>
    <x v="0"/>
    <x v="0"/>
    <x v="0"/>
  </r>
  <r>
    <s v=" Greed"/>
    <n v="189"/>
    <n v="75"/>
    <s v="Bfi"/>
    <x v="38"/>
    <d v="1964-04-17T00:00:00"/>
    <x v="43"/>
    <x v="75"/>
    <x v="1"/>
    <x v="1"/>
    <x v="0"/>
    <x v="1"/>
    <x v="0"/>
    <x v="0"/>
    <x v="1"/>
    <x v="0"/>
    <x v="0"/>
    <x v="0"/>
    <x v="0"/>
    <x v="0"/>
    <x v="0"/>
    <x v="0"/>
    <x v="1"/>
    <x v="0"/>
    <x v="0"/>
    <x v="0"/>
    <x v="0"/>
  </r>
  <r>
    <s v="Ran"/>
    <n v="188"/>
    <n v="76"/>
    <s v="Bfi"/>
    <x v="39"/>
    <d v="2018-06-06T00:00:00"/>
    <x v="51"/>
    <x v="76"/>
    <x v="0"/>
    <x v="0"/>
    <x v="0"/>
    <x v="0"/>
    <x v="0"/>
    <x v="0"/>
    <x v="1"/>
    <x v="0"/>
    <x v="0"/>
    <x v="0"/>
    <x v="0"/>
    <x v="0"/>
    <x v="0"/>
    <x v="0"/>
    <x v="1"/>
    <x v="0"/>
    <x v="0"/>
    <x v="0"/>
    <x v="0"/>
  </r>
  <r>
    <s v=" Pyaasa"/>
    <n v="187"/>
    <n v="77"/>
    <s v="Bfi"/>
    <x v="12"/>
    <d v="1957-02-19T00:00:00"/>
    <x v="52"/>
    <x v="77"/>
    <x v="0"/>
    <x v="0"/>
    <x v="0"/>
    <x v="0"/>
    <x v="0"/>
    <x v="0"/>
    <x v="0"/>
    <x v="0"/>
    <x v="0"/>
    <x v="0"/>
    <x v="0"/>
    <x v="0"/>
    <x v="0"/>
    <x v="1"/>
    <x v="1"/>
    <x v="0"/>
    <x v="0"/>
    <x v="0"/>
    <x v="0"/>
  </r>
  <r>
    <s v="Wings of Desire"/>
    <n v="186"/>
    <n v="78"/>
    <s v="Bfi"/>
    <x v="40"/>
    <d v="1987-05-17T00:00:00"/>
    <x v="53"/>
    <x v="78"/>
    <x v="0"/>
    <x v="0"/>
    <x v="0"/>
    <x v="0"/>
    <x v="0"/>
    <x v="0"/>
    <x v="0"/>
    <x v="0"/>
    <x v="1"/>
    <x v="0"/>
    <x v="0"/>
    <x v="0"/>
    <x v="0"/>
    <x v="1"/>
    <x v="1"/>
    <x v="0"/>
    <x v="0"/>
    <x v="0"/>
    <x v="0"/>
  </r>
  <r>
    <s v="Magnolia"/>
    <n v="185"/>
    <n v="79"/>
    <s v="Bfi"/>
    <x v="6"/>
    <d v="1999-12-10T00:00:00"/>
    <x v="54"/>
    <x v="79"/>
    <x v="0"/>
    <x v="0"/>
    <x v="0"/>
    <x v="0"/>
    <x v="0"/>
    <x v="0"/>
    <x v="0"/>
    <x v="0"/>
    <x v="0"/>
    <x v="0"/>
    <x v="0"/>
    <x v="0"/>
    <x v="0"/>
    <x v="0"/>
    <x v="1"/>
    <x v="0"/>
    <x v="0"/>
    <x v="0"/>
    <x v="0"/>
  </r>
  <r>
    <s v="The Magnificent Ambersons"/>
    <n v="184"/>
    <n v="80"/>
    <s v="Bfi"/>
    <x v="41"/>
    <d v="1942-07-10T00:00:00"/>
    <x v="55"/>
    <x v="80"/>
    <x v="0"/>
    <x v="0"/>
    <x v="0"/>
    <x v="0"/>
    <x v="0"/>
    <x v="0"/>
    <x v="0"/>
    <x v="0"/>
    <x v="0"/>
    <x v="1"/>
    <x v="0"/>
    <x v="0"/>
    <x v="0"/>
    <x v="1"/>
    <x v="1"/>
    <x v="0"/>
    <x v="0"/>
    <x v="0"/>
    <x v="0"/>
  </r>
  <r>
    <s v="Hiroshima mon amour"/>
    <n v="183"/>
    <n v="81"/>
    <s v="Bfi"/>
    <x v="42"/>
    <d v="1959-06-10T00:00:00"/>
    <x v="56"/>
    <x v="81"/>
    <x v="0"/>
    <x v="0"/>
    <x v="0"/>
    <x v="0"/>
    <x v="0"/>
    <x v="0"/>
    <x v="0"/>
    <x v="0"/>
    <x v="0"/>
    <x v="1"/>
    <x v="0"/>
    <x v="0"/>
    <x v="0"/>
    <x v="1"/>
    <x v="1"/>
    <x v="0"/>
    <x v="0"/>
    <x v="0"/>
    <x v="0"/>
  </r>
  <r>
    <s v="Letter from an Unknown Woman"/>
    <n v="182"/>
    <n v="82"/>
    <s v="Bfi"/>
    <x v="12"/>
    <d v="1948-04-28T00:00:00"/>
    <x v="57"/>
    <x v="82"/>
    <x v="0"/>
    <x v="0"/>
    <x v="0"/>
    <x v="0"/>
    <x v="0"/>
    <x v="0"/>
    <x v="0"/>
    <x v="0"/>
    <x v="0"/>
    <x v="0"/>
    <x v="0"/>
    <x v="0"/>
    <x v="0"/>
    <x v="1"/>
    <x v="1"/>
    <x v="0"/>
    <x v="0"/>
    <x v="0"/>
    <x v="0"/>
  </r>
  <r>
    <s v="Charulata"/>
    <n v="181"/>
    <n v="83"/>
    <s v="Bfi"/>
    <x v="12"/>
    <d v="1964-04-17T00:00:00"/>
    <x v="43"/>
    <x v="83"/>
    <x v="0"/>
    <x v="0"/>
    <x v="0"/>
    <x v="0"/>
    <x v="0"/>
    <x v="0"/>
    <x v="0"/>
    <x v="0"/>
    <x v="0"/>
    <x v="0"/>
    <x v="0"/>
    <x v="0"/>
    <x v="0"/>
    <x v="1"/>
    <x v="1"/>
    <x v="0"/>
    <x v="0"/>
    <x v="0"/>
    <x v="0"/>
  </r>
  <r>
    <s v="The Good, the Bad and the Ugly"/>
    <n v="180"/>
    <n v="84"/>
    <s v="Bfi"/>
    <x v="43"/>
    <d v="1966-12-23T00:00:00"/>
    <x v="49"/>
    <x v="84"/>
    <x v="0"/>
    <x v="0"/>
    <x v="0"/>
    <x v="0"/>
    <x v="0"/>
    <x v="0"/>
    <x v="1"/>
    <x v="0"/>
    <x v="0"/>
    <x v="0"/>
    <x v="0"/>
    <x v="0"/>
    <x v="0"/>
    <x v="0"/>
    <x v="1"/>
    <x v="0"/>
    <x v="0"/>
    <x v="0"/>
    <x v="1"/>
  </r>
  <r>
    <s v="Red Desert"/>
    <n v="179"/>
    <n v="85"/>
    <s v="Bfi"/>
    <x v="6"/>
    <d v="1964-09-04T00:00:00"/>
    <x v="43"/>
    <x v="85"/>
    <x v="0"/>
    <x v="0"/>
    <x v="0"/>
    <x v="0"/>
    <x v="0"/>
    <x v="0"/>
    <x v="0"/>
    <x v="0"/>
    <x v="0"/>
    <x v="0"/>
    <x v="0"/>
    <x v="0"/>
    <x v="0"/>
    <x v="0"/>
    <x v="1"/>
    <x v="0"/>
    <x v="0"/>
    <x v="0"/>
    <x v="0"/>
  </r>
  <r>
    <s v="Black Narcissus"/>
    <n v="178"/>
    <n v="86"/>
    <s v="Bfi"/>
    <x v="6"/>
    <d v="1947-05-26T00:00:00"/>
    <x v="58"/>
    <x v="86"/>
    <x v="0"/>
    <x v="0"/>
    <x v="0"/>
    <x v="0"/>
    <x v="0"/>
    <x v="0"/>
    <x v="0"/>
    <x v="0"/>
    <x v="0"/>
    <x v="0"/>
    <x v="0"/>
    <x v="0"/>
    <x v="0"/>
    <x v="0"/>
    <x v="1"/>
    <x v="0"/>
    <x v="0"/>
    <x v="0"/>
    <x v="0"/>
  </r>
  <r>
    <s v="Memories of Underdevelopment"/>
    <n v="177"/>
    <n v="87"/>
    <s v="Bfi"/>
    <x v="6"/>
    <d v="1968-08-19T00:00:00"/>
    <x v="21"/>
    <x v="87"/>
    <x v="0"/>
    <x v="0"/>
    <x v="0"/>
    <x v="0"/>
    <x v="0"/>
    <x v="0"/>
    <x v="0"/>
    <x v="0"/>
    <x v="0"/>
    <x v="0"/>
    <x v="0"/>
    <x v="0"/>
    <x v="0"/>
    <x v="0"/>
    <x v="1"/>
    <x v="0"/>
    <x v="0"/>
    <x v="0"/>
    <x v="0"/>
  </r>
  <r>
    <s v="The Exterminating Angel"/>
    <n v="176"/>
    <n v="88"/>
    <s v="Bfi"/>
    <x v="34"/>
    <d v="2006-09-13T00:00:00"/>
    <x v="13"/>
    <x v="88"/>
    <x v="0"/>
    <x v="0"/>
    <x v="0"/>
    <x v="0"/>
    <x v="0"/>
    <x v="0"/>
    <x v="0"/>
    <x v="0"/>
    <x v="1"/>
    <x v="0"/>
    <x v="0"/>
    <x v="0"/>
    <x v="0"/>
    <x v="0"/>
    <x v="1"/>
    <x v="0"/>
    <x v="0"/>
    <x v="0"/>
    <x v="0"/>
  </r>
  <r>
    <s v="Under the Skin"/>
    <n v="175"/>
    <n v="89"/>
    <s v="Bfi"/>
    <x v="44"/>
    <d v="2014-03-14T00:00:00"/>
    <x v="59"/>
    <x v="89"/>
    <x v="0"/>
    <x v="0"/>
    <x v="0"/>
    <x v="0"/>
    <x v="0"/>
    <x v="0"/>
    <x v="0"/>
    <x v="0"/>
    <x v="0"/>
    <x v="0"/>
    <x v="0"/>
    <x v="0"/>
    <x v="0"/>
    <x v="0"/>
    <x v="0"/>
    <x v="0"/>
    <x v="1"/>
    <x v="0"/>
    <x v="0"/>
  </r>
  <r>
    <s v=" Heat"/>
    <n v="174"/>
    <n v="90"/>
    <s v="Bfi"/>
    <x v="45"/>
    <d v="1987-12-05T00:00:00"/>
    <x v="53"/>
    <x v="90"/>
    <x v="1"/>
    <x v="0"/>
    <x v="0"/>
    <x v="0"/>
    <x v="1"/>
    <x v="0"/>
    <x v="1"/>
    <x v="0"/>
    <x v="0"/>
    <x v="0"/>
    <x v="0"/>
    <x v="0"/>
    <x v="0"/>
    <x v="0"/>
    <x v="1"/>
    <x v="0"/>
    <x v="1"/>
    <x v="0"/>
    <x v="0"/>
  </r>
  <r>
    <s v="Symbiopsychotaxiplasm: Take One"/>
    <n v="173"/>
    <n v="91"/>
    <s v="Bfi"/>
    <x v="4"/>
    <d v="1968-10-28T00:00:00"/>
    <x v="21"/>
    <x v="91"/>
    <x v="0"/>
    <x v="0"/>
    <x v="0"/>
    <x v="0"/>
    <x v="0"/>
    <x v="1"/>
    <x v="1"/>
    <x v="0"/>
    <x v="0"/>
    <x v="0"/>
    <x v="0"/>
    <x v="0"/>
    <x v="0"/>
    <x v="0"/>
    <x v="1"/>
    <x v="0"/>
    <x v="0"/>
    <x v="0"/>
    <x v="0"/>
  </r>
  <r>
    <s v="Out 1"/>
    <n v="172"/>
    <n v="92"/>
    <s v="Bfi"/>
    <x v="46"/>
    <d v="1971-10-09T00:00:00"/>
    <x v="7"/>
    <x v="92"/>
    <x v="0"/>
    <x v="0"/>
    <x v="0"/>
    <x v="0"/>
    <x v="0"/>
    <x v="0"/>
    <x v="0"/>
    <x v="0"/>
    <x v="0"/>
    <x v="0"/>
    <x v="0"/>
    <x v="0"/>
    <x v="1"/>
    <x v="0"/>
    <x v="1"/>
    <x v="0"/>
    <x v="0"/>
    <x v="0"/>
    <x v="0"/>
  </r>
  <r>
    <s v="Un chien andalou"/>
    <n v="171"/>
    <n v="93"/>
    <s v="Bfi"/>
    <x v="47"/>
    <d v="1929-06-05T00:00:00"/>
    <x v="1"/>
    <x v="93"/>
    <x v="0"/>
    <x v="0"/>
    <x v="0"/>
    <x v="0"/>
    <x v="0"/>
    <x v="0"/>
    <x v="1"/>
    <x v="0"/>
    <x v="1"/>
    <x v="0"/>
    <x v="1"/>
    <x v="0"/>
    <x v="0"/>
    <x v="0"/>
    <x v="1"/>
    <x v="0"/>
    <x v="0"/>
    <x v="0"/>
    <x v="0"/>
  </r>
  <r>
    <s v="L'Argent"/>
    <n v="170"/>
    <n v="94"/>
    <s v="Bfi"/>
    <x v="48"/>
    <d v="1983-05-16T00:00:00"/>
    <x v="0"/>
    <x v="94"/>
    <x v="0"/>
    <x v="0"/>
    <x v="0"/>
    <x v="0"/>
    <x v="1"/>
    <x v="0"/>
    <x v="0"/>
    <x v="0"/>
    <x v="0"/>
    <x v="0"/>
    <x v="0"/>
    <x v="0"/>
    <x v="0"/>
    <x v="0"/>
    <x v="1"/>
    <x v="0"/>
    <x v="0"/>
    <x v="0"/>
    <x v="0"/>
  </r>
  <r>
    <s v=" Last Year at Marienbad"/>
    <n v="169"/>
    <n v="95"/>
    <s v="Bfi"/>
    <x v="12"/>
    <d v="1961-05-25T00:00:00"/>
    <x v="60"/>
    <x v="95"/>
    <x v="0"/>
    <x v="0"/>
    <x v="0"/>
    <x v="0"/>
    <x v="0"/>
    <x v="0"/>
    <x v="0"/>
    <x v="0"/>
    <x v="0"/>
    <x v="0"/>
    <x v="0"/>
    <x v="0"/>
    <x v="0"/>
    <x v="1"/>
    <x v="1"/>
    <x v="0"/>
    <x v="0"/>
    <x v="0"/>
    <x v="0"/>
  </r>
  <r>
    <s v="Los olvidados"/>
    <n v="168"/>
    <n v="96"/>
    <s v="Bfi"/>
    <x v="48"/>
    <d v="1950-12-09T00:00:00"/>
    <x v="34"/>
    <x v="96"/>
    <x v="0"/>
    <x v="0"/>
    <x v="0"/>
    <x v="0"/>
    <x v="1"/>
    <x v="0"/>
    <x v="0"/>
    <x v="0"/>
    <x v="0"/>
    <x v="0"/>
    <x v="0"/>
    <x v="0"/>
    <x v="0"/>
    <x v="0"/>
    <x v="1"/>
    <x v="0"/>
    <x v="0"/>
    <x v="0"/>
    <x v="0"/>
  </r>
  <r>
    <s v="Ikiru"/>
    <n v="167"/>
    <n v="97"/>
    <s v="Bfi"/>
    <x v="6"/>
    <d v="1952-10-09T00:00:00"/>
    <x v="22"/>
    <x v="97"/>
    <x v="0"/>
    <x v="0"/>
    <x v="0"/>
    <x v="0"/>
    <x v="0"/>
    <x v="0"/>
    <x v="0"/>
    <x v="0"/>
    <x v="0"/>
    <x v="0"/>
    <x v="0"/>
    <x v="0"/>
    <x v="0"/>
    <x v="0"/>
    <x v="1"/>
    <x v="0"/>
    <x v="0"/>
    <x v="0"/>
    <x v="0"/>
  </r>
  <r>
    <s v="Out of the Past"/>
    <n v="166"/>
    <n v="98"/>
    <s v="Bfi"/>
    <x v="49"/>
    <d v="1947-11-25T00:00:00"/>
    <x v="58"/>
    <x v="98"/>
    <x v="0"/>
    <x v="0"/>
    <x v="0"/>
    <x v="0"/>
    <x v="1"/>
    <x v="0"/>
    <x v="0"/>
    <x v="0"/>
    <x v="0"/>
    <x v="0"/>
    <x v="0"/>
    <x v="0"/>
    <x v="0"/>
    <x v="1"/>
    <x v="1"/>
    <x v="0"/>
    <x v="1"/>
    <x v="0"/>
    <x v="0"/>
  </r>
  <r>
    <s v="Vivre sa vie"/>
    <n v="165"/>
    <n v="99"/>
    <s v="Bfi"/>
    <x v="6"/>
    <d v="1962-09-20T00:00:00"/>
    <x v="42"/>
    <x v="99"/>
    <x v="0"/>
    <x v="0"/>
    <x v="0"/>
    <x v="0"/>
    <x v="0"/>
    <x v="0"/>
    <x v="0"/>
    <x v="0"/>
    <x v="0"/>
    <x v="0"/>
    <x v="0"/>
    <x v="0"/>
    <x v="0"/>
    <x v="0"/>
    <x v="1"/>
    <x v="0"/>
    <x v="0"/>
    <x v="0"/>
    <x v="0"/>
  </r>
  <r>
    <s v="Amarcord"/>
    <n v="164"/>
    <n v="100"/>
    <s v="Bfi"/>
    <x v="50"/>
    <d v="1973-12-18T00:00:00"/>
    <x v="10"/>
    <x v="100"/>
    <x v="0"/>
    <x v="0"/>
    <x v="0"/>
    <x v="1"/>
    <x v="0"/>
    <x v="0"/>
    <x v="0"/>
    <x v="0"/>
    <x v="0"/>
    <x v="0"/>
    <x v="0"/>
    <x v="0"/>
    <x v="0"/>
    <x v="0"/>
    <x v="1"/>
    <x v="0"/>
    <x v="0"/>
    <x v="0"/>
    <x v="0"/>
  </r>
  <r>
    <s v="Once upon a Time in America"/>
    <n v="163"/>
    <n v="101"/>
    <s v="Bfi"/>
    <x v="51"/>
    <d v="1984-05-23T00:00:00"/>
    <x v="39"/>
    <x v="101"/>
    <x v="0"/>
    <x v="0"/>
    <x v="0"/>
    <x v="0"/>
    <x v="1"/>
    <x v="0"/>
    <x v="0"/>
    <x v="0"/>
    <x v="0"/>
    <x v="0"/>
    <x v="0"/>
    <x v="0"/>
    <x v="0"/>
    <x v="0"/>
    <x v="1"/>
    <x v="0"/>
    <x v="0"/>
    <x v="0"/>
    <x v="0"/>
  </r>
  <r>
    <s v="The Gospel According to St. Matthew"/>
    <n v="162"/>
    <n v="102"/>
    <s v="Bfi"/>
    <x v="52"/>
    <d v="1973-03-21T00:00:00"/>
    <x v="10"/>
    <x v="102"/>
    <x v="0"/>
    <x v="0"/>
    <x v="0"/>
    <x v="1"/>
    <x v="0"/>
    <x v="0"/>
    <x v="1"/>
    <x v="1"/>
    <x v="0"/>
    <x v="0"/>
    <x v="0"/>
    <x v="1"/>
    <x v="0"/>
    <x v="0"/>
    <x v="1"/>
    <x v="0"/>
    <x v="0"/>
    <x v="0"/>
    <x v="0"/>
  </r>
  <r>
    <s v="Where Is the Friend's House?"/>
    <n v="161"/>
    <n v="103"/>
    <s v="Bfi"/>
    <x v="53"/>
    <d v="1987-07-01T00:00:00"/>
    <x v="53"/>
    <x v="103"/>
    <x v="0"/>
    <x v="0"/>
    <x v="0"/>
    <x v="0"/>
    <x v="0"/>
    <x v="0"/>
    <x v="0"/>
    <x v="1"/>
    <x v="0"/>
    <x v="0"/>
    <x v="0"/>
    <x v="0"/>
    <x v="0"/>
    <x v="0"/>
    <x v="1"/>
    <x v="0"/>
    <x v="0"/>
    <x v="0"/>
    <x v="0"/>
  </r>
  <r>
    <s v="All about My Mother"/>
    <n v="160"/>
    <n v="104"/>
    <s v="Bfi"/>
    <x v="50"/>
    <d v="1999-04-16T00:00:00"/>
    <x v="54"/>
    <x v="104"/>
    <x v="0"/>
    <x v="0"/>
    <x v="0"/>
    <x v="1"/>
    <x v="0"/>
    <x v="0"/>
    <x v="0"/>
    <x v="0"/>
    <x v="0"/>
    <x v="0"/>
    <x v="0"/>
    <x v="0"/>
    <x v="0"/>
    <x v="0"/>
    <x v="1"/>
    <x v="0"/>
    <x v="0"/>
    <x v="0"/>
    <x v="0"/>
  </r>
  <r>
    <s v="A City of Sadness"/>
    <n v="159"/>
    <n v="105"/>
    <s v="Bfi"/>
    <x v="32"/>
    <d v="1989-10-21T00:00:00"/>
    <x v="61"/>
    <x v="105"/>
    <x v="0"/>
    <x v="0"/>
    <x v="0"/>
    <x v="0"/>
    <x v="0"/>
    <x v="0"/>
    <x v="0"/>
    <x v="0"/>
    <x v="0"/>
    <x v="1"/>
    <x v="0"/>
    <x v="0"/>
    <x v="0"/>
    <x v="0"/>
    <x v="1"/>
    <x v="0"/>
    <x v="0"/>
    <x v="0"/>
    <x v="0"/>
  </r>
  <r>
    <s v="Orlando"/>
    <n v="158"/>
    <n v="106"/>
    <s v="Bfi"/>
    <x v="34"/>
    <d v="1992-12-11T00:00:00"/>
    <x v="18"/>
    <x v="106"/>
    <x v="0"/>
    <x v="0"/>
    <x v="0"/>
    <x v="0"/>
    <x v="0"/>
    <x v="0"/>
    <x v="0"/>
    <x v="0"/>
    <x v="1"/>
    <x v="0"/>
    <x v="0"/>
    <x v="0"/>
    <x v="0"/>
    <x v="0"/>
    <x v="1"/>
    <x v="0"/>
    <x v="0"/>
    <x v="0"/>
    <x v="0"/>
  </r>
  <r>
    <s v="West of the Tracks"/>
    <n v="157"/>
    <n v="107"/>
    <s v="Bfi"/>
    <x v="4"/>
    <d v="2002-04-26T00:00:00"/>
    <x v="15"/>
    <x v="107"/>
    <x v="0"/>
    <x v="0"/>
    <x v="0"/>
    <x v="0"/>
    <x v="0"/>
    <x v="1"/>
    <x v="1"/>
    <x v="0"/>
    <x v="0"/>
    <x v="0"/>
    <x v="0"/>
    <x v="0"/>
    <x v="0"/>
    <x v="0"/>
    <x v="1"/>
    <x v="0"/>
    <x v="0"/>
    <x v="0"/>
    <x v="0"/>
  </r>
  <r>
    <s v="Le Bonheur"/>
    <n v="156"/>
    <n v="108"/>
    <s v="Bfi"/>
    <x v="12"/>
    <d v="1965-02-10T00:00:00"/>
    <x v="62"/>
    <x v="108"/>
    <x v="0"/>
    <x v="0"/>
    <x v="0"/>
    <x v="0"/>
    <x v="0"/>
    <x v="0"/>
    <x v="0"/>
    <x v="0"/>
    <x v="0"/>
    <x v="0"/>
    <x v="0"/>
    <x v="0"/>
    <x v="0"/>
    <x v="1"/>
    <x v="1"/>
    <x v="0"/>
    <x v="0"/>
    <x v="0"/>
    <x v="0"/>
  </r>
  <r>
    <s v=" Meghe Dhaka Tara"/>
    <n v="155"/>
    <n v="109"/>
    <s v="Bfi"/>
    <x v="6"/>
    <d v="2013-06-14T00:00:00"/>
    <x v="63"/>
    <x v="109"/>
    <x v="0"/>
    <x v="0"/>
    <x v="0"/>
    <x v="0"/>
    <x v="0"/>
    <x v="0"/>
    <x v="0"/>
    <x v="0"/>
    <x v="0"/>
    <x v="0"/>
    <x v="0"/>
    <x v="0"/>
    <x v="0"/>
    <x v="0"/>
    <x v="1"/>
    <x v="0"/>
    <x v="0"/>
    <x v="0"/>
    <x v="0"/>
  </r>
  <r>
    <s v="Days of Heaven"/>
    <n v="154"/>
    <n v="110"/>
    <s v="Bfi"/>
    <x v="12"/>
    <d v="1978-09-13T00:00:00"/>
    <x v="36"/>
    <x v="110"/>
    <x v="0"/>
    <x v="0"/>
    <x v="0"/>
    <x v="0"/>
    <x v="0"/>
    <x v="0"/>
    <x v="0"/>
    <x v="0"/>
    <x v="0"/>
    <x v="0"/>
    <x v="0"/>
    <x v="0"/>
    <x v="0"/>
    <x v="1"/>
    <x v="1"/>
    <x v="0"/>
    <x v="0"/>
    <x v="0"/>
    <x v="0"/>
  </r>
  <r>
    <s v="West Indies: The Fugitive Slaves of Liberty"/>
    <n v="153"/>
    <n v="111"/>
    <s v="Bfi"/>
    <x v="54"/>
    <s v="Error"/>
    <x v="64"/>
    <x v="111"/>
    <x v="0"/>
    <x v="0"/>
    <x v="0"/>
    <x v="0"/>
    <x v="0"/>
    <x v="0"/>
    <x v="1"/>
    <x v="0"/>
    <x v="0"/>
    <x v="0"/>
    <x v="0"/>
    <x v="0"/>
    <x v="0"/>
    <x v="0"/>
    <x v="1"/>
    <x v="0"/>
    <x v="0"/>
    <x v="0"/>
    <x v="0"/>
  </r>
  <r>
    <s v="Twin Peaks: The Return"/>
    <n v="152"/>
    <n v="112"/>
    <s v="Bfi"/>
    <x v="4"/>
    <d v="2017-12-05T00:00:00"/>
    <x v="46"/>
    <x v="112"/>
    <x v="0"/>
    <x v="0"/>
    <x v="0"/>
    <x v="0"/>
    <x v="0"/>
    <x v="1"/>
    <x v="1"/>
    <x v="0"/>
    <x v="0"/>
    <x v="0"/>
    <x v="0"/>
    <x v="0"/>
    <x v="0"/>
    <x v="0"/>
    <x v="1"/>
    <x v="0"/>
    <x v="0"/>
    <x v="0"/>
    <x v="0"/>
  </r>
  <r>
    <s v="Chinatown"/>
    <n v="151"/>
    <n v="113"/>
    <s v="Bfi"/>
    <x v="55"/>
    <d v="1974-06-20T00:00:00"/>
    <x v="25"/>
    <x v="113"/>
    <x v="0"/>
    <x v="0"/>
    <x v="0"/>
    <x v="0"/>
    <x v="1"/>
    <x v="0"/>
    <x v="0"/>
    <x v="0"/>
    <x v="0"/>
    <x v="0"/>
    <x v="0"/>
    <x v="0"/>
    <x v="1"/>
    <x v="0"/>
    <x v="1"/>
    <x v="0"/>
    <x v="1"/>
    <x v="0"/>
    <x v="0"/>
  </r>
  <r>
    <s v="La Grande Illusion"/>
    <n v="150"/>
    <n v="114"/>
    <s v="Bfi"/>
    <x v="56"/>
    <d v="1937-06-04T00:00:00"/>
    <x v="65"/>
    <x v="114"/>
    <x v="0"/>
    <x v="0"/>
    <x v="0"/>
    <x v="0"/>
    <x v="0"/>
    <x v="0"/>
    <x v="0"/>
    <x v="0"/>
    <x v="0"/>
    <x v="1"/>
    <x v="0"/>
    <x v="0"/>
    <x v="0"/>
    <x v="0"/>
    <x v="1"/>
    <x v="0"/>
    <x v="0"/>
    <x v="1"/>
    <x v="0"/>
  </r>
  <r>
    <s v="India Song"/>
    <n v="149"/>
    <n v="115"/>
    <s v="Bfi"/>
    <x v="12"/>
    <d v="1975-06-04T00:00:00"/>
    <x v="66"/>
    <x v="115"/>
    <x v="0"/>
    <x v="0"/>
    <x v="0"/>
    <x v="0"/>
    <x v="0"/>
    <x v="0"/>
    <x v="0"/>
    <x v="0"/>
    <x v="0"/>
    <x v="0"/>
    <x v="0"/>
    <x v="0"/>
    <x v="0"/>
    <x v="1"/>
    <x v="1"/>
    <x v="0"/>
    <x v="0"/>
    <x v="0"/>
    <x v="0"/>
  </r>
  <r>
    <s v="Alien"/>
    <n v="148"/>
    <n v="116"/>
    <s v="Bfi"/>
    <x v="57"/>
    <d v="1979-05-25T00:00:00"/>
    <x v="67"/>
    <x v="116"/>
    <x v="0"/>
    <x v="0"/>
    <x v="0"/>
    <x v="0"/>
    <x v="0"/>
    <x v="0"/>
    <x v="1"/>
    <x v="0"/>
    <x v="0"/>
    <x v="0"/>
    <x v="1"/>
    <x v="0"/>
    <x v="0"/>
    <x v="0"/>
    <x v="0"/>
    <x v="0"/>
    <x v="0"/>
    <x v="0"/>
    <x v="0"/>
  </r>
  <r>
    <s v="Vampyr"/>
    <n v="147"/>
    <n v="117"/>
    <s v="Bfi"/>
    <x v="58"/>
    <d v="1989-01-01T00:00:00"/>
    <x v="61"/>
    <x v="117"/>
    <x v="0"/>
    <x v="0"/>
    <x v="0"/>
    <x v="0"/>
    <x v="0"/>
    <x v="0"/>
    <x v="1"/>
    <x v="0"/>
    <x v="0"/>
    <x v="0"/>
    <x v="1"/>
    <x v="0"/>
    <x v="1"/>
    <x v="0"/>
    <x v="1"/>
    <x v="1"/>
    <x v="0"/>
    <x v="0"/>
    <x v="0"/>
  </r>
  <r>
    <s v="The Watermelon Woman"/>
    <n v="146"/>
    <n v="118"/>
    <s v="Bfi"/>
    <x v="59"/>
    <d v="1996-02-07T00:00:00"/>
    <x v="20"/>
    <x v="118"/>
    <x v="0"/>
    <x v="0"/>
    <x v="0"/>
    <x v="1"/>
    <x v="0"/>
    <x v="0"/>
    <x v="0"/>
    <x v="0"/>
    <x v="0"/>
    <x v="0"/>
    <x v="0"/>
    <x v="0"/>
    <x v="0"/>
    <x v="1"/>
    <x v="1"/>
    <x v="0"/>
    <x v="0"/>
    <x v="0"/>
    <x v="0"/>
  </r>
  <r>
    <s v="Gertrud"/>
    <n v="145"/>
    <n v="119"/>
    <s v="Bfi"/>
    <x v="12"/>
    <d v="1964-12-19T00:00:00"/>
    <x v="43"/>
    <x v="119"/>
    <x v="0"/>
    <x v="0"/>
    <x v="0"/>
    <x v="0"/>
    <x v="0"/>
    <x v="0"/>
    <x v="0"/>
    <x v="0"/>
    <x v="0"/>
    <x v="0"/>
    <x v="0"/>
    <x v="0"/>
    <x v="0"/>
    <x v="1"/>
    <x v="1"/>
    <x v="0"/>
    <x v="0"/>
    <x v="0"/>
    <x v="0"/>
  </r>
  <r>
    <s v="All That Heaven Allows"/>
    <n v="144"/>
    <n v="120"/>
    <s v="Bfi"/>
    <x v="12"/>
    <d v="1955-12-25T00:00:00"/>
    <x v="68"/>
    <x v="120"/>
    <x v="0"/>
    <x v="0"/>
    <x v="0"/>
    <x v="0"/>
    <x v="0"/>
    <x v="0"/>
    <x v="0"/>
    <x v="0"/>
    <x v="0"/>
    <x v="0"/>
    <x v="0"/>
    <x v="0"/>
    <x v="0"/>
    <x v="1"/>
    <x v="1"/>
    <x v="0"/>
    <x v="0"/>
    <x v="0"/>
    <x v="0"/>
  </r>
  <r>
    <s v="Partie de campagne"/>
    <n v="143"/>
    <n v="121"/>
    <s v="Bfi"/>
    <x v="60"/>
    <d v="1946-09-21T00:00:00"/>
    <x v="5"/>
    <x v="121"/>
    <x v="0"/>
    <x v="0"/>
    <x v="0"/>
    <x v="1"/>
    <x v="0"/>
    <x v="0"/>
    <x v="0"/>
    <x v="0"/>
    <x v="0"/>
    <x v="0"/>
    <x v="0"/>
    <x v="0"/>
    <x v="0"/>
    <x v="1"/>
    <x v="1"/>
    <x v="0"/>
    <x v="0"/>
    <x v="0"/>
    <x v="0"/>
  </r>
  <r>
    <s v="Pickpocket"/>
    <n v="142"/>
    <n v="122"/>
    <s v="Bfi"/>
    <x v="48"/>
    <d v="1959-12-16T00:00:00"/>
    <x v="56"/>
    <x v="122"/>
    <x v="0"/>
    <x v="0"/>
    <x v="0"/>
    <x v="0"/>
    <x v="1"/>
    <x v="0"/>
    <x v="0"/>
    <x v="0"/>
    <x v="0"/>
    <x v="0"/>
    <x v="0"/>
    <x v="0"/>
    <x v="0"/>
    <x v="0"/>
    <x v="1"/>
    <x v="0"/>
    <x v="0"/>
    <x v="0"/>
    <x v="0"/>
  </r>
  <r>
    <s v="The Seventh Seal"/>
    <n v="141"/>
    <n v="123"/>
    <s v="Bfi"/>
    <x v="61"/>
    <d v="1957-02-16T00:00:00"/>
    <x v="52"/>
    <x v="123"/>
    <x v="0"/>
    <x v="0"/>
    <x v="0"/>
    <x v="0"/>
    <x v="0"/>
    <x v="0"/>
    <x v="0"/>
    <x v="0"/>
    <x v="1"/>
    <x v="0"/>
    <x v="0"/>
    <x v="0"/>
    <x v="0"/>
    <x v="0"/>
    <x v="1"/>
    <x v="0"/>
    <x v="0"/>
    <x v="0"/>
    <x v="0"/>
  </r>
  <r>
    <s v=" Trouble in Paradise"/>
    <n v="140"/>
    <n v="124"/>
    <s v="Bfi"/>
    <x v="62"/>
    <d v="1932-10-30T00:00:00"/>
    <x v="69"/>
    <x v="124"/>
    <x v="0"/>
    <x v="0"/>
    <x v="0"/>
    <x v="1"/>
    <x v="1"/>
    <x v="0"/>
    <x v="1"/>
    <x v="0"/>
    <x v="0"/>
    <x v="0"/>
    <x v="0"/>
    <x v="0"/>
    <x v="0"/>
    <x v="1"/>
    <x v="1"/>
    <x v="0"/>
    <x v="0"/>
    <x v="0"/>
    <x v="0"/>
  </r>
  <r>
    <s v="Sambizanga"/>
    <n v="139"/>
    <n v="125"/>
    <s v="Bfi"/>
    <x v="6"/>
    <d v="1973-04-26T00:00:00"/>
    <x v="10"/>
    <x v="125"/>
    <x v="0"/>
    <x v="0"/>
    <x v="0"/>
    <x v="0"/>
    <x v="0"/>
    <x v="0"/>
    <x v="0"/>
    <x v="0"/>
    <x v="0"/>
    <x v="0"/>
    <x v="0"/>
    <x v="0"/>
    <x v="0"/>
    <x v="0"/>
    <x v="1"/>
    <x v="0"/>
    <x v="0"/>
    <x v="0"/>
    <x v="0"/>
  </r>
  <r>
    <s v="The Wild Bunch"/>
    <n v="138"/>
    <n v="126"/>
    <s v="Bfi"/>
    <x v="43"/>
    <d v="1969-06-19T00:00:00"/>
    <x v="37"/>
    <x v="126"/>
    <x v="0"/>
    <x v="0"/>
    <x v="0"/>
    <x v="0"/>
    <x v="0"/>
    <x v="0"/>
    <x v="1"/>
    <x v="0"/>
    <x v="0"/>
    <x v="0"/>
    <x v="0"/>
    <x v="0"/>
    <x v="0"/>
    <x v="0"/>
    <x v="1"/>
    <x v="0"/>
    <x v="0"/>
    <x v="0"/>
    <x v="1"/>
  </r>
  <r>
    <s v="Les Enfants du paradis"/>
    <n v="137"/>
    <n v="127"/>
    <s v="Bfi"/>
    <x v="12"/>
    <d v="1945-03-15T00:00:00"/>
    <x v="35"/>
    <x v="127"/>
    <x v="0"/>
    <x v="0"/>
    <x v="0"/>
    <x v="0"/>
    <x v="0"/>
    <x v="0"/>
    <x v="0"/>
    <x v="0"/>
    <x v="0"/>
    <x v="0"/>
    <x v="0"/>
    <x v="0"/>
    <x v="0"/>
    <x v="1"/>
    <x v="1"/>
    <x v="0"/>
    <x v="0"/>
    <x v="0"/>
    <x v="0"/>
  </r>
  <r>
    <s v="La ciÃ©naga"/>
    <n v="136"/>
    <n v="128"/>
    <s v="Bfi"/>
    <x v="6"/>
    <d v="2001-04-12T00:00:00"/>
    <x v="16"/>
    <x v="128"/>
    <x v="0"/>
    <x v="0"/>
    <x v="0"/>
    <x v="0"/>
    <x v="0"/>
    <x v="0"/>
    <x v="0"/>
    <x v="0"/>
    <x v="0"/>
    <x v="0"/>
    <x v="0"/>
    <x v="0"/>
    <x v="0"/>
    <x v="0"/>
    <x v="1"/>
    <x v="0"/>
    <x v="0"/>
    <x v="0"/>
    <x v="0"/>
  </r>
  <r>
    <s v="It's a Wonderful Life"/>
    <n v="135"/>
    <n v="129"/>
    <s v="Bfi"/>
    <x v="63"/>
    <d v="1946-12-20T00:00:00"/>
    <x v="5"/>
    <x v="129"/>
    <x v="0"/>
    <x v="0"/>
    <x v="0"/>
    <x v="0"/>
    <x v="0"/>
    <x v="0"/>
    <x v="0"/>
    <x v="1"/>
    <x v="1"/>
    <x v="0"/>
    <x v="0"/>
    <x v="0"/>
    <x v="0"/>
    <x v="0"/>
    <x v="1"/>
    <x v="0"/>
    <x v="0"/>
    <x v="0"/>
    <x v="0"/>
  </r>
  <r>
    <s v="Notorious"/>
    <n v="134"/>
    <n v="130"/>
    <s v="Bfi"/>
    <x v="64"/>
    <d v="2009-01-16T00:00:00"/>
    <x v="70"/>
    <x v="130"/>
    <x v="0"/>
    <x v="0"/>
    <x v="0"/>
    <x v="0"/>
    <x v="0"/>
    <x v="0"/>
    <x v="0"/>
    <x v="0"/>
    <x v="0"/>
    <x v="1"/>
    <x v="0"/>
    <x v="1"/>
    <x v="0"/>
    <x v="0"/>
    <x v="1"/>
    <x v="0"/>
    <x v="0"/>
    <x v="0"/>
    <x v="0"/>
  </r>
  <r>
    <s v="Lawrence of Arabia"/>
    <n v="133"/>
    <n v="131"/>
    <s v="Bfi"/>
    <x v="65"/>
    <d v="1962-12-11T00:00:00"/>
    <x v="42"/>
    <x v="131"/>
    <x v="0"/>
    <x v="1"/>
    <x v="0"/>
    <x v="0"/>
    <x v="0"/>
    <x v="0"/>
    <x v="0"/>
    <x v="0"/>
    <x v="0"/>
    <x v="1"/>
    <x v="0"/>
    <x v="0"/>
    <x v="0"/>
    <x v="0"/>
    <x v="1"/>
    <x v="0"/>
    <x v="0"/>
    <x v="1"/>
    <x v="0"/>
  </r>
  <r>
    <s v="Pulp Fiction"/>
    <n v="132"/>
    <n v="132"/>
    <s v="Bfi"/>
    <x v="66"/>
    <d v="1994-09-10T00:00:00"/>
    <x v="71"/>
    <x v="132"/>
    <x v="0"/>
    <x v="0"/>
    <x v="0"/>
    <x v="0"/>
    <x v="1"/>
    <x v="0"/>
    <x v="1"/>
    <x v="0"/>
    <x v="0"/>
    <x v="0"/>
    <x v="0"/>
    <x v="0"/>
    <x v="0"/>
    <x v="0"/>
    <x v="1"/>
    <x v="0"/>
    <x v="1"/>
    <x v="0"/>
    <x v="0"/>
  </r>
  <r>
    <s v="Raging Bull"/>
    <n v="131"/>
    <n v="133"/>
    <s v="Bfi"/>
    <x v="6"/>
    <d v="1980-11-14T00:00:00"/>
    <x v="72"/>
    <x v="133"/>
    <x v="0"/>
    <x v="0"/>
    <x v="0"/>
    <x v="0"/>
    <x v="0"/>
    <x v="0"/>
    <x v="0"/>
    <x v="0"/>
    <x v="0"/>
    <x v="0"/>
    <x v="0"/>
    <x v="0"/>
    <x v="0"/>
    <x v="0"/>
    <x v="1"/>
    <x v="0"/>
    <x v="0"/>
    <x v="0"/>
    <x v="0"/>
  </r>
  <r>
    <s v="His Girl Friday"/>
    <n v="130"/>
    <n v="134"/>
    <s v="Bfi"/>
    <x v="67"/>
    <d v="1940-01-18T00:00:00"/>
    <x v="73"/>
    <x v="134"/>
    <x v="0"/>
    <x v="0"/>
    <x v="0"/>
    <x v="1"/>
    <x v="0"/>
    <x v="0"/>
    <x v="1"/>
    <x v="0"/>
    <x v="0"/>
    <x v="0"/>
    <x v="0"/>
    <x v="0"/>
    <x v="0"/>
    <x v="1"/>
    <x v="1"/>
    <x v="0"/>
    <x v="0"/>
    <x v="0"/>
    <x v="0"/>
  </r>
  <r>
    <s v="Fanny and Alexander"/>
    <n v="129"/>
    <n v="135"/>
    <s v="Bfi"/>
    <x v="68"/>
    <d v="1982-12-17T00:00:00"/>
    <x v="74"/>
    <x v="135"/>
    <x v="0"/>
    <x v="0"/>
    <x v="0"/>
    <x v="0"/>
    <x v="0"/>
    <x v="0"/>
    <x v="0"/>
    <x v="0"/>
    <x v="1"/>
    <x v="0"/>
    <x v="0"/>
    <x v="0"/>
    <x v="1"/>
    <x v="0"/>
    <x v="1"/>
    <x v="0"/>
    <x v="0"/>
    <x v="0"/>
    <x v="0"/>
  </r>
  <r>
    <s v="The Ascent"/>
    <n v="128"/>
    <n v="136"/>
    <s v="Bfi"/>
    <x v="69"/>
    <d v="2019-10-17T00:00:00"/>
    <x v="14"/>
    <x v="136"/>
    <x v="1"/>
    <x v="0"/>
    <x v="0"/>
    <x v="0"/>
    <x v="0"/>
    <x v="0"/>
    <x v="1"/>
    <x v="0"/>
    <x v="0"/>
    <x v="0"/>
    <x v="1"/>
    <x v="0"/>
    <x v="0"/>
    <x v="0"/>
    <x v="0"/>
    <x v="0"/>
    <x v="0"/>
    <x v="0"/>
    <x v="0"/>
  </r>
  <r>
    <s v="Only Angels Have Wings"/>
    <n v="127"/>
    <n v="137"/>
    <s v="Bfi"/>
    <x v="70"/>
    <d v="1939-05-15T00:00:00"/>
    <x v="75"/>
    <x v="137"/>
    <x v="0"/>
    <x v="1"/>
    <x v="0"/>
    <x v="0"/>
    <x v="0"/>
    <x v="0"/>
    <x v="0"/>
    <x v="0"/>
    <x v="0"/>
    <x v="0"/>
    <x v="0"/>
    <x v="0"/>
    <x v="0"/>
    <x v="1"/>
    <x v="1"/>
    <x v="0"/>
    <x v="0"/>
    <x v="0"/>
    <x v="0"/>
  </r>
  <r>
    <s v="The Umbrellas of Cherbourg"/>
    <n v="126"/>
    <n v="138"/>
    <s v="Bfi"/>
    <x v="12"/>
    <d v="1964-02-19T00:00:00"/>
    <x v="43"/>
    <x v="138"/>
    <x v="0"/>
    <x v="0"/>
    <x v="0"/>
    <x v="0"/>
    <x v="0"/>
    <x v="0"/>
    <x v="0"/>
    <x v="0"/>
    <x v="0"/>
    <x v="0"/>
    <x v="0"/>
    <x v="0"/>
    <x v="0"/>
    <x v="1"/>
    <x v="1"/>
    <x v="0"/>
    <x v="0"/>
    <x v="0"/>
    <x v="0"/>
  </r>
  <r>
    <s v="Johnny Guitar"/>
    <n v="125"/>
    <n v="139"/>
    <s v="Bfi"/>
    <x v="71"/>
    <d v="1954-05-26T00:00:00"/>
    <x v="76"/>
    <x v="139"/>
    <x v="0"/>
    <x v="0"/>
    <x v="0"/>
    <x v="0"/>
    <x v="0"/>
    <x v="0"/>
    <x v="0"/>
    <x v="0"/>
    <x v="0"/>
    <x v="0"/>
    <x v="0"/>
    <x v="0"/>
    <x v="0"/>
    <x v="1"/>
    <x v="1"/>
    <x v="0"/>
    <x v="0"/>
    <x v="0"/>
    <x v="1"/>
  </r>
  <r>
    <s v="The Colour of Pomegranates"/>
    <n v="124"/>
    <n v="140"/>
    <s v="Bfi"/>
    <x v="4"/>
    <d v="2011-08-29T00:00:00"/>
    <x v="38"/>
    <x v="140"/>
    <x v="0"/>
    <x v="0"/>
    <x v="0"/>
    <x v="0"/>
    <x v="0"/>
    <x v="1"/>
    <x v="1"/>
    <x v="0"/>
    <x v="0"/>
    <x v="0"/>
    <x v="0"/>
    <x v="0"/>
    <x v="0"/>
    <x v="0"/>
    <x v="1"/>
    <x v="0"/>
    <x v="0"/>
    <x v="0"/>
    <x v="0"/>
  </r>
  <r>
    <s v="The Matrix"/>
    <n v="123"/>
    <n v="141"/>
    <s v="Bfi"/>
    <x v="72"/>
    <d v="1999-03-30T00:00:00"/>
    <x v="54"/>
    <x v="141"/>
    <x v="1"/>
    <x v="0"/>
    <x v="0"/>
    <x v="0"/>
    <x v="0"/>
    <x v="0"/>
    <x v="1"/>
    <x v="0"/>
    <x v="0"/>
    <x v="0"/>
    <x v="0"/>
    <x v="0"/>
    <x v="0"/>
    <x v="0"/>
    <x v="0"/>
    <x v="0"/>
    <x v="0"/>
    <x v="0"/>
    <x v="0"/>
  </r>
  <r>
    <s v="There Will Be Blood"/>
    <n v="122"/>
    <n v="142"/>
    <s v="Bfi"/>
    <x v="6"/>
    <d v="2007-12-26T00:00:00"/>
    <x v="4"/>
    <x v="142"/>
    <x v="0"/>
    <x v="0"/>
    <x v="0"/>
    <x v="0"/>
    <x v="0"/>
    <x v="0"/>
    <x v="0"/>
    <x v="0"/>
    <x v="0"/>
    <x v="0"/>
    <x v="0"/>
    <x v="0"/>
    <x v="0"/>
    <x v="0"/>
    <x v="1"/>
    <x v="0"/>
    <x v="0"/>
    <x v="0"/>
    <x v="0"/>
  </r>
  <r>
    <s v="The Thing"/>
    <n v="121"/>
    <n v="143"/>
    <s v="Bfi"/>
    <x v="73"/>
    <d v="1982-06-25T00:00:00"/>
    <x v="74"/>
    <x v="143"/>
    <x v="0"/>
    <x v="0"/>
    <x v="0"/>
    <x v="0"/>
    <x v="0"/>
    <x v="0"/>
    <x v="1"/>
    <x v="0"/>
    <x v="0"/>
    <x v="0"/>
    <x v="1"/>
    <x v="0"/>
    <x v="1"/>
    <x v="0"/>
    <x v="0"/>
    <x v="0"/>
    <x v="0"/>
    <x v="0"/>
    <x v="0"/>
  </r>
  <r>
    <s v="The Texas Chain Saw Massacre"/>
    <n v="120"/>
    <n v="144"/>
    <s v="Bfi"/>
    <x v="10"/>
    <d v="1974-10-01T00:00:00"/>
    <x v="25"/>
    <x v="144"/>
    <x v="0"/>
    <x v="0"/>
    <x v="0"/>
    <x v="0"/>
    <x v="0"/>
    <x v="0"/>
    <x v="1"/>
    <x v="0"/>
    <x v="0"/>
    <x v="0"/>
    <x v="1"/>
    <x v="0"/>
    <x v="0"/>
    <x v="0"/>
    <x v="1"/>
    <x v="0"/>
    <x v="0"/>
    <x v="0"/>
    <x v="0"/>
  </r>
  <r>
    <s v="The Conformist"/>
    <n v="119"/>
    <n v="145"/>
    <s v="Bfi"/>
    <x v="6"/>
    <d v="1971-01-29T00:00:00"/>
    <x v="7"/>
    <x v="145"/>
    <x v="0"/>
    <x v="0"/>
    <x v="0"/>
    <x v="0"/>
    <x v="0"/>
    <x v="0"/>
    <x v="0"/>
    <x v="0"/>
    <x v="0"/>
    <x v="0"/>
    <x v="0"/>
    <x v="0"/>
    <x v="0"/>
    <x v="0"/>
    <x v="1"/>
    <x v="0"/>
    <x v="0"/>
    <x v="0"/>
    <x v="0"/>
  </r>
  <r>
    <s v="Aguirre, Wrath of God"/>
    <n v="118"/>
    <n v="146"/>
    <s v="Bfi"/>
    <x v="74"/>
    <d v="1972-12-29T00:00:00"/>
    <x v="19"/>
    <x v="146"/>
    <x v="0"/>
    <x v="1"/>
    <x v="0"/>
    <x v="0"/>
    <x v="0"/>
    <x v="0"/>
    <x v="0"/>
    <x v="0"/>
    <x v="0"/>
    <x v="1"/>
    <x v="0"/>
    <x v="0"/>
    <x v="0"/>
    <x v="0"/>
    <x v="1"/>
    <x v="0"/>
    <x v="0"/>
    <x v="0"/>
    <x v="0"/>
  </r>
  <r>
    <s v="Don't Look Now"/>
    <n v="117"/>
    <n v="147"/>
    <s v="Bfi"/>
    <x v="75"/>
    <d v="1973-01-18T00:00:00"/>
    <x v="10"/>
    <x v="147"/>
    <x v="0"/>
    <x v="0"/>
    <x v="0"/>
    <x v="0"/>
    <x v="0"/>
    <x v="0"/>
    <x v="0"/>
    <x v="0"/>
    <x v="0"/>
    <x v="0"/>
    <x v="1"/>
    <x v="0"/>
    <x v="0"/>
    <x v="0"/>
    <x v="1"/>
    <x v="0"/>
    <x v="1"/>
    <x v="0"/>
    <x v="0"/>
  </r>
  <r>
    <s v="Nashville"/>
    <n v="116"/>
    <n v="148"/>
    <s v="Bfi"/>
    <x v="76"/>
    <d v="1975-06-11T00:00:00"/>
    <x v="66"/>
    <x v="148"/>
    <x v="0"/>
    <x v="0"/>
    <x v="0"/>
    <x v="1"/>
    <x v="0"/>
    <x v="0"/>
    <x v="0"/>
    <x v="0"/>
    <x v="0"/>
    <x v="0"/>
    <x v="0"/>
    <x v="1"/>
    <x v="0"/>
    <x v="0"/>
    <x v="1"/>
    <x v="0"/>
    <x v="0"/>
    <x v="0"/>
    <x v="0"/>
  </r>
  <r>
    <s v="A Woman under the Influence"/>
    <n v="115"/>
    <n v="149"/>
    <s v="Bfi"/>
    <x v="6"/>
    <d v="1974-11-18T00:00:00"/>
    <x v="25"/>
    <x v="149"/>
    <x v="0"/>
    <x v="0"/>
    <x v="0"/>
    <x v="0"/>
    <x v="0"/>
    <x v="0"/>
    <x v="0"/>
    <x v="0"/>
    <x v="0"/>
    <x v="0"/>
    <x v="0"/>
    <x v="0"/>
    <x v="0"/>
    <x v="0"/>
    <x v="1"/>
    <x v="0"/>
    <x v="0"/>
    <x v="0"/>
    <x v="0"/>
  </r>
  <r>
    <s v="To Be or Not to Be"/>
    <n v="114"/>
    <n v="150"/>
    <s v="Bfi"/>
    <x v="14"/>
    <d v="1983-12-16T00:00:00"/>
    <x v="0"/>
    <x v="150"/>
    <x v="0"/>
    <x v="0"/>
    <x v="0"/>
    <x v="1"/>
    <x v="0"/>
    <x v="0"/>
    <x v="1"/>
    <x v="0"/>
    <x v="0"/>
    <x v="0"/>
    <x v="0"/>
    <x v="0"/>
    <x v="0"/>
    <x v="0"/>
    <x v="1"/>
    <x v="0"/>
    <x v="0"/>
    <x v="0"/>
    <x v="0"/>
  </r>
  <r>
    <s v="Bringing Up Baby"/>
    <n v="113"/>
    <n v="151"/>
    <s v="Bfi"/>
    <x v="67"/>
    <d v="1938-02-18T00:00:00"/>
    <x v="77"/>
    <x v="151"/>
    <x v="0"/>
    <x v="0"/>
    <x v="0"/>
    <x v="1"/>
    <x v="0"/>
    <x v="0"/>
    <x v="1"/>
    <x v="0"/>
    <x v="0"/>
    <x v="0"/>
    <x v="0"/>
    <x v="0"/>
    <x v="0"/>
    <x v="1"/>
    <x v="1"/>
    <x v="0"/>
    <x v="0"/>
    <x v="0"/>
    <x v="0"/>
  </r>
  <r>
    <s v="The Man Who Shot Liberty Valance"/>
    <n v="112"/>
    <n v="152"/>
    <s v="Bfi"/>
    <x v="43"/>
    <d v="1962-04-13T00:00:00"/>
    <x v="42"/>
    <x v="152"/>
    <x v="0"/>
    <x v="0"/>
    <x v="0"/>
    <x v="0"/>
    <x v="0"/>
    <x v="0"/>
    <x v="1"/>
    <x v="0"/>
    <x v="0"/>
    <x v="0"/>
    <x v="0"/>
    <x v="0"/>
    <x v="0"/>
    <x v="0"/>
    <x v="1"/>
    <x v="0"/>
    <x v="0"/>
    <x v="0"/>
    <x v="1"/>
  </r>
  <r>
    <s v="Touch of Evil"/>
    <n v="111"/>
    <n v="153"/>
    <s v="Bfi"/>
    <x v="77"/>
    <d v="1958-03-30T00:00:00"/>
    <x v="78"/>
    <x v="153"/>
    <x v="0"/>
    <x v="0"/>
    <x v="0"/>
    <x v="0"/>
    <x v="1"/>
    <x v="0"/>
    <x v="1"/>
    <x v="0"/>
    <x v="0"/>
    <x v="0"/>
    <x v="0"/>
    <x v="0"/>
    <x v="1"/>
    <x v="0"/>
    <x v="1"/>
    <x v="0"/>
    <x v="1"/>
    <x v="0"/>
    <x v="0"/>
  </r>
  <r>
    <s v="Wild Strawberries"/>
    <n v="110"/>
    <n v="154"/>
    <s v="Bfi"/>
    <x v="6"/>
    <d v="1957-12-26T00:00:00"/>
    <x v="52"/>
    <x v="154"/>
    <x v="0"/>
    <x v="0"/>
    <x v="0"/>
    <x v="0"/>
    <x v="0"/>
    <x v="0"/>
    <x v="0"/>
    <x v="0"/>
    <x v="0"/>
    <x v="0"/>
    <x v="0"/>
    <x v="0"/>
    <x v="0"/>
    <x v="0"/>
    <x v="1"/>
    <x v="0"/>
    <x v="0"/>
    <x v="0"/>
    <x v="0"/>
  </r>
  <r>
    <s v="The Wizard of Oz"/>
    <n v="109"/>
    <n v="155"/>
    <s v="Bfi"/>
    <x v="78"/>
    <d v="1939-08-15T00:00:00"/>
    <x v="75"/>
    <x v="155"/>
    <x v="0"/>
    <x v="1"/>
    <x v="0"/>
    <x v="0"/>
    <x v="0"/>
    <x v="0"/>
    <x v="1"/>
    <x v="1"/>
    <x v="1"/>
    <x v="0"/>
    <x v="0"/>
    <x v="0"/>
    <x v="0"/>
    <x v="0"/>
    <x v="1"/>
    <x v="0"/>
    <x v="0"/>
    <x v="0"/>
    <x v="0"/>
  </r>
  <r>
    <s v="Goodbye, Dragon Inn"/>
    <n v="108"/>
    <n v="156"/>
    <s v="Bfi"/>
    <x v="79"/>
    <d v="2003-12-12T00:00:00"/>
    <x v="79"/>
    <x v="156"/>
    <x v="0"/>
    <x v="0"/>
    <x v="0"/>
    <x v="1"/>
    <x v="0"/>
    <x v="0"/>
    <x v="0"/>
    <x v="0"/>
    <x v="0"/>
    <x v="0"/>
    <x v="0"/>
    <x v="0"/>
    <x v="0"/>
    <x v="0"/>
    <x v="1"/>
    <x v="0"/>
    <x v="0"/>
    <x v="0"/>
    <x v="0"/>
  </r>
  <r>
    <s v="The Godfather Part II"/>
    <n v="107"/>
    <n v="157"/>
    <s v="Bfi"/>
    <x v="51"/>
    <d v="1974-12-20T00:00:00"/>
    <x v="25"/>
    <x v="157"/>
    <x v="0"/>
    <x v="0"/>
    <x v="0"/>
    <x v="0"/>
    <x v="1"/>
    <x v="0"/>
    <x v="0"/>
    <x v="0"/>
    <x v="0"/>
    <x v="0"/>
    <x v="0"/>
    <x v="0"/>
    <x v="0"/>
    <x v="0"/>
    <x v="1"/>
    <x v="0"/>
    <x v="0"/>
    <x v="0"/>
    <x v="0"/>
  </r>
  <r>
    <s v="Jaws"/>
    <n v="106"/>
    <n v="158"/>
    <s v="Bfi"/>
    <x v="80"/>
    <d v="1975-06-20T00:00:00"/>
    <x v="66"/>
    <x v="158"/>
    <x v="0"/>
    <x v="1"/>
    <x v="0"/>
    <x v="0"/>
    <x v="0"/>
    <x v="0"/>
    <x v="1"/>
    <x v="0"/>
    <x v="0"/>
    <x v="0"/>
    <x v="1"/>
    <x v="0"/>
    <x v="0"/>
    <x v="0"/>
    <x v="1"/>
    <x v="0"/>
    <x v="1"/>
    <x v="0"/>
    <x v="0"/>
  </r>
  <r>
    <s v="Come and See"/>
    <n v="105"/>
    <n v="159"/>
    <s v="Bfi"/>
    <x v="22"/>
    <d v="1985-07-09T00:00:00"/>
    <x v="80"/>
    <x v="159"/>
    <x v="0"/>
    <x v="0"/>
    <x v="0"/>
    <x v="0"/>
    <x v="0"/>
    <x v="0"/>
    <x v="0"/>
    <x v="0"/>
    <x v="0"/>
    <x v="0"/>
    <x v="0"/>
    <x v="0"/>
    <x v="0"/>
    <x v="0"/>
    <x v="1"/>
    <x v="0"/>
    <x v="0"/>
    <x v="1"/>
    <x v="0"/>
  </r>
  <r>
    <s v="La Maman et la Putain"/>
    <n v="104"/>
    <n v="160"/>
    <s v="Bfi"/>
    <x v="60"/>
    <d v="1973-05-01T00:00:00"/>
    <x v="10"/>
    <x v="160"/>
    <x v="0"/>
    <x v="0"/>
    <x v="0"/>
    <x v="1"/>
    <x v="0"/>
    <x v="0"/>
    <x v="0"/>
    <x v="0"/>
    <x v="0"/>
    <x v="0"/>
    <x v="0"/>
    <x v="0"/>
    <x v="0"/>
    <x v="1"/>
    <x v="1"/>
    <x v="0"/>
    <x v="0"/>
    <x v="0"/>
    <x v="0"/>
  </r>
  <r>
    <s v="Vagabond"/>
    <n v="103"/>
    <n v="161"/>
    <s v="Bfi"/>
    <x v="50"/>
    <d v="1992-11-04T00:00:00"/>
    <x v="18"/>
    <x v="161"/>
    <x v="0"/>
    <x v="0"/>
    <x v="0"/>
    <x v="1"/>
    <x v="0"/>
    <x v="0"/>
    <x v="0"/>
    <x v="0"/>
    <x v="0"/>
    <x v="0"/>
    <x v="0"/>
    <x v="0"/>
    <x v="0"/>
    <x v="0"/>
    <x v="1"/>
    <x v="0"/>
    <x v="0"/>
    <x v="0"/>
    <x v="0"/>
  </r>
  <r>
    <s v="The House Is Black"/>
    <n v="102"/>
    <n v="162"/>
    <s v="Bfi"/>
    <x v="4"/>
    <d v="1963-01-01T00:00:00"/>
    <x v="50"/>
    <x v="162"/>
    <x v="0"/>
    <x v="0"/>
    <x v="0"/>
    <x v="0"/>
    <x v="0"/>
    <x v="1"/>
    <x v="1"/>
    <x v="0"/>
    <x v="0"/>
    <x v="0"/>
    <x v="0"/>
    <x v="0"/>
    <x v="0"/>
    <x v="0"/>
    <x v="1"/>
    <x v="0"/>
    <x v="0"/>
    <x v="0"/>
    <x v="0"/>
  </r>
  <r>
    <s v="Rio Bravo"/>
    <n v="101"/>
    <n v="163"/>
    <s v="Bfi"/>
    <x v="43"/>
    <d v="1959-03-18T00:00:00"/>
    <x v="56"/>
    <x v="163"/>
    <x v="0"/>
    <x v="0"/>
    <x v="0"/>
    <x v="0"/>
    <x v="0"/>
    <x v="0"/>
    <x v="1"/>
    <x v="0"/>
    <x v="0"/>
    <x v="0"/>
    <x v="0"/>
    <x v="0"/>
    <x v="0"/>
    <x v="0"/>
    <x v="1"/>
    <x v="0"/>
    <x v="0"/>
    <x v="0"/>
    <x v="1"/>
  </r>
  <r>
    <s v="Once upon a Time in the West"/>
    <n v="100"/>
    <n v="164"/>
    <s v="Bfi"/>
    <x v="81"/>
    <d v="1968-12-21T00:00:00"/>
    <x v="21"/>
    <x v="164"/>
    <x v="0"/>
    <x v="0"/>
    <x v="0"/>
    <x v="0"/>
    <x v="0"/>
    <x v="0"/>
    <x v="0"/>
    <x v="0"/>
    <x v="0"/>
    <x v="0"/>
    <x v="0"/>
    <x v="0"/>
    <x v="0"/>
    <x v="0"/>
    <x v="1"/>
    <x v="0"/>
    <x v="0"/>
    <x v="0"/>
    <x v="1"/>
  </r>
  <r>
    <s v="A Man Escaped"/>
    <n v="99"/>
    <n v="165"/>
    <s v="Bfi"/>
    <x v="31"/>
    <d v="1956-11-11T00:00:00"/>
    <x v="81"/>
    <x v="165"/>
    <x v="0"/>
    <x v="0"/>
    <x v="0"/>
    <x v="0"/>
    <x v="0"/>
    <x v="0"/>
    <x v="0"/>
    <x v="0"/>
    <x v="0"/>
    <x v="0"/>
    <x v="0"/>
    <x v="0"/>
    <x v="0"/>
    <x v="0"/>
    <x v="1"/>
    <x v="0"/>
    <x v="1"/>
    <x v="0"/>
    <x v="0"/>
  </r>
  <r>
    <s v="The General"/>
    <n v="98"/>
    <n v="166"/>
    <s v="Bfi"/>
    <x v="82"/>
    <d v="1926-12-25T00:00:00"/>
    <x v="82"/>
    <x v="166"/>
    <x v="1"/>
    <x v="1"/>
    <x v="0"/>
    <x v="1"/>
    <x v="0"/>
    <x v="0"/>
    <x v="1"/>
    <x v="0"/>
    <x v="0"/>
    <x v="1"/>
    <x v="0"/>
    <x v="0"/>
    <x v="0"/>
    <x v="0"/>
    <x v="1"/>
    <x v="0"/>
    <x v="0"/>
    <x v="1"/>
    <x v="0"/>
  </r>
  <r>
    <s v="Black Girl"/>
    <n v="97"/>
    <n v="167"/>
    <s v="Bfi"/>
    <x v="6"/>
    <d v="1966-03-17T00:00:00"/>
    <x v="49"/>
    <x v="167"/>
    <x v="0"/>
    <x v="0"/>
    <x v="0"/>
    <x v="0"/>
    <x v="0"/>
    <x v="0"/>
    <x v="0"/>
    <x v="0"/>
    <x v="0"/>
    <x v="0"/>
    <x v="0"/>
    <x v="0"/>
    <x v="0"/>
    <x v="0"/>
    <x v="1"/>
    <x v="0"/>
    <x v="0"/>
    <x v="0"/>
    <x v="0"/>
  </r>
  <r>
    <s v="Tropical Malady"/>
    <n v="96"/>
    <n v="168"/>
    <s v="Bfi"/>
    <x v="83"/>
    <d v="2004-06-24T00:00:00"/>
    <x v="83"/>
    <x v="168"/>
    <x v="0"/>
    <x v="0"/>
    <x v="0"/>
    <x v="0"/>
    <x v="0"/>
    <x v="0"/>
    <x v="0"/>
    <x v="0"/>
    <x v="1"/>
    <x v="0"/>
    <x v="0"/>
    <x v="0"/>
    <x v="0"/>
    <x v="1"/>
    <x v="1"/>
    <x v="0"/>
    <x v="0"/>
    <x v="0"/>
    <x v="0"/>
  </r>
  <r>
    <s v="Get Out"/>
    <n v="95"/>
    <n v="169"/>
    <s v="Bfi"/>
    <x v="84"/>
    <d v="2017-02-24T00:00:00"/>
    <x v="46"/>
    <x v="169"/>
    <x v="0"/>
    <x v="0"/>
    <x v="0"/>
    <x v="0"/>
    <x v="0"/>
    <x v="0"/>
    <x v="1"/>
    <x v="0"/>
    <x v="0"/>
    <x v="0"/>
    <x v="1"/>
    <x v="0"/>
    <x v="1"/>
    <x v="0"/>
    <x v="1"/>
    <x v="0"/>
    <x v="1"/>
    <x v="0"/>
    <x v="0"/>
  </r>
  <r>
    <s v="Parasite"/>
    <n v="94"/>
    <n v="170"/>
    <s v="Bfi"/>
    <x v="57"/>
    <d v="1982-03-12T00:00:00"/>
    <x v="74"/>
    <x v="170"/>
    <x v="0"/>
    <x v="0"/>
    <x v="0"/>
    <x v="0"/>
    <x v="0"/>
    <x v="0"/>
    <x v="1"/>
    <x v="0"/>
    <x v="0"/>
    <x v="0"/>
    <x v="1"/>
    <x v="0"/>
    <x v="0"/>
    <x v="0"/>
    <x v="0"/>
    <x v="0"/>
    <x v="0"/>
    <x v="0"/>
    <x v="0"/>
  </r>
  <r>
    <s v="Yi Yi"/>
    <n v="93"/>
    <n v="171"/>
    <s v="Bfi"/>
    <x v="6"/>
    <d v="2000-09-20T00:00:00"/>
    <x v="27"/>
    <x v="171"/>
    <x v="0"/>
    <x v="0"/>
    <x v="0"/>
    <x v="0"/>
    <x v="0"/>
    <x v="0"/>
    <x v="0"/>
    <x v="0"/>
    <x v="0"/>
    <x v="0"/>
    <x v="0"/>
    <x v="0"/>
    <x v="0"/>
    <x v="0"/>
    <x v="1"/>
    <x v="0"/>
    <x v="0"/>
    <x v="0"/>
    <x v="0"/>
  </r>
  <r>
    <s v="Ugetsu Monogatari"/>
    <n v="92"/>
    <n v="172"/>
    <s v="Bfi"/>
    <x v="68"/>
    <d v="1953-03-26T00:00:00"/>
    <x v="84"/>
    <x v="172"/>
    <x v="0"/>
    <x v="0"/>
    <x v="0"/>
    <x v="0"/>
    <x v="0"/>
    <x v="0"/>
    <x v="0"/>
    <x v="0"/>
    <x v="1"/>
    <x v="0"/>
    <x v="0"/>
    <x v="0"/>
    <x v="1"/>
    <x v="0"/>
    <x v="1"/>
    <x v="0"/>
    <x v="0"/>
    <x v="0"/>
    <x v="0"/>
  </r>
  <r>
    <s v="The Leopard"/>
    <n v="91"/>
    <n v="173"/>
    <s v="Bfi"/>
    <x v="6"/>
    <d v="1963-03-28T00:00:00"/>
    <x v="50"/>
    <x v="173"/>
    <x v="0"/>
    <x v="0"/>
    <x v="0"/>
    <x v="0"/>
    <x v="0"/>
    <x v="0"/>
    <x v="0"/>
    <x v="0"/>
    <x v="0"/>
    <x v="0"/>
    <x v="0"/>
    <x v="0"/>
    <x v="0"/>
    <x v="0"/>
    <x v="1"/>
    <x v="0"/>
    <x v="0"/>
    <x v="0"/>
    <x v="0"/>
  </r>
  <r>
    <s v="Madame de..."/>
    <n v="90"/>
    <n v="174"/>
    <s v="Bfi"/>
    <x v="12"/>
    <d v="1953-09-16T00:00:00"/>
    <x v="84"/>
    <x v="174"/>
    <x v="0"/>
    <x v="0"/>
    <x v="0"/>
    <x v="0"/>
    <x v="0"/>
    <x v="0"/>
    <x v="0"/>
    <x v="0"/>
    <x v="0"/>
    <x v="0"/>
    <x v="0"/>
    <x v="0"/>
    <x v="0"/>
    <x v="1"/>
    <x v="1"/>
    <x v="0"/>
    <x v="0"/>
    <x v="0"/>
    <x v="0"/>
  </r>
  <r>
    <s v="The Shining"/>
    <n v="89"/>
    <n v="175"/>
    <s v="Bfi"/>
    <x v="85"/>
    <d v="1980-05-23T00:00:00"/>
    <x v="72"/>
    <x v="175"/>
    <x v="0"/>
    <x v="0"/>
    <x v="0"/>
    <x v="0"/>
    <x v="0"/>
    <x v="0"/>
    <x v="1"/>
    <x v="0"/>
    <x v="0"/>
    <x v="0"/>
    <x v="1"/>
    <x v="0"/>
    <x v="0"/>
    <x v="0"/>
    <x v="1"/>
    <x v="0"/>
    <x v="1"/>
    <x v="0"/>
    <x v="0"/>
  </r>
  <r>
    <s v="CHUNGKING EXPRESS"/>
    <n v="88"/>
    <n v="176"/>
    <s v="Bfi"/>
    <x v="59"/>
    <d v="1994-07-14T00:00:00"/>
    <x v="71"/>
    <x v="176"/>
    <x v="0"/>
    <x v="0"/>
    <x v="0"/>
    <x v="1"/>
    <x v="0"/>
    <x v="0"/>
    <x v="0"/>
    <x v="0"/>
    <x v="0"/>
    <x v="0"/>
    <x v="0"/>
    <x v="0"/>
    <x v="0"/>
    <x v="1"/>
    <x v="1"/>
    <x v="0"/>
    <x v="0"/>
    <x v="0"/>
    <x v="0"/>
  </r>
  <r>
    <s v="Blue Velvet"/>
    <n v="87"/>
    <n v="177"/>
    <s v="Bfi"/>
    <x v="86"/>
    <d v="1986-09-19T00:00:00"/>
    <x v="31"/>
    <x v="177"/>
    <x v="0"/>
    <x v="0"/>
    <x v="0"/>
    <x v="0"/>
    <x v="1"/>
    <x v="0"/>
    <x v="1"/>
    <x v="0"/>
    <x v="0"/>
    <x v="0"/>
    <x v="0"/>
    <x v="0"/>
    <x v="1"/>
    <x v="1"/>
    <x v="1"/>
    <x v="0"/>
    <x v="1"/>
    <x v="0"/>
    <x v="0"/>
  </r>
  <r>
    <s v="The Spirit of the Beehive"/>
    <n v="86"/>
    <n v="178"/>
    <s v="Bfi"/>
    <x v="34"/>
    <d v="1973-10-08T00:00:00"/>
    <x v="10"/>
    <x v="178"/>
    <x v="0"/>
    <x v="0"/>
    <x v="0"/>
    <x v="0"/>
    <x v="0"/>
    <x v="0"/>
    <x v="0"/>
    <x v="0"/>
    <x v="1"/>
    <x v="0"/>
    <x v="0"/>
    <x v="0"/>
    <x v="0"/>
    <x v="0"/>
    <x v="1"/>
    <x v="0"/>
    <x v="0"/>
    <x v="0"/>
    <x v="0"/>
  </r>
  <r>
    <s v="Pierrot le fou"/>
    <n v="85"/>
    <n v="179"/>
    <s v="Bfi"/>
    <x v="31"/>
    <d v="1965-11-05T00:00:00"/>
    <x v="62"/>
    <x v="179"/>
    <x v="0"/>
    <x v="0"/>
    <x v="0"/>
    <x v="0"/>
    <x v="0"/>
    <x v="0"/>
    <x v="0"/>
    <x v="0"/>
    <x v="0"/>
    <x v="0"/>
    <x v="0"/>
    <x v="0"/>
    <x v="0"/>
    <x v="0"/>
    <x v="1"/>
    <x v="0"/>
    <x v="1"/>
    <x v="0"/>
    <x v="0"/>
  </r>
  <r>
    <s v="Histoire(s) du CinÃ©ma"/>
    <n v="84"/>
    <n v="180"/>
    <s v="Bfi"/>
    <x v="4"/>
    <d v="1989-11-16T00:00:00"/>
    <x v="61"/>
    <x v="180"/>
    <x v="0"/>
    <x v="0"/>
    <x v="0"/>
    <x v="0"/>
    <x v="0"/>
    <x v="1"/>
    <x v="1"/>
    <x v="0"/>
    <x v="0"/>
    <x v="0"/>
    <x v="0"/>
    <x v="0"/>
    <x v="0"/>
    <x v="0"/>
    <x v="1"/>
    <x v="0"/>
    <x v="0"/>
    <x v="0"/>
    <x v="0"/>
  </r>
  <r>
    <s v="A Matter of Life and Death"/>
    <n v="83"/>
    <n v="181"/>
    <s v="Bfi"/>
    <x v="87"/>
    <d v="1946-12-15T00:00:00"/>
    <x v="5"/>
    <x v="181"/>
    <x v="0"/>
    <x v="0"/>
    <x v="0"/>
    <x v="1"/>
    <x v="0"/>
    <x v="0"/>
    <x v="0"/>
    <x v="0"/>
    <x v="1"/>
    <x v="0"/>
    <x v="0"/>
    <x v="0"/>
    <x v="0"/>
    <x v="1"/>
    <x v="1"/>
    <x v="0"/>
    <x v="0"/>
    <x v="0"/>
    <x v="0"/>
  </r>
  <r>
    <s v="Modern Times"/>
    <n v="82"/>
    <n v="182"/>
    <s v="Bfi"/>
    <x v="50"/>
    <d v="1936-02-05T00:00:00"/>
    <x v="32"/>
    <x v="182"/>
    <x v="0"/>
    <x v="0"/>
    <x v="0"/>
    <x v="1"/>
    <x v="0"/>
    <x v="0"/>
    <x v="0"/>
    <x v="0"/>
    <x v="0"/>
    <x v="0"/>
    <x v="0"/>
    <x v="0"/>
    <x v="0"/>
    <x v="0"/>
    <x v="1"/>
    <x v="0"/>
    <x v="0"/>
    <x v="0"/>
    <x v="0"/>
  </r>
  <r>
    <s v="Sunset Blvd."/>
    <n v="81"/>
    <n v="183"/>
    <s v="Bfi"/>
    <x v="4"/>
    <d v="2019-12-19T00:00:00"/>
    <x v="14"/>
    <x v="183"/>
    <x v="0"/>
    <x v="0"/>
    <x v="0"/>
    <x v="0"/>
    <x v="0"/>
    <x v="1"/>
    <x v="1"/>
    <x v="0"/>
    <x v="0"/>
    <x v="0"/>
    <x v="0"/>
    <x v="0"/>
    <x v="0"/>
    <x v="0"/>
    <x v="1"/>
    <x v="0"/>
    <x v="0"/>
    <x v="0"/>
    <x v="0"/>
  </r>
  <r>
    <s v="CÃ©line and Julie Go Boating"/>
    <n v="80"/>
    <n v="184"/>
    <s v="Bfi"/>
    <x v="88"/>
    <d v="1974-09-18T00:00:00"/>
    <x v="25"/>
    <x v="184"/>
    <x v="0"/>
    <x v="0"/>
    <x v="0"/>
    <x v="1"/>
    <x v="0"/>
    <x v="0"/>
    <x v="0"/>
    <x v="0"/>
    <x v="1"/>
    <x v="0"/>
    <x v="0"/>
    <x v="0"/>
    <x v="0"/>
    <x v="0"/>
    <x v="1"/>
    <x v="0"/>
    <x v="0"/>
    <x v="0"/>
    <x v="0"/>
  </r>
  <r>
    <s v="A Brighter Summer Day"/>
    <n v="79"/>
    <n v="185"/>
    <s v="Bfi"/>
    <x v="89"/>
    <d v="1991-07-27T00:00:00"/>
    <x v="85"/>
    <x v="185"/>
    <x v="0"/>
    <x v="0"/>
    <x v="0"/>
    <x v="0"/>
    <x v="1"/>
    <x v="0"/>
    <x v="0"/>
    <x v="0"/>
    <x v="0"/>
    <x v="0"/>
    <x v="0"/>
    <x v="0"/>
    <x v="0"/>
    <x v="1"/>
    <x v="1"/>
    <x v="0"/>
    <x v="0"/>
    <x v="0"/>
    <x v="0"/>
  </r>
  <r>
    <s v="SÃ¡tÃ¡ntangÃ³"/>
    <n v="78"/>
    <n v="186"/>
    <s v="Bfi"/>
    <x v="6"/>
    <d v="1994-02-08T00:00:00"/>
    <x v="71"/>
    <x v="186"/>
    <x v="0"/>
    <x v="0"/>
    <x v="0"/>
    <x v="0"/>
    <x v="0"/>
    <x v="0"/>
    <x v="0"/>
    <x v="0"/>
    <x v="0"/>
    <x v="0"/>
    <x v="0"/>
    <x v="0"/>
    <x v="0"/>
    <x v="0"/>
    <x v="1"/>
    <x v="0"/>
    <x v="0"/>
    <x v="0"/>
    <x v="0"/>
  </r>
  <r>
    <s v="Spirited Away"/>
    <n v="77"/>
    <n v="187"/>
    <s v="Bfi"/>
    <x v="90"/>
    <d v="2001-07-20T00:00:00"/>
    <x v="16"/>
    <x v="187"/>
    <x v="0"/>
    <x v="0"/>
    <x v="1"/>
    <x v="0"/>
    <x v="0"/>
    <x v="0"/>
    <x v="1"/>
    <x v="1"/>
    <x v="1"/>
    <x v="0"/>
    <x v="0"/>
    <x v="0"/>
    <x v="0"/>
    <x v="0"/>
    <x v="1"/>
    <x v="0"/>
    <x v="0"/>
    <x v="0"/>
    <x v="0"/>
  </r>
  <r>
    <s v="Sansho the Bailiff"/>
    <n v="76"/>
    <n v="188"/>
    <s v="Bfi"/>
    <x v="6"/>
    <d v="1954-03-31T00:00:00"/>
    <x v="76"/>
    <x v="188"/>
    <x v="0"/>
    <x v="0"/>
    <x v="0"/>
    <x v="0"/>
    <x v="0"/>
    <x v="0"/>
    <x v="0"/>
    <x v="0"/>
    <x v="0"/>
    <x v="0"/>
    <x v="0"/>
    <x v="0"/>
    <x v="0"/>
    <x v="0"/>
    <x v="1"/>
    <x v="0"/>
    <x v="0"/>
    <x v="0"/>
    <x v="0"/>
  </r>
  <r>
    <s v="Imitation of Life"/>
    <n v="75"/>
    <n v="189"/>
    <s v="Bfi"/>
    <x v="12"/>
    <d v="1959-10-02T00:00:00"/>
    <x v="56"/>
    <x v="189"/>
    <x v="0"/>
    <x v="0"/>
    <x v="0"/>
    <x v="0"/>
    <x v="0"/>
    <x v="0"/>
    <x v="0"/>
    <x v="0"/>
    <x v="0"/>
    <x v="0"/>
    <x v="0"/>
    <x v="0"/>
    <x v="0"/>
    <x v="1"/>
    <x v="1"/>
    <x v="0"/>
    <x v="0"/>
    <x v="0"/>
    <x v="0"/>
  </r>
  <r>
    <s v="L'avventura"/>
    <n v="74"/>
    <n v="190"/>
    <s v="Bfi"/>
    <x v="91"/>
    <d v="1960-09-14T00:00:00"/>
    <x v="86"/>
    <x v="190"/>
    <x v="0"/>
    <x v="0"/>
    <x v="0"/>
    <x v="0"/>
    <x v="0"/>
    <x v="0"/>
    <x v="0"/>
    <x v="0"/>
    <x v="0"/>
    <x v="0"/>
    <x v="0"/>
    <x v="0"/>
    <x v="1"/>
    <x v="0"/>
    <x v="1"/>
    <x v="0"/>
    <x v="0"/>
    <x v="0"/>
    <x v="0"/>
  </r>
  <r>
    <s v="Journey to Italy"/>
    <n v="73"/>
    <n v="191"/>
    <s v="Bfi"/>
    <x v="12"/>
    <d v="1954-09-07T00:00:00"/>
    <x v="76"/>
    <x v="191"/>
    <x v="0"/>
    <x v="0"/>
    <x v="0"/>
    <x v="0"/>
    <x v="0"/>
    <x v="0"/>
    <x v="0"/>
    <x v="0"/>
    <x v="0"/>
    <x v="0"/>
    <x v="0"/>
    <x v="0"/>
    <x v="0"/>
    <x v="1"/>
    <x v="1"/>
    <x v="0"/>
    <x v="0"/>
    <x v="0"/>
    <x v="0"/>
  </r>
  <r>
    <s v="My Neighbour Totoro"/>
    <n v="72"/>
    <n v="192"/>
    <s v="Bfi"/>
    <x v="92"/>
    <d v="1988-04-16T00:00:00"/>
    <x v="11"/>
    <x v="192"/>
    <x v="0"/>
    <x v="0"/>
    <x v="1"/>
    <x v="0"/>
    <x v="0"/>
    <x v="0"/>
    <x v="1"/>
    <x v="1"/>
    <x v="1"/>
    <x v="0"/>
    <x v="0"/>
    <x v="0"/>
    <x v="0"/>
    <x v="0"/>
    <x v="1"/>
    <x v="0"/>
    <x v="0"/>
    <x v="0"/>
    <x v="0"/>
  </r>
  <r>
    <s v="The Red Shoes"/>
    <n v="71"/>
    <n v="193"/>
    <s v="Bfi"/>
    <x v="12"/>
    <d v="1948-09-06T00:00:00"/>
    <x v="57"/>
    <x v="193"/>
    <x v="0"/>
    <x v="0"/>
    <x v="0"/>
    <x v="0"/>
    <x v="0"/>
    <x v="0"/>
    <x v="0"/>
    <x v="0"/>
    <x v="0"/>
    <x v="0"/>
    <x v="0"/>
    <x v="0"/>
    <x v="0"/>
    <x v="1"/>
    <x v="1"/>
    <x v="0"/>
    <x v="0"/>
    <x v="0"/>
    <x v="0"/>
  </r>
  <r>
    <s v="Metropolis"/>
    <n v="70"/>
    <n v="194"/>
    <s v="Bfi"/>
    <x v="0"/>
    <d v="1927-02-06T00:00:00"/>
    <x v="87"/>
    <x v="194"/>
    <x v="0"/>
    <x v="0"/>
    <x v="0"/>
    <x v="0"/>
    <x v="0"/>
    <x v="0"/>
    <x v="0"/>
    <x v="0"/>
    <x v="0"/>
    <x v="0"/>
    <x v="0"/>
    <x v="0"/>
    <x v="0"/>
    <x v="0"/>
    <x v="0"/>
    <x v="0"/>
    <x v="0"/>
    <x v="0"/>
    <x v="0"/>
  </r>
  <r>
    <s v="Andrei Rublev"/>
    <n v="69"/>
    <n v="195"/>
    <s v="Bfi"/>
    <x v="32"/>
    <d v="1966-12-16T00:00:00"/>
    <x v="49"/>
    <x v="195"/>
    <x v="0"/>
    <x v="0"/>
    <x v="0"/>
    <x v="0"/>
    <x v="0"/>
    <x v="0"/>
    <x v="0"/>
    <x v="0"/>
    <x v="0"/>
    <x v="1"/>
    <x v="0"/>
    <x v="0"/>
    <x v="0"/>
    <x v="0"/>
    <x v="1"/>
    <x v="0"/>
    <x v="0"/>
    <x v="0"/>
    <x v="0"/>
  </r>
  <r>
    <s v="La JetÃ©e"/>
    <n v="68"/>
    <n v="196"/>
    <s v="Bfi"/>
    <x v="93"/>
    <d v="1962-02-16T00:00:00"/>
    <x v="42"/>
    <x v="196"/>
    <x v="0"/>
    <x v="0"/>
    <x v="0"/>
    <x v="0"/>
    <x v="0"/>
    <x v="0"/>
    <x v="1"/>
    <x v="0"/>
    <x v="0"/>
    <x v="0"/>
    <x v="0"/>
    <x v="0"/>
    <x v="0"/>
    <x v="1"/>
    <x v="0"/>
    <x v="0"/>
    <x v="0"/>
    <x v="0"/>
    <x v="0"/>
  </r>
  <r>
    <s v="The Gleaners and I"/>
    <n v="67"/>
    <n v="197"/>
    <s v="Bfi"/>
    <x v="4"/>
    <d v="2000-07-07T00:00:00"/>
    <x v="27"/>
    <x v="197"/>
    <x v="0"/>
    <x v="0"/>
    <x v="0"/>
    <x v="0"/>
    <x v="0"/>
    <x v="1"/>
    <x v="1"/>
    <x v="0"/>
    <x v="0"/>
    <x v="0"/>
    <x v="0"/>
    <x v="0"/>
    <x v="0"/>
    <x v="0"/>
    <x v="1"/>
    <x v="0"/>
    <x v="0"/>
    <x v="0"/>
    <x v="0"/>
  </r>
  <r>
    <s v="Touki Bouki"/>
    <n v="66"/>
    <n v="198"/>
    <s v="Bfi"/>
    <x v="12"/>
    <d v="1973-07-01T00:00:00"/>
    <x v="10"/>
    <x v="198"/>
    <x v="0"/>
    <x v="0"/>
    <x v="0"/>
    <x v="0"/>
    <x v="0"/>
    <x v="0"/>
    <x v="0"/>
    <x v="0"/>
    <x v="0"/>
    <x v="0"/>
    <x v="0"/>
    <x v="0"/>
    <x v="0"/>
    <x v="1"/>
    <x v="1"/>
    <x v="0"/>
    <x v="0"/>
    <x v="0"/>
    <x v="0"/>
  </r>
  <r>
    <s v="The Third Man"/>
    <n v="65"/>
    <n v="199"/>
    <s v="Bfi"/>
    <x v="94"/>
    <d v="1949-08-31T00:00:00"/>
    <x v="88"/>
    <x v="199"/>
    <x v="0"/>
    <x v="0"/>
    <x v="0"/>
    <x v="0"/>
    <x v="0"/>
    <x v="0"/>
    <x v="1"/>
    <x v="0"/>
    <x v="0"/>
    <x v="0"/>
    <x v="0"/>
    <x v="0"/>
    <x v="1"/>
    <x v="0"/>
    <x v="1"/>
    <x v="0"/>
    <x v="1"/>
    <x v="0"/>
    <x v="0"/>
  </r>
  <r>
    <s v="GoodFellas"/>
    <n v="64"/>
    <n v="200"/>
    <s v="Bfi"/>
    <x v="51"/>
    <d v="1990-09-12T00:00:00"/>
    <x v="89"/>
    <x v="200"/>
    <x v="0"/>
    <x v="0"/>
    <x v="0"/>
    <x v="0"/>
    <x v="1"/>
    <x v="0"/>
    <x v="0"/>
    <x v="0"/>
    <x v="0"/>
    <x v="0"/>
    <x v="0"/>
    <x v="0"/>
    <x v="0"/>
    <x v="0"/>
    <x v="1"/>
    <x v="0"/>
    <x v="0"/>
    <x v="0"/>
    <x v="0"/>
  </r>
  <r>
    <s v="Casablanca"/>
    <n v="63"/>
    <n v="201"/>
    <s v="Bfi"/>
    <x v="12"/>
    <d v="1943-01-15T00:00:00"/>
    <x v="41"/>
    <x v="201"/>
    <x v="0"/>
    <x v="0"/>
    <x v="0"/>
    <x v="0"/>
    <x v="0"/>
    <x v="0"/>
    <x v="0"/>
    <x v="0"/>
    <x v="0"/>
    <x v="0"/>
    <x v="0"/>
    <x v="0"/>
    <x v="0"/>
    <x v="1"/>
    <x v="1"/>
    <x v="0"/>
    <x v="0"/>
    <x v="0"/>
    <x v="0"/>
  </r>
  <r>
    <s v="Daughters of the Dust"/>
    <n v="62"/>
    <n v="202"/>
    <s v="Bfi"/>
    <x v="12"/>
    <d v="1991-01-24T00:00:00"/>
    <x v="85"/>
    <x v="202"/>
    <x v="0"/>
    <x v="0"/>
    <x v="0"/>
    <x v="0"/>
    <x v="0"/>
    <x v="0"/>
    <x v="0"/>
    <x v="0"/>
    <x v="0"/>
    <x v="0"/>
    <x v="0"/>
    <x v="0"/>
    <x v="0"/>
    <x v="1"/>
    <x v="1"/>
    <x v="0"/>
    <x v="0"/>
    <x v="0"/>
    <x v="0"/>
  </r>
  <r>
    <s v="La dolce vita"/>
    <n v="61"/>
    <n v="203"/>
    <s v="Bfi"/>
    <x v="50"/>
    <d v="1960-02-05T00:00:00"/>
    <x v="86"/>
    <x v="203"/>
    <x v="0"/>
    <x v="0"/>
    <x v="0"/>
    <x v="1"/>
    <x v="0"/>
    <x v="0"/>
    <x v="0"/>
    <x v="0"/>
    <x v="0"/>
    <x v="0"/>
    <x v="0"/>
    <x v="0"/>
    <x v="0"/>
    <x v="0"/>
    <x v="1"/>
    <x v="0"/>
    <x v="0"/>
    <x v="0"/>
    <x v="0"/>
  </r>
  <r>
    <s v="Moonlight"/>
    <n v="60"/>
    <n v="204"/>
    <s v="Bfi"/>
    <x v="6"/>
    <d v="2016-10-21T00:00:00"/>
    <x v="90"/>
    <x v="204"/>
    <x v="0"/>
    <x v="0"/>
    <x v="0"/>
    <x v="0"/>
    <x v="0"/>
    <x v="0"/>
    <x v="0"/>
    <x v="0"/>
    <x v="0"/>
    <x v="0"/>
    <x v="0"/>
    <x v="0"/>
    <x v="0"/>
    <x v="0"/>
    <x v="1"/>
    <x v="0"/>
    <x v="0"/>
    <x v="0"/>
    <x v="0"/>
  </r>
  <r>
    <s v="Sans Soleil"/>
    <n v="59"/>
    <n v="205"/>
    <s v="Bfi"/>
    <x v="4"/>
    <d v="1983-03-02T00:00:00"/>
    <x v="0"/>
    <x v="205"/>
    <x v="0"/>
    <x v="0"/>
    <x v="0"/>
    <x v="0"/>
    <x v="0"/>
    <x v="1"/>
    <x v="1"/>
    <x v="0"/>
    <x v="0"/>
    <x v="0"/>
    <x v="0"/>
    <x v="0"/>
    <x v="0"/>
    <x v="0"/>
    <x v="1"/>
    <x v="0"/>
    <x v="0"/>
    <x v="0"/>
    <x v="0"/>
  </r>
  <r>
    <s v="The Apartment"/>
    <n v="58"/>
    <n v="206"/>
    <s v="Bfi"/>
    <x v="3"/>
    <d v="1960-06-21T00:00:00"/>
    <x v="86"/>
    <x v="206"/>
    <x v="0"/>
    <x v="0"/>
    <x v="0"/>
    <x v="1"/>
    <x v="0"/>
    <x v="0"/>
    <x v="0"/>
    <x v="0"/>
    <x v="0"/>
    <x v="0"/>
    <x v="0"/>
    <x v="0"/>
    <x v="0"/>
    <x v="1"/>
    <x v="1"/>
    <x v="0"/>
    <x v="0"/>
    <x v="0"/>
    <x v="0"/>
  </r>
  <r>
    <s v="Sherlock Jr."/>
    <n v="57"/>
    <n v="207"/>
    <s v="Bfi"/>
    <x v="95"/>
    <d v="1924-04-17T00:00:00"/>
    <x v="91"/>
    <x v="207"/>
    <x v="1"/>
    <x v="0"/>
    <x v="0"/>
    <x v="1"/>
    <x v="0"/>
    <x v="0"/>
    <x v="1"/>
    <x v="0"/>
    <x v="0"/>
    <x v="0"/>
    <x v="0"/>
    <x v="0"/>
    <x v="1"/>
    <x v="0"/>
    <x v="1"/>
    <x v="0"/>
    <x v="0"/>
    <x v="0"/>
    <x v="0"/>
  </r>
  <r>
    <s v="Le MÃ©pris"/>
    <n v="56"/>
    <n v="208"/>
    <s v="Bfi"/>
    <x v="6"/>
    <d v="1963-10-29T00:00:00"/>
    <x v="50"/>
    <x v="208"/>
    <x v="0"/>
    <x v="0"/>
    <x v="0"/>
    <x v="0"/>
    <x v="0"/>
    <x v="0"/>
    <x v="0"/>
    <x v="0"/>
    <x v="0"/>
    <x v="0"/>
    <x v="0"/>
    <x v="0"/>
    <x v="0"/>
    <x v="0"/>
    <x v="1"/>
    <x v="0"/>
    <x v="0"/>
    <x v="0"/>
    <x v="0"/>
  </r>
  <r>
    <s v="Battleship Potemkin"/>
    <n v="55"/>
    <n v="209"/>
    <s v="Bfi"/>
    <x v="56"/>
    <d v="1925-12-24T00:00:00"/>
    <x v="92"/>
    <x v="209"/>
    <x v="0"/>
    <x v="0"/>
    <x v="0"/>
    <x v="0"/>
    <x v="0"/>
    <x v="0"/>
    <x v="0"/>
    <x v="0"/>
    <x v="0"/>
    <x v="1"/>
    <x v="0"/>
    <x v="0"/>
    <x v="0"/>
    <x v="0"/>
    <x v="1"/>
    <x v="0"/>
    <x v="0"/>
    <x v="1"/>
    <x v="0"/>
  </r>
  <r>
    <s v="Blade Runner"/>
    <n v="54"/>
    <n v="210"/>
    <s v="Bfi"/>
    <x v="96"/>
    <d v="1982-06-25T00:00:00"/>
    <x v="74"/>
    <x v="210"/>
    <x v="0"/>
    <x v="0"/>
    <x v="0"/>
    <x v="0"/>
    <x v="0"/>
    <x v="0"/>
    <x v="0"/>
    <x v="0"/>
    <x v="0"/>
    <x v="0"/>
    <x v="0"/>
    <x v="0"/>
    <x v="0"/>
    <x v="0"/>
    <x v="0"/>
    <x v="0"/>
    <x v="1"/>
    <x v="0"/>
    <x v="0"/>
  </r>
  <r>
    <s v="News from Home"/>
    <n v="53"/>
    <n v="211"/>
    <s v="Bfi"/>
    <x v="4"/>
    <d v="1977-05-20T00:00:00"/>
    <x v="3"/>
    <x v="211"/>
    <x v="0"/>
    <x v="0"/>
    <x v="0"/>
    <x v="0"/>
    <x v="0"/>
    <x v="1"/>
    <x v="1"/>
    <x v="0"/>
    <x v="0"/>
    <x v="0"/>
    <x v="0"/>
    <x v="0"/>
    <x v="0"/>
    <x v="0"/>
    <x v="1"/>
    <x v="0"/>
    <x v="0"/>
    <x v="0"/>
    <x v="0"/>
  </r>
  <r>
    <s v="Fear Eats the Soul"/>
    <n v="52"/>
    <n v="212"/>
    <s v="Bfi"/>
    <x v="29"/>
    <d v="1974-06-05T00:00:00"/>
    <x v="25"/>
    <x v="212"/>
    <x v="0"/>
    <x v="0"/>
    <x v="0"/>
    <x v="0"/>
    <x v="0"/>
    <x v="0"/>
    <x v="0"/>
    <x v="0"/>
    <x v="0"/>
    <x v="0"/>
    <x v="0"/>
    <x v="0"/>
    <x v="0"/>
    <x v="1"/>
    <x v="1"/>
    <x v="0"/>
    <x v="0"/>
    <x v="0"/>
    <x v="0"/>
  </r>
  <r>
    <s v="The Piano"/>
    <n v="51"/>
    <n v="213"/>
    <s v="Bfi"/>
    <x v="12"/>
    <d v="1993-05-19T00:00:00"/>
    <x v="29"/>
    <x v="213"/>
    <x v="0"/>
    <x v="0"/>
    <x v="0"/>
    <x v="0"/>
    <x v="0"/>
    <x v="0"/>
    <x v="0"/>
    <x v="0"/>
    <x v="0"/>
    <x v="0"/>
    <x v="0"/>
    <x v="0"/>
    <x v="0"/>
    <x v="1"/>
    <x v="1"/>
    <x v="0"/>
    <x v="0"/>
    <x v="0"/>
    <x v="0"/>
  </r>
  <r>
    <s v="The 400 Blows"/>
    <n v="50"/>
    <n v="214"/>
    <s v="Bfi"/>
    <x v="6"/>
    <d v="1959-06-03T00:00:00"/>
    <x v="56"/>
    <x v="214"/>
    <x v="0"/>
    <x v="0"/>
    <x v="0"/>
    <x v="0"/>
    <x v="0"/>
    <x v="0"/>
    <x v="0"/>
    <x v="0"/>
    <x v="0"/>
    <x v="0"/>
    <x v="0"/>
    <x v="0"/>
    <x v="0"/>
    <x v="0"/>
    <x v="1"/>
    <x v="0"/>
    <x v="0"/>
    <x v="0"/>
    <x v="0"/>
  </r>
  <r>
    <s v="Ordet"/>
    <n v="49"/>
    <n v="215"/>
    <s v="Bfi"/>
    <x v="6"/>
    <d v="1955-01-09T00:00:00"/>
    <x v="68"/>
    <x v="215"/>
    <x v="0"/>
    <x v="0"/>
    <x v="0"/>
    <x v="0"/>
    <x v="0"/>
    <x v="0"/>
    <x v="0"/>
    <x v="0"/>
    <x v="0"/>
    <x v="0"/>
    <x v="0"/>
    <x v="0"/>
    <x v="0"/>
    <x v="0"/>
    <x v="1"/>
    <x v="0"/>
    <x v="0"/>
    <x v="0"/>
    <x v="0"/>
  </r>
  <r>
    <s v="Wanda"/>
    <n v="48"/>
    <n v="216"/>
    <s v="Bfi"/>
    <x v="51"/>
    <d v="1970-09-01T00:00:00"/>
    <x v="93"/>
    <x v="216"/>
    <x v="0"/>
    <x v="0"/>
    <x v="0"/>
    <x v="0"/>
    <x v="1"/>
    <x v="0"/>
    <x v="0"/>
    <x v="0"/>
    <x v="0"/>
    <x v="0"/>
    <x v="0"/>
    <x v="0"/>
    <x v="0"/>
    <x v="0"/>
    <x v="1"/>
    <x v="0"/>
    <x v="0"/>
    <x v="0"/>
    <x v="0"/>
  </r>
  <r>
    <s v="Barry Lyndon"/>
    <n v="47"/>
    <n v="217"/>
    <s v="Bfi"/>
    <x v="97"/>
    <d v="1975-12-18T00:00:00"/>
    <x v="66"/>
    <x v="217"/>
    <x v="0"/>
    <x v="0"/>
    <x v="0"/>
    <x v="0"/>
    <x v="0"/>
    <x v="0"/>
    <x v="0"/>
    <x v="0"/>
    <x v="0"/>
    <x v="0"/>
    <x v="0"/>
    <x v="0"/>
    <x v="0"/>
    <x v="1"/>
    <x v="1"/>
    <x v="0"/>
    <x v="0"/>
    <x v="1"/>
    <x v="0"/>
  </r>
  <r>
    <s v="North by Northwest"/>
    <n v="46"/>
    <n v="218"/>
    <s v="Bfi"/>
    <x v="98"/>
    <d v="1959-07-08T00:00:00"/>
    <x v="56"/>
    <x v="218"/>
    <x v="0"/>
    <x v="1"/>
    <x v="0"/>
    <x v="0"/>
    <x v="0"/>
    <x v="0"/>
    <x v="1"/>
    <x v="0"/>
    <x v="0"/>
    <x v="0"/>
    <x v="0"/>
    <x v="0"/>
    <x v="1"/>
    <x v="0"/>
    <x v="1"/>
    <x v="0"/>
    <x v="1"/>
    <x v="0"/>
    <x v="0"/>
  </r>
  <r>
    <s v="The Battle of Algiers"/>
    <n v="45"/>
    <n v="219"/>
    <s v="Bfi"/>
    <x v="99"/>
    <d v="1966-09-08T00:00:00"/>
    <x v="49"/>
    <x v="219"/>
    <x v="0"/>
    <x v="0"/>
    <x v="0"/>
    <x v="0"/>
    <x v="0"/>
    <x v="0"/>
    <x v="0"/>
    <x v="0"/>
    <x v="0"/>
    <x v="1"/>
    <x v="0"/>
    <x v="0"/>
    <x v="0"/>
    <x v="0"/>
    <x v="1"/>
    <x v="0"/>
    <x v="0"/>
    <x v="1"/>
    <x v="0"/>
  </r>
  <r>
    <s v="Stalker"/>
    <n v="44"/>
    <n v="220"/>
    <s v="Bfi"/>
    <x v="0"/>
    <d v="1979-05-25T00:00:00"/>
    <x v="67"/>
    <x v="220"/>
    <x v="0"/>
    <x v="0"/>
    <x v="0"/>
    <x v="0"/>
    <x v="0"/>
    <x v="0"/>
    <x v="0"/>
    <x v="0"/>
    <x v="0"/>
    <x v="0"/>
    <x v="0"/>
    <x v="0"/>
    <x v="0"/>
    <x v="0"/>
    <x v="0"/>
    <x v="0"/>
    <x v="0"/>
    <x v="0"/>
    <x v="0"/>
  </r>
  <r>
    <s v="Killer of Sheep"/>
    <n v="43"/>
    <n v="221"/>
    <s v="Bfi"/>
    <x v="6"/>
    <d v="1978-11-14T00:00:00"/>
    <x v="36"/>
    <x v="221"/>
    <x v="0"/>
    <x v="0"/>
    <x v="0"/>
    <x v="0"/>
    <x v="0"/>
    <x v="0"/>
    <x v="0"/>
    <x v="0"/>
    <x v="0"/>
    <x v="0"/>
    <x v="0"/>
    <x v="0"/>
    <x v="0"/>
    <x v="0"/>
    <x v="1"/>
    <x v="0"/>
    <x v="0"/>
    <x v="0"/>
    <x v="0"/>
  </r>
  <r>
    <s v="Rashomon"/>
    <n v="42"/>
    <n v="222"/>
    <s v="Bfi"/>
    <x v="100"/>
    <d v="1950-08-26T00:00:00"/>
    <x v="34"/>
    <x v="222"/>
    <x v="0"/>
    <x v="0"/>
    <x v="0"/>
    <x v="0"/>
    <x v="1"/>
    <x v="0"/>
    <x v="0"/>
    <x v="0"/>
    <x v="0"/>
    <x v="0"/>
    <x v="0"/>
    <x v="0"/>
    <x v="1"/>
    <x v="0"/>
    <x v="1"/>
    <x v="0"/>
    <x v="0"/>
    <x v="0"/>
    <x v="0"/>
  </r>
  <r>
    <s v="Bicycle Thieves"/>
    <n v="41"/>
    <n v="223"/>
    <s v="Bfi"/>
    <x v="6"/>
    <d v="1948-11-24T00:00:00"/>
    <x v="57"/>
    <x v="223"/>
    <x v="0"/>
    <x v="0"/>
    <x v="0"/>
    <x v="0"/>
    <x v="0"/>
    <x v="0"/>
    <x v="0"/>
    <x v="0"/>
    <x v="0"/>
    <x v="0"/>
    <x v="0"/>
    <x v="0"/>
    <x v="0"/>
    <x v="0"/>
    <x v="1"/>
    <x v="0"/>
    <x v="0"/>
    <x v="0"/>
    <x v="0"/>
  </r>
  <r>
    <s v="Rear Window"/>
    <n v="40"/>
    <n v="224"/>
    <s v="Bfi"/>
    <x v="94"/>
    <d v="1954-08-01T00:00:00"/>
    <x v="76"/>
    <x v="224"/>
    <x v="0"/>
    <x v="0"/>
    <x v="0"/>
    <x v="0"/>
    <x v="0"/>
    <x v="0"/>
    <x v="1"/>
    <x v="0"/>
    <x v="0"/>
    <x v="0"/>
    <x v="0"/>
    <x v="0"/>
    <x v="1"/>
    <x v="0"/>
    <x v="1"/>
    <x v="0"/>
    <x v="1"/>
    <x v="0"/>
    <x v="0"/>
  </r>
  <r>
    <s v="Ã€ bout de souffle"/>
    <n v="39"/>
    <n v="225"/>
    <s v="Bfi"/>
    <x v="51"/>
    <d v="1960-03-16T00:00:00"/>
    <x v="86"/>
    <x v="225"/>
    <x v="0"/>
    <x v="0"/>
    <x v="0"/>
    <x v="0"/>
    <x v="1"/>
    <x v="0"/>
    <x v="0"/>
    <x v="0"/>
    <x v="0"/>
    <x v="0"/>
    <x v="0"/>
    <x v="0"/>
    <x v="0"/>
    <x v="0"/>
    <x v="1"/>
    <x v="0"/>
    <x v="0"/>
    <x v="0"/>
    <x v="0"/>
  </r>
  <r>
    <s v="Some Like It Hot"/>
    <n v="38"/>
    <n v="226"/>
    <s v="Bfi"/>
    <x v="101"/>
    <d v="1959-03-19T00:00:00"/>
    <x v="56"/>
    <x v="226"/>
    <x v="0"/>
    <x v="0"/>
    <x v="0"/>
    <x v="1"/>
    <x v="1"/>
    <x v="0"/>
    <x v="1"/>
    <x v="0"/>
    <x v="0"/>
    <x v="0"/>
    <x v="0"/>
    <x v="0"/>
    <x v="0"/>
    <x v="1"/>
    <x v="1"/>
    <x v="0"/>
    <x v="0"/>
    <x v="0"/>
    <x v="0"/>
  </r>
  <r>
    <s v="M"/>
    <n v="37"/>
    <n v="227"/>
    <s v="Bfi"/>
    <x v="12"/>
    <d v="2023-06-08T00:00:00"/>
    <x v="23"/>
    <x v="227"/>
    <x v="0"/>
    <x v="0"/>
    <x v="0"/>
    <x v="0"/>
    <x v="0"/>
    <x v="0"/>
    <x v="0"/>
    <x v="0"/>
    <x v="0"/>
    <x v="0"/>
    <x v="0"/>
    <x v="0"/>
    <x v="0"/>
    <x v="1"/>
    <x v="1"/>
    <x v="0"/>
    <x v="0"/>
    <x v="0"/>
    <x v="0"/>
  </r>
  <r>
    <s v="City Lights"/>
    <n v="36"/>
    <n v="228"/>
    <s v="Bfi"/>
    <x v="102"/>
    <d v="1931-02-01T00:00:00"/>
    <x v="40"/>
    <x v="228"/>
    <x v="0"/>
    <x v="0"/>
    <x v="0"/>
    <x v="1"/>
    <x v="0"/>
    <x v="0"/>
    <x v="0"/>
    <x v="0"/>
    <x v="0"/>
    <x v="0"/>
    <x v="0"/>
    <x v="0"/>
    <x v="0"/>
    <x v="1"/>
    <x v="1"/>
    <x v="0"/>
    <x v="0"/>
    <x v="0"/>
    <x v="0"/>
  </r>
  <r>
    <s v="Pather Panchali"/>
    <n v="35"/>
    <n v="229"/>
    <s v="Bfi"/>
    <x v="6"/>
    <d v="1955-08-26T00:00:00"/>
    <x v="68"/>
    <x v="229"/>
    <x v="0"/>
    <x v="0"/>
    <x v="0"/>
    <x v="0"/>
    <x v="0"/>
    <x v="0"/>
    <x v="0"/>
    <x v="0"/>
    <x v="0"/>
    <x v="0"/>
    <x v="0"/>
    <x v="0"/>
    <x v="0"/>
    <x v="0"/>
    <x v="1"/>
    <x v="0"/>
    <x v="0"/>
    <x v="0"/>
    <x v="0"/>
  </r>
  <r>
    <s v="L'Atalante"/>
    <n v="34"/>
    <n v="230"/>
    <s v="Bfi"/>
    <x v="19"/>
    <d v="1934-04-24T00:00:00"/>
    <x v="94"/>
    <x v="230"/>
    <x v="0"/>
    <x v="0"/>
    <x v="0"/>
    <x v="1"/>
    <x v="0"/>
    <x v="0"/>
    <x v="0"/>
    <x v="0"/>
    <x v="0"/>
    <x v="0"/>
    <x v="0"/>
    <x v="0"/>
    <x v="0"/>
    <x v="1"/>
    <x v="1"/>
    <x v="0"/>
    <x v="0"/>
    <x v="0"/>
    <x v="0"/>
  </r>
  <r>
    <s v="8Â½"/>
    <n v="33"/>
    <n v="231"/>
    <s v="Bfi"/>
    <x v="6"/>
    <d v="1963-02-14T00:00:00"/>
    <x v="50"/>
    <x v="231"/>
    <x v="0"/>
    <x v="0"/>
    <x v="0"/>
    <x v="0"/>
    <x v="0"/>
    <x v="0"/>
    <x v="0"/>
    <x v="0"/>
    <x v="0"/>
    <x v="0"/>
    <x v="0"/>
    <x v="0"/>
    <x v="0"/>
    <x v="0"/>
    <x v="1"/>
    <x v="0"/>
    <x v="0"/>
    <x v="0"/>
    <x v="0"/>
  </r>
  <r>
    <s v="Psycho"/>
    <n v="32"/>
    <n v="232"/>
    <s v="Bfi"/>
    <x v="103"/>
    <d v="1960-06-22T00:00:00"/>
    <x v="86"/>
    <x v="232"/>
    <x v="0"/>
    <x v="0"/>
    <x v="0"/>
    <x v="0"/>
    <x v="0"/>
    <x v="0"/>
    <x v="0"/>
    <x v="0"/>
    <x v="0"/>
    <x v="0"/>
    <x v="1"/>
    <x v="0"/>
    <x v="0"/>
    <x v="0"/>
    <x v="1"/>
    <x v="0"/>
    <x v="1"/>
    <x v="0"/>
    <x v="0"/>
  </r>
  <r>
    <s v="Mirror"/>
    <n v="31"/>
    <n v="233"/>
    <s v="Bfi"/>
    <x v="104"/>
    <d v="2017-07-15T00:00:00"/>
    <x v="46"/>
    <x v="233"/>
    <x v="0"/>
    <x v="0"/>
    <x v="0"/>
    <x v="0"/>
    <x v="0"/>
    <x v="0"/>
    <x v="0"/>
    <x v="0"/>
    <x v="0"/>
    <x v="0"/>
    <x v="0"/>
    <x v="0"/>
    <x v="0"/>
    <x v="1"/>
    <x v="0"/>
    <x v="0"/>
    <x v="0"/>
    <x v="0"/>
    <x v="0"/>
  </r>
  <r>
    <s v="Portrait of a Lady on Fire"/>
    <n v="30"/>
    <n v="234"/>
    <s v="Bfi"/>
    <x v="12"/>
    <d v="2019-06-17T00:00:00"/>
    <x v="14"/>
    <x v="234"/>
    <x v="0"/>
    <x v="0"/>
    <x v="0"/>
    <x v="0"/>
    <x v="0"/>
    <x v="0"/>
    <x v="0"/>
    <x v="0"/>
    <x v="0"/>
    <x v="0"/>
    <x v="0"/>
    <x v="0"/>
    <x v="0"/>
    <x v="1"/>
    <x v="1"/>
    <x v="0"/>
    <x v="0"/>
    <x v="0"/>
    <x v="0"/>
  </r>
  <r>
    <s v="Taxi Driver"/>
    <n v="29"/>
    <n v="235"/>
    <s v="Bfi"/>
    <x v="48"/>
    <d v="1976-02-09T00:00:00"/>
    <x v="44"/>
    <x v="235"/>
    <x v="0"/>
    <x v="0"/>
    <x v="0"/>
    <x v="0"/>
    <x v="1"/>
    <x v="0"/>
    <x v="0"/>
    <x v="0"/>
    <x v="0"/>
    <x v="0"/>
    <x v="0"/>
    <x v="0"/>
    <x v="0"/>
    <x v="0"/>
    <x v="1"/>
    <x v="0"/>
    <x v="0"/>
    <x v="0"/>
    <x v="0"/>
  </r>
  <r>
    <s v="Daisies"/>
    <n v="28"/>
    <n v="236"/>
    <s v="Bfi"/>
    <x v="39"/>
    <d v="2006-01-01T00:00:00"/>
    <x v="13"/>
    <x v="236"/>
    <x v="0"/>
    <x v="0"/>
    <x v="0"/>
    <x v="0"/>
    <x v="0"/>
    <x v="0"/>
    <x v="1"/>
    <x v="0"/>
    <x v="0"/>
    <x v="0"/>
    <x v="0"/>
    <x v="0"/>
    <x v="0"/>
    <x v="0"/>
    <x v="1"/>
    <x v="0"/>
    <x v="0"/>
    <x v="0"/>
    <x v="0"/>
  </r>
  <r>
    <s v="Shoah"/>
    <n v="27"/>
    <n v="237"/>
    <s v="Bfi"/>
    <x v="105"/>
    <d v="1985-04-21T00:00:00"/>
    <x v="80"/>
    <x v="237"/>
    <x v="0"/>
    <x v="0"/>
    <x v="0"/>
    <x v="0"/>
    <x v="0"/>
    <x v="1"/>
    <x v="1"/>
    <x v="0"/>
    <x v="0"/>
    <x v="1"/>
    <x v="0"/>
    <x v="0"/>
    <x v="0"/>
    <x v="0"/>
    <x v="1"/>
    <x v="0"/>
    <x v="0"/>
    <x v="0"/>
    <x v="0"/>
  </r>
  <r>
    <s v="The Night of the Hunter"/>
    <n v="26"/>
    <n v="238"/>
    <s v="Bfi"/>
    <x v="106"/>
    <d v="1955-08-26T00:00:00"/>
    <x v="68"/>
    <x v="238"/>
    <x v="0"/>
    <x v="0"/>
    <x v="0"/>
    <x v="0"/>
    <x v="1"/>
    <x v="0"/>
    <x v="0"/>
    <x v="0"/>
    <x v="0"/>
    <x v="0"/>
    <x v="0"/>
    <x v="0"/>
    <x v="0"/>
    <x v="0"/>
    <x v="1"/>
    <x v="0"/>
    <x v="1"/>
    <x v="0"/>
    <x v="0"/>
  </r>
  <r>
    <s v="Au hasard Balthazar"/>
    <n v="25"/>
    <n v="239"/>
    <s v="Bfi"/>
    <x v="6"/>
    <d v="1966-05-25T00:00:00"/>
    <x v="49"/>
    <x v="239"/>
    <x v="0"/>
    <x v="0"/>
    <x v="0"/>
    <x v="0"/>
    <x v="0"/>
    <x v="0"/>
    <x v="0"/>
    <x v="0"/>
    <x v="0"/>
    <x v="0"/>
    <x v="0"/>
    <x v="0"/>
    <x v="0"/>
    <x v="0"/>
    <x v="1"/>
    <x v="0"/>
    <x v="0"/>
    <x v="0"/>
    <x v="0"/>
  </r>
  <r>
    <s v="Do the Right Thing"/>
    <n v="24"/>
    <n v="240"/>
    <s v="Bfi"/>
    <x v="6"/>
    <d v="1989-06-14T00:00:00"/>
    <x v="61"/>
    <x v="240"/>
    <x v="0"/>
    <x v="0"/>
    <x v="0"/>
    <x v="0"/>
    <x v="0"/>
    <x v="0"/>
    <x v="0"/>
    <x v="0"/>
    <x v="0"/>
    <x v="0"/>
    <x v="0"/>
    <x v="0"/>
    <x v="0"/>
    <x v="0"/>
    <x v="1"/>
    <x v="0"/>
    <x v="0"/>
    <x v="0"/>
    <x v="0"/>
  </r>
  <r>
    <s v="Playtime"/>
    <n v="23"/>
    <n v="241"/>
    <s v="Bfi"/>
    <x v="14"/>
    <d v="1967-12-16T00:00:00"/>
    <x v="6"/>
    <x v="241"/>
    <x v="0"/>
    <x v="0"/>
    <x v="0"/>
    <x v="1"/>
    <x v="0"/>
    <x v="0"/>
    <x v="1"/>
    <x v="0"/>
    <x v="0"/>
    <x v="0"/>
    <x v="0"/>
    <x v="0"/>
    <x v="0"/>
    <x v="0"/>
    <x v="1"/>
    <x v="0"/>
    <x v="0"/>
    <x v="0"/>
    <x v="0"/>
  </r>
  <r>
    <s v="Late Spring"/>
    <n v="22"/>
    <n v="242"/>
    <s v="Bfi"/>
    <x v="6"/>
    <d v="1949-09-13T00:00:00"/>
    <x v="88"/>
    <x v="242"/>
    <x v="0"/>
    <x v="0"/>
    <x v="0"/>
    <x v="0"/>
    <x v="0"/>
    <x v="0"/>
    <x v="0"/>
    <x v="0"/>
    <x v="0"/>
    <x v="0"/>
    <x v="0"/>
    <x v="0"/>
    <x v="0"/>
    <x v="0"/>
    <x v="1"/>
    <x v="0"/>
    <x v="0"/>
    <x v="0"/>
    <x v="0"/>
  </r>
  <r>
    <s v="The Passion of Joan of Arc"/>
    <n v="21"/>
    <n v="243"/>
    <s v="Bfi"/>
    <x v="32"/>
    <d v="1928-04-21T00:00:00"/>
    <x v="24"/>
    <x v="243"/>
    <x v="0"/>
    <x v="0"/>
    <x v="0"/>
    <x v="0"/>
    <x v="0"/>
    <x v="0"/>
    <x v="0"/>
    <x v="0"/>
    <x v="0"/>
    <x v="1"/>
    <x v="0"/>
    <x v="0"/>
    <x v="0"/>
    <x v="0"/>
    <x v="1"/>
    <x v="0"/>
    <x v="0"/>
    <x v="0"/>
    <x v="0"/>
  </r>
  <r>
    <s v="Seven Samurai"/>
    <n v="20"/>
    <n v="244"/>
    <s v="Bfi"/>
    <x v="107"/>
    <d v="1954-04-26T00:00:00"/>
    <x v="76"/>
    <x v="244"/>
    <x v="1"/>
    <x v="0"/>
    <x v="0"/>
    <x v="0"/>
    <x v="0"/>
    <x v="0"/>
    <x v="0"/>
    <x v="0"/>
    <x v="0"/>
    <x v="0"/>
    <x v="0"/>
    <x v="0"/>
    <x v="0"/>
    <x v="0"/>
    <x v="1"/>
    <x v="0"/>
    <x v="0"/>
    <x v="0"/>
    <x v="0"/>
  </r>
  <r>
    <s v="Apocalypse Now"/>
    <n v="19"/>
    <n v="245"/>
    <s v="Bfi"/>
    <x v="22"/>
    <d v="1979-08-15T00:00:00"/>
    <x v="67"/>
    <x v="245"/>
    <x v="0"/>
    <x v="0"/>
    <x v="0"/>
    <x v="0"/>
    <x v="0"/>
    <x v="0"/>
    <x v="0"/>
    <x v="0"/>
    <x v="0"/>
    <x v="0"/>
    <x v="0"/>
    <x v="0"/>
    <x v="0"/>
    <x v="0"/>
    <x v="1"/>
    <x v="0"/>
    <x v="0"/>
    <x v="1"/>
    <x v="0"/>
  </r>
  <r>
    <s v="Persona"/>
    <n v="18"/>
    <n v="246"/>
    <s v="Bfi"/>
    <x v="6"/>
    <d v="1966-10-18T00:00:00"/>
    <x v="49"/>
    <x v="246"/>
    <x v="0"/>
    <x v="0"/>
    <x v="0"/>
    <x v="0"/>
    <x v="0"/>
    <x v="0"/>
    <x v="0"/>
    <x v="0"/>
    <x v="0"/>
    <x v="0"/>
    <x v="0"/>
    <x v="0"/>
    <x v="0"/>
    <x v="0"/>
    <x v="1"/>
    <x v="0"/>
    <x v="0"/>
    <x v="0"/>
    <x v="0"/>
  </r>
  <r>
    <s v="Close-up"/>
    <n v="17"/>
    <n v="247"/>
    <s v="Bfi"/>
    <x v="48"/>
    <d v="1990-05-09T00:00:00"/>
    <x v="89"/>
    <x v="247"/>
    <x v="0"/>
    <x v="0"/>
    <x v="0"/>
    <x v="0"/>
    <x v="1"/>
    <x v="0"/>
    <x v="0"/>
    <x v="0"/>
    <x v="0"/>
    <x v="0"/>
    <x v="0"/>
    <x v="0"/>
    <x v="0"/>
    <x v="0"/>
    <x v="1"/>
    <x v="0"/>
    <x v="0"/>
    <x v="0"/>
    <x v="0"/>
  </r>
  <r>
    <s v="Meshes of the Afternoon"/>
    <n v="16"/>
    <n v="248"/>
    <s v="Bfi"/>
    <x v="108"/>
    <d v="1943-01-01T00:00:00"/>
    <x v="41"/>
    <x v="248"/>
    <x v="0"/>
    <x v="0"/>
    <x v="0"/>
    <x v="0"/>
    <x v="0"/>
    <x v="0"/>
    <x v="1"/>
    <x v="0"/>
    <x v="1"/>
    <x v="0"/>
    <x v="0"/>
    <x v="0"/>
    <x v="1"/>
    <x v="0"/>
    <x v="1"/>
    <x v="0"/>
    <x v="0"/>
    <x v="0"/>
    <x v="0"/>
  </r>
  <r>
    <s v="The Searchers"/>
    <n v="15"/>
    <n v="249"/>
    <s v="Bfi"/>
    <x v="43"/>
    <d v="1956-05-16T00:00:00"/>
    <x v="81"/>
    <x v="249"/>
    <x v="0"/>
    <x v="0"/>
    <x v="0"/>
    <x v="0"/>
    <x v="0"/>
    <x v="0"/>
    <x v="1"/>
    <x v="0"/>
    <x v="0"/>
    <x v="0"/>
    <x v="0"/>
    <x v="0"/>
    <x v="0"/>
    <x v="0"/>
    <x v="1"/>
    <x v="0"/>
    <x v="0"/>
    <x v="0"/>
    <x v="1"/>
  </r>
  <r>
    <s v="ClÃ©o from 5 to 7"/>
    <n v="14"/>
    <n v="250"/>
    <s v="Bfi"/>
    <x v="6"/>
    <d v="1962-04-11T00:00:00"/>
    <x v="42"/>
    <x v="250"/>
    <x v="0"/>
    <x v="0"/>
    <x v="0"/>
    <x v="0"/>
    <x v="0"/>
    <x v="0"/>
    <x v="0"/>
    <x v="0"/>
    <x v="0"/>
    <x v="0"/>
    <x v="0"/>
    <x v="0"/>
    <x v="0"/>
    <x v="0"/>
    <x v="1"/>
    <x v="0"/>
    <x v="0"/>
    <x v="0"/>
    <x v="0"/>
  </r>
  <r>
    <s v="La RÃ¨gle du jeu"/>
    <n v="13"/>
    <n v="251"/>
    <s v="Bfi"/>
    <x v="59"/>
    <d v="1939-07-09T00:00:00"/>
    <x v="75"/>
    <x v="251"/>
    <x v="0"/>
    <x v="0"/>
    <x v="0"/>
    <x v="1"/>
    <x v="0"/>
    <x v="0"/>
    <x v="0"/>
    <x v="0"/>
    <x v="0"/>
    <x v="0"/>
    <x v="0"/>
    <x v="0"/>
    <x v="0"/>
    <x v="1"/>
    <x v="1"/>
    <x v="0"/>
    <x v="0"/>
    <x v="0"/>
    <x v="0"/>
  </r>
  <r>
    <s v="The Godfather"/>
    <n v="12"/>
    <n v="252"/>
    <s v="Bfi"/>
    <x v="51"/>
    <d v="1972-03-14T00:00:00"/>
    <x v="19"/>
    <x v="252"/>
    <x v="0"/>
    <x v="0"/>
    <x v="0"/>
    <x v="0"/>
    <x v="1"/>
    <x v="0"/>
    <x v="0"/>
    <x v="0"/>
    <x v="0"/>
    <x v="0"/>
    <x v="0"/>
    <x v="0"/>
    <x v="0"/>
    <x v="0"/>
    <x v="1"/>
    <x v="0"/>
    <x v="0"/>
    <x v="0"/>
    <x v="0"/>
  </r>
  <r>
    <s v="Sunrise: A Song of Two Humans"/>
    <n v="11"/>
    <n v="253"/>
    <s v="Bfi"/>
    <x v="12"/>
    <d v="1927-11-04T00:00:00"/>
    <x v="87"/>
    <x v="253"/>
    <x v="0"/>
    <x v="0"/>
    <x v="0"/>
    <x v="0"/>
    <x v="0"/>
    <x v="0"/>
    <x v="0"/>
    <x v="0"/>
    <x v="0"/>
    <x v="0"/>
    <x v="0"/>
    <x v="0"/>
    <x v="0"/>
    <x v="1"/>
    <x v="1"/>
    <x v="0"/>
    <x v="0"/>
    <x v="0"/>
    <x v="0"/>
  </r>
  <r>
    <s v="Singin' in the Rain"/>
    <n v="10"/>
    <n v="254"/>
    <s v="Bfi"/>
    <x v="67"/>
    <d v="1952-04-09T00:00:00"/>
    <x v="22"/>
    <x v="254"/>
    <x v="0"/>
    <x v="0"/>
    <x v="0"/>
    <x v="1"/>
    <x v="0"/>
    <x v="0"/>
    <x v="1"/>
    <x v="0"/>
    <x v="0"/>
    <x v="0"/>
    <x v="0"/>
    <x v="0"/>
    <x v="0"/>
    <x v="1"/>
    <x v="1"/>
    <x v="0"/>
    <x v="0"/>
    <x v="0"/>
    <x v="0"/>
  </r>
  <r>
    <s v="Man with a Movie Camera"/>
    <n v="9"/>
    <n v="255"/>
    <s v="Bfi"/>
    <x v="4"/>
    <d v="1929-05-12T00:00:00"/>
    <x v="1"/>
    <x v="255"/>
    <x v="0"/>
    <x v="0"/>
    <x v="0"/>
    <x v="0"/>
    <x v="0"/>
    <x v="1"/>
    <x v="1"/>
    <x v="0"/>
    <x v="0"/>
    <x v="0"/>
    <x v="0"/>
    <x v="0"/>
    <x v="0"/>
    <x v="0"/>
    <x v="1"/>
    <x v="0"/>
    <x v="0"/>
    <x v="0"/>
    <x v="0"/>
  </r>
  <r>
    <s v="Mulholland Dr."/>
    <n v="8"/>
    <n v="256"/>
    <s v="Bfi"/>
    <x v="109"/>
    <d v="1999-01-01T00:00:00"/>
    <x v="54"/>
    <x v="256"/>
    <x v="0"/>
    <x v="0"/>
    <x v="0"/>
    <x v="0"/>
    <x v="0"/>
    <x v="0"/>
    <x v="0"/>
    <x v="0"/>
    <x v="0"/>
    <x v="0"/>
    <x v="0"/>
    <x v="0"/>
    <x v="1"/>
    <x v="0"/>
    <x v="1"/>
    <x v="1"/>
    <x v="1"/>
    <x v="0"/>
    <x v="0"/>
  </r>
  <r>
    <s v="Beau travail"/>
    <n v="7"/>
    <n v="257"/>
    <s v="Bfi"/>
    <x v="6"/>
    <d v="2000-05-03T00:00:00"/>
    <x v="27"/>
    <x v="257"/>
    <x v="0"/>
    <x v="0"/>
    <x v="0"/>
    <x v="0"/>
    <x v="0"/>
    <x v="0"/>
    <x v="0"/>
    <x v="0"/>
    <x v="0"/>
    <x v="0"/>
    <x v="0"/>
    <x v="0"/>
    <x v="0"/>
    <x v="0"/>
    <x v="1"/>
    <x v="0"/>
    <x v="0"/>
    <x v="0"/>
    <x v="0"/>
  </r>
  <r>
    <s v="2001: A Space Odyssey"/>
    <n v="6"/>
    <n v="258"/>
    <s v="Bfi"/>
    <x v="110"/>
    <d v="1968-04-02T00:00:00"/>
    <x v="21"/>
    <x v="258"/>
    <x v="0"/>
    <x v="1"/>
    <x v="0"/>
    <x v="0"/>
    <x v="0"/>
    <x v="0"/>
    <x v="1"/>
    <x v="0"/>
    <x v="0"/>
    <x v="0"/>
    <x v="0"/>
    <x v="0"/>
    <x v="1"/>
    <x v="0"/>
    <x v="0"/>
    <x v="0"/>
    <x v="0"/>
    <x v="0"/>
    <x v="0"/>
  </r>
  <r>
    <s v="In the Mood for Love"/>
    <n v="5"/>
    <n v="259"/>
    <s v="Bfi"/>
    <x v="12"/>
    <d v="2000-09-29T00:00:00"/>
    <x v="27"/>
    <x v="259"/>
    <x v="0"/>
    <x v="0"/>
    <x v="0"/>
    <x v="0"/>
    <x v="0"/>
    <x v="0"/>
    <x v="0"/>
    <x v="0"/>
    <x v="0"/>
    <x v="0"/>
    <x v="0"/>
    <x v="0"/>
    <x v="0"/>
    <x v="1"/>
    <x v="1"/>
    <x v="0"/>
    <x v="0"/>
    <x v="0"/>
    <x v="0"/>
  </r>
  <r>
    <s v="Tokyo Story"/>
    <n v="4"/>
    <n v="260"/>
    <s v="Bfi"/>
    <x v="6"/>
    <d v="1953-11-03T00:00:00"/>
    <x v="84"/>
    <x v="260"/>
    <x v="0"/>
    <x v="0"/>
    <x v="0"/>
    <x v="0"/>
    <x v="0"/>
    <x v="0"/>
    <x v="0"/>
    <x v="0"/>
    <x v="0"/>
    <x v="0"/>
    <x v="0"/>
    <x v="0"/>
    <x v="0"/>
    <x v="0"/>
    <x v="1"/>
    <x v="0"/>
    <x v="0"/>
    <x v="0"/>
    <x v="0"/>
  </r>
  <r>
    <s v="Citizen Kane"/>
    <n v="3"/>
    <n v="261"/>
    <s v="Bfi"/>
    <x v="46"/>
    <d v="1941-04-17T00:00:00"/>
    <x v="2"/>
    <x v="261"/>
    <x v="0"/>
    <x v="0"/>
    <x v="0"/>
    <x v="0"/>
    <x v="0"/>
    <x v="0"/>
    <x v="0"/>
    <x v="0"/>
    <x v="0"/>
    <x v="0"/>
    <x v="0"/>
    <x v="0"/>
    <x v="1"/>
    <x v="0"/>
    <x v="1"/>
    <x v="0"/>
    <x v="0"/>
    <x v="0"/>
    <x v="0"/>
  </r>
  <r>
    <s v="Vertigo"/>
    <n v="2"/>
    <n v="262"/>
    <s v="Bfi"/>
    <x v="111"/>
    <d v="1958-05-28T00:00:00"/>
    <x v="78"/>
    <x v="262"/>
    <x v="0"/>
    <x v="0"/>
    <x v="0"/>
    <x v="0"/>
    <x v="0"/>
    <x v="0"/>
    <x v="1"/>
    <x v="0"/>
    <x v="0"/>
    <x v="0"/>
    <x v="0"/>
    <x v="0"/>
    <x v="1"/>
    <x v="1"/>
    <x v="1"/>
    <x v="0"/>
    <x v="1"/>
    <x v="0"/>
    <x v="0"/>
  </r>
  <r>
    <s v="Jeanne Dielman, 23 Quai du Commerce, 1080 Bruxelles"/>
    <n v="1"/>
    <n v="263"/>
    <s v="Bfi"/>
    <x v="6"/>
    <d v="1976-01-21T00:00:00"/>
    <x v="44"/>
    <x v="263"/>
    <x v="0"/>
    <x v="0"/>
    <x v="0"/>
    <x v="0"/>
    <x v="0"/>
    <x v="0"/>
    <x v="0"/>
    <x v="0"/>
    <x v="0"/>
    <x v="0"/>
    <x v="0"/>
    <x v="0"/>
    <x v="0"/>
    <x v="0"/>
    <x v="1"/>
    <x v="0"/>
    <x v="0"/>
    <x v="0"/>
    <x v="0"/>
  </r>
  <r>
    <s v="All About Eve"/>
    <n v="20"/>
    <n v="244"/>
    <s v="Collider"/>
    <x v="6"/>
    <d v="1950-11-09T00:00:00"/>
    <x v="34"/>
    <x v="42"/>
    <x v="0"/>
    <x v="0"/>
    <x v="0"/>
    <x v="0"/>
    <x v="0"/>
    <x v="0"/>
    <x v="0"/>
    <x v="0"/>
    <x v="0"/>
    <x v="0"/>
    <x v="0"/>
    <x v="0"/>
    <x v="0"/>
    <x v="0"/>
    <x v="1"/>
    <x v="0"/>
    <x v="0"/>
    <x v="0"/>
    <x v="0"/>
  </r>
  <r>
    <s v="Dunkirk"/>
    <n v="19"/>
    <n v="245"/>
    <s v="Collider"/>
    <x v="112"/>
    <d v="2017-07-19T00:00:00"/>
    <x v="46"/>
    <x v="264"/>
    <x v="1"/>
    <x v="0"/>
    <x v="0"/>
    <x v="0"/>
    <x v="0"/>
    <x v="0"/>
    <x v="0"/>
    <x v="0"/>
    <x v="0"/>
    <x v="0"/>
    <x v="0"/>
    <x v="0"/>
    <x v="0"/>
    <x v="0"/>
    <x v="1"/>
    <x v="0"/>
    <x v="0"/>
    <x v="1"/>
    <x v="0"/>
  </r>
  <r>
    <s v="E.T. the Extra-Terrestrial"/>
    <n v="18"/>
    <n v="246"/>
    <s v="Collider"/>
    <x v="113"/>
    <d v="1982-06-11T00:00:00"/>
    <x v="74"/>
    <x v="265"/>
    <x v="0"/>
    <x v="1"/>
    <x v="0"/>
    <x v="0"/>
    <x v="0"/>
    <x v="0"/>
    <x v="1"/>
    <x v="1"/>
    <x v="1"/>
    <x v="0"/>
    <x v="0"/>
    <x v="0"/>
    <x v="0"/>
    <x v="0"/>
    <x v="0"/>
    <x v="0"/>
    <x v="0"/>
    <x v="0"/>
    <x v="0"/>
  </r>
  <r>
    <s v="Coco"/>
    <n v="17"/>
    <n v="247"/>
    <s v="Collider"/>
    <x v="114"/>
    <d v="2017-10-27T00:00:00"/>
    <x v="46"/>
    <x v="266"/>
    <x v="0"/>
    <x v="1"/>
    <x v="1"/>
    <x v="1"/>
    <x v="0"/>
    <x v="0"/>
    <x v="1"/>
    <x v="1"/>
    <x v="1"/>
    <x v="0"/>
    <x v="0"/>
    <x v="1"/>
    <x v="0"/>
    <x v="0"/>
    <x v="1"/>
    <x v="0"/>
    <x v="0"/>
    <x v="0"/>
    <x v="0"/>
  </r>
  <r>
    <s v="Modern Times"/>
    <n v="16"/>
    <n v="248"/>
    <s v="Collider"/>
    <x v="50"/>
    <d v="1936-02-05T00:00:00"/>
    <x v="32"/>
    <x v="182"/>
    <x v="0"/>
    <x v="0"/>
    <x v="0"/>
    <x v="1"/>
    <x v="0"/>
    <x v="0"/>
    <x v="0"/>
    <x v="0"/>
    <x v="0"/>
    <x v="0"/>
    <x v="0"/>
    <x v="0"/>
    <x v="0"/>
    <x v="0"/>
    <x v="1"/>
    <x v="0"/>
    <x v="0"/>
    <x v="0"/>
    <x v="0"/>
  </r>
  <r>
    <s v="The Cabinet of Dr. Caligari"/>
    <n v="15"/>
    <n v="249"/>
    <s v="Collider"/>
    <x v="115"/>
    <d v="1920-02-27T00:00:00"/>
    <x v="95"/>
    <x v="267"/>
    <x v="0"/>
    <x v="0"/>
    <x v="0"/>
    <x v="0"/>
    <x v="1"/>
    <x v="0"/>
    <x v="0"/>
    <x v="0"/>
    <x v="0"/>
    <x v="0"/>
    <x v="1"/>
    <x v="0"/>
    <x v="0"/>
    <x v="0"/>
    <x v="1"/>
    <x v="0"/>
    <x v="1"/>
    <x v="0"/>
    <x v="0"/>
  </r>
  <r>
    <s v="Casablanca"/>
    <n v="14"/>
    <n v="250"/>
    <s v="Collider"/>
    <x v="12"/>
    <d v="1943-01-15T00:00:00"/>
    <x v="41"/>
    <x v="201"/>
    <x v="0"/>
    <x v="0"/>
    <x v="0"/>
    <x v="0"/>
    <x v="0"/>
    <x v="0"/>
    <x v="0"/>
    <x v="0"/>
    <x v="0"/>
    <x v="0"/>
    <x v="0"/>
    <x v="0"/>
    <x v="0"/>
    <x v="1"/>
    <x v="1"/>
    <x v="0"/>
    <x v="0"/>
    <x v="0"/>
    <x v="0"/>
  </r>
  <r>
    <s v="It Happened One Night"/>
    <n v="13"/>
    <n v="251"/>
    <s v="Collider"/>
    <x v="67"/>
    <d v="1934-02-22T00:00:00"/>
    <x v="94"/>
    <x v="268"/>
    <x v="0"/>
    <x v="0"/>
    <x v="0"/>
    <x v="1"/>
    <x v="0"/>
    <x v="0"/>
    <x v="1"/>
    <x v="0"/>
    <x v="0"/>
    <x v="0"/>
    <x v="0"/>
    <x v="0"/>
    <x v="0"/>
    <x v="1"/>
    <x v="1"/>
    <x v="0"/>
    <x v="0"/>
    <x v="0"/>
    <x v="0"/>
  </r>
  <r>
    <s v="Eighth Grade"/>
    <n v="12"/>
    <n v="252"/>
    <s v="Collider"/>
    <x v="50"/>
    <d v="2018-01-19T00:00:00"/>
    <x v="51"/>
    <x v="269"/>
    <x v="0"/>
    <x v="0"/>
    <x v="0"/>
    <x v="1"/>
    <x v="0"/>
    <x v="0"/>
    <x v="0"/>
    <x v="0"/>
    <x v="0"/>
    <x v="0"/>
    <x v="0"/>
    <x v="0"/>
    <x v="0"/>
    <x v="0"/>
    <x v="1"/>
    <x v="0"/>
    <x v="0"/>
    <x v="0"/>
    <x v="0"/>
  </r>
  <r>
    <s v="Inside Out"/>
    <n v="11"/>
    <n v="253"/>
    <s v="Collider"/>
    <x v="116"/>
    <d v="2015-06-09T00:00:00"/>
    <x v="47"/>
    <x v="270"/>
    <x v="0"/>
    <x v="1"/>
    <x v="1"/>
    <x v="1"/>
    <x v="0"/>
    <x v="0"/>
    <x v="0"/>
    <x v="1"/>
    <x v="0"/>
    <x v="0"/>
    <x v="0"/>
    <x v="0"/>
    <x v="0"/>
    <x v="0"/>
    <x v="1"/>
    <x v="0"/>
    <x v="0"/>
    <x v="0"/>
    <x v="0"/>
  </r>
  <r>
    <s v="Wonder Woman"/>
    <n v="10"/>
    <n v="254"/>
    <s v="Collider"/>
    <x v="17"/>
    <d v="2017-05-30T00:00:00"/>
    <x v="46"/>
    <x v="271"/>
    <x v="1"/>
    <x v="1"/>
    <x v="0"/>
    <x v="0"/>
    <x v="0"/>
    <x v="0"/>
    <x v="1"/>
    <x v="0"/>
    <x v="1"/>
    <x v="0"/>
    <x v="0"/>
    <x v="0"/>
    <x v="0"/>
    <x v="0"/>
    <x v="1"/>
    <x v="0"/>
    <x v="0"/>
    <x v="0"/>
    <x v="0"/>
  </r>
  <r>
    <s v="Moonlight"/>
    <n v="9"/>
    <n v="255"/>
    <s v="Collider"/>
    <x v="6"/>
    <d v="2016-10-21T00:00:00"/>
    <x v="90"/>
    <x v="204"/>
    <x v="0"/>
    <x v="0"/>
    <x v="0"/>
    <x v="0"/>
    <x v="0"/>
    <x v="0"/>
    <x v="0"/>
    <x v="0"/>
    <x v="0"/>
    <x v="0"/>
    <x v="0"/>
    <x v="0"/>
    <x v="0"/>
    <x v="0"/>
    <x v="1"/>
    <x v="0"/>
    <x v="0"/>
    <x v="0"/>
    <x v="0"/>
  </r>
  <r>
    <s v="The Third Man"/>
    <n v="8"/>
    <n v="256"/>
    <s v="Collider"/>
    <x v="94"/>
    <d v="1949-08-31T00:00:00"/>
    <x v="88"/>
    <x v="199"/>
    <x v="0"/>
    <x v="0"/>
    <x v="0"/>
    <x v="0"/>
    <x v="0"/>
    <x v="0"/>
    <x v="1"/>
    <x v="0"/>
    <x v="0"/>
    <x v="0"/>
    <x v="0"/>
    <x v="0"/>
    <x v="1"/>
    <x v="0"/>
    <x v="1"/>
    <x v="0"/>
    <x v="1"/>
    <x v="0"/>
    <x v="0"/>
  </r>
  <r>
    <s v="Mad Max: Fury Road"/>
    <n v="7"/>
    <n v="257"/>
    <s v="Collider"/>
    <x v="33"/>
    <d v="2015-05-13T00:00:00"/>
    <x v="47"/>
    <x v="64"/>
    <x v="1"/>
    <x v="1"/>
    <x v="0"/>
    <x v="0"/>
    <x v="0"/>
    <x v="0"/>
    <x v="1"/>
    <x v="0"/>
    <x v="0"/>
    <x v="0"/>
    <x v="0"/>
    <x v="0"/>
    <x v="0"/>
    <x v="0"/>
    <x v="0"/>
    <x v="0"/>
    <x v="0"/>
    <x v="0"/>
    <x v="0"/>
  </r>
  <r>
    <s v="Get Out"/>
    <n v="6"/>
    <n v="258"/>
    <s v="Collider"/>
    <x v="84"/>
    <d v="2017-02-24T00:00:00"/>
    <x v="46"/>
    <x v="169"/>
    <x v="0"/>
    <x v="0"/>
    <x v="0"/>
    <x v="0"/>
    <x v="0"/>
    <x v="0"/>
    <x v="1"/>
    <x v="0"/>
    <x v="0"/>
    <x v="0"/>
    <x v="1"/>
    <x v="0"/>
    <x v="1"/>
    <x v="0"/>
    <x v="1"/>
    <x v="0"/>
    <x v="1"/>
    <x v="0"/>
    <x v="0"/>
  </r>
  <r>
    <s v="BlacKkKlansman"/>
    <n v="5"/>
    <n v="259"/>
    <s v="Collider"/>
    <x v="117"/>
    <d v="2018-08-09T00:00:00"/>
    <x v="51"/>
    <x v="272"/>
    <x v="0"/>
    <x v="0"/>
    <x v="0"/>
    <x v="1"/>
    <x v="1"/>
    <x v="0"/>
    <x v="0"/>
    <x v="0"/>
    <x v="0"/>
    <x v="0"/>
    <x v="0"/>
    <x v="0"/>
    <x v="0"/>
    <x v="0"/>
    <x v="1"/>
    <x v="0"/>
    <x v="0"/>
    <x v="0"/>
    <x v="0"/>
  </r>
  <r>
    <s v="Citizen Kane"/>
    <n v="4"/>
    <n v="260"/>
    <s v="Collider"/>
    <x v="46"/>
    <d v="1941-04-17T00:00:00"/>
    <x v="2"/>
    <x v="261"/>
    <x v="0"/>
    <x v="0"/>
    <x v="0"/>
    <x v="0"/>
    <x v="0"/>
    <x v="0"/>
    <x v="0"/>
    <x v="0"/>
    <x v="0"/>
    <x v="0"/>
    <x v="0"/>
    <x v="0"/>
    <x v="1"/>
    <x v="0"/>
    <x v="1"/>
    <x v="0"/>
    <x v="0"/>
    <x v="0"/>
    <x v="0"/>
  </r>
  <r>
    <s v="The Wizard of Oz"/>
    <n v="3"/>
    <n v="261"/>
    <s v="Collider"/>
    <x v="78"/>
    <d v="1939-08-15T00:00:00"/>
    <x v="75"/>
    <x v="155"/>
    <x v="0"/>
    <x v="1"/>
    <x v="0"/>
    <x v="0"/>
    <x v="0"/>
    <x v="0"/>
    <x v="1"/>
    <x v="1"/>
    <x v="1"/>
    <x v="0"/>
    <x v="0"/>
    <x v="0"/>
    <x v="0"/>
    <x v="0"/>
    <x v="1"/>
    <x v="0"/>
    <x v="0"/>
    <x v="0"/>
    <x v="0"/>
  </r>
  <r>
    <s v="Lady Bird"/>
    <n v="2"/>
    <n v="262"/>
    <s v="Collider"/>
    <x v="79"/>
    <d v="2017-09-01T00:00:00"/>
    <x v="46"/>
    <x v="273"/>
    <x v="0"/>
    <x v="0"/>
    <x v="0"/>
    <x v="1"/>
    <x v="0"/>
    <x v="0"/>
    <x v="0"/>
    <x v="0"/>
    <x v="0"/>
    <x v="0"/>
    <x v="0"/>
    <x v="0"/>
    <x v="0"/>
    <x v="0"/>
    <x v="1"/>
    <x v="0"/>
    <x v="0"/>
    <x v="0"/>
    <x v="0"/>
  </r>
  <r>
    <s v="Black Panther"/>
    <n v="1"/>
    <n v="263"/>
    <s v="Collider"/>
    <x v="33"/>
    <d v="2018-02-13T00:00:00"/>
    <x v="51"/>
    <x v="274"/>
    <x v="1"/>
    <x v="1"/>
    <x v="0"/>
    <x v="0"/>
    <x v="0"/>
    <x v="0"/>
    <x v="1"/>
    <x v="0"/>
    <x v="0"/>
    <x v="0"/>
    <x v="0"/>
    <x v="0"/>
    <x v="0"/>
    <x v="0"/>
    <x v="0"/>
    <x v="0"/>
    <x v="0"/>
    <x v="0"/>
    <x v="0"/>
  </r>
  <r>
    <s v="The Graduate"/>
    <n v="100"/>
    <n v="164"/>
    <s v="Variety"/>
    <x v="3"/>
    <d v="1967-12-21T00:00:00"/>
    <x v="6"/>
    <x v="275"/>
    <x v="0"/>
    <x v="0"/>
    <x v="0"/>
    <x v="1"/>
    <x v="0"/>
    <x v="0"/>
    <x v="0"/>
    <x v="0"/>
    <x v="0"/>
    <x v="0"/>
    <x v="0"/>
    <x v="0"/>
    <x v="0"/>
    <x v="1"/>
    <x v="1"/>
    <x v="0"/>
    <x v="0"/>
    <x v="0"/>
    <x v="0"/>
  </r>
  <r>
    <s v="12 Angry Men"/>
    <n v="99"/>
    <n v="165"/>
    <s v="Variety"/>
    <x v="6"/>
    <d v="1957-04-10T00:00:00"/>
    <x v="52"/>
    <x v="276"/>
    <x v="0"/>
    <x v="0"/>
    <x v="0"/>
    <x v="0"/>
    <x v="0"/>
    <x v="0"/>
    <x v="0"/>
    <x v="0"/>
    <x v="0"/>
    <x v="0"/>
    <x v="0"/>
    <x v="0"/>
    <x v="0"/>
    <x v="0"/>
    <x v="1"/>
    <x v="0"/>
    <x v="0"/>
    <x v="0"/>
    <x v="0"/>
  </r>
  <r>
    <s v="Women on the Verge of a Nervous Breakdown"/>
    <n v="98"/>
    <n v="166"/>
    <s v="Variety"/>
    <x v="50"/>
    <d v="1988-03-25T00:00:00"/>
    <x v="11"/>
    <x v="277"/>
    <x v="0"/>
    <x v="0"/>
    <x v="0"/>
    <x v="1"/>
    <x v="0"/>
    <x v="0"/>
    <x v="0"/>
    <x v="0"/>
    <x v="0"/>
    <x v="0"/>
    <x v="0"/>
    <x v="0"/>
    <x v="0"/>
    <x v="0"/>
    <x v="1"/>
    <x v="0"/>
    <x v="0"/>
    <x v="0"/>
    <x v="0"/>
  </r>
  <r>
    <s v="Alien"/>
    <n v="97"/>
    <n v="167"/>
    <s v="Variety"/>
    <x v="57"/>
    <d v="1979-05-25T00:00:00"/>
    <x v="67"/>
    <x v="116"/>
    <x v="0"/>
    <x v="0"/>
    <x v="0"/>
    <x v="0"/>
    <x v="0"/>
    <x v="0"/>
    <x v="1"/>
    <x v="0"/>
    <x v="0"/>
    <x v="0"/>
    <x v="1"/>
    <x v="0"/>
    <x v="0"/>
    <x v="0"/>
    <x v="0"/>
    <x v="0"/>
    <x v="0"/>
    <x v="0"/>
    <x v="0"/>
  </r>
  <r>
    <s v="A Hard Dayâ€™s Night"/>
    <n v="96"/>
    <n v="168"/>
    <s v="Variety"/>
    <x v="118"/>
    <d v="1964-07-07T00:00:00"/>
    <x v="43"/>
    <x v="278"/>
    <x v="0"/>
    <x v="0"/>
    <x v="0"/>
    <x v="1"/>
    <x v="0"/>
    <x v="0"/>
    <x v="1"/>
    <x v="0"/>
    <x v="0"/>
    <x v="0"/>
    <x v="0"/>
    <x v="1"/>
    <x v="0"/>
    <x v="0"/>
    <x v="1"/>
    <x v="0"/>
    <x v="0"/>
    <x v="0"/>
    <x v="0"/>
  </r>
  <r>
    <s v="Toy Story"/>
    <n v="95"/>
    <n v="169"/>
    <s v="Variety"/>
    <x v="119"/>
    <d v="1995-10-30T00:00:00"/>
    <x v="96"/>
    <x v="279"/>
    <x v="0"/>
    <x v="1"/>
    <x v="1"/>
    <x v="1"/>
    <x v="0"/>
    <x v="0"/>
    <x v="1"/>
    <x v="1"/>
    <x v="0"/>
    <x v="0"/>
    <x v="0"/>
    <x v="0"/>
    <x v="0"/>
    <x v="0"/>
    <x v="1"/>
    <x v="0"/>
    <x v="0"/>
    <x v="0"/>
    <x v="0"/>
  </r>
  <r>
    <s v="Bridesmaids"/>
    <n v="94"/>
    <n v="170"/>
    <s v="Variety"/>
    <x v="67"/>
    <d v="2011-05-13T00:00:00"/>
    <x v="38"/>
    <x v="280"/>
    <x v="0"/>
    <x v="0"/>
    <x v="0"/>
    <x v="1"/>
    <x v="0"/>
    <x v="0"/>
    <x v="1"/>
    <x v="0"/>
    <x v="0"/>
    <x v="0"/>
    <x v="0"/>
    <x v="0"/>
    <x v="0"/>
    <x v="1"/>
    <x v="1"/>
    <x v="0"/>
    <x v="0"/>
    <x v="0"/>
    <x v="0"/>
  </r>
  <r>
    <s v="Le SamouraÃ¯"/>
    <n v="93"/>
    <n v="171"/>
    <s v="Variety"/>
    <x v="30"/>
    <d v="1967-10-25T00:00:00"/>
    <x v="6"/>
    <x v="281"/>
    <x v="0"/>
    <x v="0"/>
    <x v="0"/>
    <x v="0"/>
    <x v="1"/>
    <x v="0"/>
    <x v="1"/>
    <x v="0"/>
    <x v="0"/>
    <x v="0"/>
    <x v="0"/>
    <x v="0"/>
    <x v="0"/>
    <x v="0"/>
    <x v="1"/>
    <x v="0"/>
    <x v="1"/>
    <x v="0"/>
    <x v="0"/>
  </r>
  <r>
    <s v="Pink Flamingos"/>
    <n v="92"/>
    <n v="172"/>
    <s v="Variety"/>
    <x v="25"/>
    <d v="1972-03-17T00:00:00"/>
    <x v="19"/>
    <x v="51"/>
    <x v="0"/>
    <x v="0"/>
    <x v="0"/>
    <x v="1"/>
    <x v="1"/>
    <x v="0"/>
    <x v="1"/>
    <x v="0"/>
    <x v="0"/>
    <x v="0"/>
    <x v="1"/>
    <x v="0"/>
    <x v="0"/>
    <x v="0"/>
    <x v="1"/>
    <x v="0"/>
    <x v="0"/>
    <x v="0"/>
    <x v="0"/>
  </r>
  <r>
    <s v="Scenes From a Marriage"/>
    <n v="91"/>
    <n v="173"/>
    <s v="Variety"/>
    <x v="12"/>
    <d v="1974-09-15T00:00:00"/>
    <x v="25"/>
    <x v="282"/>
    <x v="0"/>
    <x v="0"/>
    <x v="0"/>
    <x v="0"/>
    <x v="0"/>
    <x v="0"/>
    <x v="0"/>
    <x v="0"/>
    <x v="0"/>
    <x v="0"/>
    <x v="0"/>
    <x v="0"/>
    <x v="0"/>
    <x v="1"/>
    <x v="1"/>
    <x v="0"/>
    <x v="0"/>
    <x v="0"/>
    <x v="0"/>
  </r>
  <r>
    <s v="The Shining"/>
    <n v="90"/>
    <n v="174"/>
    <s v="Variety"/>
    <x v="85"/>
    <d v="1980-05-23T00:00:00"/>
    <x v="72"/>
    <x v="175"/>
    <x v="0"/>
    <x v="0"/>
    <x v="0"/>
    <x v="0"/>
    <x v="0"/>
    <x v="0"/>
    <x v="1"/>
    <x v="0"/>
    <x v="0"/>
    <x v="0"/>
    <x v="1"/>
    <x v="0"/>
    <x v="0"/>
    <x v="0"/>
    <x v="1"/>
    <x v="0"/>
    <x v="1"/>
    <x v="0"/>
    <x v="0"/>
  </r>
  <r>
    <s v="Belle de Jour"/>
    <n v="89"/>
    <n v="175"/>
    <s v="Variety"/>
    <x v="12"/>
    <d v="1967-05-24T00:00:00"/>
    <x v="6"/>
    <x v="283"/>
    <x v="0"/>
    <x v="0"/>
    <x v="0"/>
    <x v="0"/>
    <x v="0"/>
    <x v="0"/>
    <x v="0"/>
    <x v="0"/>
    <x v="0"/>
    <x v="0"/>
    <x v="0"/>
    <x v="0"/>
    <x v="0"/>
    <x v="1"/>
    <x v="1"/>
    <x v="0"/>
    <x v="0"/>
    <x v="0"/>
    <x v="0"/>
  </r>
  <r>
    <s v="Malcolm X"/>
    <n v="88"/>
    <n v="176"/>
    <s v="Variety"/>
    <x v="32"/>
    <d v="1992-11-18T00:00:00"/>
    <x v="18"/>
    <x v="284"/>
    <x v="0"/>
    <x v="0"/>
    <x v="0"/>
    <x v="0"/>
    <x v="0"/>
    <x v="0"/>
    <x v="0"/>
    <x v="0"/>
    <x v="0"/>
    <x v="1"/>
    <x v="0"/>
    <x v="0"/>
    <x v="0"/>
    <x v="0"/>
    <x v="1"/>
    <x v="0"/>
    <x v="0"/>
    <x v="0"/>
    <x v="0"/>
  </r>
  <r>
    <s v="The Sound of Music"/>
    <n v="87"/>
    <n v="177"/>
    <s v="Variety"/>
    <x v="120"/>
    <d v="1965-03-29T00:00:00"/>
    <x v="62"/>
    <x v="285"/>
    <x v="0"/>
    <x v="0"/>
    <x v="0"/>
    <x v="0"/>
    <x v="0"/>
    <x v="0"/>
    <x v="0"/>
    <x v="1"/>
    <x v="0"/>
    <x v="0"/>
    <x v="0"/>
    <x v="1"/>
    <x v="0"/>
    <x v="1"/>
    <x v="1"/>
    <x v="0"/>
    <x v="0"/>
    <x v="0"/>
    <x v="0"/>
  </r>
  <r>
    <s v="Close-Up"/>
    <n v="86"/>
    <n v="178"/>
    <s v="Variety"/>
    <x v="48"/>
    <d v="1990-05-09T00:00:00"/>
    <x v="89"/>
    <x v="247"/>
    <x v="0"/>
    <x v="0"/>
    <x v="0"/>
    <x v="0"/>
    <x v="1"/>
    <x v="0"/>
    <x v="0"/>
    <x v="0"/>
    <x v="0"/>
    <x v="0"/>
    <x v="0"/>
    <x v="0"/>
    <x v="0"/>
    <x v="0"/>
    <x v="1"/>
    <x v="0"/>
    <x v="0"/>
    <x v="0"/>
    <x v="0"/>
  </r>
  <r>
    <s v="Natural Born Killers"/>
    <n v="85"/>
    <n v="179"/>
    <s v="Variety"/>
    <x v="121"/>
    <d v="1994-08-26T00:00:00"/>
    <x v="71"/>
    <x v="286"/>
    <x v="0"/>
    <x v="0"/>
    <x v="0"/>
    <x v="0"/>
    <x v="1"/>
    <x v="0"/>
    <x v="0"/>
    <x v="0"/>
    <x v="0"/>
    <x v="0"/>
    <x v="0"/>
    <x v="0"/>
    <x v="0"/>
    <x v="0"/>
    <x v="1"/>
    <x v="0"/>
    <x v="1"/>
    <x v="0"/>
    <x v="0"/>
  </r>
  <r>
    <s v="Panâ€™s Labyrinth"/>
    <n v="84"/>
    <n v="180"/>
    <s v="Variety"/>
    <x v="122"/>
    <d v="2006-10-10T00:00:00"/>
    <x v="13"/>
    <x v="287"/>
    <x v="0"/>
    <x v="0"/>
    <x v="0"/>
    <x v="0"/>
    <x v="0"/>
    <x v="0"/>
    <x v="0"/>
    <x v="0"/>
    <x v="1"/>
    <x v="0"/>
    <x v="0"/>
    <x v="0"/>
    <x v="0"/>
    <x v="0"/>
    <x v="1"/>
    <x v="0"/>
    <x v="0"/>
    <x v="1"/>
    <x v="0"/>
  </r>
  <r>
    <s v="Kramer vs. Kramer"/>
    <n v="83"/>
    <n v="181"/>
    <s v="Variety"/>
    <x v="6"/>
    <d v="1979-12-07T00:00:00"/>
    <x v="67"/>
    <x v="288"/>
    <x v="0"/>
    <x v="0"/>
    <x v="0"/>
    <x v="0"/>
    <x v="0"/>
    <x v="0"/>
    <x v="0"/>
    <x v="0"/>
    <x v="0"/>
    <x v="0"/>
    <x v="0"/>
    <x v="0"/>
    <x v="0"/>
    <x v="0"/>
    <x v="1"/>
    <x v="0"/>
    <x v="0"/>
    <x v="0"/>
    <x v="0"/>
  </r>
  <r>
    <s v="Parasite"/>
    <n v="82"/>
    <n v="182"/>
    <s v="Variety"/>
    <x v="57"/>
    <d v="1982-03-12T00:00:00"/>
    <x v="74"/>
    <x v="170"/>
    <x v="0"/>
    <x v="0"/>
    <x v="0"/>
    <x v="0"/>
    <x v="0"/>
    <x v="0"/>
    <x v="1"/>
    <x v="0"/>
    <x v="0"/>
    <x v="0"/>
    <x v="1"/>
    <x v="0"/>
    <x v="0"/>
    <x v="0"/>
    <x v="0"/>
    <x v="0"/>
    <x v="0"/>
    <x v="0"/>
    <x v="0"/>
  </r>
  <r>
    <s v="The Dark Knight"/>
    <n v="81"/>
    <n v="183"/>
    <s v="Variety"/>
    <x v="123"/>
    <d v="2008-07-16T00:00:00"/>
    <x v="48"/>
    <x v="289"/>
    <x v="1"/>
    <x v="0"/>
    <x v="0"/>
    <x v="0"/>
    <x v="1"/>
    <x v="0"/>
    <x v="0"/>
    <x v="0"/>
    <x v="0"/>
    <x v="0"/>
    <x v="0"/>
    <x v="0"/>
    <x v="0"/>
    <x v="0"/>
    <x v="1"/>
    <x v="0"/>
    <x v="1"/>
    <x v="0"/>
    <x v="0"/>
  </r>
  <r>
    <s v="Pixote"/>
    <n v="80"/>
    <n v="184"/>
    <s v="Variety"/>
    <x v="48"/>
    <d v="1980-09-26T00:00:00"/>
    <x v="72"/>
    <x v="290"/>
    <x v="0"/>
    <x v="0"/>
    <x v="0"/>
    <x v="0"/>
    <x v="1"/>
    <x v="0"/>
    <x v="0"/>
    <x v="0"/>
    <x v="0"/>
    <x v="0"/>
    <x v="0"/>
    <x v="0"/>
    <x v="0"/>
    <x v="0"/>
    <x v="1"/>
    <x v="0"/>
    <x v="0"/>
    <x v="0"/>
    <x v="0"/>
  </r>
  <r>
    <s v="Waiting for Guffman"/>
    <n v="79"/>
    <n v="185"/>
    <s v="Variety"/>
    <x v="124"/>
    <d v="1996-08-21T00:00:00"/>
    <x v="20"/>
    <x v="291"/>
    <x v="0"/>
    <x v="0"/>
    <x v="0"/>
    <x v="1"/>
    <x v="0"/>
    <x v="0"/>
    <x v="1"/>
    <x v="0"/>
    <x v="0"/>
    <x v="0"/>
    <x v="0"/>
    <x v="1"/>
    <x v="0"/>
    <x v="0"/>
    <x v="1"/>
    <x v="0"/>
    <x v="0"/>
    <x v="0"/>
    <x v="0"/>
  </r>
  <r>
    <s v="Jeanne Dielman, 23, quai du Commerce, 1080 Bruxelles"/>
    <n v="78"/>
    <n v="186"/>
    <s v="Variety"/>
    <x v="6"/>
    <d v="1976-01-21T00:00:00"/>
    <x v="44"/>
    <x v="263"/>
    <x v="0"/>
    <x v="0"/>
    <x v="0"/>
    <x v="0"/>
    <x v="0"/>
    <x v="0"/>
    <x v="0"/>
    <x v="0"/>
    <x v="0"/>
    <x v="0"/>
    <x v="0"/>
    <x v="0"/>
    <x v="0"/>
    <x v="0"/>
    <x v="1"/>
    <x v="0"/>
    <x v="0"/>
    <x v="0"/>
    <x v="0"/>
  </r>
  <r>
    <s v="Goldfinger"/>
    <n v="77"/>
    <n v="187"/>
    <s v="Variety"/>
    <x v="125"/>
    <d v="1964-09-20T00:00:00"/>
    <x v="43"/>
    <x v="292"/>
    <x v="1"/>
    <x v="1"/>
    <x v="0"/>
    <x v="0"/>
    <x v="0"/>
    <x v="0"/>
    <x v="1"/>
    <x v="0"/>
    <x v="0"/>
    <x v="0"/>
    <x v="0"/>
    <x v="0"/>
    <x v="0"/>
    <x v="0"/>
    <x v="1"/>
    <x v="0"/>
    <x v="1"/>
    <x v="0"/>
    <x v="0"/>
  </r>
  <r>
    <s v="The Tree of Life"/>
    <n v="76"/>
    <n v="188"/>
    <s v="Variety"/>
    <x v="34"/>
    <d v="2011-05-17T00:00:00"/>
    <x v="38"/>
    <x v="65"/>
    <x v="0"/>
    <x v="0"/>
    <x v="0"/>
    <x v="0"/>
    <x v="0"/>
    <x v="0"/>
    <x v="0"/>
    <x v="0"/>
    <x v="1"/>
    <x v="0"/>
    <x v="0"/>
    <x v="0"/>
    <x v="0"/>
    <x v="0"/>
    <x v="1"/>
    <x v="0"/>
    <x v="0"/>
    <x v="0"/>
    <x v="0"/>
  </r>
  <r>
    <s v="Boogie Nights"/>
    <n v="75"/>
    <n v="189"/>
    <s v="Variety"/>
    <x v="6"/>
    <d v="1997-10-07T00:00:00"/>
    <x v="17"/>
    <x v="293"/>
    <x v="0"/>
    <x v="0"/>
    <x v="0"/>
    <x v="0"/>
    <x v="0"/>
    <x v="0"/>
    <x v="0"/>
    <x v="0"/>
    <x v="0"/>
    <x v="0"/>
    <x v="0"/>
    <x v="0"/>
    <x v="0"/>
    <x v="0"/>
    <x v="1"/>
    <x v="0"/>
    <x v="0"/>
    <x v="0"/>
    <x v="0"/>
  </r>
  <r>
    <s v="My Neighbor Totoro"/>
    <n v="74"/>
    <n v="190"/>
    <s v="Variety"/>
    <x v="92"/>
    <d v="1988-04-16T00:00:00"/>
    <x v="11"/>
    <x v="192"/>
    <x v="0"/>
    <x v="0"/>
    <x v="1"/>
    <x v="0"/>
    <x v="0"/>
    <x v="0"/>
    <x v="1"/>
    <x v="1"/>
    <x v="1"/>
    <x v="0"/>
    <x v="0"/>
    <x v="0"/>
    <x v="0"/>
    <x v="0"/>
    <x v="1"/>
    <x v="0"/>
    <x v="0"/>
    <x v="0"/>
    <x v="0"/>
  </r>
  <r>
    <s v="Intolerance"/>
    <n v="73"/>
    <n v="191"/>
    <s v="Variety"/>
    <x v="6"/>
    <d v="1996-11-11T00:00:00"/>
    <x v="20"/>
    <x v="25"/>
    <x v="0"/>
    <x v="0"/>
    <x v="0"/>
    <x v="0"/>
    <x v="0"/>
    <x v="0"/>
    <x v="0"/>
    <x v="0"/>
    <x v="0"/>
    <x v="0"/>
    <x v="0"/>
    <x v="0"/>
    <x v="0"/>
    <x v="0"/>
    <x v="1"/>
    <x v="0"/>
    <x v="0"/>
    <x v="0"/>
    <x v="0"/>
  </r>
  <r>
    <s v="Breaking the Waves"/>
    <n v="72"/>
    <n v="192"/>
    <s v="Variety"/>
    <x v="12"/>
    <d v="1996-05-13T00:00:00"/>
    <x v="20"/>
    <x v="294"/>
    <x v="0"/>
    <x v="0"/>
    <x v="0"/>
    <x v="0"/>
    <x v="0"/>
    <x v="0"/>
    <x v="0"/>
    <x v="0"/>
    <x v="0"/>
    <x v="0"/>
    <x v="0"/>
    <x v="0"/>
    <x v="0"/>
    <x v="1"/>
    <x v="1"/>
    <x v="0"/>
    <x v="0"/>
    <x v="0"/>
    <x v="0"/>
  </r>
  <r>
    <s v="My Best Friendâ€™s Wedding"/>
    <n v="71"/>
    <n v="193"/>
    <s v="Variety"/>
    <x v="67"/>
    <d v="2019-02-14T00:00:00"/>
    <x v="14"/>
    <x v="295"/>
    <x v="0"/>
    <x v="0"/>
    <x v="0"/>
    <x v="1"/>
    <x v="0"/>
    <x v="0"/>
    <x v="1"/>
    <x v="0"/>
    <x v="0"/>
    <x v="0"/>
    <x v="0"/>
    <x v="0"/>
    <x v="0"/>
    <x v="1"/>
    <x v="1"/>
    <x v="0"/>
    <x v="0"/>
    <x v="0"/>
    <x v="0"/>
  </r>
  <r>
    <s v="12 Years a Slave"/>
    <n v="70"/>
    <n v="194"/>
    <s v="Variety"/>
    <x v="32"/>
    <d v="2013-10-18T00:00:00"/>
    <x v="63"/>
    <x v="296"/>
    <x v="0"/>
    <x v="0"/>
    <x v="0"/>
    <x v="0"/>
    <x v="0"/>
    <x v="0"/>
    <x v="0"/>
    <x v="0"/>
    <x v="0"/>
    <x v="1"/>
    <x v="0"/>
    <x v="0"/>
    <x v="0"/>
    <x v="0"/>
    <x v="1"/>
    <x v="0"/>
    <x v="0"/>
    <x v="0"/>
    <x v="0"/>
  </r>
  <r>
    <s v="Beau Travail"/>
    <n v="69"/>
    <n v="195"/>
    <s v="Variety"/>
    <x v="6"/>
    <d v="2000-05-03T00:00:00"/>
    <x v="27"/>
    <x v="257"/>
    <x v="0"/>
    <x v="0"/>
    <x v="0"/>
    <x v="0"/>
    <x v="0"/>
    <x v="0"/>
    <x v="0"/>
    <x v="0"/>
    <x v="0"/>
    <x v="0"/>
    <x v="0"/>
    <x v="0"/>
    <x v="0"/>
    <x v="0"/>
    <x v="1"/>
    <x v="0"/>
    <x v="0"/>
    <x v="0"/>
    <x v="0"/>
  </r>
  <r>
    <s v="King Kong"/>
    <n v="68"/>
    <n v="196"/>
    <s v="Variety"/>
    <x v="126"/>
    <d v="2005-12-12T00:00:00"/>
    <x v="30"/>
    <x v="297"/>
    <x v="1"/>
    <x v="1"/>
    <x v="0"/>
    <x v="0"/>
    <x v="0"/>
    <x v="0"/>
    <x v="0"/>
    <x v="0"/>
    <x v="0"/>
    <x v="0"/>
    <x v="0"/>
    <x v="0"/>
    <x v="0"/>
    <x v="0"/>
    <x v="1"/>
    <x v="0"/>
    <x v="0"/>
    <x v="0"/>
    <x v="0"/>
  </r>
  <r>
    <s v="Bicycle Thieves"/>
    <n v="67"/>
    <n v="197"/>
    <s v="Variety"/>
    <x v="6"/>
    <d v="1948-11-24T00:00:00"/>
    <x v="57"/>
    <x v="223"/>
    <x v="0"/>
    <x v="0"/>
    <x v="0"/>
    <x v="0"/>
    <x v="0"/>
    <x v="0"/>
    <x v="0"/>
    <x v="0"/>
    <x v="0"/>
    <x v="0"/>
    <x v="0"/>
    <x v="0"/>
    <x v="0"/>
    <x v="0"/>
    <x v="1"/>
    <x v="0"/>
    <x v="0"/>
    <x v="0"/>
    <x v="0"/>
  </r>
  <r>
    <s v="Paris Is Burning"/>
    <n v="66"/>
    <n v="198"/>
    <s v="Variety"/>
    <x v="36"/>
    <d v="1966-10-26T00:00:00"/>
    <x v="49"/>
    <x v="68"/>
    <x v="0"/>
    <x v="0"/>
    <x v="0"/>
    <x v="0"/>
    <x v="0"/>
    <x v="0"/>
    <x v="0"/>
    <x v="0"/>
    <x v="0"/>
    <x v="1"/>
    <x v="0"/>
    <x v="0"/>
    <x v="0"/>
    <x v="0"/>
    <x v="1"/>
    <x v="0"/>
    <x v="0"/>
    <x v="1"/>
    <x v="0"/>
  </r>
  <r>
    <s v="A Man Escaped"/>
    <n v="65"/>
    <n v="199"/>
    <s v="Variety"/>
    <x v="31"/>
    <d v="1956-11-11T00:00:00"/>
    <x v="81"/>
    <x v="165"/>
    <x v="0"/>
    <x v="0"/>
    <x v="0"/>
    <x v="0"/>
    <x v="0"/>
    <x v="0"/>
    <x v="0"/>
    <x v="0"/>
    <x v="0"/>
    <x v="0"/>
    <x v="0"/>
    <x v="0"/>
    <x v="0"/>
    <x v="0"/>
    <x v="1"/>
    <x v="0"/>
    <x v="1"/>
    <x v="0"/>
    <x v="0"/>
  </r>
  <r>
    <s v="Carrie"/>
    <n v="64"/>
    <n v="200"/>
    <s v="Variety"/>
    <x v="85"/>
    <d v="1976-11-03T00:00:00"/>
    <x v="44"/>
    <x v="298"/>
    <x v="0"/>
    <x v="0"/>
    <x v="0"/>
    <x v="0"/>
    <x v="0"/>
    <x v="0"/>
    <x v="1"/>
    <x v="0"/>
    <x v="0"/>
    <x v="0"/>
    <x v="1"/>
    <x v="0"/>
    <x v="0"/>
    <x v="0"/>
    <x v="1"/>
    <x v="0"/>
    <x v="1"/>
    <x v="0"/>
    <x v="0"/>
  </r>
  <r>
    <s v="Bambi"/>
    <n v="63"/>
    <n v="201"/>
    <s v="Variety"/>
    <x v="127"/>
    <d v="1942-08-14T00:00:00"/>
    <x v="55"/>
    <x v="299"/>
    <x v="0"/>
    <x v="0"/>
    <x v="1"/>
    <x v="0"/>
    <x v="0"/>
    <x v="0"/>
    <x v="0"/>
    <x v="1"/>
    <x v="0"/>
    <x v="0"/>
    <x v="0"/>
    <x v="0"/>
    <x v="0"/>
    <x v="0"/>
    <x v="1"/>
    <x v="0"/>
    <x v="0"/>
    <x v="0"/>
    <x v="0"/>
  </r>
  <r>
    <s v="Dazed and Confused"/>
    <n v="62"/>
    <n v="202"/>
    <s v="Variety"/>
    <x v="14"/>
    <d v="1993-09-24T00:00:00"/>
    <x v="29"/>
    <x v="300"/>
    <x v="0"/>
    <x v="0"/>
    <x v="0"/>
    <x v="1"/>
    <x v="0"/>
    <x v="0"/>
    <x v="1"/>
    <x v="0"/>
    <x v="0"/>
    <x v="0"/>
    <x v="0"/>
    <x v="0"/>
    <x v="0"/>
    <x v="0"/>
    <x v="1"/>
    <x v="0"/>
    <x v="0"/>
    <x v="0"/>
    <x v="0"/>
  </r>
  <r>
    <s v="The Passion of Joan of Arc"/>
    <n v="61"/>
    <n v="203"/>
    <s v="Variety"/>
    <x v="32"/>
    <d v="1928-04-21T00:00:00"/>
    <x v="24"/>
    <x v="243"/>
    <x v="0"/>
    <x v="0"/>
    <x v="0"/>
    <x v="0"/>
    <x v="0"/>
    <x v="0"/>
    <x v="0"/>
    <x v="0"/>
    <x v="0"/>
    <x v="1"/>
    <x v="0"/>
    <x v="0"/>
    <x v="0"/>
    <x v="0"/>
    <x v="1"/>
    <x v="0"/>
    <x v="0"/>
    <x v="0"/>
    <x v="0"/>
  </r>
  <r>
    <s v="Moulin Rouge!"/>
    <n v="60"/>
    <n v="204"/>
    <s v="Variety"/>
    <x v="128"/>
    <d v="2001-05-24T00:00:00"/>
    <x v="16"/>
    <x v="301"/>
    <x v="0"/>
    <x v="0"/>
    <x v="0"/>
    <x v="0"/>
    <x v="0"/>
    <x v="0"/>
    <x v="0"/>
    <x v="0"/>
    <x v="0"/>
    <x v="0"/>
    <x v="0"/>
    <x v="1"/>
    <x v="0"/>
    <x v="1"/>
    <x v="1"/>
    <x v="0"/>
    <x v="0"/>
    <x v="0"/>
    <x v="0"/>
  </r>
  <r>
    <s v="Vagabond"/>
    <n v="59"/>
    <n v="205"/>
    <s v="Variety"/>
    <x v="50"/>
    <d v="1992-11-04T00:00:00"/>
    <x v="18"/>
    <x v="161"/>
    <x v="0"/>
    <x v="0"/>
    <x v="0"/>
    <x v="1"/>
    <x v="0"/>
    <x v="0"/>
    <x v="0"/>
    <x v="0"/>
    <x v="0"/>
    <x v="0"/>
    <x v="0"/>
    <x v="0"/>
    <x v="0"/>
    <x v="0"/>
    <x v="1"/>
    <x v="0"/>
    <x v="0"/>
    <x v="0"/>
    <x v="0"/>
  </r>
  <r>
    <s v="E.T.â€¯the Extra-Terrestrial"/>
    <n v="58"/>
    <n v="206"/>
    <s v="Variety"/>
    <x v="54"/>
    <s v="Error"/>
    <x v="64"/>
    <x v="111"/>
    <x v="0"/>
    <x v="0"/>
    <x v="0"/>
    <x v="0"/>
    <x v="0"/>
    <x v="0"/>
    <x v="1"/>
    <x v="0"/>
    <x v="0"/>
    <x v="0"/>
    <x v="0"/>
    <x v="0"/>
    <x v="0"/>
    <x v="0"/>
    <x v="1"/>
    <x v="0"/>
    <x v="0"/>
    <x v="0"/>
    <x v="0"/>
  </r>
  <r>
    <s v="Brokeback Mountain"/>
    <n v="57"/>
    <n v="207"/>
    <s v="Variety"/>
    <x v="12"/>
    <d v="2005-09-10T00:00:00"/>
    <x v="30"/>
    <x v="302"/>
    <x v="0"/>
    <x v="0"/>
    <x v="0"/>
    <x v="0"/>
    <x v="0"/>
    <x v="0"/>
    <x v="0"/>
    <x v="0"/>
    <x v="0"/>
    <x v="0"/>
    <x v="0"/>
    <x v="0"/>
    <x v="0"/>
    <x v="1"/>
    <x v="1"/>
    <x v="0"/>
    <x v="0"/>
    <x v="0"/>
    <x v="0"/>
  </r>
  <r>
    <s v="Rosemary's Baby"/>
    <n v="56"/>
    <n v="208"/>
    <s v="Variety"/>
    <x v="129"/>
    <d v="1968-06-12T00:00:00"/>
    <x v="21"/>
    <x v="303"/>
    <x v="0"/>
    <x v="0"/>
    <x v="0"/>
    <x v="0"/>
    <x v="0"/>
    <x v="0"/>
    <x v="0"/>
    <x v="0"/>
    <x v="0"/>
    <x v="0"/>
    <x v="1"/>
    <x v="0"/>
    <x v="0"/>
    <x v="0"/>
    <x v="1"/>
    <x v="0"/>
    <x v="1"/>
    <x v="0"/>
    <x v="0"/>
  </r>
  <r>
    <s v="Pather Panchali"/>
    <n v="55"/>
    <n v="209"/>
    <s v="Variety"/>
    <x v="6"/>
    <d v="1955-08-26T00:00:00"/>
    <x v="68"/>
    <x v="229"/>
    <x v="0"/>
    <x v="0"/>
    <x v="0"/>
    <x v="0"/>
    <x v="0"/>
    <x v="0"/>
    <x v="0"/>
    <x v="0"/>
    <x v="0"/>
    <x v="0"/>
    <x v="0"/>
    <x v="0"/>
    <x v="0"/>
    <x v="0"/>
    <x v="1"/>
    <x v="0"/>
    <x v="0"/>
    <x v="0"/>
    <x v="0"/>
  </r>
  <r>
    <s v="The Road Warrior"/>
    <n v="54"/>
    <n v="210"/>
    <s v="Variety"/>
    <x v="6"/>
    <d v="2013-01-01T00:00:00"/>
    <x v="63"/>
    <x v="304"/>
    <x v="0"/>
    <x v="0"/>
    <x v="0"/>
    <x v="0"/>
    <x v="0"/>
    <x v="0"/>
    <x v="0"/>
    <x v="0"/>
    <x v="0"/>
    <x v="0"/>
    <x v="0"/>
    <x v="0"/>
    <x v="0"/>
    <x v="0"/>
    <x v="1"/>
    <x v="0"/>
    <x v="0"/>
    <x v="0"/>
    <x v="0"/>
  </r>
  <r>
    <s v="In the Mood for Love"/>
    <n v="53"/>
    <n v="211"/>
    <s v="Variety"/>
    <x v="12"/>
    <d v="2000-09-29T00:00:00"/>
    <x v="27"/>
    <x v="259"/>
    <x v="0"/>
    <x v="0"/>
    <x v="0"/>
    <x v="0"/>
    <x v="0"/>
    <x v="0"/>
    <x v="0"/>
    <x v="0"/>
    <x v="0"/>
    <x v="0"/>
    <x v="0"/>
    <x v="0"/>
    <x v="0"/>
    <x v="1"/>
    <x v="1"/>
    <x v="0"/>
    <x v="0"/>
    <x v="0"/>
    <x v="0"/>
  </r>
  <r>
    <s v="The General"/>
    <n v="52"/>
    <n v="212"/>
    <s v="Variety"/>
    <x v="82"/>
    <d v="1926-12-25T00:00:00"/>
    <x v="82"/>
    <x v="166"/>
    <x v="1"/>
    <x v="1"/>
    <x v="0"/>
    <x v="1"/>
    <x v="0"/>
    <x v="0"/>
    <x v="1"/>
    <x v="0"/>
    <x v="0"/>
    <x v="1"/>
    <x v="0"/>
    <x v="0"/>
    <x v="0"/>
    <x v="0"/>
    <x v="1"/>
    <x v="0"/>
    <x v="0"/>
    <x v="1"/>
    <x v="0"/>
  </r>
  <r>
    <s v="Apocalypse Now"/>
    <n v="51"/>
    <n v="213"/>
    <s v="Variety"/>
    <x v="22"/>
    <d v="1979-08-15T00:00:00"/>
    <x v="67"/>
    <x v="245"/>
    <x v="0"/>
    <x v="0"/>
    <x v="0"/>
    <x v="0"/>
    <x v="0"/>
    <x v="0"/>
    <x v="0"/>
    <x v="0"/>
    <x v="0"/>
    <x v="0"/>
    <x v="0"/>
    <x v="0"/>
    <x v="0"/>
    <x v="0"/>
    <x v="1"/>
    <x v="0"/>
    <x v="0"/>
    <x v="1"/>
    <x v="0"/>
  </r>
  <r>
    <s v="Breathless"/>
    <n v="50"/>
    <n v="214"/>
    <s v="Variety"/>
    <x v="130"/>
    <d v="1983-05-13T00:00:00"/>
    <x v="0"/>
    <x v="225"/>
    <x v="1"/>
    <x v="0"/>
    <x v="0"/>
    <x v="0"/>
    <x v="0"/>
    <x v="0"/>
    <x v="0"/>
    <x v="0"/>
    <x v="0"/>
    <x v="0"/>
    <x v="0"/>
    <x v="0"/>
    <x v="0"/>
    <x v="1"/>
    <x v="1"/>
    <x v="0"/>
    <x v="0"/>
    <x v="0"/>
    <x v="0"/>
  </r>
  <r>
    <s v="The Texas Chain Saw Massacre"/>
    <n v="49"/>
    <n v="215"/>
    <s v="Variety"/>
    <x v="10"/>
    <d v="1974-10-01T00:00:00"/>
    <x v="25"/>
    <x v="144"/>
    <x v="0"/>
    <x v="0"/>
    <x v="0"/>
    <x v="0"/>
    <x v="0"/>
    <x v="0"/>
    <x v="1"/>
    <x v="0"/>
    <x v="0"/>
    <x v="0"/>
    <x v="1"/>
    <x v="0"/>
    <x v="0"/>
    <x v="0"/>
    <x v="1"/>
    <x v="0"/>
    <x v="0"/>
    <x v="0"/>
    <x v="0"/>
  </r>
  <r>
    <s v="The Piano"/>
    <n v="48"/>
    <n v="216"/>
    <s v="Variety"/>
    <x v="12"/>
    <d v="1993-05-19T00:00:00"/>
    <x v="29"/>
    <x v="213"/>
    <x v="0"/>
    <x v="0"/>
    <x v="0"/>
    <x v="0"/>
    <x v="0"/>
    <x v="0"/>
    <x v="0"/>
    <x v="0"/>
    <x v="0"/>
    <x v="0"/>
    <x v="0"/>
    <x v="0"/>
    <x v="0"/>
    <x v="1"/>
    <x v="1"/>
    <x v="0"/>
    <x v="0"/>
    <x v="0"/>
    <x v="0"/>
  </r>
  <r>
    <s v="Mean Streets"/>
    <n v="47"/>
    <n v="217"/>
    <s v="Variety"/>
    <x v="51"/>
    <d v="1973-10-14T00:00:00"/>
    <x v="10"/>
    <x v="305"/>
    <x v="0"/>
    <x v="0"/>
    <x v="0"/>
    <x v="0"/>
    <x v="1"/>
    <x v="0"/>
    <x v="0"/>
    <x v="0"/>
    <x v="0"/>
    <x v="0"/>
    <x v="0"/>
    <x v="0"/>
    <x v="0"/>
    <x v="0"/>
    <x v="1"/>
    <x v="0"/>
    <x v="0"/>
    <x v="0"/>
    <x v="0"/>
  </r>
  <r>
    <s v="Notorious"/>
    <n v="46"/>
    <n v="218"/>
    <s v="Variety"/>
    <x v="64"/>
    <d v="2009-01-16T00:00:00"/>
    <x v="70"/>
    <x v="130"/>
    <x v="0"/>
    <x v="0"/>
    <x v="0"/>
    <x v="0"/>
    <x v="0"/>
    <x v="0"/>
    <x v="0"/>
    <x v="0"/>
    <x v="0"/>
    <x v="1"/>
    <x v="0"/>
    <x v="1"/>
    <x v="0"/>
    <x v="0"/>
    <x v="1"/>
    <x v="0"/>
    <x v="0"/>
    <x v="0"/>
    <x v="0"/>
  </r>
  <r>
    <s v="Titanic"/>
    <n v="45"/>
    <n v="219"/>
    <s v="Variety"/>
    <x v="12"/>
    <d v="1997-11-18T00:00:00"/>
    <x v="17"/>
    <x v="306"/>
    <x v="0"/>
    <x v="0"/>
    <x v="0"/>
    <x v="0"/>
    <x v="0"/>
    <x v="0"/>
    <x v="0"/>
    <x v="0"/>
    <x v="0"/>
    <x v="0"/>
    <x v="0"/>
    <x v="0"/>
    <x v="0"/>
    <x v="1"/>
    <x v="1"/>
    <x v="0"/>
    <x v="0"/>
    <x v="0"/>
    <x v="0"/>
  </r>
  <r>
    <s v="L'Avventura"/>
    <n v="44"/>
    <n v="220"/>
    <s v="Variety"/>
    <x v="91"/>
    <d v="1960-09-14T00:00:00"/>
    <x v="86"/>
    <x v="190"/>
    <x v="0"/>
    <x v="0"/>
    <x v="0"/>
    <x v="0"/>
    <x v="0"/>
    <x v="0"/>
    <x v="0"/>
    <x v="0"/>
    <x v="0"/>
    <x v="0"/>
    <x v="0"/>
    <x v="0"/>
    <x v="1"/>
    <x v="0"/>
    <x v="1"/>
    <x v="0"/>
    <x v="0"/>
    <x v="0"/>
    <x v="0"/>
  </r>
  <r>
    <s v="Shoah"/>
    <n v="43"/>
    <n v="221"/>
    <s v="Variety"/>
    <x v="105"/>
    <d v="1985-04-21T00:00:00"/>
    <x v="80"/>
    <x v="237"/>
    <x v="0"/>
    <x v="0"/>
    <x v="0"/>
    <x v="0"/>
    <x v="0"/>
    <x v="1"/>
    <x v="1"/>
    <x v="0"/>
    <x v="0"/>
    <x v="1"/>
    <x v="0"/>
    <x v="0"/>
    <x v="0"/>
    <x v="0"/>
    <x v="1"/>
    <x v="0"/>
    <x v="0"/>
    <x v="0"/>
    <x v="0"/>
  </r>
  <r>
    <s v="Moonlight"/>
    <n v="42"/>
    <n v="222"/>
    <s v="Variety"/>
    <x v="6"/>
    <d v="2016-10-21T00:00:00"/>
    <x v="90"/>
    <x v="204"/>
    <x v="0"/>
    <x v="0"/>
    <x v="0"/>
    <x v="0"/>
    <x v="0"/>
    <x v="0"/>
    <x v="0"/>
    <x v="0"/>
    <x v="0"/>
    <x v="0"/>
    <x v="0"/>
    <x v="0"/>
    <x v="0"/>
    <x v="0"/>
    <x v="1"/>
    <x v="0"/>
    <x v="0"/>
    <x v="0"/>
    <x v="0"/>
  </r>
  <r>
    <s v="The Wild Bunch"/>
    <n v="41"/>
    <n v="223"/>
    <s v="Variety"/>
    <x v="43"/>
    <d v="1969-06-19T00:00:00"/>
    <x v="37"/>
    <x v="126"/>
    <x v="0"/>
    <x v="0"/>
    <x v="0"/>
    <x v="0"/>
    <x v="0"/>
    <x v="0"/>
    <x v="1"/>
    <x v="0"/>
    <x v="0"/>
    <x v="0"/>
    <x v="0"/>
    <x v="0"/>
    <x v="0"/>
    <x v="0"/>
    <x v="1"/>
    <x v="0"/>
    <x v="0"/>
    <x v="0"/>
    <x v="1"/>
  </r>
  <r>
    <s v="Fargo"/>
    <n v="40"/>
    <n v="224"/>
    <s v="Variety"/>
    <x v="106"/>
    <d v="1996-03-08T00:00:00"/>
    <x v="20"/>
    <x v="307"/>
    <x v="0"/>
    <x v="0"/>
    <x v="0"/>
    <x v="0"/>
    <x v="1"/>
    <x v="0"/>
    <x v="0"/>
    <x v="0"/>
    <x v="0"/>
    <x v="0"/>
    <x v="0"/>
    <x v="0"/>
    <x v="0"/>
    <x v="0"/>
    <x v="1"/>
    <x v="0"/>
    <x v="1"/>
    <x v="0"/>
    <x v="0"/>
  </r>
  <r>
    <s v="Some Like It Hot"/>
    <n v="39"/>
    <n v="225"/>
    <s v="Variety"/>
    <x v="101"/>
    <d v="1959-03-19T00:00:00"/>
    <x v="56"/>
    <x v="226"/>
    <x v="0"/>
    <x v="0"/>
    <x v="0"/>
    <x v="1"/>
    <x v="1"/>
    <x v="0"/>
    <x v="1"/>
    <x v="0"/>
    <x v="0"/>
    <x v="0"/>
    <x v="0"/>
    <x v="0"/>
    <x v="0"/>
    <x v="1"/>
    <x v="1"/>
    <x v="0"/>
    <x v="0"/>
    <x v="0"/>
    <x v="0"/>
  </r>
  <r>
    <s v="Lawrence of Arabia"/>
    <n v="38"/>
    <n v="226"/>
    <s v="Variety"/>
    <x v="65"/>
    <d v="1962-12-11T00:00:00"/>
    <x v="42"/>
    <x v="131"/>
    <x v="0"/>
    <x v="1"/>
    <x v="0"/>
    <x v="0"/>
    <x v="0"/>
    <x v="0"/>
    <x v="0"/>
    <x v="0"/>
    <x v="0"/>
    <x v="1"/>
    <x v="0"/>
    <x v="0"/>
    <x v="0"/>
    <x v="0"/>
    <x v="1"/>
    <x v="0"/>
    <x v="0"/>
    <x v="1"/>
    <x v="0"/>
  </r>
  <r>
    <s v="Annie Hall"/>
    <n v="37"/>
    <n v="227"/>
    <s v="Variety"/>
    <x v="3"/>
    <d v="1977-04-19T00:00:00"/>
    <x v="3"/>
    <x v="3"/>
    <x v="0"/>
    <x v="0"/>
    <x v="0"/>
    <x v="1"/>
    <x v="0"/>
    <x v="0"/>
    <x v="0"/>
    <x v="0"/>
    <x v="0"/>
    <x v="0"/>
    <x v="0"/>
    <x v="0"/>
    <x v="0"/>
    <x v="1"/>
    <x v="1"/>
    <x v="0"/>
    <x v="0"/>
    <x v="0"/>
    <x v="0"/>
  </r>
  <r>
    <s v="On the Waterfront"/>
    <n v="36"/>
    <n v="228"/>
    <s v="Variety"/>
    <x v="89"/>
    <d v="1954-06-22T00:00:00"/>
    <x v="76"/>
    <x v="308"/>
    <x v="0"/>
    <x v="0"/>
    <x v="0"/>
    <x v="0"/>
    <x v="1"/>
    <x v="0"/>
    <x v="0"/>
    <x v="0"/>
    <x v="0"/>
    <x v="0"/>
    <x v="0"/>
    <x v="0"/>
    <x v="0"/>
    <x v="1"/>
    <x v="1"/>
    <x v="0"/>
    <x v="0"/>
    <x v="0"/>
    <x v="0"/>
  </r>
  <r>
    <s v="The Silence of the Lambs"/>
    <n v="35"/>
    <n v="229"/>
    <s v="Variety"/>
    <x v="106"/>
    <d v="1991-02-14T00:00:00"/>
    <x v="85"/>
    <x v="309"/>
    <x v="0"/>
    <x v="0"/>
    <x v="0"/>
    <x v="0"/>
    <x v="1"/>
    <x v="0"/>
    <x v="0"/>
    <x v="0"/>
    <x v="0"/>
    <x v="0"/>
    <x v="0"/>
    <x v="0"/>
    <x v="0"/>
    <x v="0"/>
    <x v="1"/>
    <x v="0"/>
    <x v="1"/>
    <x v="0"/>
    <x v="0"/>
  </r>
  <r>
    <s v="Stagecoach"/>
    <n v="34"/>
    <n v="230"/>
    <s v="Variety"/>
    <x v="131"/>
    <d v="1939-03-03T00:00:00"/>
    <x v="75"/>
    <x v="310"/>
    <x v="0"/>
    <x v="1"/>
    <x v="0"/>
    <x v="0"/>
    <x v="0"/>
    <x v="0"/>
    <x v="1"/>
    <x v="0"/>
    <x v="0"/>
    <x v="0"/>
    <x v="0"/>
    <x v="0"/>
    <x v="0"/>
    <x v="0"/>
    <x v="1"/>
    <x v="0"/>
    <x v="0"/>
    <x v="0"/>
    <x v="1"/>
  </r>
  <r>
    <s v="8Â½"/>
    <n v="33"/>
    <n v="231"/>
    <s v="Variety"/>
    <x v="6"/>
    <d v="1963-02-14T00:00:00"/>
    <x v="50"/>
    <x v="231"/>
    <x v="0"/>
    <x v="0"/>
    <x v="0"/>
    <x v="0"/>
    <x v="0"/>
    <x v="0"/>
    <x v="0"/>
    <x v="0"/>
    <x v="0"/>
    <x v="0"/>
    <x v="0"/>
    <x v="0"/>
    <x v="0"/>
    <x v="0"/>
    <x v="1"/>
    <x v="0"/>
    <x v="0"/>
    <x v="0"/>
    <x v="0"/>
  </r>
  <r>
    <s v="Vertigo"/>
    <n v="32"/>
    <n v="232"/>
    <s v="Variety"/>
    <x v="111"/>
    <d v="1958-05-28T00:00:00"/>
    <x v="78"/>
    <x v="262"/>
    <x v="0"/>
    <x v="0"/>
    <x v="0"/>
    <x v="0"/>
    <x v="0"/>
    <x v="0"/>
    <x v="1"/>
    <x v="0"/>
    <x v="0"/>
    <x v="0"/>
    <x v="0"/>
    <x v="0"/>
    <x v="1"/>
    <x v="1"/>
    <x v="1"/>
    <x v="0"/>
    <x v="1"/>
    <x v="0"/>
    <x v="0"/>
  </r>
  <r>
    <s v="Network"/>
    <n v="31"/>
    <n v="233"/>
    <s v="Variety"/>
    <x v="6"/>
    <d v="1976-11-14T00:00:00"/>
    <x v="44"/>
    <x v="311"/>
    <x v="0"/>
    <x v="0"/>
    <x v="0"/>
    <x v="0"/>
    <x v="0"/>
    <x v="0"/>
    <x v="0"/>
    <x v="0"/>
    <x v="0"/>
    <x v="0"/>
    <x v="0"/>
    <x v="0"/>
    <x v="0"/>
    <x v="0"/>
    <x v="1"/>
    <x v="0"/>
    <x v="0"/>
    <x v="0"/>
    <x v="0"/>
  </r>
  <r>
    <s v="The Empire Strikes Back"/>
    <n v="30"/>
    <n v="234"/>
    <s v="Variety"/>
    <x v="15"/>
    <d v="1980-05-20T00:00:00"/>
    <x v="72"/>
    <x v="312"/>
    <x v="1"/>
    <x v="1"/>
    <x v="0"/>
    <x v="0"/>
    <x v="0"/>
    <x v="0"/>
    <x v="1"/>
    <x v="0"/>
    <x v="0"/>
    <x v="0"/>
    <x v="0"/>
    <x v="0"/>
    <x v="0"/>
    <x v="0"/>
    <x v="0"/>
    <x v="0"/>
    <x v="0"/>
    <x v="0"/>
    <x v="0"/>
  </r>
  <r>
    <s v="Double Indemnity"/>
    <n v="29"/>
    <n v="235"/>
    <s v="Variety"/>
    <x v="30"/>
    <d v="1944-06-14T00:00:00"/>
    <x v="8"/>
    <x v="58"/>
    <x v="0"/>
    <x v="0"/>
    <x v="0"/>
    <x v="0"/>
    <x v="1"/>
    <x v="0"/>
    <x v="1"/>
    <x v="0"/>
    <x v="0"/>
    <x v="0"/>
    <x v="0"/>
    <x v="0"/>
    <x v="0"/>
    <x v="0"/>
    <x v="1"/>
    <x v="0"/>
    <x v="1"/>
    <x v="0"/>
    <x v="0"/>
  </r>
  <r>
    <s v="City Lights"/>
    <n v="28"/>
    <n v="236"/>
    <s v="Variety"/>
    <x v="102"/>
    <d v="1931-02-01T00:00:00"/>
    <x v="40"/>
    <x v="228"/>
    <x v="0"/>
    <x v="0"/>
    <x v="0"/>
    <x v="1"/>
    <x v="0"/>
    <x v="0"/>
    <x v="0"/>
    <x v="0"/>
    <x v="0"/>
    <x v="0"/>
    <x v="0"/>
    <x v="0"/>
    <x v="0"/>
    <x v="1"/>
    <x v="1"/>
    <x v="0"/>
    <x v="0"/>
    <x v="0"/>
    <x v="0"/>
  </r>
  <r>
    <s v="Bonnie and Clyde"/>
    <n v="27"/>
    <n v="237"/>
    <s v="Variety"/>
    <x v="48"/>
    <d v="1967-08-14T00:00:00"/>
    <x v="6"/>
    <x v="313"/>
    <x v="0"/>
    <x v="0"/>
    <x v="0"/>
    <x v="0"/>
    <x v="1"/>
    <x v="0"/>
    <x v="0"/>
    <x v="0"/>
    <x v="0"/>
    <x v="0"/>
    <x v="0"/>
    <x v="0"/>
    <x v="0"/>
    <x v="0"/>
    <x v="1"/>
    <x v="0"/>
    <x v="0"/>
    <x v="0"/>
    <x v="0"/>
  </r>
  <r>
    <s v="The 400 Blows"/>
    <n v="26"/>
    <n v="238"/>
    <s v="Variety"/>
    <x v="6"/>
    <d v="1959-06-03T00:00:00"/>
    <x v="56"/>
    <x v="214"/>
    <x v="0"/>
    <x v="0"/>
    <x v="0"/>
    <x v="0"/>
    <x v="0"/>
    <x v="0"/>
    <x v="0"/>
    <x v="0"/>
    <x v="0"/>
    <x v="0"/>
    <x v="0"/>
    <x v="0"/>
    <x v="0"/>
    <x v="0"/>
    <x v="1"/>
    <x v="0"/>
    <x v="0"/>
    <x v="0"/>
    <x v="0"/>
  </r>
  <r>
    <s v="Bringing Up Baby"/>
    <n v="25"/>
    <n v="239"/>
    <s v="Variety"/>
    <x v="67"/>
    <d v="1938-02-18T00:00:00"/>
    <x v="77"/>
    <x v="151"/>
    <x v="0"/>
    <x v="0"/>
    <x v="0"/>
    <x v="1"/>
    <x v="0"/>
    <x v="0"/>
    <x v="1"/>
    <x v="0"/>
    <x v="0"/>
    <x v="0"/>
    <x v="0"/>
    <x v="0"/>
    <x v="0"/>
    <x v="1"/>
    <x v="1"/>
    <x v="0"/>
    <x v="0"/>
    <x v="0"/>
    <x v="0"/>
  </r>
  <r>
    <s v="Tokyo Story"/>
    <n v="24"/>
    <n v="240"/>
    <s v="Variety"/>
    <x v="6"/>
    <d v="1953-11-03T00:00:00"/>
    <x v="84"/>
    <x v="260"/>
    <x v="0"/>
    <x v="0"/>
    <x v="0"/>
    <x v="0"/>
    <x v="0"/>
    <x v="0"/>
    <x v="0"/>
    <x v="0"/>
    <x v="0"/>
    <x v="0"/>
    <x v="0"/>
    <x v="0"/>
    <x v="0"/>
    <x v="0"/>
    <x v="1"/>
    <x v="0"/>
    <x v="0"/>
    <x v="0"/>
    <x v="0"/>
  </r>
  <r>
    <s v="The Apartment"/>
    <n v="23"/>
    <n v="241"/>
    <s v="Variety"/>
    <x v="3"/>
    <d v="1960-06-21T00:00:00"/>
    <x v="86"/>
    <x v="206"/>
    <x v="0"/>
    <x v="0"/>
    <x v="0"/>
    <x v="1"/>
    <x v="0"/>
    <x v="0"/>
    <x v="0"/>
    <x v="0"/>
    <x v="0"/>
    <x v="0"/>
    <x v="0"/>
    <x v="0"/>
    <x v="0"/>
    <x v="1"/>
    <x v="1"/>
    <x v="0"/>
    <x v="0"/>
    <x v="0"/>
    <x v="0"/>
  </r>
  <r>
    <s v="Chinatown"/>
    <n v="22"/>
    <n v="242"/>
    <s v="Variety"/>
    <x v="55"/>
    <d v="1974-06-20T00:00:00"/>
    <x v="25"/>
    <x v="113"/>
    <x v="0"/>
    <x v="0"/>
    <x v="0"/>
    <x v="0"/>
    <x v="1"/>
    <x v="0"/>
    <x v="0"/>
    <x v="0"/>
    <x v="0"/>
    <x v="0"/>
    <x v="0"/>
    <x v="0"/>
    <x v="1"/>
    <x v="0"/>
    <x v="1"/>
    <x v="0"/>
    <x v="1"/>
    <x v="0"/>
    <x v="0"/>
  </r>
  <r>
    <s v="Gone With the Wind"/>
    <n v="21"/>
    <n v="243"/>
    <s v="Variety"/>
    <x v="132"/>
    <d v="1939-12-15T00:00:00"/>
    <x v="75"/>
    <x v="314"/>
    <x v="0"/>
    <x v="0"/>
    <x v="0"/>
    <x v="0"/>
    <x v="0"/>
    <x v="0"/>
    <x v="0"/>
    <x v="0"/>
    <x v="0"/>
    <x v="0"/>
    <x v="0"/>
    <x v="0"/>
    <x v="0"/>
    <x v="1"/>
    <x v="1"/>
    <x v="0"/>
    <x v="0"/>
    <x v="1"/>
    <x v="0"/>
  </r>
  <r>
    <s v="Blue Velvet"/>
    <n v="20"/>
    <n v="244"/>
    <s v="Variety"/>
    <x v="86"/>
    <d v="1986-09-19T00:00:00"/>
    <x v="31"/>
    <x v="177"/>
    <x v="0"/>
    <x v="0"/>
    <x v="0"/>
    <x v="0"/>
    <x v="1"/>
    <x v="0"/>
    <x v="1"/>
    <x v="0"/>
    <x v="0"/>
    <x v="0"/>
    <x v="0"/>
    <x v="0"/>
    <x v="1"/>
    <x v="1"/>
    <x v="1"/>
    <x v="0"/>
    <x v="1"/>
    <x v="0"/>
    <x v="0"/>
  </r>
  <r>
    <s v="The Godfather Part II"/>
    <n v="19"/>
    <n v="245"/>
    <s v="Variety"/>
    <x v="51"/>
    <d v="1974-12-20T00:00:00"/>
    <x v="25"/>
    <x v="157"/>
    <x v="0"/>
    <x v="0"/>
    <x v="0"/>
    <x v="0"/>
    <x v="1"/>
    <x v="0"/>
    <x v="0"/>
    <x v="0"/>
    <x v="0"/>
    <x v="0"/>
    <x v="0"/>
    <x v="0"/>
    <x v="0"/>
    <x v="0"/>
    <x v="1"/>
    <x v="0"/>
    <x v="0"/>
    <x v="0"/>
    <x v="0"/>
  </r>
  <r>
    <s v="Persona"/>
    <n v="18"/>
    <n v="246"/>
    <s v="Variety"/>
    <x v="6"/>
    <d v="1966-10-18T00:00:00"/>
    <x v="49"/>
    <x v="246"/>
    <x v="0"/>
    <x v="0"/>
    <x v="0"/>
    <x v="0"/>
    <x v="0"/>
    <x v="0"/>
    <x v="0"/>
    <x v="0"/>
    <x v="0"/>
    <x v="0"/>
    <x v="0"/>
    <x v="0"/>
    <x v="0"/>
    <x v="0"/>
    <x v="1"/>
    <x v="0"/>
    <x v="0"/>
    <x v="0"/>
    <x v="0"/>
  </r>
  <r>
    <s v="Nashville"/>
    <n v="17"/>
    <n v="247"/>
    <s v="Variety"/>
    <x v="76"/>
    <d v="1975-06-11T00:00:00"/>
    <x v="66"/>
    <x v="148"/>
    <x v="0"/>
    <x v="0"/>
    <x v="0"/>
    <x v="1"/>
    <x v="0"/>
    <x v="0"/>
    <x v="0"/>
    <x v="0"/>
    <x v="0"/>
    <x v="0"/>
    <x v="0"/>
    <x v="1"/>
    <x v="0"/>
    <x v="0"/>
    <x v="1"/>
    <x v="0"/>
    <x v="0"/>
    <x v="0"/>
    <x v="0"/>
  </r>
  <r>
    <s v="Casablanca"/>
    <n v="16"/>
    <n v="248"/>
    <s v="Variety"/>
    <x v="12"/>
    <d v="1943-01-15T00:00:00"/>
    <x v="41"/>
    <x v="201"/>
    <x v="0"/>
    <x v="0"/>
    <x v="0"/>
    <x v="0"/>
    <x v="0"/>
    <x v="0"/>
    <x v="0"/>
    <x v="0"/>
    <x v="0"/>
    <x v="0"/>
    <x v="0"/>
    <x v="0"/>
    <x v="0"/>
    <x v="1"/>
    <x v="1"/>
    <x v="0"/>
    <x v="0"/>
    <x v="0"/>
    <x v="0"/>
  </r>
  <r>
    <s v="Sunrise: A Song of Two Humans"/>
    <n v="15"/>
    <n v="249"/>
    <s v="Variety"/>
    <x v="12"/>
    <d v="1927-11-04T00:00:00"/>
    <x v="87"/>
    <x v="253"/>
    <x v="0"/>
    <x v="0"/>
    <x v="0"/>
    <x v="0"/>
    <x v="0"/>
    <x v="0"/>
    <x v="0"/>
    <x v="0"/>
    <x v="0"/>
    <x v="0"/>
    <x v="0"/>
    <x v="0"/>
    <x v="0"/>
    <x v="1"/>
    <x v="1"/>
    <x v="0"/>
    <x v="0"/>
    <x v="0"/>
    <x v="0"/>
  </r>
  <r>
    <s v="Do the Right Thing"/>
    <n v="14"/>
    <n v="250"/>
    <s v="Variety"/>
    <x v="6"/>
    <d v="1989-06-14T00:00:00"/>
    <x v="61"/>
    <x v="240"/>
    <x v="0"/>
    <x v="0"/>
    <x v="0"/>
    <x v="0"/>
    <x v="0"/>
    <x v="0"/>
    <x v="0"/>
    <x v="0"/>
    <x v="0"/>
    <x v="0"/>
    <x v="0"/>
    <x v="0"/>
    <x v="0"/>
    <x v="0"/>
    <x v="1"/>
    <x v="0"/>
    <x v="0"/>
    <x v="0"/>
    <x v="0"/>
  </r>
  <r>
    <s v="The Rules of the Game"/>
    <n v="13"/>
    <n v="251"/>
    <s v="Variety"/>
    <x v="59"/>
    <d v="1939-07-09T00:00:00"/>
    <x v="75"/>
    <x v="251"/>
    <x v="0"/>
    <x v="0"/>
    <x v="0"/>
    <x v="1"/>
    <x v="0"/>
    <x v="0"/>
    <x v="0"/>
    <x v="0"/>
    <x v="0"/>
    <x v="0"/>
    <x v="0"/>
    <x v="0"/>
    <x v="0"/>
    <x v="1"/>
    <x v="1"/>
    <x v="0"/>
    <x v="0"/>
    <x v="0"/>
    <x v="0"/>
  </r>
  <r>
    <s v="Goodfellas"/>
    <n v="12"/>
    <n v="252"/>
    <s v="Variety"/>
    <x v="51"/>
    <d v="1990-09-12T00:00:00"/>
    <x v="89"/>
    <x v="200"/>
    <x v="0"/>
    <x v="0"/>
    <x v="0"/>
    <x v="0"/>
    <x v="1"/>
    <x v="0"/>
    <x v="0"/>
    <x v="0"/>
    <x v="0"/>
    <x v="0"/>
    <x v="0"/>
    <x v="0"/>
    <x v="0"/>
    <x v="0"/>
    <x v="1"/>
    <x v="0"/>
    <x v="0"/>
    <x v="0"/>
    <x v="0"/>
  </r>
  <r>
    <s v="Singinâ€™ in the Rain"/>
    <n v="11"/>
    <n v="253"/>
    <s v="Variety"/>
    <x v="67"/>
    <d v="1952-04-09T00:00:00"/>
    <x v="22"/>
    <x v="254"/>
    <x v="0"/>
    <x v="0"/>
    <x v="0"/>
    <x v="1"/>
    <x v="0"/>
    <x v="0"/>
    <x v="1"/>
    <x v="0"/>
    <x v="0"/>
    <x v="0"/>
    <x v="0"/>
    <x v="0"/>
    <x v="0"/>
    <x v="1"/>
    <x v="1"/>
    <x v="0"/>
    <x v="0"/>
    <x v="0"/>
    <x v="0"/>
  </r>
  <r>
    <s v="Saving Private Ryan"/>
    <n v="10"/>
    <n v="254"/>
    <s v="Variety"/>
    <x v="56"/>
    <d v="1998-07-24T00:00:00"/>
    <x v="28"/>
    <x v="315"/>
    <x v="0"/>
    <x v="0"/>
    <x v="0"/>
    <x v="0"/>
    <x v="0"/>
    <x v="0"/>
    <x v="0"/>
    <x v="0"/>
    <x v="0"/>
    <x v="1"/>
    <x v="0"/>
    <x v="0"/>
    <x v="0"/>
    <x v="0"/>
    <x v="1"/>
    <x v="0"/>
    <x v="0"/>
    <x v="1"/>
    <x v="0"/>
  </r>
  <r>
    <s v="All About Eve"/>
    <n v="9"/>
    <n v="255"/>
    <s v="Variety"/>
    <x v="6"/>
    <d v="1950-11-09T00:00:00"/>
    <x v="34"/>
    <x v="42"/>
    <x v="0"/>
    <x v="0"/>
    <x v="0"/>
    <x v="0"/>
    <x v="0"/>
    <x v="0"/>
    <x v="0"/>
    <x v="0"/>
    <x v="0"/>
    <x v="0"/>
    <x v="0"/>
    <x v="0"/>
    <x v="0"/>
    <x v="0"/>
    <x v="1"/>
    <x v="0"/>
    <x v="0"/>
    <x v="0"/>
    <x v="0"/>
  </r>
  <r>
    <s v="Itâ€™s a Wonderful Life"/>
    <n v="8"/>
    <n v="256"/>
    <s v="Variety"/>
    <x v="63"/>
    <d v="1946-12-20T00:00:00"/>
    <x v="5"/>
    <x v="129"/>
    <x v="0"/>
    <x v="0"/>
    <x v="0"/>
    <x v="0"/>
    <x v="0"/>
    <x v="0"/>
    <x v="0"/>
    <x v="1"/>
    <x v="1"/>
    <x v="0"/>
    <x v="0"/>
    <x v="0"/>
    <x v="0"/>
    <x v="0"/>
    <x v="1"/>
    <x v="0"/>
    <x v="0"/>
    <x v="0"/>
    <x v="0"/>
  </r>
  <r>
    <s v="2001: A Space Odyssey"/>
    <n v="7"/>
    <n v="257"/>
    <s v="Variety"/>
    <x v="110"/>
    <d v="1968-04-02T00:00:00"/>
    <x v="21"/>
    <x v="258"/>
    <x v="0"/>
    <x v="1"/>
    <x v="0"/>
    <x v="0"/>
    <x v="0"/>
    <x v="0"/>
    <x v="1"/>
    <x v="0"/>
    <x v="0"/>
    <x v="0"/>
    <x v="0"/>
    <x v="0"/>
    <x v="1"/>
    <x v="0"/>
    <x v="0"/>
    <x v="0"/>
    <x v="0"/>
    <x v="0"/>
    <x v="0"/>
  </r>
  <r>
    <s v="Seven Samurai"/>
    <n v="6"/>
    <n v="258"/>
    <s v="Variety"/>
    <x v="107"/>
    <d v="1954-04-26T00:00:00"/>
    <x v="76"/>
    <x v="244"/>
    <x v="1"/>
    <x v="0"/>
    <x v="0"/>
    <x v="0"/>
    <x v="0"/>
    <x v="0"/>
    <x v="0"/>
    <x v="0"/>
    <x v="0"/>
    <x v="0"/>
    <x v="0"/>
    <x v="0"/>
    <x v="0"/>
    <x v="0"/>
    <x v="1"/>
    <x v="0"/>
    <x v="0"/>
    <x v="0"/>
    <x v="0"/>
  </r>
  <r>
    <s v="Pulp Fiction"/>
    <n v="5"/>
    <n v="259"/>
    <s v="Variety"/>
    <x v="66"/>
    <d v="1994-09-10T00:00:00"/>
    <x v="71"/>
    <x v="132"/>
    <x v="0"/>
    <x v="0"/>
    <x v="0"/>
    <x v="0"/>
    <x v="1"/>
    <x v="0"/>
    <x v="1"/>
    <x v="0"/>
    <x v="0"/>
    <x v="0"/>
    <x v="0"/>
    <x v="0"/>
    <x v="0"/>
    <x v="0"/>
    <x v="1"/>
    <x v="0"/>
    <x v="1"/>
    <x v="0"/>
    <x v="0"/>
  </r>
  <r>
    <s v="Citizen Kane"/>
    <n v="4"/>
    <n v="260"/>
    <s v="Variety"/>
    <x v="46"/>
    <d v="1941-04-17T00:00:00"/>
    <x v="2"/>
    <x v="261"/>
    <x v="0"/>
    <x v="0"/>
    <x v="0"/>
    <x v="0"/>
    <x v="0"/>
    <x v="0"/>
    <x v="0"/>
    <x v="0"/>
    <x v="0"/>
    <x v="0"/>
    <x v="0"/>
    <x v="0"/>
    <x v="1"/>
    <x v="0"/>
    <x v="1"/>
    <x v="0"/>
    <x v="0"/>
    <x v="0"/>
    <x v="0"/>
  </r>
  <r>
    <s v="The Godfather"/>
    <n v="3"/>
    <n v="261"/>
    <s v="Variety"/>
    <x v="51"/>
    <d v="1972-03-14T00:00:00"/>
    <x v="19"/>
    <x v="252"/>
    <x v="0"/>
    <x v="0"/>
    <x v="0"/>
    <x v="0"/>
    <x v="1"/>
    <x v="0"/>
    <x v="0"/>
    <x v="0"/>
    <x v="0"/>
    <x v="0"/>
    <x v="0"/>
    <x v="0"/>
    <x v="0"/>
    <x v="0"/>
    <x v="1"/>
    <x v="0"/>
    <x v="0"/>
    <x v="0"/>
    <x v="0"/>
  </r>
  <r>
    <s v="The Wizard of Oz"/>
    <n v="2"/>
    <n v="262"/>
    <s v="Variety"/>
    <x v="78"/>
    <d v="1939-08-15T00:00:00"/>
    <x v="75"/>
    <x v="155"/>
    <x v="0"/>
    <x v="1"/>
    <x v="0"/>
    <x v="0"/>
    <x v="0"/>
    <x v="0"/>
    <x v="1"/>
    <x v="1"/>
    <x v="1"/>
    <x v="0"/>
    <x v="0"/>
    <x v="0"/>
    <x v="0"/>
    <x v="0"/>
    <x v="1"/>
    <x v="0"/>
    <x v="0"/>
    <x v="0"/>
    <x v="0"/>
  </r>
  <r>
    <s v="Psycho"/>
    <n v="1"/>
    <n v="263"/>
    <s v="Variety"/>
    <x v="103"/>
    <d v="1960-06-22T00:00:00"/>
    <x v="86"/>
    <x v="232"/>
    <x v="0"/>
    <x v="0"/>
    <x v="0"/>
    <x v="0"/>
    <x v="0"/>
    <x v="0"/>
    <x v="0"/>
    <x v="0"/>
    <x v="0"/>
    <x v="0"/>
    <x v="1"/>
    <x v="0"/>
    <x v="0"/>
    <x v="0"/>
    <x v="1"/>
    <x v="0"/>
    <x v="1"/>
    <x v="0"/>
    <x v="0"/>
  </r>
  <r>
    <s v=" Reservoir Dogs"/>
    <n v="100"/>
    <n v="164"/>
    <s v="Empire"/>
    <x v="30"/>
    <d v="1992-09-02T00:00:00"/>
    <x v="18"/>
    <x v="316"/>
    <x v="0"/>
    <x v="0"/>
    <x v="0"/>
    <x v="0"/>
    <x v="1"/>
    <x v="0"/>
    <x v="1"/>
    <x v="0"/>
    <x v="0"/>
    <x v="0"/>
    <x v="0"/>
    <x v="0"/>
    <x v="0"/>
    <x v="0"/>
    <x v="1"/>
    <x v="0"/>
    <x v="1"/>
    <x v="0"/>
    <x v="0"/>
  </r>
  <r>
    <s v=" Groundhog Day"/>
    <n v="99"/>
    <n v="165"/>
    <s v="Empire"/>
    <x v="133"/>
    <d v="1993-02-11T00:00:00"/>
    <x v="29"/>
    <x v="317"/>
    <x v="0"/>
    <x v="0"/>
    <x v="0"/>
    <x v="1"/>
    <x v="0"/>
    <x v="0"/>
    <x v="0"/>
    <x v="0"/>
    <x v="1"/>
    <x v="0"/>
    <x v="0"/>
    <x v="0"/>
    <x v="0"/>
    <x v="1"/>
    <x v="1"/>
    <x v="0"/>
    <x v="0"/>
    <x v="0"/>
    <x v="0"/>
  </r>
  <r>
    <s v=" Paddington 2"/>
    <n v="98"/>
    <n v="166"/>
    <s v="Empire"/>
    <x v="134"/>
    <d v="2017-11-09T00:00:00"/>
    <x v="46"/>
    <x v="318"/>
    <x v="0"/>
    <x v="1"/>
    <x v="0"/>
    <x v="1"/>
    <x v="0"/>
    <x v="0"/>
    <x v="1"/>
    <x v="1"/>
    <x v="0"/>
    <x v="0"/>
    <x v="0"/>
    <x v="0"/>
    <x v="0"/>
    <x v="0"/>
    <x v="1"/>
    <x v="0"/>
    <x v="0"/>
    <x v="0"/>
    <x v="0"/>
  </r>
  <r>
    <s v=" Amelie"/>
    <n v="97"/>
    <n v="167"/>
    <s v="Empire"/>
    <x v="67"/>
    <d v="2001-04-25T00:00:00"/>
    <x v="16"/>
    <x v="319"/>
    <x v="0"/>
    <x v="0"/>
    <x v="0"/>
    <x v="1"/>
    <x v="0"/>
    <x v="0"/>
    <x v="1"/>
    <x v="0"/>
    <x v="0"/>
    <x v="0"/>
    <x v="0"/>
    <x v="0"/>
    <x v="0"/>
    <x v="1"/>
    <x v="1"/>
    <x v="0"/>
    <x v="0"/>
    <x v="0"/>
    <x v="0"/>
  </r>
  <r>
    <s v=" Brokeback Mountain"/>
    <n v="96"/>
    <n v="168"/>
    <s v="Empire"/>
    <x v="12"/>
    <d v="2005-09-10T00:00:00"/>
    <x v="30"/>
    <x v="302"/>
    <x v="0"/>
    <x v="0"/>
    <x v="0"/>
    <x v="0"/>
    <x v="0"/>
    <x v="0"/>
    <x v="0"/>
    <x v="0"/>
    <x v="0"/>
    <x v="0"/>
    <x v="0"/>
    <x v="0"/>
    <x v="0"/>
    <x v="1"/>
    <x v="1"/>
    <x v="0"/>
    <x v="0"/>
    <x v="0"/>
    <x v="0"/>
  </r>
  <r>
    <s v=" Donnie Darko"/>
    <n v="95"/>
    <n v="169"/>
    <s v="Empire"/>
    <x v="68"/>
    <d v="2001-10-24T00:00:00"/>
    <x v="16"/>
    <x v="320"/>
    <x v="0"/>
    <x v="0"/>
    <x v="0"/>
    <x v="0"/>
    <x v="0"/>
    <x v="0"/>
    <x v="0"/>
    <x v="0"/>
    <x v="1"/>
    <x v="0"/>
    <x v="0"/>
    <x v="0"/>
    <x v="1"/>
    <x v="0"/>
    <x v="1"/>
    <x v="0"/>
    <x v="0"/>
    <x v="0"/>
    <x v="0"/>
  </r>
  <r>
    <s v=" Scott Pilgrim Vs. The World"/>
    <n v="94"/>
    <n v="170"/>
    <s v="Empire"/>
    <x v="135"/>
    <d v="2010-08-12T00:00:00"/>
    <x v="12"/>
    <x v="321"/>
    <x v="1"/>
    <x v="0"/>
    <x v="0"/>
    <x v="1"/>
    <x v="0"/>
    <x v="0"/>
    <x v="1"/>
    <x v="0"/>
    <x v="0"/>
    <x v="0"/>
    <x v="0"/>
    <x v="0"/>
    <x v="0"/>
    <x v="1"/>
    <x v="1"/>
    <x v="0"/>
    <x v="0"/>
    <x v="0"/>
    <x v="0"/>
  </r>
  <r>
    <s v=" Portrait Of A Lady On Fire"/>
    <n v="93"/>
    <n v="171"/>
    <s v="Empire"/>
    <x v="12"/>
    <d v="2019-06-17T00:00:00"/>
    <x v="14"/>
    <x v="234"/>
    <x v="0"/>
    <x v="0"/>
    <x v="0"/>
    <x v="0"/>
    <x v="0"/>
    <x v="0"/>
    <x v="0"/>
    <x v="0"/>
    <x v="0"/>
    <x v="0"/>
    <x v="0"/>
    <x v="0"/>
    <x v="0"/>
    <x v="1"/>
    <x v="1"/>
    <x v="0"/>
    <x v="0"/>
    <x v="0"/>
    <x v="0"/>
  </r>
  <r>
    <s v=" LÃ©on"/>
    <n v="92"/>
    <n v="172"/>
    <s v="Empire"/>
    <x v="136"/>
    <d v="1994-09-14T00:00:00"/>
    <x v="71"/>
    <x v="322"/>
    <x v="1"/>
    <x v="0"/>
    <x v="0"/>
    <x v="0"/>
    <x v="1"/>
    <x v="0"/>
    <x v="0"/>
    <x v="0"/>
    <x v="0"/>
    <x v="0"/>
    <x v="0"/>
    <x v="0"/>
    <x v="0"/>
    <x v="0"/>
    <x v="1"/>
    <x v="0"/>
    <x v="0"/>
    <x v="0"/>
    <x v="0"/>
  </r>
  <r>
    <s v=" Logan"/>
    <n v="91"/>
    <n v="173"/>
    <s v="Empire"/>
    <x v="137"/>
    <d v="2017-02-28T00:00:00"/>
    <x v="46"/>
    <x v="323"/>
    <x v="1"/>
    <x v="0"/>
    <x v="0"/>
    <x v="0"/>
    <x v="0"/>
    <x v="0"/>
    <x v="0"/>
    <x v="0"/>
    <x v="0"/>
    <x v="0"/>
    <x v="0"/>
    <x v="0"/>
    <x v="0"/>
    <x v="0"/>
    <x v="0"/>
    <x v="0"/>
    <x v="0"/>
    <x v="0"/>
    <x v="0"/>
  </r>
  <r>
    <s v=" The Terminator"/>
    <n v="90"/>
    <n v="174"/>
    <s v="Empire"/>
    <x v="138"/>
    <d v="1984-10-26T00:00:00"/>
    <x v="39"/>
    <x v="324"/>
    <x v="1"/>
    <x v="0"/>
    <x v="0"/>
    <x v="0"/>
    <x v="0"/>
    <x v="0"/>
    <x v="1"/>
    <x v="0"/>
    <x v="0"/>
    <x v="0"/>
    <x v="0"/>
    <x v="0"/>
    <x v="0"/>
    <x v="0"/>
    <x v="0"/>
    <x v="0"/>
    <x v="1"/>
    <x v="0"/>
    <x v="0"/>
  </r>
  <r>
    <s v=" No Country For Old Men"/>
    <n v="89"/>
    <n v="175"/>
    <s v="Empire"/>
    <x v="106"/>
    <d v="2007-06-13T00:00:00"/>
    <x v="4"/>
    <x v="325"/>
    <x v="0"/>
    <x v="0"/>
    <x v="0"/>
    <x v="0"/>
    <x v="1"/>
    <x v="0"/>
    <x v="0"/>
    <x v="0"/>
    <x v="0"/>
    <x v="0"/>
    <x v="0"/>
    <x v="0"/>
    <x v="0"/>
    <x v="0"/>
    <x v="1"/>
    <x v="0"/>
    <x v="1"/>
    <x v="0"/>
    <x v="0"/>
  </r>
  <r>
    <s v=" Titanic"/>
    <n v="88"/>
    <n v="176"/>
    <s v="Empire"/>
    <x v="12"/>
    <d v="1997-11-18T00:00:00"/>
    <x v="17"/>
    <x v="306"/>
    <x v="0"/>
    <x v="0"/>
    <x v="0"/>
    <x v="0"/>
    <x v="0"/>
    <x v="0"/>
    <x v="0"/>
    <x v="0"/>
    <x v="0"/>
    <x v="0"/>
    <x v="0"/>
    <x v="0"/>
    <x v="0"/>
    <x v="1"/>
    <x v="1"/>
    <x v="0"/>
    <x v="0"/>
    <x v="0"/>
    <x v="0"/>
  </r>
  <r>
    <s v=" The Exorcist"/>
    <n v="87"/>
    <n v="177"/>
    <s v="Empire"/>
    <x v="10"/>
    <d v="2023-10-04T00:00:00"/>
    <x v="23"/>
    <x v="326"/>
    <x v="0"/>
    <x v="0"/>
    <x v="0"/>
    <x v="0"/>
    <x v="0"/>
    <x v="0"/>
    <x v="1"/>
    <x v="0"/>
    <x v="0"/>
    <x v="0"/>
    <x v="1"/>
    <x v="0"/>
    <x v="0"/>
    <x v="0"/>
    <x v="1"/>
    <x v="0"/>
    <x v="0"/>
    <x v="0"/>
    <x v="0"/>
  </r>
  <r>
    <s v=" Black Panther"/>
    <n v="86"/>
    <n v="178"/>
    <s v="Empire"/>
    <x v="33"/>
    <d v="2022-11-09T00:00:00"/>
    <x v="97"/>
    <x v="327"/>
    <x v="1"/>
    <x v="1"/>
    <x v="0"/>
    <x v="0"/>
    <x v="0"/>
    <x v="0"/>
    <x v="1"/>
    <x v="0"/>
    <x v="0"/>
    <x v="0"/>
    <x v="0"/>
    <x v="0"/>
    <x v="0"/>
    <x v="0"/>
    <x v="0"/>
    <x v="0"/>
    <x v="0"/>
    <x v="0"/>
    <x v="0"/>
  </r>
  <r>
    <s v=" Shaun Of The Dead"/>
    <n v="85"/>
    <n v="179"/>
    <s v="Empire"/>
    <x v="139"/>
    <d v="2004-04-09T00:00:00"/>
    <x v="83"/>
    <x v="328"/>
    <x v="0"/>
    <x v="0"/>
    <x v="0"/>
    <x v="1"/>
    <x v="0"/>
    <x v="0"/>
    <x v="1"/>
    <x v="0"/>
    <x v="0"/>
    <x v="0"/>
    <x v="1"/>
    <x v="0"/>
    <x v="0"/>
    <x v="0"/>
    <x v="1"/>
    <x v="0"/>
    <x v="0"/>
    <x v="0"/>
    <x v="0"/>
  </r>
  <r>
    <s v=" Lost In Translation"/>
    <n v="84"/>
    <n v="180"/>
    <s v="Empire"/>
    <x v="12"/>
    <d v="2003-09-18T00:00:00"/>
    <x v="79"/>
    <x v="329"/>
    <x v="0"/>
    <x v="0"/>
    <x v="0"/>
    <x v="0"/>
    <x v="0"/>
    <x v="0"/>
    <x v="0"/>
    <x v="0"/>
    <x v="0"/>
    <x v="0"/>
    <x v="0"/>
    <x v="0"/>
    <x v="0"/>
    <x v="1"/>
    <x v="1"/>
    <x v="0"/>
    <x v="0"/>
    <x v="0"/>
    <x v="0"/>
  </r>
  <r>
    <s v=" Thor: Ragnarok"/>
    <n v="83"/>
    <n v="181"/>
    <s v="Empire"/>
    <x v="33"/>
    <d v="2017-10-02T00:00:00"/>
    <x v="46"/>
    <x v="330"/>
    <x v="1"/>
    <x v="1"/>
    <x v="0"/>
    <x v="0"/>
    <x v="0"/>
    <x v="0"/>
    <x v="1"/>
    <x v="0"/>
    <x v="0"/>
    <x v="0"/>
    <x v="0"/>
    <x v="0"/>
    <x v="0"/>
    <x v="0"/>
    <x v="0"/>
    <x v="0"/>
    <x v="0"/>
    <x v="0"/>
    <x v="0"/>
  </r>
  <r>
    <s v=" The Usual Suspects"/>
    <n v="82"/>
    <n v="182"/>
    <s v="Empire"/>
    <x v="140"/>
    <d v="1995-07-19T00:00:00"/>
    <x v="96"/>
    <x v="331"/>
    <x v="0"/>
    <x v="0"/>
    <x v="0"/>
    <x v="0"/>
    <x v="1"/>
    <x v="0"/>
    <x v="0"/>
    <x v="0"/>
    <x v="0"/>
    <x v="0"/>
    <x v="0"/>
    <x v="0"/>
    <x v="0"/>
    <x v="0"/>
    <x v="1"/>
    <x v="0"/>
    <x v="1"/>
    <x v="0"/>
    <x v="0"/>
  </r>
  <r>
    <s v=" Psycho"/>
    <n v="81"/>
    <n v="183"/>
    <s v="Empire"/>
    <x v="103"/>
    <d v="1960-06-22T00:00:00"/>
    <x v="86"/>
    <x v="232"/>
    <x v="0"/>
    <x v="0"/>
    <x v="0"/>
    <x v="0"/>
    <x v="0"/>
    <x v="0"/>
    <x v="0"/>
    <x v="0"/>
    <x v="0"/>
    <x v="0"/>
    <x v="1"/>
    <x v="0"/>
    <x v="0"/>
    <x v="0"/>
    <x v="1"/>
    <x v="0"/>
    <x v="1"/>
    <x v="0"/>
    <x v="0"/>
  </r>
  <r>
    <s v=" L.A. Confidential"/>
    <n v="80"/>
    <n v="184"/>
    <s v="Empire"/>
    <x v="141"/>
    <d v="1997-09-19T00:00:00"/>
    <x v="17"/>
    <x v="332"/>
    <x v="0"/>
    <x v="0"/>
    <x v="0"/>
    <x v="0"/>
    <x v="1"/>
    <x v="0"/>
    <x v="1"/>
    <x v="0"/>
    <x v="0"/>
    <x v="0"/>
    <x v="0"/>
    <x v="0"/>
    <x v="1"/>
    <x v="0"/>
    <x v="1"/>
    <x v="0"/>
    <x v="1"/>
    <x v="0"/>
    <x v="0"/>
  </r>
  <r>
    <s v=" E.T. â€“ The Extra Terrestrial"/>
    <n v="79"/>
    <n v="185"/>
    <s v="Empire"/>
    <x v="113"/>
    <d v="1982-06-11T00:00:00"/>
    <x v="74"/>
    <x v="265"/>
    <x v="0"/>
    <x v="1"/>
    <x v="0"/>
    <x v="0"/>
    <x v="0"/>
    <x v="0"/>
    <x v="1"/>
    <x v="1"/>
    <x v="1"/>
    <x v="0"/>
    <x v="0"/>
    <x v="0"/>
    <x v="0"/>
    <x v="0"/>
    <x v="0"/>
    <x v="0"/>
    <x v="0"/>
    <x v="0"/>
    <x v="0"/>
  </r>
  <r>
    <s v=" In The Mood For Love"/>
    <n v="78"/>
    <n v="186"/>
    <s v="Empire"/>
    <x v="12"/>
    <d v="2000-09-29T00:00:00"/>
    <x v="27"/>
    <x v="259"/>
    <x v="0"/>
    <x v="0"/>
    <x v="0"/>
    <x v="0"/>
    <x v="0"/>
    <x v="0"/>
    <x v="0"/>
    <x v="0"/>
    <x v="0"/>
    <x v="0"/>
    <x v="0"/>
    <x v="0"/>
    <x v="0"/>
    <x v="1"/>
    <x v="1"/>
    <x v="0"/>
    <x v="0"/>
    <x v="0"/>
    <x v="0"/>
  </r>
  <r>
    <s v=" Star Wars: Return Of The Jedi"/>
    <n v="77"/>
    <n v="187"/>
    <s v="Empire"/>
    <x v="15"/>
    <d v="1983-05-25T00:00:00"/>
    <x v="0"/>
    <x v="333"/>
    <x v="1"/>
    <x v="1"/>
    <x v="0"/>
    <x v="0"/>
    <x v="0"/>
    <x v="0"/>
    <x v="1"/>
    <x v="0"/>
    <x v="0"/>
    <x v="0"/>
    <x v="0"/>
    <x v="0"/>
    <x v="0"/>
    <x v="0"/>
    <x v="0"/>
    <x v="0"/>
    <x v="0"/>
    <x v="0"/>
    <x v="0"/>
  </r>
  <r>
    <s v=" Arrival"/>
    <n v="76"/>
    <n v="188"/>
    <s v="Empire"/>
    <x v="142"/>
    <d v="2016-11-10T00:00:00"/>
    <x v="90"/>
    <x v="334"/>
    <x v="0"/>
    <x v="0"/>
    <x v="0"/>
    <x v="0"/>
    <x v="0"/>
    <x v="0"/>
    <x v="0"/>
    <x v="0"/>
    <x v="0"/>
    <x v="0"/>
    <x v="0"/>
    <x v="0"/>
    <x v="1"/>
    <x v="0"/>
    <x v="0"/>
    <x v="0"/>
    <x v="0"/>
    <x v="0"/>
    <x v="0"/>
  </r>
  <r>
    <s v=" A Quiet Place"/>
    <n v="75"/>
    <n v="189"/>
    <s v="Empire"/>
    <x v="143"/>
    <d v="2018-04-03T00:00:00"/>
    <x v="51"/>
    <x v="335"/>
    <x v="0"/>
    <x v="0"/>
    <x v="0"/>
    <x v="0"/>
    <x v="0"/>
    <x v="0"/>
    <x v="0"/>
    <x v="0"/>
    <x v="0"/>
    <x v="0"/>
    <x v="1"/>
    <x v="0"/>
    <x v="0"/>
    <x v="0"/>
    <x v="0"/>
    <x v="0"/>
    <x v="0"/>
    <x v="0"/>
    <x v="0"/>
  </r>
  <r>
    <s v=" Trainspotting"/>
    <n v="74"/>
    <n v="190"/>
    <s v="Empire"/>
    <x v="51"/>
    <d v="1996-02-23T00:00:00"/>
    <x v="20"/>
    <x v="336"/>
    <x v="0"/>
    <x v="0"/>
    <x v="0"/>
    <x v="0"/>
    <x v="1"/>
    <x v="0"/>
    <x v="0"/>
    <x v="0"/>
    <x v="0"/>
    <x v="0"/>
    <x v="0"/>
    <x v="0"/>
    <x v="0"/>
    <x v="0"/>
    <x v="1"/>
    <x v="0"/>
    <x v="0"/>
    <x v="0"/>
    <x v="0"/>
  </r>
  <r>
    <s v=" Mulholland Drive"/>
    <n v="73"/>
    <n v="191"/>
    <s v="Empire"/>
    <x v="144"/>
    <d v="2001-06-06T00:00:00"/>
    <x v="16"/>
    <x v="337"/>
    <x v="0"/>
    <x v="0"/>
    <x v="0"/>
    <x v="0"/>
    <x v="0"/>
    <x v="0"/>
    <x v="0"/>
    <x v="0"/>
    <x v="0"/>
    <x v="0"/>
    <x v="0"/>
    <x v="0"/>
    <x v="1"/>
    <x v="0"/>
    <x v="1"/>
    <x v="0"/>
    <x v="1"/>
    <x v="0"/>
    <x v="0"/>
  </r>
  <r>
    <s v=" Rear Window"/>
    <n v="72"/>
    <n v="192"/>
    <s v="Empire"/>
    <x v="94"/>
    <d v="1954-08-01T00:00:00"/>
    <x v="76"/>
    <x v="224"/>
    <x v="0"/>
    <x v="0"/>
    <x v="0"/>
    <x v="0"/>
    <x v="0"/>
    <x v="0"/>
    <x v="1"/>
    <x v="0"/>
    <x v="0"/>
    <x v="0"/>
    <x v="0"/>
    <x v="0"/>
    <x v="1"/>
    <x v="0"/>
    <x v="1"/>
    <x v="0"/>
    <x v="1"/>
    <x v="0"/>
    <x v="0"/>
  </r>
  <r>
    <s v=" Up"/>
    <n v="71"/>
    <n v="193"/>
    <s v="Empire"/>
    <x v="145"/>
    <d v="2023-09-24T00:00:00"/>
    <x v="23"/>
    <x v="338"/>
    <x v="0"/>
    <x v="0"/>
    <x v="1"/>
    <x v="1"/>
    <x v="0"/>
    <x v="0"/>
    <x v="1"/>
    <x v="1"/>
    <x v="1"/>
    <x v="0"/>
    <x v="0"/>
    <x v="0"/>
    <x v="0"/>
    <x v="0"/>
    <x v="1"/>
    <x v="0"/>
    <x v="0"/>
    <x v="0"/>
    <x v="0"/>
  </r>
  <r>
    <s v=" Spider-Man: Into The Spider-Verse"/>
    <n v="70"/>
    <n v="194"/>
    <s v="Empire"/>
    <x v="146"/>
    <d v="2018-12-06T00:00:00"/>
    <x v="51"/>
    <x v="339"/>
    <x v="1"/>
    <x v="1"/>
    <x v="1"/>
    <x v="0"/>
    <x v="0"/>
    <x v="0"/>
    <x v="1"/>
    <x v="0"/>
    <x v="0"/>
    <x v="0"/>
    <x v="0"/>
    <x v="0"/>
    <x v="0"/>
    <x v="0"/>
    <x v="0"/>
    <x v="0"/>
    <x v="0"/>
    <x v="0"/>
    <x v="0"/>
  </r>
  <r>
    <s v=" Inglourious Basterds"/>
    <n v="69"/>
    <n v="195"/>
    <s v="Empire"/>
    <x v="147"/>
    <d v="2009-08-19T00:00:00"/>
    <x v="70"/>
    <x v="340"/>
    <x v="0"/>
    <x v="0"/>
    <x v="0"/>
    <x v="0"/>
    <x v="0"/>
    <x v="0"/>
    <x v="0"/>
    <x v="0"/>
    <x v="0"/>
    <x v="0"/>
    <x v="0"/>
    <x v="0"/>
    <x v="0"/>
    <x v="0"/>
    <x v="1"/>
    <x v="0"/>
    <x v="1"/>
    <x v="1"/>
    <x v="0"/>
  </r>
  <r>
    <s v=" Lady Bird"/>
    <n v="68"/>
    <n v="196"/>
    <s v="Empire"/>
    <x v="79"/>
    <d v="2017-09-01T00:00:00"/>
    <x v="46"/>
    <x v="273"/>
    <x v="0"/>
    <x v="0"/>
    <x v="0"/>
    <x v="1"/>
    <x v="0"/>
    <x v="0"/>
    <x v="0"/>
    <x v="0"/>
    <x v="0"/>
    <x v="0"/>
    <x v="0"/>
    <x v="0"/>
    <x v="0"/>
    <x v="0"/>
    <x v="1"/>
    <x v="0"/>
    <x v="0"/>
    <x v="0"/>
    <x v="0"/>
  </r>
  <r>
    <s v=" Singin' In The Rain"/>
    <n v="67"/>
    <n v="197"/>
    <s v="Empire"/>
    <x v="67"/>
    <d v="1952-04-09T00:00:00"/>
    <x v="22"/>
    <x v="254"/>
    <x v="0"/>
    <x v="0"/>
    <x v="0"/>
    <x v="1"/>
    <x v="0"/>
    <x v="0"/>
    <x v="1"/>
    <x v="0"/>
    <x v="0"/>
    <x v="0"/>
    <x v="0"/>
    <x v="0"/>
    <x v="0"/>
    <x v="1"/>
    <x v="1"/>
    <x v="0"/>
    <x v="0"/>
    <x v="0"/>
    <x v="0"/>
  </r>
  <r>
    <s v=" One Flew Over The Cuckoo's Nest"/>
    <n v="66"/>
    <n v="198"/>
    <s v="Empire"/>
    <x v="6"/>
    <d v="1975-11-19T00:00:00"/>
    <x v="66"/>
    <x v="341"/>
    <x v="0"/>
    <x v="0"/>
    <x v="0"/>
    <x v="0"/>
    <x v="0"/>
    <x v="0"/>
    <x v="0"/>
    <x v="0"/>
    <x v="0"/>
    <x v="0"/>
    <x v="0"/>
    <x v="0"/>
    <x v="0"/>
    <x v="0"/>
    <x v="1"/>
    <x v="0"/>
    <x v="0"/>
    <x v="0"/>
    <x v="0"/>
  </r>
  <r>
    <s v=" Seven Samurai"/>
    <n v="65"/>
    <n v="199"/>
    <s v="Empire"/>
    <x v="107"/>
    <d v="1954-04-26T00:00:00"/>
    <x v="76"/>
    <x v="244"/>
    <x v="1"/>
    <x v="0"/>
    <x v="0"/>
    <x v="0"/>
    <x v="0"/>
    <x v="0"/>
    <x v="0"/>
    <x v="0"/>
    <x v="0"/>
    <x v="0"/>
    <x v="0"/>
    <x v="0"/>
    <x v="0"/>
    <x v="0"/>
    <x v="1"/>
    <x v="0"/>
    <x v="0"/>
    <x v="0"/>
    <x v="0"/>
  </r>
  <r>
    <s v=" La La Land"/>
    <n v="64"/>
    <n v="200"/>
    <s v="Empire"/>
    <x v="59"/>
    <d v="2011-05-01T00:00:00"/>
    <x v="38"/>
    <x v="342"/>
    <x v="0"/>
    <x v="0"/>
    <x v="0"/>
    <x v="1"/>
    <x v="0"/>
    <x v="0"/>
    <x v="0"/>
    <x v="0"/>
    <x v="0"/>
    <x v="0"/>
    <x v="0"/>
    <x v="0"/>
    <x v="0"/>
    <x v="1"/>
    <x v="1"/>
    <x v="0"/>
    <x v="0"/>
    <x v="0"/>
    <x v="0"/>
  </r>
  <r>
    <s v=" Get Out"/>
    <n v="63"/>
    <n v="201"/>
    <s v="Empire"/>
    <x v="84"/>
    <d v="2017-02-24T00:00:00"/>
    <x v="46"/>
    <x v="169"/>
    <x v="0"/>
    <x v="0"/>
    <x v="0"/>
    <x v="0"/>
    <x v="0"/>
    <x v="0"/>
    <x v="1"/>
    <x v="0"/>
    <x v="0"/>
    <x v="0"/>
    <x v="1"/>
    <x v="0"/>
    <x v="1"/>
    <x v="0"/>
    <x v="1"/>
    <x v="0"/>
    <x v="1"/>
    <x v="0"/>
    <x v="0"/>
  </r>
  <r>
    <s v=" Lawrence Of Arabia"/>
    <n v="62"/>
    <n v="202"/>
    <s v="Empire"/>
    <x v="65"/>
    <d v="1962-12-11T00:00:00"/>
    <x v="42"/>
    <x v="131"/>
    <x v="0"/>
    <x v="1"/>
    <x v="0"/>
    <x v="0"/>
    <x v="0"/>
    <x v="0"/>
    <x v="0"/>
    <x v="0"/>
    <x v="0"/>
    <x v="1"/>
    <x v="0"/>
    <x v="0"/>
    <x v="0"/>
    <x v="0"/>
    <x v="1"/>
    <x v="0"/>
    <x v="0"/>
    <x v="1"/>
    <x v="0"/>
  </r>
  <r>
    <s v=" Pan's Labyrinth"/>
    <n v="61"/>
    <n v="203"/>
    <s v="Empire"/>
    <x v="122"/>
    <d v="2006-10-10T00:00:00"/>
    <x v="13"/>
    <x v="287"/>
    <x v="0"/>
    <x v="0"/>
    <x v="0"/>
    <x v="0"/>
    <x v="0"/>
    <x v="0"/>
    <x v="0"/>
    <x v="0"/>
    <x v="1"/>
    <x v="0"/>
    <x v="0"/>
    <x v="0"/>
    <x v="0"/>
    <x v="0"/>
    <x v="1"/>
    <x v="0"/>
    <x v="0"/>
    <x v="1"/>
    <x v="0"/>
  </r>
  <r>
    <s v=" Hot Fuzz"/>
    <n v="60"/>
    <n v="204"/>
    <s v="Empire"/>
    <x v="148"/>
    <d v="2007-02-14T00:00:00"/>
    <x v="4"/>
    <x v="343"/>
    <x v="1"/>
    <x v="0"/>
    <x v="0"/>
    <x v="1"/>
    <x v="1"/>
    <x v="0"/>
    <x v="1"/>
    <x v="0"/>
    <x v="0"/>
    <x v="0"/>
    <x v="0"/>
    <x v="0"/>
    <x v="0"/>
    <x v="0"/>
    <x v="1"/>
    <x v="0"/>
    <x v="0"/>
    <x v="0"/>
    <x v="0"/>
  </r>
  <r>
    <s v=" Moonlight"/>
    <n v="59"/>
    <n v="205"/>
    <s v="Empire"/>
    <x v="149"/>
    <d v="1957-01-31T00:00:00"/>
    <x v="52"/>
    <x v="344"/>
    <x v="1"/>
    <x v="1"/>
    <x v="0"/>
    <x v="0"/>
    <x v="0"/>
    <x v="0"/>
    <x v="0"/>
    <x v="0"/>
    <x v="0"/>
    <x v="0"/>
    <x v="0"/>
    <x v="0"/>
    <x v="0"/>
    <x v="0"/>
    <x v="1"/>
    <x v="0"/>
    <x v="0"/>
    <x v="1"/>
    <x v="0"/>
  </r>
  <r>
    <s v=" Guardians Of The Galaxy"/>
    <n v="58"/>
    <n v="206"/>
    <s v="Empire"/>
    <x v="150"/>
    <d v="2023-05-03T00:00:00"/>
    <x v="23"/>
    <x v="345"/>
    <x v="1"/>
    <x v="1"/>
    <x v="0"/>
    <x v="0"/>
    <x v="0"/>
    <x v="0"/>
    <x v="1"/>
    <x v="0"/>
    <x v="0"/>
    <x v="0"/>
    <x v="0"/>
    <x v="0"/>
    <x v="0"/>
    <x v="0"/>
    <x v="0"/>
    <x v="0"/>
    <x v="0"/>
    <x v="0"/>
    <x v="0"/>
  </r>
  <r>
    <s v=" Blade Runner 2049"/>
    <n v="57"/>
    <n v="207"/>
    <s v="Empire"/>
    <x v="151"/>
    <d v="2017-10-04T00:00:00"/>
    <x v="46"/>
    <x v="346"/>
    <x v="0"/>
    <x v="0"/>
    <x v="0"/>
    <x v="0"/>
    <x v="0"/>
    <x v="0"/>
    <x v="0"/>
    <x v="0"/>
    <x v="0"/>
    <x v="0"/>
    <x v="0"/>
    <x v="0"/>
    <x v="0"/>
    <x v="0"/>
    <x v="0"/>
    <x v="0"/>
    <x v="0"/>
    <x v="0"/>
    <x v="0"/>
  </r>
  <r>
    <s v=" The Social Network"/>
    <n v="56"/>
    <n v="208"/>
    <s v="Empire"/>
    <x v="6"/>
    <d v="2010-10-01T00:00:00"/>
    <x v="12"/>
    <x v="347"/>
    <x v="0"/>
    <x v="0"/>
    <x v="0"/>
    <x v="0"/>
    <x v="0"/>
    <x v="0"/>
    <x v="0"/>
    <x v="0"/>
    <x v="0"/>
    <x v="0"/>
    <x v="0"/>
    <x v="0"/>
    <x v="0"/>
    <x v="0"/>
    <x v="1"/>
    <x v="0"/>
    <x v="0"/>
    <x v="0"/>
    <x v="0"/>
  </r>
  <r>
    <s v=" Taxi Driver"/>
    <n v="55"/>
    <n v="209"/>
    <s v="Empire"/>
    <x v="152"/>
    <d v="2017-08-02T00:00:00"/>
    <x v="46"/>
    <x v="348"/>
    <x v="1"/>
    <x v="0"/>
    <x v="0"/>
    <x v="0"/>
    <x v="0"/>
    <x v="0"/>
    <x v="0"/>
    <x v="0"/>
    <x v="0"/>
    <x v="1"/>
    <x v="0"/>
    <x v="0"/>
    <x v="0"/>
    <x v="0"/>
    <x v="1"/>
    <x v="0"/>
    <x v="0"/>
    <x v="0"/>
    <x v="0"/>
  </r>
  <r>
    <s v=" Saving Private Ryan"/>
    <n v="54"/>
    <n v="210"/>
    <s v="Empire"/>
    <x v="56"/>
    <d v="1998-07-24T00:00:00"/>
    <x v="28"/>
    <x v="315"/>
    <x v="0"/>
    <x v="0"/>
    <x v="0"/>
    <x v="0"/>
    <x v="0"/>
    <x v="0"/>
    <x v="0"/>
    <x v="0"/>
    <x v="0"/>
    <x v="1"/>
    <x v="0"/>
    <x v="0"/>
    <x v="0"/>
    <x v="0"/>
    <x v="1"/>
    <x v="0"/>
    <x v="0"/>
    <x v="1"/>
    <x v="0"/>
  </r>
  <r>
    <s v=" Forrest Gump"/>
    <n v="53"/>
    <n v="211"/>
    <s v="Empire"/>
    <x v="3"/>
    <d v="1994-06-23T00:00:00"/>
    <x v="71"/>
    <x v="349"/>
    <x v="0"/>
    <x v="0"/>
    <x v="0"/>
    <x v="1"/>
    <x v="0"/>
    <x v="0"/>
    <x v="0"/>
    <x v="0"/>
    <x v="0"/>
    <x v="0"/>
    <x v="0"/>
    <x v="0"/>
    <x v="0"/>
    <x v="1"/>
    <x v="1"/>
    <x v="0"/>
    <x v="0"/>
    <x v="0"/>
    <x v="0"/>
  </r>
  <r>
    <s v="  Point Break"/>
    <n v="52"/>
    <n v="212"/>
    <s v="Empire"/>
    <x v="153"/>
    <d v="1991-01-31T00:00:00"/>
    <x v="85"/>
    <x v="350"/>
    <x v="1"/>
    <x v="0"/>
    <x v="0"/>
    <x v="0"/>
    <x v="1"/>
    <x v="0"/>
    <x v="1"/>
    <x v="0"/>
    <x v="0"/>
    <x v="0"/>
    <x v="0"/>
    <x v="0"/>
    <x v="0"/>
    <x v="0"/>
    <x v="1"/>
    <x v="0"/>
    <x v="1"/>
    <x v="0"/>
    <x v="0"/>
  </r>
  <r>
    <s v=" Whiplash"/>
    <n v="51"/>
    <n v="213"/>
    <s v="Empire"/>
    <x v="11"/>
    <d v="2014-10-10T00:00:00"/>
    <x v="59"/>
    <x v="351"/>
    <x v="0"/>
    <x v="0"/>
    <x v="0"/>
    <x v="0"/>
    <x v="0"/>
    <x v="0"/>
    <x v="0"/>
    <x v="0"/>
    <x v="0"/>
    <x v="0"/>
    <x v="0"/>
    <x v="1"/>
    <x v="0"/>
    <x v="0"/>
    <x v="1"/>
    <x v="0"/>
    <x v="0"/>
    <x v="0"/>
    <x v="0"/>
  </r>
  <r>
    <s v=" Vertigo"/>
    <n v="50"/>
    <n v="214"/>
    <s v="Empire"/>
    <x v="4"/>
    <d v="2021-09-09T00:00:00"/>
    <x v="26"/>
    <x v="262"/>
    <x v="0"/>
    <x v="0"/>
    <x v="0"/>
    <x v="0"/>
    <x v="0"/>
    <x v="1"/>
    <x v="1"/>
    <x v="0"/>
    <x v="0"/>
    <x v="0"/>
    <x v="0"/>
    <x v="0"/>
    <x v="0"/>
    <x v="0"/>
    <x v="1"/>
    <x v="0"/>
    <x v="0"/>
    <x v="0"/>
    <x v="0"/>
  </r>
  <r>
    <s v=" Spirited Away"/>
    <n v="49"/>
    <n v="215"/>
    <s v="Empire"/>
    <x v="90"/>
    <d v="2001-07-20T00:00:00"/>
    <x v="16"/>
    <x v="187"/>
    <x v="0"/>
    <x v="0"/>
    <x v="1"/>
    <x v="0"/>
    <x v="0"/>
    <x v="0"/>
    <x v="1"/>
    <x v="1"/>
    <x v="1"/>
    <x v="0"/>
    <x v="0"/>
    <x v="0"/>
    <x v="0"/>
    <x v="0"/>
    <x v="1"/>
    <x v="0"/>
    <x v="0"/>
    <x v="0"/>
    <x v="0"/>
  </r>
  <r>
    <s v=" Ghostbusters"/>
    <n v="48"/>
    <n v="216"/>
    <s v="Empire"/>
    <x v="154"/>
    <d v="2021-11-11T00:00:00"/>
    <x v="26"/>
    <x v="352"/>
    <x v="0"/>
    <x v="1"/>
    <x v="0"/>
    <x v="1"/>
    <x v="0"/>
    <x v="0"/>
    <x v="1"/>
    <x v="0"/>
    <x v="1"/>
    <x v="0"/>
    <x v="0"/>
    <x v="0"/>
    <x v="0"/>
    <x v="0"/>
    <x v="1"/>
    <x v="0"/>
    <x v="0"/>
    <x v="0"/>
    <x v="0"/>
  </r>
  <r>
    <s v=" Do The Right Thing"/>
    <n v="47"/>
    <n v="217"/>
    <s v="Empire"/>
    <x v="6"/>
    <d v="1989-06-14T00:00:00"/>
    <x v="61"/>
    <x v="240"/>
    <x v="0"/>
    <x v="0"/>
    <x v="0"/>
    <x v="0"/>
    <x v="0"/>
    <x v="0"/>
    <x v="0"/>
    <x v="0"/>
    <x v="0"/>
    <x v="0"/>
    <x v="0"/>
    <x v="0"/>
    <x v="0"/>
    <x v="0"/>
    <x v="1"/>
    <x v="0"/>
    <x v="0"/>
    <x v="0"/>
    <x v="0"/>
  </r>
  <r>
    <s v=" Schindler's List"/>
    <n v="46"/>
    <n v="218"/>
    <s v="Empire"/>
    <x v="56"/>
    <d v="1993-12-15T00:00:00"/>
    <x v="29"/>
    <x v="353"/>
    <x v="0"/>
    <x v="0"/>
    <x v="0"/>
    <x v="0"/>
    <x v="0"/>
    <x v="0"/>
    <x v="0"/>
    <x v="0"/>
    <x v="0"/>
    <x v="1"/>
    <x v="0"/>
    <x v="0"/>
    <x v="0"/>
    <x v="0"/>
    <x v="1"/>
    <x v="0"/>
    <x v="0"/>
    <x v="1"/>
    <x v="0"/>
  </r>
  <r>
    <s v=" The Big Lebowski"/>
    <n v="45"/>
    <n v="219"/>
    <s v="Empire"/>
    <x v="155"/>
    <d v="1998-03-06T00:00:00"/>
    <x v="28"/>
    <x v="354"/>
    <x v="0"/>
    <x v="0"/>
    <x v="0"/>
    <x v="1"/>
    <x v="1"/>
    <x v="0"/>
    <x v="1"/>
    <x v="0"/>
    <x v="0"/>
    <x v="0"/>
    <x v="0"/>
    <x v="0"/>
    <x v="0"/>
    <x v="0"/>
    <x v="1"/>
    <x v="0"/>
    <x v="0"/>
    <x v="0"/>
    <x v="0"/>
  </r>
  <r>
    <s v=" It's A Wonderful Life"/>
    <n v="44"/>
    <n v="220"/>
    <s v="Empire"/>
    <x v="63"/>
    <d v="1946-12-20T00:00:00"/>
    <x v="5"/>
    <x v="129"/>
    <x v="0"/>
    <x v="0"/>
    <x v="0"/>
    <x v="0"/>
    <x v="0"/>
    <x v="0"/>
    <x v="0"/>
    <x v="1"/>
    <x v="1"/>
    <x v="0"/>
    <x v="0"/>
    <x v="0"/>
    <x v="0"/>
    <x v="0"/>
    <x v="1"/>
    <x v="0"/>
    <x v="0"/>
    <x v="0"/>
    <x v="0"/>
  </r>
  <r>
    <s v=" There Will Be Blood"/>
    <n v="43"/>
    <n v="221"/>
    <s v="Empire"/>
    <x v="6"/>
    <d v="2007-12-26T00:00:00"/>
    <x v="4"/>
    <x v="142"/>
    <x v="0"/>
    <x v="0"/>
    <x v="0"/>
    <x v="0"/>
    <x v="0"/>
    <x v="0"/>
    <x v="0"/>
    <x v="0"/>
    <x v="0"/>
    <x v="0"/>
    <x v="0"/>
    <x v="0"/>
    <x v="0"/>
    <x v="0"/>
    <x v="1"/>
    <x v="0"/>
    <x v="0"/>
    <x v="0"/>
    <x v="0"/>
  </r>
  <r>
    <s v=" 12 Angry Men"/>
    <n v="42"/>
    <n v="222"/>
    <s v="Empire"/>
    <x v="6"/>
    <d v="1957-04-10T00:00:00"/>
    <x v="52"/>
    <x v="276"/>
    <x v="0"/>
    <x v="0"/>
    <x v="0"/>
    <x v="0"/>
    <x v="0"/>
    <x v="0"/>
    <x v="0"/>
    <x v="0"/>
    <x v="0"/>
    <x v="0"/>
    <x v="0"/>
    <x v="0"/>
    <x v="0"/>
    <x v="0"/>
    <x v="1"/>
    <x v="0"/>
    <x v="0"/>
    <x v="0"/>
    <x v="0"/>
  </r>
  <r>
    <s v=" The Silence Of The Lambs"/>
    <n v="41"/>
    <n v="223"/>
    <s v="Empire"/>
    <x v="106"/>
    <d v="1991-02-14T00:00:00"/>
    <x v="85"/>
    <x v="309"/>
    <x v="0"/>
    <x v="0"/>
    <x v="0"/>
    <x v="0"/>
    <x v="1"/>
    <x v="0"/>
    <x v="0"/>
    <x v="0"/>
    <x v="0"/>
    <x v="0"/>
    <x v="0"/>
    <x v="0"/>
    <x v="0"/>
    <x v="0"/>
    <x v="1"/>
    <x v="0"/>
    <x v="1"/>
    <x v="0"/>
    <x v="0"/>
  </r>
  <r>
    <s v="  Citizen Kane"/>
    <n v="40"/>
    <n v="224"/>
    <s v="Empire"/>
    <x v="46"/>
    <d v="1941-04-17T00:00:00"/>
    <x v="2"/>
    <x v="261"/>
    <x v="0"/>
    <x v="0"/>
    <x v="0"/>
    <x v="0"/>
    <x v="0"/>
    <x v="0"/>
    <x v="0"/>
    <x v="0"/>
    <x v="0"/>
    <x v="0"/>
    <x v="0"/>
    <x v="0"/>
    <x v="1"/>
    <x v="0"/>
    <x v="1"/>
    <x v="0"/>
    <x v="0"/>
    <x v="0"/>
    <x v="0"/>
  </r>
  <r>
    <s v=" Gladiator"/>
    <n v="39"/>
    <n v="225"/>
    <s v="Empire"/>
    <x v="156"/>
    <d v="2012-10-18T00:00:00"/>
    <x v="98"/>
    <x v="355"/>
    <x v="0"/>
    <x v="0"/>
    <x v="1"/>
    <x v="0"/>
    <x v="0"/>
    <x v="0"/>
    <x v="1"/>
    <x v="1"/>
    <x v="0"/>
    <x v="0"/>
    <x v="0"/>
    <x v="0"/>
    <x v="0"/>
    <x v="0"/>
    <x v="1"/>
    <x v="0"/>
    <x v="0"/>
    <x v="0"/>
    <x v="0"/>
  </r>
  <r>
    <s v=" The Good, The Bad And The Ugly"/>
    <n v="38"/>
    <n v="226"/>
    <s v="Empire"/>
    <x v="43"/>
    <d v="1966-12-23T00:00:00"/>
    <x v="49"/>
    <x v="84"/>
    <x v="0"/>
    <x v="0"/>
    <x v="0"/>
    <x v="0"/>
    <x v="0"/>
    <x v="0"/>
    <x v="1"/>
    <x v="0"/>
    <x v="0"/>
    <x v="0"/>
    <x v="0"/>
    <x v="0"/>
    <x v="0"/>
    <x v="0"/>
    <x v="1"/>
    <x v="0"/>
    <x v="0"/>
    <x v="0"/>
    <x v="1"/>
  </r>
  <r>
    <s v=" Se7en"/>
    <n v="37"/>
    <n v="227"/>
    <s v="Empire"/>
    <x v="141"/>
    <d v="1995-09-22T00:00:00"/>
    <x v="96"/>
    <x v="356"/>
    <x v="0"/>
    <x v="0"/>
    <x v="0"/>
    <x v="0"/>
    <x v="1"/>
    <x v="0"/>
    <x v="1"/>
    <x v="0"/>
    <x v="0"/>
    <x v="0"/>
    <x v="0"/>
    <x v="0"/>
    <x v="1"/>
    <x v="0"/>
    <x v="1"/>
    <x v="0"/>
    <x v="1"/>
    <x v="0"/>
    <x v="0"/>
  </r>
  <r>
    <s v=" Eternal Sunshine Of The Spotless Mind"/>
    <n v="36"/>
    <n v="228"/>
    <s v="Empire"/>
    <x v="104"/>
    <d v="2004-03-19T00:00:00"/>
    <x v="83"/>
    <x v="357"/>
    <x v="0"/>
    <x v="0"/>
    <x v="0"/>
    <x v="0"/>
    <x v="0"/>
    <x v="0"/>
    <x v="0"/>
    <x v="0"/>
    <x v="0"/>
    <x v="0"/>
    <x v="0"/>
    <x v="0"/>
    <x v="0"/>
    <x v="1"/>
    <x v="0"/>
    <x v="0"/>
    <x v="0"/>
    <x v="0"/>
    <x v="0"/>
  </r>
  <r>
    <s v=" The Shining"/>
    <n v="35"/>
    <n v="229"/>
    <s v="Empire"/>
    <x v="85"/>
    <d v="1980-05-23T00:00:00"/>
    <x v="72"/>
    <x v="175"/>
    <x v="0"/>
    <x v="0"/>
    <x v="0"/>
    <x v="0"/>
    <x v="0"/>
    <x v="0"/>
    <x v="1"/>
    <x v="0"/>
    <x v="0"/>
    <x v="0"/>
    <x v="1"/>
    <x v="0"/>
    <x v="0"/>
    <x v="0"/>
    <x v="1"/>
    <x v="0"/>
    <x v="1"/>
    <x v="0"/>
    <x v="0"/>
  </r>
  <r>
    <s v=" The Lord Of The Rings: The Two Towers"/>
    <n v="34"/>
    <n v="230"/>
    <s v="Empire"/>
    <x v="157"/>
    <d v="2002-12-18T00:00:00"/>
    <x v="15"/>
    <x v="358"/>
    <x v="1"/>
    <x v="1"/>
    <x v="0"/>
    <x v="0"/>
    <x v="0"/>
    <x v="0"/>
    <x v="1"/>
    <x v="0"/>
    <x v="1"/>
    <x v="0"/>
    <x v="0"/>
    <x v="0"/>
    <x v="0"/>
    <x v="0"/>
    <x v="1"/>
    <x v="0"/>
    <x v="0"/>
    <x v="0"/>
    <x v="0"/>
  </r>
  <r>
    <s v=" Casablanca"/>
    <n v="33"/>
    <n v="231"/>
    <s v="Empire"/>
    <x v="12"/>
    <d v="1943-01-15T00:00:00"/>
    <x v="41"/>
    <x v="201"/>
    <x v="0"/>
    <x v="0"/>
    <x v="0"/>
    <x v="0"/>
    <x v="0"/>
    <x v="0"/>
    <x v="0"/>
    <x v="0"/>
    <x v="0"/>
    <x v="0"/>
    <x v="0"/>
    <x v="0"/>
    <x v="0"/>
    <x v="1"/>
    <x v="1"/>
    <x v="0"/>
    <x v="0"/>
    <x v="0"/>
    <x v="0"/>
  </r>
  <r>
    <s v=" The Thing"/>
    <n v="32"/>
    <n v="232"/>
    <s v="Empire"/>
    <x v="73"/>
    <d v="1982-06-25T00:00:00"/>
    <x v="74"/>
    <x v="143"/>
    <x v="0"/>
    <x v="0"/>
    <x v="0"/>
    <x v="0"/>
    <x v="0"/>
    <x v="0"/>
    <x v="1"/>
    <x v="0"/>
    <x v="0"/>
    <x v="0"/>
    <x v="1"/>
    <x v="0"/>
    <x v="1"/>
    <x v="0"/>
    <x v="0"/>
    <x v="0"/>
    <x v="0"/>
    <x v="0"/>
    <x v="0"/>
  </r>
  <r>
    <s v=" Interstellar"/>
    <n v="31"/>
    <n v="233"/>
    <s v="Empire"/>
    <x v="158"/>
    <d v="2014-11-05T00:00:00"/>
    <x v="59"/>
    <x v="359"/>
    <x v="0"/>
    <x v="1"/>
    <x v="0"/>
    <x v="0"/>
    <x v="0"/>
    <x v="0"/>
    <x v="0"/>
    <x v="0"/>
    <x v="0"/>
    <x v="0"/>
    <x v="0"/>
    <x v="0"/>
    <x v="0"/>
    <x v="0"/>
    <x v="0"/>
    <x v="0"/>
    <x v="0"/>
    <x v="0"/>
    <x v="0"/>
  </r>
  <r>
    <s v=" Heat"/>
    <n v="30"/>
    <n v="234"/>
    <s v="Empire"/>
    <x v="45"/>
    <d v="1987-12-05T00:00:00"/>
    <x v="53"/>
    <x v="90"/>
    <x v="1"/>
    <x v="0"/>
    <x v="0"/>
    <x v="0"/>
    <x v="1"/>
    <x v="0"/>
    <x v="1"/>
    <x v="0"/>
    <x v="0"/>
    <x v="0"/>
    <x v="0"/>
    <x v="0"/>
    <x v="0"/>
    <x v="0"/>
    <x v="1"/>
    <x v="0"/>
    <x v="1"/>
    <x v="0"/>
    <x v="0"/>
  </r>
  <r>
    <s v=" Apocalypse Now"/>
    <n v="29"/>
    <n v="235"/>
    <s v="Empire"/>
    <x v="22"/>
    <d v="1979-08-15T00:00:00"/>
    <x v="67"/>
    <x v="245"/>
    <x v="0"/>
    <x v="0"/>
    <x v="0"/>
    <x v="0"/>
    <x v="0"/>
    <x v="0"/>
    <x v="0"/>
    <x v="0"/>
    <x v="0"/>
    <x v="0"/>
    <x v="0"/>
    <x v="0"/>
    <x v="0"/>
    <x v="0"/>
    <x v="1"/>
    <x v="0"/>
    <x v="0"/>
    <x v="1"/>
    <x v="0"/>
  </r>
  <r>
    <s v=" Indiana Jones And The Last Crusade"/>
    <n v="28"/>
    <n v="236"/>
    <s v="Empire"/>
    <x v="26"/>
    <d v="1989-05-24T00:00:00"/>
    <x v="61"/>
    <x v="360"/>
    <x v="1"/>
    <x v="1"/>
    <x v="0"/>
    <x v="0"/>
    <x v="0"/>
    <x v="0"/>
    <x v="1"/>
    <x v="0"/>
    <x v="0"/>
    <x v="0"/>
    <x v="0"/>
    <x v="0"/>
    <x v="0"/>
    <x v="0"/>
    <x v="1"/>
    <x v="0"/>
    <x v="0"/>
    <x v="0"/>
    <x v="0"/>
  </r>
  <r>
    <s v=" The Lord Of The Rings The Return Of The King"/>
    <n v="27"/>
    <n v="237"/>
    <s v="Empire"/>
    <x v="157"/>
    <d v="2003-12-01T00:00:00"/>
    <x v="79"/>
    <x v="361"/>
    <x v="1"/>
    <x v="1"/>
    <x v="0"/>
    <x v="0"/>
    <x v="0"/>
    <x v="0"/>
    <x v="1"/>
    <x v="0"/>
    <x v="1"/>
    <x v="0"/>
    <x v="0"/>
    <x v="0"/>
    <x v="0"/>
    <x v="0"/>
    <x v="1"/>
    <x v="0"/>
    <x v="0"/>
    <x v="0"/>
    <x v="0"/>
  </r>
  <r>
    <s v=" Die Hard"/>
    <n v="26"/>
    <n v="238"/>
    <s v="Empire"/>
    <x v="159"/>
    <d v="2013-02-06T00:00:00"/>
    <x v="63"/>
    <x v="362"/>
    <x v="1"/>
    <x v="0"/>
    <x v="0"/>
    <x v="0"/>
    <x v="0"/>
    <x v="0"/>
    <x v="1"/>
    <x v="0"/>
    <x v="0"/>
    <x v="0"/>
    <x v="0"/>
    <x v="0"/>
    <x v="0"/>
    <x v="0"/>
    <x v="1"/>
    <x v="0"/>
    <x v="1"/>
    <x v="0"/>
    <x v="0"/>
  </r>
  <r>
    <s v=" Fight Club"/>
    <n v="25"/>
    <n v="239"/>
    <s v="Empire"/>
    <x v="6"/>
    <d v="1999-10-15T00:00:00"/>
    <x v="54"/>
    <x v="363"/>
    <x v="0"/>
    <x v="0"/>
    <x v="0"/>
    <x v="0"/>
    <x v="0"/>
    <x v="0"/>
    <x v="0"/>
    <x v="0"/>
    <x v="0"/>
    <x v="0"/>
    <x v="0"/>
    <x v="0"/>
    <x v="0"/>
    <x v="0"/>
    <x v="1"/>
    <x v="0"/>
    <x v="0"/>
    <x v="0"/>
    <x v="0"/>
  </r>
  <r>
    <s v=" Terminator 2 Judgment Day"/>
    <n v="24"/>
    <n v="240"/>
    <s v="Empire"/>
    <x v="138"/>
    <d v="1991-07-03T00:00:00"/>
    <x v="85"/>
    <x v="364"/>
    <x v="1"/>
    <x v="0"/>
    <x v="0"/>
    <x v="0"/>
    <x v="0"/>
    <x v="0"/>
    <x v="1"/>
    <x v="0"/>
    <x v="0"/>
    <x v="0"/>
    <x v="0"/>
    <x v="0"/>
    <x v="0"/>
    <x v="0"/>
    <x v="0"/>
    <x v="0"/>
    <x v="1"/>
    <x v="0"/>
    <x v="0"/>
  </r>
  <r>
    <s v=" 2001: A Space Odyssey"/>
    <n v="23"/>
    <n v="241"/>
    <s v="Empire"/>
    <x v="110"/>
    <d v="1968-04-02T00:00:00"/>
    <x v="21"/>
    <x v="258"/>
    <x v="0"/>
    <x v="1"/>
    <x v="0"/>
    <x v="0"/>
    <x v="0"/>
    <x v="0"/>
    <x v="1"/>
    <x v="0"/>
    <x v="0"/>
    <x v="0"/>
    <x v="0"/>
    <x v="0"/>
    <x v="1"/>
    <x v="0"/>
    <x v="0"/>
    <x v="0"/>
    <x v="0"/>
    <x v="0"/>
    <x v="0"/>
  </r>
  <r>
    <s v=" Avengers: Endgame"/>
    <n v="22"/>
    <n v="242"/>
    <s v="Empire"/>
    <x v="160"/>
    <d v="2019-04-24T00:00:00"/>
    <x v="14"/>
    <x v="365"/>
    <x v="1"/>
    <x v="1"/>
    <x v="0"/>
    <x v="0"/>
    <x v="0"/>
    <x v="0"/>
    <x v="1"/>
    <x v="0"/>
    <x v="0"/>
    <x v="0"/>
    <x v="0"/>
    <x v="0"/>
    <x v="0"/>
    <x v="0"/>
    <x v="0"/>
    <x v="0"/>
    <x v="0"/>
    <x v="0"/>
    <x v="0"/>
  </r>
  <r>
    <s v=" Alien"/>
    <n v="21"/>
    <n v="243"/>
    <s v="Empire"/>
    <x v="161"/>
    <d v="2022-07-20T00:00:00"/>
    <x v="97"/>
    <x v="366"/>
    <x v="1"/>
    <x v="1"/>
    <x v="0"/>
    <x v="0"/>
    <x v="0"/>
    <x v="0"/>
    <x v="1"/>
    <x v="0"/>
    <x v="1"/>
    <x v="0"/>
    <x v="0"/>
    <x v="0"/>
    <x v="0"/>
    <x v="0"/>
    <x v="0"/>
    <x v="0"/>
    <x v="0"/>
    <x v="0"/>
    <x v="0"/>
  </r>
  <r>
    <s v=" The Matrix"/>
    <n v="20"/>
    <n v="244"/>
    <s v="Empire"/>
    <x v="72"/>
    <d v="1999-03-30T00:00:00"/>
    <x v="54"/>
    <x v="141"/>
    <x v="1"/>
    <x v="0"/>
    <x v="0"/>
    <x v="0"/>
    <x v="0"/>
    <x v="0"/>
    <x v="1"/>
    <x v="0"/>
    <x v="0"/>
    <x v="0"/>
    <x v="0"/>
    <x v="0"/>
    <x v="0"/>
    <x v="0"/>
    <x v="0"/>
    <x v="0"/>
    <x v="0"/>
    <x v="0"/>
    <x v="0"/>
  </r>
  <r>
    <s v=" Inception"/>
    <n v="19"/>
    <n v="245"/>
    <s v="Empire"/>
    <x v="162"/>
    <d v="2010-07-15T00:00:00"/>
    <x v="12"/>
    <x v="367"/>
    <x v="1"/>
    <x v="1"/>
    <x v="0"/>
    <x v="0"/>
    <x v="0"/>
    <x v="0"/>
    <x v="1"/>
    <x v="0"/>
    <x v="0"/>
    <x v="0"/>
    <x v="0"/>
    <x v="0"/>
    <x v="0"/>
    <x v="0"/>
    <x v="0"/>
    <x v="0"/>
    <x v="0"/>
    <x v="0"/>
    <x v="0"/>
  </r>
  <r>
    <s v=" Parasite"/>
    <n v="18"/>
    <n v="246"/>
    <s v="Empire"/>
    <x v="163"/>
    <d v="2019-05-30T00:00:00"/>
    <x v="14"/>
    <x v="170"/>
    <x v="0"/>
    <x v="0"/>
    <x v="0"/>
    <x v="1"/>
    <x v="0"/>
    <x v="0"/>
    <x v="0"/>
    <x v="0"/>
    <x v="0"/>
    <x v="0"/>
    <x v="0"/>
    <x v="0"/>
    <x v="0"/>
    <x v="0"/>
    <x v="1"/>
    <x v="0"/>
    <x v="1"/>
    <x v="0"/>
    <x v="0"/>
  </r>
  <r>
    <s v=" Aliens"/>
    <n v="17"/>
    <n v="247"/>
    <s v="Empire"/>
    <x v="156"/>
    <d v="2018-05-09T00:00:00"/>
    <x v="51"/>
    <x v="368"/>
    <x v="0"/>
    <x v="0"/>
    <x v="1"/>
    <x v="0"/>
    <x v="0"/>
    <x v="0"/>
    <x v="1"/>
    <x v="1"/>
    <x v="0"/>
    <x v="0"/>
    <x v="0"/>
    <x v="0"/>
    <x v="0"/>
    <x v="0"/>
    <x v="1"/>
    <x v="0"/>
    <x v="0"/>
    <x v="0"/>
    <x v="0"/>
  </r>
  <r>
    <s v=" Blade Runner"/>
    <n v="16"/>
    <n v="248"/>
    <s v="Empire"/>
    <x v="96"/>
    <d v="1982-06-25T00:00:00"/>
    <x v="74"/>
    <x v="210"/>
    <x v="0"/>
    <x v="0"/>
    <x v="0"/>
    <x v="0"/>
    <x v="0"/>
    <x v="0"/>
    <x v="0"/>
    <x v="0"/>
    <x v="0"/>
    <x v="0"/>
    <x v="0"/>
    <x v="0"/>
    <x v="0"/>
    <x v="0"/>
    <x v="0"/>
    <x v="0"/>
    <x v="1"/>
    <x v="0"/>
    <x v="0"/>
  </r>
  <r>
    <s v=" Jurassic Park"/>
    <n v="15"/>
    <n v="249"/>
    <s v="Empire"/>
    <x v="164"/>
    <d v="1993-06-11T00:00:00"/>
    <x v="29"/>
    <x v="369"/>
    <x v="0"/>
    <x v="1"/>
    <x v="0"/>
    <x v="0"/>
    <x v="0"/>
    <x v="0"/>
    <x v="1"/>
    <x v="0"/>
    <x v="0"/>
    <x v="0"/>
    <x v="0"/>
    <x v="0"/>
    <x v="0"/>
    <x v="0"/>
    <x v="0"/>
    <x v="0"/>
    <x v="0"/>
    <x v="0"/>
    <x v="0"/>
  </r>
  <r>
    <s v=" The Godfather Part II"/>
    <n v="14"/>
    <n v="250"/>
    <s v="Empire"/>
    <x v="51"/>
    <d v="1974-12-20T00:00:00"/>
    <x v="25"/>
    <x v="157"/>
    <x v="0"/>
    <x v="0"/>
    <x v="0"/>
    <x v="0"/>
    <x v="1"/>
    <x v="0"/>
    <x v="0"/>
    <x v="0"/>
    <x v="0"/>
    <x v="0"/>
    <x v="0"/>
    <x v="0"/>
    <x v="0"/>
    <x v="0"/>
    <x v="1"/>
    <x v="0"/>
    <x v="0"/>
    <x v="0"/>
    <x v="0"/>
  </r>
  <r>
    <s v=" Back To The Future"/>
    <n v="13"/>
    <n v="251"/>
    <s v="Empire"/>
    <x v="165"/>
    <d v="1985-07-03T00:00:00"/>
    <x v="80"/>
    <x v="370"/>
    <x v="0"/>
    <x v="1"/>
    <x v="0"/>
    <x v="1"/>
    <x v="0"/>
    <x v="0"/>
    <x v="1"/>
    <x v="0"/>
    <x v="0"/>
    <x v="0"/>
    <x v="0"/>
    <x v="0"/>
    <x v="0"/>
    <x v="0"/>
    <x v="0"/>
    <x v="0"/>
    <x v="0"/>
    <x v="0"/>
    <x v="0"/>
  </r>
  <r>
    <s v=" Mad Max: Fury Road"/>
    <n v="12"/>
    <n v="252"/>
    <s v="Empire"/>
    <x v="33"/>
    <d v="2015-05-13T00:00:00"/>
    <x v="47"/>
    <x v="64"/>
    <x v="1"/>
    <x v="1"/>
    <x v="0"/>
    <x v="0"/>
    <x v="0"/>
    <x v="0"/>
    <x v="1"/>
    <x v="0"/>
    <x v="0"/>
    <x v="0"/>
    <x v="0"/>
    <x v="0"/>
    <x v="0"/>
    <x v="0"/>
    <x v="0"/>
    <x v="0"/>
    <x v="0"/>
    <x v="0"/>
    <x v="0"/>
  </r>
  <r>
    <s v=" Star Wars"/>
    <n v="11"/>
    <n v="253"/>
    <s v="Empire"/>
    <x v="15"/>
    <d v="1977-05-25T00:00:00"/>
    <x v="3"/>
    <x v="24"/>
    <x v="1"/>
    <x v="1"/>
    <x v="0"/>
    <x v="0"/>
    <x v="0"/>
    <x v="0"/>
    <x v="1"/>
    <x v="0"/>
    <x v="0"/>
    <x v="0"/>
    <x v="0"/>
    <x v="0"/>
    <x v="0"/>
    <x v="0"/>
    <x v="0"/>
    <x v="0"/>
    <x v="0"/>
    <x v="0"/>
    <x v="0"/>
  </r>
  <r>
    <s v=" Goodfellas"/>
    <n v="10"/>
    <n v="254"/>
    <s v="Empire"/>
    <x v="51"/>
    <d v="1990-09-12T00:00:00"/>
    <x v="89"/>
    <x v="200"/>
    <x v="0"/>
    <x v="0"/>
    <x v="0"/>
    <x v="0"/>
    <x v="1"/>
    <x v="0"/>
    <x v="0"/>
    <x v="0"/>
    <x v="0"/>
    <x v="0"/>
    <x v="0"/>
    <x v="0"/>
    <x v="0"/>
    <x v="0"/>
    <x v="1"/>
    <x v="0"/>
    <x v="0"/>
    <x v="0"/>
    <x v="0"/>
  </r>
  <r>
    <s v=" Raiders Of The Lost Ark"/>
    <n v="9"/>
    <n v="255"/>
    <s v="Empire"/>
    <x v="26"/>
    <d v="1981-06-12T00:00:00"/>
    <x v="9"/>
    <x v="52"/>
    <x v="1"/>
    <x v="1"/>
    <x v="0"/>
    <x v="0"/>
    <x v="0"/>
    <x v="0"/>
    <x v="1"/>
    <x v="0"/>
    <x v="0"/>
    <x v="0"/>
    <x v="0"/>
    <x v="0"/>
    <x v="0"/>
    <x v="0"/>
    <x v="1"/>
    <x v="0"/>
    <x v="0"/>
    <x v="0"/>
    <x v="0"/>
  </r>
  <r>
    <s v=" Avengers: Infinity War"/>
    <n v="8"/>
    <n v="256"/>
    <s v="Empire"/>
    <x v="15"/>
    <d v="2018-04-25T00:00:00"/>
    <x v="51"/>
    <x v="371"/>
    <x v="1"/>
    <x v="1"/>
    <x v="0"/>
    <x v="0"/>
    <x v="0"/>
    <x v="0"/>
    <x v="1"/>
    <x v="0"/>
    <x v="0"/>
    <x v="0"/>
    <x v="0"/>
    <x v="0"/>
    <x v="0"/>
    <x v="0"/>
    <x v="0"/>
    <x v="0"/>
    <x v="0"/>
    <x v="0"/>
    <x v="0"/>
  </r>
  <r>
    <s v=" Pulp Fiction"/>
    <n v="7"/>
    <n v="257"/>
    <s v="Empire"/>
    <x v="66"/>
    <d v="1994-09-10T00:00:00"/>
    <x v="71"/>
    <x v="132"/>
    <x v="0"/>
    <x v="0"/>
    <x v="0"/>
    <x v="0"/>
    <x v="1"/>
    <x v="0"/>
    <x v="1"/>
    <x v="0"/>
    <x v="0"/>
    <x v="0"/>
    <x v="0"/>
    <x v="0"/>
    <x v="0"/>
    <x v="0"/>
    <x v="1"/>
    <x v="0"/>
    <x v="1"/>
    <x v="0"/>
    <x v="0"/>
  </r>
  <r>
    <s v=" Jaws"/>
    <n v="6"/>
    <n v="258"/>
    <s v="Empire"/>
    <x v="166"/>
    <d v="2023-09-07T00:00:00"/>
    <x v="23"/>
    <x v="372"/>
    <x v="1"/>
    <x v="1"/>
    <x v="0"/>
    <x v="0"/>
    <x v="0"/>
    <x v="0"/>
    <x v="1"/>
    <x v="0"/>
    <x v="0"/>
    <x v="0"/>
    <x v="0"/>
    <x v="0"/>
    <x v="0"/>
    <x v="0"/>
    <x v="1"/>
    <x v="0"/>
    <x v="1"/>
    <x v="0"/>
    <x v="0"/>
  </r>
  <r>
    <s v=" The Shawshank Redemption"/>
    <n v="5"/>
    <n v="259"/>
    <s v="Empire"/>
    <x v="51"/>
    <d v="1994-09-23T00:00:00"/>
    <x v="71"/>
    <x v="373"/>
    <x v="0"/>
    <x v="0"/>
    <x v="0"/>
    <x v="0"/>
    <x v="1"/>
    <x v="0"/>
    <x v="0"/>
    <x v="0"/>
    <x v="0"/>
    <x v="0"/>
    <x v="0"/>
    <x v="0"/>
    <x v="0"/>
    <x v="0"/>
    <x v="1"/>
    <x v="0"/>
    <x v="0"/>
    <x v="0"/>
    <x v="0"/>
  </r>
  <r>
    <s v=" The Dark Knight"/>
    <n v="4"/>
    <n v="260"/>
    <s v="Empire"/>
    <x v="123"/>
    <d v="2008-07-16T00:00:00"/>
    <x v="48"/>
    <x v="289"/>
    <x v="1"/>
    <x v="0"/>
    <x v="0"/>
    <x v="0"/>
    <x v="1"/>
    <x v="0"/>
    <x v="0"/>
    <x v="0"/>
    <x v="0"/>
    <x v="0"/>
    <x v="0"/>
    <x v="0"/>
    <x v="0"/>
    <x v="0"/>
    <x v="1"/>
    <x v="0"/>
    <x v="1"/>
    <x v="0"/>
    <x v="0"/>
  </r>
  <r>
    <s v=" The Godfather"/>
    <n v="3"/>
    <n v="261"/>
    <s v="Empire"/>
    <x v="51"/>
    <d v="1972-03-14T00:00:00"/>
    <x v="19"/>
    <x v="252"/>
    <x v="0"/>
    <x v="0"/>
    <x v="0"/>
    <x v="0"/>
    <x v="1"/>
    <x v="0"/>
    <x v="0"/>
    <x v="0"/>
    <x v="0"/>
    <x v="0"/>
    <x v="0"/>
    <x v="0"/>
    <x v="0"/>
    <x v="0"/>
    <x v="1"/>
    <x v="0"/>
    <x v="0"/>
    <x v="0"/>
    <x v="0"/>
  </r>
  <r>
    <s v=" Star Wars: The Empire Strikes Back"/>
    <n v="2"/>
    <n v="262"/>
    <s v="Empire"/>
    <x v="15"/>
    <d v="1980-05-20T00:00:00"/>
    <x v="72"/>
    <x v="312"/>
    <x v="1"/>
    <x v="1"/>
    <x v="0"/>
    <x v="0"/>
    <x v="0"/>
    <x v="0"/>
    <x v="1"/>
    <x v="0"/>
    <x v="0"/>
    <x v="0"/>
    <x v="0"/>
    <x v="0"/>
    <x v="0"/>
    <x v="0"/>
    <x v="0"/>
    <x v="0"/>
    <x v="0"/>
    <x v="0"/>
    <x v="0"/>
  </r>
  <r>
    <s v=" The Lord Of The Rings: The Fellowship Of The Ring"/>
    <n v="1"/>
    <n v="263"/>
    <s v="Empire"/>
    <x v="157"/>
    <d v="2001-12-18T00:00:00"/>
    <x v="16"/>
    <x v="374"/>
    <x v="1"/>
    <x v="1"/>
    <x v="0"/>
    <x v="0"/>
    <x v="0"/>
    <x v="0"/>
    <x v="1"/>
    <x v="0"/>
    <x v="1"/>
    <x v="0"/>
    <x v="0"/>
    <x v="0"/>
    <x v="0"/>
    <x v="0"/>
    <x v="1"/>
    <x v="0"/>
    <x v="0"/>
    <x v="0"/>
    <x v="0"/>
  </r>
  <r>
    <s v="The Shawshank Redemption"/>
    <n v="1"/>
    <n v="263"/>
    <s v="FilmCrave"/>
    <x v="51"/>
    <d v="1994-09-23T00:00:00"/>
    <x v="71"/>
    <x v="373"/>
    <x v="0"/>
    <x v="0"/>
    <x v="0"/>
    <x v="0"/>
    <x v="1"/>
    <x v="0"/>
    <x v="0"/>
    <x v="0"/>
    <x v="0"/>
    <x v="0"/>
    <x v="0"/>
    <x v="0"/>
    <x v="0"/>
    <x v="0"/>
    <x v="1"/>
    <x v="0"/>
    <x v="0"/>
    <x v="0"/>
    <x v="0"/>
  </r>
  <r>
    <s v="Fight Club"/>
    <n v="2"/>
    <n v="262"/>
    <s v="FilmCrave"/>
    <x v="6"/>
    <d v="1999-10-15T00:00:00"/>
    <x v="54"/>
    <x v="363"/>
    <x v="0"/>
    <x v="0"/>
    <x v="0"/>
    <x v="0"/>
    <x v="0"/>
    <x v="0"/>
    <x v="0"/>
    <x v="0"/>
    <x v="0"/>
    <x v="0"/>
    <x v="0"/>
    <x v="0"/>
    <x v="0"/>
    <x v="0"/>
    <x v="1"/>
    <x v="0"/>
    <x v="0"/>
    <x v="0"/>
    <x v="0"/>
  </r>
  <r>
    <s v="The Godfather"/>
    <n v="3"/>
    <n v="261"/>
    <s v="FilmCrave"/>
    <x v="51"/>
    <d v="1972-03-14T00:00:00"/>
    <x v="19"/>
    <x v="252"/>
    <x v="0"/>
    <x v="0"/>
    <x v="0"/>
    <x v="0"/>
    <x v="1"/>
    <x v="0"/>
    <x v="0"/>
    <x v="0"/>
    <x v="0"/>
    <x v="0"/>
    <x v="0"/>
    <x v="0"/>
    <x v="0"/>
    <x v="0"/>
    <x v="1"/>
    <x v="0"/>
    <x v="0"/>
    <x v="0"/>
    <x v="0"/>
  </r>
  <r>
    <s v="The Dark Knight"/>
    <n v="4"/>
    <n v="260"/>
    <s v="FilmCrave"/>
    <x v="123"/>
    <d v="2008-07-16T00:00:00"/>
    <x v="48"/>
    <x v="289"/>
    <x v="1"/>
    <x v="0"/>
    <x v="0"/>
    <x v="0"/>
    <x v="1"/>
    <x v="0"/>
    <x v="0"/>
    <x v="0"/>
    <x v="0"/>
    <x v="0"/>
    <x v="0"/>
    <x v="0"/>
    <x v="0"/>
    <x v="0"/>
    <x v="1"/>
    <x v="0"/>
    <x v="1"/>
    <x v="0"/>
    <x v="0"/>
  </r>
  <r>
    <s v="Pulp Fiction"/>
    <n v="5"/>
    <n v="259"/>
    <s v="FilmCrave"/>
    <x v="66"/>
    <d v="1994-09-10T00:00:00"/>
    <x v="71"/>
    <x v="132"/>
    <x v="0"/>
    <x v="0"/>
    <x v="0"/>
    <x v="0"/>
    <x v="1"/>
    <x v="0"/>
    <x v="1"/>
    <x v="0"/>
    <x v="0"/>
    <x v="0"/>
    <x v="0"/>
    <x v="0"/>
    <x v="0"/>
    <x v="0"/>
    <x v="1"/>
    <x v="0"/>
    <x v="1"/>
    <x v="0"/>
    <x v="0"/>
  </r>
  <r>
    <s v="Forrest Gump"/>
    <n v="6"/>
    <n v="258"/>
    <s v="FilmCrave"/>
    <x v="3"/>
    <d v="1994-06-23T00:00:00"/>
    <x v="71"/>
    <x v="349"/>
    <x v="0"/>
    <x v="0"/>
    <x v="0"/>
    <x v="1"/>
    <x v="0"/>
    <x v="0"/>
    <x v="0"/>
    <x v="0"/>
    <x v="0"/>
    <x v="0"/>
    <x v="0"/>
    <x v="0"/>
    <x v="0"/>
    <x v="1"/>
    <x v="1"/>
    <x v="0"/>
    <x v="0"/>
    <x v="0"/>
    <x v="0"/>
  </r>
  <r>
    <s v="Lord of the Rings: The Fellowship of the Ring"/>
    <n v="7"/>
    <n v="257"/>
    <s v="FilmCrave"/>
    <x v="157"/>
    <d v="2001-12-18T00:00:00"/>
    <x v="16"/>
    <x v="374"/>
    <x v="1"/>
    <x v="1"/>
    <x v="0"/>
    <x v="0"/>
    <x v="0"/>
    <x v="0"/>
    <x v="1"/>
    <x v="0"/>
    <x v="1"/>
    <x v="0"/>
    <x v="0"/>
    <x v="0"/>
    <x v="0"/>
    <x v="0"/>
    <x v="1"/>
    <x v="0"/>
    <x v="0"/>
    <x v="0"/>
    <x v="0"/>
  </r>
  <r>
    <s v="Lord of the Rings: The Return of the King"/>
    <n v="8"/>
    <n v="256"/>
    <s v="FilmCrave"/>
    <x v="157"/>
    <d v="2003-12-01T00:00:00"/>
    <x v="79"/>
    <x v="361"/>
    <x v="1"/>
    <x v="1"/>
    <x v="0"/>
    <x v="0"/>
    <x v="0"/>
    <x v="0"/>
    <x v="1"/>
    <x v="0"/>
    <x v="1"/>
    <x v="0"/>
    <x v="0"/>
    <x v="0"/>
    <x v="0"/>
    <x v="0"/>
    <x v="1"/>
    <x v="0"/>
    <x v="0"/>
    <x v="0"/>
    <x v="0"/>
  </r>
  <r>
    <s v="The Matrix"/>
    <n v="9"/>
    <n v="255"/>
    <s v="FilmCrave"/>
    <x v="72"/>
    <d v="1999-03-30T00:00:00"/>
    <x v="54"/>
    <x v="141"/>
    <x v="1"/>
    <x v="0"/>
    <x v="0"/>
    <x v="0"/>
    <x v="0"/>
    <x v="0"/>
    <x v="1"/>
    <x v="0"/>
    <x v="0"/>
    <x v="0"/>
    <x v="0"/>
    <x v="0"/>
    <x v="0"/>
    <x v="0"/>
    <x v="0"/>
    <x v="0"/>
    <x v="0"/>
    <x v="0"/>
    <x v="0"/>
  </r>
  <r>
    <s v="Schindler's List"/>
    <n v="10"/>
    <n v="254"/>
    <s v="FilmCrave"/>
    <x v="56"/>
    <d v="1993-12-15T00:00:00"/>
    <x v="29"/>
    <x v="353"/>
    <x v="0"/>
    <x v="0"/>
    <x v="0"/>
    <x v="0"/>
    <x v="0"/>
    <x v="0"/>
    <x v="0"/>
    <x v="0"/>
    <x v="0"/>
    <x v="1"/>
    <x v="0"/>
    <x v="0"/>
    <x v="0"/>
    <x v="0"/>
    <x v="1"/>
    <x v="0"/>
    <x v="0"/>
    <x v="1"/>
    <x v="0"/>
  </r>
  <r>
    <s v="Goodfellas"/>
    <n v="11"/>
    <n v="253"/>
    <s v="FilmCrave"/>
    <x v="51"/>
    <d v="1990-09-12T00:00:00"/>
    <x v="89"/>
    <x v="200"/>
    <x v="0"/>
    <x v="0"/>
    <x v="0"/>
    <x v="0"/>
    <x v="1"/>
    <x v="0"/>
    <x v="0"/>
    <x v="0"/>
    <x v="0"/>
    <x v="0"/>
    <x v="0"/>
    <x v="0"/>
    <x v="0"/>
    <x v="0"/>
    <x v="1"/>
    <x v="0"/>
    <x v="0"/>
    <x v="0"/>
    <x v="0"/>
  </r>
  <r>
    <s v="Inception"/>
    <n v="12"/>
    <n v="252"/>
    <s v="FilmCrave"/>
    <x v="162"/>
    <d v="2010-07-15T00:00:00"/>
    <x v="12"/>
    <x v="367"/>
    <x v="1"/>
    <x v="1"/>
    <x v="0"/>
    <x v="0"/>
    <x v="0"/>
    <x v="0"/>
    <x v="1"/>
    <x v="0"/>
    <x v="0"/>
    <x v="0"/>
    <x v="0"/>
    <x v="0"/>
    <x v="0"/>
    <x v="0"/>
    <x v="0"/>
    <x v="0"/>
    <x v="0"/>
    <x v="0"/>
    <x v="0"/>
  </r>
  <r>
    <s v="The Silence of the Lambs"/>
    <n v="13"/>
    <n v="251"/>
    <s v="FilmCrave"/>
    <x v="106"/>
    <d v="1991-02-14T00:00:00"/>
    <x v="85"/>
    <x v="309"/>
    <x v="0"/>
    <x v="0"/>
    <x v="0"/>
    <x v="0"/>
    <x v="1"/>
    <x v="0"/>
    <x v="0"/>
    <x v="0"/>
    <x v="0"/>
    <x v="0"/>
    <x v="0"/>
    <x v="0"/>
    <x v="0"/>
    <x v="0"/>
    <x v="1"/>
    <x v="0"/>
    <x v="1"/>
    <x v="0"/>
    <x v="0"/>
  </r>
  <r>
    <s v="Star Wars: Episode V - The Empire Strikes Back"/>
    <n v="14"/>
    <n v="250"/>
    <s v="FilmCrave"/>
    <x v="15"/>
    <d v="1980-05-20T00:00:00"/>
    <x v="72"/>
    <x v="312"/>
    <x v="1"/>
    <x v="1"/>
    <x v="0"/>
    <x v="0"/>
    <x v="0"/>
    <x v="0"/>
    <x v="1"/>
    <x v="0"/>
    <x v="0"/>
    <x v="0"/>
    <x v="0"/>
    <x v="0"/>
    <x v="0"/>
    <x v="0"/>
    <x v="0"/>
    <x v="0"/>
    <x v="0"/>
    <x v="0"/>
    <x v="0"/>
  </r>
  <r>
    <s v="Raiders of the Lost Ark"/>
    <n v="15"/>
    <n v="249"/>
    <s v="FilmCrave"/>
    <x v="26"/>
    <d v="1981-06-12T00:00:00"/>
    <x v="9"/>
    <x v="52"/>
    <x v="1"/>
    <x v="1"/>
    <x v="0"/>
    <x v="0"/>
    <x v="0"/>
    <x v="0"/>
    <x v="1"/>
    <x v="0"/>
    <x v="0"/>
    <x v="0"/>
    <x v="0"/>
    <x v="0"/>
    <x v="0"/>
    <x v="0"/>
    <x v="1"/>
    <x v="0"/>
    <x v="0"/>
    <x v="0"/>
    <x v="0"/>
  </r>
  <r>
    <s v="The Godfather: Part II"/>
    <n v="16"/>
    <n v="248"/>
    <s v="FilmCrave"/>
    <x v="51"/>
    <d v="1974-12-20T00:00:00"/>
    <x v="25"/>
    <x v="157"/>
    <x v="0"/>
    <x v="0"/>
    <x v="0"/>
    <x v="0"/>
    <x v="1"/>
    <x v="0"/>
    <x v="0"/>
    <x v="0"/>
    <x v="0"/>
    <x v="0"/>
    <x v="0"/>
    <x v="0"/>
    <x v="0"/>
    <x v="0"/>
    <x v="1"/>
    <x v="0"/>
    <x v="0"/>
    <x v="0"/>
    <x v="0"/>
  </r>
  <r>
    <s v="Lord of the Rings: The Two Towers"/>
    <n v="17"/>
    <n v="247"/>
    <s v="FilmCrave"/>
    <x v="157"/>
    <d v="2002-12-18T00:00:00"/>
    <x v="15"/>
    <x v="358"/>
    <x v="1"/>
    <x v="1"/>
    <x v="0"/>
    <x v="0"/>
    <x v="0"/>
    <x v="0"/>
    <x v="1"/>
    <x v="0"/>
    <x v="1"/>
    <x v="0"/>
    <x v="0"/>
    <x v="0"/>
    <x v="0"/>
    <x v="0"/>
    <x v="1"/>
    <x v="0"/>
    <x v="0"/>
    <x v="0"/>
    <x v="0"/>
  </r>
  <r>
    <s v="Saving Private Ryan"/>
    <n v="18"/>
    <n v="246"/>
    <s v="FilmCrave"/>
    <x v="56"/>
    <d v="1998-07-24T00:00:00"/>
    <x v="28"/>
    <x v="315"/>
    <x v="0"/>
    <x v="0"/>
    <x v="0"/>
    <x v="0"/>
    <x v="0"/>
    <x v="0"/>
    <x v="0"/>
    <x v="0"/>
    <x v="0"/>
    <x v="1"/>
    <x v="0"/>
    <x v="0"/>
    <x v="0"/>
    <x v="0"/>
    <x v="1"/>
    <x v="0"/>
    <x v="0"/>
    <x v="1"/>
    <x v="0"/>
  </r>
  <r>
    <s v="Back to the Future"/>
    <n v="19"/>
    <n v="245"/>
    <s v="FilmCrave"/>
    <x v="165"/>
    <d v="1985-07-03T00:00:00"/>
    <x v="80"/>
    <x v="370"/>
    <x v="0"/>
    <x v="1"/>
    <x v="0"/>
    <x v="1"/>
    <x v="0"/>
    <x v="0"/>
    <x v="1"/>
    <x v="0"/>
    <x v="0"/>
    <x v="0"/>
    <x v="0"/>
    <x v="0"/>
    <x v="0"/>
    <x v="0"/>
    <x v="0"/>
    <x v="0"/>
    <x v="0"/>
    <x v="0"/>
    <x v="0"/>
  </r>
  <r>
    <s v="One Flew Over the Cuckoo's Nest"/>
    <n v="20"/>
    <n v="244"/>
    <s v="FilmCrave"/>
    <x v="6"/>
    <d v="1975-11-19T00:00:00"/>
    <x v="66"/>
    <x v="341"/>
    <x v="0"/>
    <x v="0"/>
    <x v="0"/>
    <x v="0"/>
    <x v="0"/>
    <x v="0"/>
    <x v="0"/>
    <x v="0"/>
    <x v="0"/>
    <x v="0"/>
    <x v="0"/>
    <x v="0"/>
    <x v="0"/>
    <x v="0"/>
    <x v="1"/>
    <x v="0"/>
    <x v="0"/>
    <x v="0"/>
    <x v="0"/>
  </r>
  <r>
    <s v="Star Wars: Episode IV - A New Hope"/>
    <n v="21"/>
    <n v="243"/>
    <s v="FilmCrave"/>
    <x v="15"/>
    <d v="1977-05-25T00:00:00"/>
    <x v="3"/>
    <x v="24"/>
    <x v="1"/>
    <x v="1"/>
    <x v="0"/>
    <x v="0"/>
    <x v="0"/>
    <x v="0"/>
    <x v="1"/>
    <x v="0"/>
    <x v="0"/>
    <x v="0"/>
    <x v="0"/>
    <x v="0"/>
    <x v="0"/>
    <x v="0"/>
    <x v="0"/>
    <x v="0"/>
    <x v="0"/>
    <x v="0"/>
    <x v="0"/>
  </r>
  <r>
    <s v="Se7en"/>
    <n v="22"/>
    <n v="242"/>
    <s v="FilmCrave"/>
    <x v="141"/>
    <d v="1995-09-22T00:00:00"/>
    <x v="96"/>
    <x v="356"/>
    <x v="0"/>
    <x v="0"/>
    <x v="0"/>
    <x v="0"/>
    <x v="1"/>
    <x v="0"/>
    <x v="1"/>
    <x v="0"/>
    <x v="0"/>
    <x v="0"/>
    <x v="0"/>
    <x v="0"/>
    <x v="1"/>
    <x v="0"/>
    <x v="1"/>
    <x v="0"/>
    <x v="1"/>
    <x v="0"/>
    <x v="0"/>
  </r>
  <r>
    <s v="Gladiator"/>
    <n v="23"/>
    <n v="241"/>
    <s v="FilmCrave"/>
    <x v="167"/>
    <d v="2000-05-04T00:00:00"/>
    <x v="27"/>
    <x v="375"/>
    <x v="1"/>
    <x v="1"/>
    <x v="0"/>
    <x v="0"/>
    <x v="0"/>
    <x v="0"/>
    <x v="0"/>
    <x v="0"/>
    <x v="0"/>
    <x v="0"/>
    <x v="0"/>
    <x v="0"/>
    <x v="0"/>
    <x v="0"/>
    <x v="1"/>
    <x v="0"/>
    <x v="0"/>
    <x v="0"/>
    <x v="0"/>
  </r>
  <r>
    <s v="Braveheart"/>
    <n v="24"/>
    <n v="240"/>
    <s v="FilmCrave"/>
    <x v="168"/>
    <d v="1995-05-24T00:00:00"/>
    <x v="96"/>
    <x v="376"/>
    <x v="1"/>
    <x v="0"/>
    <x v="0"/>
    <x v="0"/>
    <x v="0"/>
    <x v="0"/>
    <x v="0"/>
    <x v="0"/>
    <x v="0"/>
    <x v="1"/>
    <x v="0"/>
    <x v="0"/>
    <x v="0"/>
    <x v="0"/>
    <x v="1"/>
    <x v="0"/>
    <x v="0"/>
    <x v="1"/>
    <x v="0"/>
  </r>
  <r>
    <s v="Die Hard"/>
    <n v="25"/>
    <n v="239"/>
    <s v="FilmCrave"/>
    <x v="159"/>
    <d v="1988-07-15T00:00:00"/>
    <x v="11"/>
    <x v="377"/>
    <x v="1"/>
    <x v="0"/>
    <x v="0"/>
    <x v="0"/>
    <x v="0"/>
    <x v="0"/>
    <x v="1"/>
    <x v="0"/>
    <x v="0"/>
    <x v="0"/>
    <x v="0"/>
    <x v="0"/>
    <x v="0"/>
    <x v="0"/>
    <x v="1"/>
    <x v="0"/>
    <x v="1"/>
    <x v="0"/>
    <x v="0"/>
  </r>
  <r>
    <s v="The Departed"/>
    <n v="26"/>
    <n v="238"/>
    <s v="FilmCrave"/>
    <x v="169"/>
    <d v="2006-10-04T00:00:00"/>
    <x v="13"/>
    <x v="378"/>
    <x v="0"/>
    <x v="0"/>
    <x v="0"/>
    <x v="0"/>
    <x v="1"/>
    <x v="0"/>
    <x v="0"/>
    <x v="0"/>
    <x v="0"/>
    <x v="0"/>
    <x v="0"/>
    <x v="0"/>
    <x v="0"/>
    <x v="0"/>
    <x v="1"/>
    <x v="0"/>
    <x v="1"/>
    <x v="0"/>
    <x v="0"/>
  </r>
  <r>
    <s v="The Lion King"/>
    <n v="27"/>
    <n v="237"/>
    <s v="FilmCrave"/>
    <x v="170"/>
    <d v="2019-07-12T00:00:00"/>
    <x v="14"/>
    <x v="379"/>
    <x v="0"/>
    <x v="1"/>
    <x v="1"/>
    <x v="0"/>
    <x v="0"/>
    <x v="0"/>
    <x v="0"/>
    <x v="1"/>
    <x v="0"/>
    <x v="0"/>
    <x v="0"/>
    <x v="0"/>
    <x v="0"/>
    <x v="0"/>
    <x v="1"/>
    <x v="0"/>
    <x v="0"/>
    <x v="0"/>
    <x v="0"/>
  </r>
  <r>
    <s v="The Shining"/>
    <n v="28"/>
    <n v="236"/>
    <s v="FilmCrave"/>
    <x v="85"/>
    <d v="1980-05-23T00:00:00"/>
    <x v="72"/>
    <x v="175"/>
    <x v="0"/>
    <x v="0"/>
    <x v="0"/>
    <x v="0"/>
    <x v="0"/>
    <x v="0"/>
    <x v="1"/>
    <x v="0"/>
    <x v="0"/>
    <x v="0"/>
    <x v="1"/>
    <x v="0"/>
    <x v="0"/>
    <x v="0"/>
    <x v="1"/>
    <x v="0"/>
    <x v="1"/>
    <x v="0"/>
    <x v="0"/>
  </r>
  <r>
    <s v="12 Angry Men"/>
    <n v="29"/>
    <n v="235"/>
    <s v="FilmCrave"/>
    <x v="6"/>
    <d v="1957-04-10T00:00:00"/>
    <x v="52"/>
    <x v="276"/>
    <x v="0"/>
    <x v="0"/>
    <x v="0"/>
    <x v="0"/>
    <x v="0"/>
    <x v="0"/>
    <x v="0"/>
    <x v="0"/>
    <x v="0"/>
    <x v="0"/>
    <x v="0"/>
    <x v="0"/>
    <x v="0"/>
    <x v="0"/>
    <x v="1"/>
    <x v="0"/>
    <x v="0"/>
    <x v="0"/>
    <x v="0"/>
  </r>
  <r>
    <s v="Good, the Bad and the Ugly, The ( buono, il brutto, il cattivo, Il )"/>
    <n v="30"/>
    <n v="234"/>
    <s v="FilmCrave"/>
    <x v="43"/>
    <d v="1966-12-23T00:00:00"/>
    <x v="49"/>
    <x v="84"/>
    <x v="0"/>
    <x v="0"/>
    <x v="0"/>
    <x v="0"/>
    <x v="0"/>
    <x v="0"/>
    <x v="1"/>
    <x v="0"/>
    <x v="0"/>
    <x v="0"/>
    <x v="0"/>
    <x v="0"/>
    <x v="0"/>
    <x v="0"/>
    <x v="1"/>
    <x v="0"/>
    <x v="0"/>
    <x v="0"/>
    <x v="1"/>
  </r>
  <r>
    <s v="Terminator 2: Judgement Day"/>
    <n v="31"/>
    <n v="233"/>
    <s v="FilmCrave"/>
    <x v="138"/>
    <d v="1991-07-03T00:00:00"/>
    <x v="85"/>
    <x v="364"/>
    <x v="1"/>
    <x v="0"/>
    <x v="0"/>
    <x v="0"/>
    <x v="0"/>
    <x v="0"/>
    <x v="1"/>
    <x v="0"/>
    <x v="0"/>
    <x v="0"/>
    <x v="0"/>
    <x v="0"/>
    <x v="0"/>
    <x v="0"/>
    <x v="0"/>
    <x v="0"/>
    <x v="1"/>
    <x v="0"/>
    <x v="0"/>
  </r>
  <r>
    <s v="Psycho"/>
    <n v="32"/>
    <n v="232"/>
    <s v="FilmCrave"/>
    <x v="103"/>
    <d v="1960-06-22T00:00:00"/>
    <x v="86"/>
    <x v="232"/>
    <x v="0"/>
    <x v="0"/>
    <x v="0"/>
    <x v="0"/>
    <x v="0"/>
    <x v="0"/>
    <x v="0"/>
    <x v="0"/>
    <x v="0"/>
    <x v="0"/>
    <x v="1"/>
    <x v="0"/>
    <x v="0"/>
    <x v="0"/>
    <x v="1"/>
    <x v="0"/>
    <x v="1"/>
    <x v="0"/>
    <x v="0"/>
  </r>
  <r>
    <s v="Alien"/>
    <n v="33"/>
    <n v="231"/>
    <s v="FilmCrave"/>
    <x v="57"/>
    <d v="1979-05-25T00:00:00"/>
    <x v="67"/>
    <x v="116"/>
    <x v="0"/>
    <x v="0"/>
    <x v="0"/>
    <x v="0"/>
    <x v="0"/>
    <x v="0"/>
    <x v="1"/>
    <x v="0"/>
    <x v="0"/>
    <x v="0"/>
    <x v="1"/>
    <x v="0"/>
    <x v="0"/>
    <x v="0"/>
    <x v="0"/>
    <x v="0"/>
    <x v="0"/>
    <x v="0"/>
    <x v="0"/>
  </r>
  <r>
    <s v="The Usual Suspects"/>
    <n v="34"/>
    <n v="230"/>
    <s v="FilmCrave"/>
    <x v="140"/>
    <d v="1995-07-19T00:00:00"/>
    <x v="96"/>
    <x v="331"/>
    <x v="0"/>
    <x v="0"/>
    <x v="0"/>
    <x v="0"/>
    <x v="1"/>
    <x v="0"/>
    <x v="0"/>
    <x v="0"/>
    <x v="0"/>
    <x v="0"/>
    <x v="0"/>
    <x v="0"/>
    <x v="0"/>
    <x v="0"/>
    <x v="1"/>
    <x v="0"/>
    <x v="1"/>
    <x v="0"/>
    <x v="0"/>
  </r>
  <r>
    <s v="Toy Story"/>
    <n v="35"/>
    <n v="229"/>
    <s v="FilmCrave"/>
    <x v="119"/>
    <d v="1995-10-30T00:00:00"/>
    <x v="96"/>
    <x v="279"/>
    <x v="0"/>
    <x v="1"/>
    <x v="1"/>
    <x v="1"/>
    <x v="0"/>
    <x v="0"/>
    <x v="1"/>
    <x v="1"/>
    <x v="0"/>
    <x v="0"/>
    <x v="0"/>
    <x v="0"/>
    <x v="0"/>
    <x v="0"/>
    <x v="1"/>
    <x v="0"/>
    <x v="0"/>
    <x v="0"/>
    <x v="0"/>
  </r>
  <r>
    <s v="Memento"/>
    <n v="36"/>
    <n v="228"/>
    <s v="FilmCrave"/>
    <x v="171"/>
    <d v="2000-10-11T00:00:00"/>
    <x v="27"/>
    <x v="380"/>
    <x v="0"/>
    <x v="0"/>
    <x v="0"/>
    <x v="0"/>
    <x v="0"/>
    <x v="0"/>
    <x v="1"/>
    <x v="0"/>
    <x v="0"/>
    <x v="0"/>
    <x v="0"/>
    <x v="0"/>
    <x v="1"/>
    <x v="0"/>
    <x v="1"/>
    <x v="0"/>
    <x v="1"/>
    <x v="0"/>
    <x v="0"/>
  </r>
  <r>
    <s v="Casablanca"/>
    <n v="37"/>
    <n v="227"/>
    <s v="FilmCrave"/>
    <x v="12"/>
    <d v="1943-01-15T00:00:00"/>
    <x v="41"/>
    <x v="201"/>
    <x v="0"/>
    <x v="0"/>
    <x v="0"/>
    <x v="0"/>
    <x v="0"/>
    <x v="0"/>
    <x v="0"/>
    <x v="0"/>
    <x v="0"/>
    <x v="0"/>
    <x v="0"/>
    <x v="0"/>
    <x v="0"/>
    <x v="1"/>
    <x v="1"/>
    <x v="0"/>
    <x v="0"/>
    <x v="0"/>
    <x v="0"/>
  </r>
  <r>
    <s v="Taxi Driver"/>
    <n v="38"/>
    <n v="226"/>
    <s v="FilmCrave"/>
    <x v="48"/>
    <d v="1976-02-09T00:00:00"/>
    <x v="44"/>
    <x v="235"/>
    <x v="0"/>
    <x v="0"/>
    <x v="0"/>
    <x v="0"/>
    <x v="1"/>
    <x v="0"/>
    <x v="0"/>
    <x v="0"/>
    <x v="0"/>
    <x v="0"/>
    <x v="0"/>
    <x v="0"/>
    <x v="0"/>
    <x v="0"/>
    <x v="1"/>
    <x v="0"/>
    <x v="0"/>
    <x v="0"/>
    <x v="0"/>
  </r>
  <r>
    <s v="Reservoir Dogs"/>
    <n v="39"/>
    <n v="225"/>
    <s v="FilmCrave"/>
    <x v="30"/>
    <d v="1992-09-02T00:00:00"/>
    <x v="18"/>
    <x v="316"/>
    <x v="0"/>
    <x v="0"/>
    <x v="0"/>
    <x v="0"/>
    <x v="1"/>
    <x v="0"/>
    <x v="1"/>
    <x v="0"/>
    <x v="0"/>
    <x v="0"/>
    <x v="0"/>
    <x v="0"/>
    <x v="0"/>
    <x v="0"/>
    <x v="1"/>
    <x v="0"/>
    <x v="1"/>
    <x v="0"/>
    <x v="0"/>
  </r>
  <r>
    <s v="American History X"/>
    <n v="40"/>
    <n v="224"/>
    <s v="FilmCrave"/>
    <x v="6"/>
    <d v="1998-07-01T00:00:00"/>
    <x v="28"/>
    <x v="381"/>
    <x v="0"/>
    <x v="0"/>
    <x v="0"/>
    <x v="0"/>
    <x v="0"/>
    <x v="0"/>
    <x v="0"/>
    <x v="0"/>
    <x v="0"/>
    <x v="0"/>
    <x v="0"/>
    <x v="0"/>
    <x v="0"/>
    <x v="0"/>
    <x v="1"/>
    <x v="0"/>
    <x v="0"/>
    <x v="0"/>
    <x v="0"/>
  </r>
  <r>
    <s v="Apocalypse Now"/>
    <n v="41"/>
    <n v="223"/>
    <s v="FilmCrave"/>
    <x v="22"/>
    <d v="1979-08-15T00:00:00"/>
    <x v="67"/>
    <x v="245"/>
    <x v="0"/>
    <x v="0"/>
    <x v="0"/>
    <x v="0"/>
    <x v="0"/>
    <x v="0"/>
    <x v="0"/>
    <x v="0"/>
    <x v="0"/>
    <x v="0"/>
    <x v="0"/>
    <x v="0"/>
    <x v="0"/>
    <x v="0"/>
    <x v="1"/>
    <x v="0"/>
    <x v="0"/>
    <x v="1"/>
    <x v="0"/>
  </r>
  <r>
    <s v="Jurassic Park"/>
    <n v="42"/>
    <n v="222"/>
    <s v="FilmCrave"/>
    <x v="164"/>
    <d v="1993-06-11T00:00:00"/>
    <x v="29"/>
    <x v="369"/>
    <x v="0"/>
    <x v="1"/>
    <x v="0"/>
    <x v="0"/>
    <x v="0"/>
    <x v="0"/>
    <x v="1"/>
    <x v="0"/>
    <x v="0"/>
    <x v="0"/>
    <x v="0"/>
    <x v="0"/>
    <x v="0"/>
    <x v="0"/>
    <x v="0"/>
    <x v="0"/>
    <x v="0"/>
    <x v="0"/>
    <x v="0"/>
  </r>
  <r>
    <s v="Rear Window"/>
    <n v="43"/>
    <n v="221"/>
    <s v="FilmCrave"/>
    <x v="94"/>
    <d v="1954-08-01T00:00:00"/>
    <x v="76"/>
    <x v="224"/>
    <x v="0"/>
    <x v="0"/>
    <x v="0"/>
    <x v="0"/>
    <x v="0"/>
    <x v="0"/>
    <x v="1"/>
    <x v="0"/>
    <x v="0"/>
    <x v="0"/>
    <x v="0"/>
    <x v="0"/>
    <x v="1"/>
    <x v="0"/>
    <x v="1"/>
    <x v="0"/>
    <x v="1"/>
    <x v="0"/>
    <x v="0"/>
  </r>
  <r>
    <s v="The Green Mile"/>
    <n v="44"/>
    <n v="220"/>
    <s v="FilmCrave"/>
    <x v="172"/>
    <d v="1999-12-10T00:00:00"/>
    <x v="54"/>
    <x v="382"/>
    <x v="0"/>
    <x v="0"/>
    <x v="0"/>
    <x v="0"/>
    <x v="1"/>
    <x v="0"/>
    <x v="0"/>
    <x v="0"/>
    <x v="1"/>
    <x v="0"/>
    <x v="0"/>
    <x v="0"/>
    <x v="0"/>
    <x v="0"/>
    <x v="1"/>
    <x v="0"/>
    <x v="0"/>
    <x v="0"/>
    <x v="0"/>
  </r>
  <r>
    <s v="Batman Begins"/>
    <n v="45"/>
    <n v="219"/>
    <s v="FilmCrave"/>
    <x v="173"/>
    <d v="2005-06-10T00:00:00"/>
    <x v="30"/>
    <x v="383"/>
    <x v="1"/>
    <x v="0"/>
    <x v="0"/>
    <x v="0"/>
    <x v="1"/>
    <x v="0"/>
    <x v="0"/>
    <x v="0"/>
    <x v="0"/>
    <x v="0"/>
    <x v="0"/>
    <x v="0"/>
    <x v="0"/>
    <x v="0"/>
    <x v="1"/>
    <x v="0"/>
    <x v="0"/>
    <x v="0"/>
    <x v="0"/>
  </r>
  <r>
    <s v="The Sixth Sense"/>
    <n v="46"/>
    <n v="218"/>
    <s v="FilmCrave"/>
    <x v="174"/>
    <d v="1999-08-06T00:00:00"/>
    <x v="54"/>
    <x v="384"/>
    <x v="0"/>
    <x v="0"/>
    <x v="0"/>
    <x v="0"/>
    <x v="0"/>
    <x v="0"/>
    <x v="0"/>
    <x v="0"/>
    <x v="0"/>
    <x v="0"/>
    <x v="0"/>
    <x v="0"/>
    <x v="1"/>
    <x v="0"/>
    <x v="1"/>
    <x v="0"/>
    <x v="1"/>
    <x v="0"/>
    <x v="0"/>
  </r>
  <r>
    <s v="Eternal Sunshine of the Spotless Mind"/>
    <n v="47"/>
    <n v="217"/>
    <s v="FilmCrave"/>
    <x v="104"/>
    <d v="2004-03-19T00:00:00"/>
    <x v="83"/>
    <x v="357"/>
    <x v="0"/>
    <x v="0"/>
    <x v="0"/>
    <x v="0"/>
    <x v="0"/>
    <x v="0"/>
    <x v="0"/>
    <x v="0"/>
    <x v="0"/>
    <x v="0"/>
    <x v="0"/>
    <x v="0"/>
    <x v="0"/>
    <x v="1"/>
    <x v="0"/>
    <x v="0"/>
    <x v="0"/>
    <x v="0"/>
    <x v="0"/>
  </r>
  <r>
    <s v="American Beauty"/>
    <n v="48"/>
    <n v="216"/>
    <s v="FilmCrave"/>
    <x v="6"/>
    <d v="1999-09-15T00:00:00"/>
    <x v="54"/>
    <x v="385"/>
    <x v="0"/>
    <x v="0"/>
    <x v="0"/>
    <x v="0"/>
    <x v="0"/>
    <x v="0"/>
    <x v="0"/>
    <x v="0"/>
    <x v="0"/>
    <x v="0"/>
    <x v="0"/>
    <x v="0"/>
    <x v="0"/>
    <x v="0"/>
    <x v="1"/>
    <x v="0"/>
    <x v="0"/>
    <x v="0"/>
    <x v="0"/>
  </r>
  <r>
    <s v="Star Wars: Episode VI - Return of the Jedi"/>
    <n v="49"/>
    <n v="215"/>
    <s v="FilmCrave"/>
    <x v="15"/>
    <d v="1983-05-25T00:00:00"/>
    <x v="0"/>
    <x v="333"/>
    <x v="1"/>
    <x v="1"/>
    <x v="0"/>
    <x v="0"/>
    <x v="0"/>
    <x v="0"/>
    <x v="1"/>
    <x v="0"/>
    <x v="0"/>
    <x v="0"/>
    <x v="0"/>
    <x v="0"/>
    <x v="0"/>
    <x v="0"/>
    <x v="0"/>
    <x v="0"/>
    <x v="0"/>
    <x v="0"/>
    <x v="0"/>
  </r>
  <r>
    <s v="Spider-Man: Into the Spider-Verse"/>
    <n v="50"/>
    <n v="214"/>
    <s v="FilmCrave"/>
    <x v="146"/>
    <d v="2018-12-06T00:00:00"/>
    <x v="51"/>
    <x v="339"/>
    <x v="1"/>
    <x v="1"/>
    <x v="1"/>
    <x v="0"/>
    <x v="0"/>
    <x v="0"/>
    <x v="1"/>
    <x v="0"/>
    <x v="0"/>
    <x v="0"/>
    <x v="0"/>
    <x v="0"/>
    <x v="0"/>
    <x v="0"/>
    <x v="0"/>
    <x v="0"/>
    <x v="0"/>
    <x v="0"/>
    <x v="0"/>
  </r>
  <r>
    <s v="Finding Nemo"/>
    <n v="51"/>
    <n v="213"/>
    <s v="FilmCrave"/>
    <x v="156"/>
    <d v="2003-05-30T00:00:00"/>
    <x v="79"/>
    <x v="386"/>
    <x v="0"/>
    <x v="0"/>
    <x v="1"/>
    <x v="0"/>
    <x v="0"/>
    <x v="0"/>
    <x v="1"/>
    <x v="1"/>
    <x v="0"/>
    <x v="0"/>
    <x v="0"/>
    <x v="0"/>
    <x v="0"/>
    <x v="0"/>
    <x v="1"/>
    <x v="0"/>
    <x v="0"/>
    <x v="0"/>
    <x v="0"/>
  </r>
  <r>
    <s v="The Avengers"/>
    <n v="52"/>
    <n v="212"/>
    <s v="FilmCrave"/>
    <x v="175"/>
    <d v="2012-04-25T00:00:00"/>
    <x v="98"/>
    <x v="387"/>
    <x v="1"/>
    <x v="1"/>
    <x v="0"/>
    <x v="0"/>
    <x v="0"/>
    <x v="0"/>
    <x v="1"/>
    <x v="0"/>
    <x v="0"/>
    <x v="0"/>
    <x v="0"/>
    <x v="0"/>
    <x v="0"/>
    <x v="0"/>
    <x v="0"/>
    <x v="0"/>
    <x v="0"/>
    <x v="0"/>
    <x v="0"/>
  </r>
  <r>
    <s v="Up"/>
    <n v="53"/>
    <n v="211"/>
    <s v="FilmCrave"/>
    <x v="176"/>
    <d v="2009-05-28T00:00:00"/>
    <x v="70"/>
    <x v="388"/>
    <x v="0"/>
    <x v="1"/>
    <x v="1"/>
    <x v="1"/>
    <x v="0"/>
    <x v="0"/>
    <x v="1"/>
    <x v="1"/>
    <x v="0"/>
    <x v="0"/>
    <x v="0"/>
    <x v="0"/>
    <x v="0"/>
    <x v="0"/>
    <x v="1"/>
    <x v="0"/>
    <x v="0"/>
    <x v="0"/>
    <x v="0"/>
  </r>
  <r>
    <s v="Parasite ( Gisaengchung )"/>
    <n v="54"/>
    <n v="210"/>
    <s v="FilmCrave"/>
    <x v="163"/>
    <d v="2019-05-30T00:00:00"/>
    <x v="14"/>
    <x v="170"/>
    <x v="0"/>
    <x v="0"/>
    <x v="0"/>
    <x v="1"/>
    <x v="0"/>
    <x v="0"/>
    <x v="0"/>
    <x v="0"/>
    <x v="0"/>
    <x v="0"/>
    <x v="0"/>
    <x v="0"/>
    <x v="0"/>
    <x v="0"/>
    <x v="1"/>
    <x v="0"/>
    <x v="1"/>
    <x v="0"/>
    <x v="0"/>
  </r>
  <r>
    <s v="Aliens"/>
    <n v="55"/>
    <n v="209"/>
    <s v="FilmCrave"/>
    <x v="138"/>
    <d v="1986-07-18T00:00:00"/>
    <x v="31"/>
    <x v="187"/>
    <x v="1"/>
    <x v="0"/>
    <x v="0"/>
    <x v="0"/>
    <x v="0"/>
    <x v="0"/>
    <x v="1"/>
    <x v="0"/>
    <x v="0"/>
    <x v="0"/>
    <x v="0"/>
    <x v="0"/>
    <x v="0"/>
    <x v="0"/>
    <x v="0"/>
    <x v="0"/>
    <x v="1"/>
    <x v="0"/>
    <x v="0"/>
  </r>
  <r>
    <s v="Spirited Away ( Sen to Chihiro no kamikakushi )"/>
    <n v="56"/>
    <n v="208"/>
    <s v="FilmCrave"/>
    <x v="90"/>
    <d v="2001-07-20T00:00:00"/>
    <x v="16"/>
    <x v="389"/>
    <x v="0"/>
    <x v="0"/>
    <x v="1"/>
    <x v="0"/>
    <x v="0"/>
    <x v="0"/>
    <x v="1"/>
    <x v="1"/>
    <x v="1"/>
    <x v="0"/>
    <x v="0"/>
    <x v="0"/>
    <x v="0"/>
    <x v="0"/>
    <x v="1"/>
    <x v="0"/>
    <x v="0"/>
    <x v="0"/>
    <x v="0"/>
  </r>
  <r>
    <s v="Citizen Kane"/>
    <n v="57"/>
    <n v="207"/>
    <s v="FilmCrave"/>
    <x v="46"/>
    <d v="1941-04-17T00:00:00"/>
    <x v="2"/>
    <x v="261"/>
    <x v="0"/>
    <x v="0"/>
    <x v="0"/>
    <x v="0"/>
    <x v="0"/>
    <x v="0"/>
    <x v="0"/>
    <x v="0"/>
    <x v="0"/>
    <x v="0"/>
    <x v="0"/>
    <x v="0"/>
    <x v="1"/>
    <x v="0"/>
    <x v="1"/>
    <x v="0"/>
    <x v="0"/>
    <x v="0"/>
    <x v="0"/>
  </r>
  <r>
    <s v="The Wizard of Oz"/>
    <n v="58"/>
    <n v="206"/>
    <s v="FilmCrave"/>
    <x v="78"/>
    <d v="1939-08-15T00:00:00"/>
    <x v="75"/>
    <x v="155"/>
    <x v="0"/>
    <x v="1"/>
    <x v="0"/>
    <x v="0"/>
    <x v="0"/>
    <x v="0"/>
    <x v="1"/>
    <x v="1"/>
    <x v="1"/>
    <x v="0"/>
    <x v="0"/>
    <x v="0"/>
    <x v="0"/>
    <x v="0"/>
    <x v="1"/>
    <x v="0"/>
    <x v="0"/>
    <x v="0"/>
    <x v="0"/>
  </r>
  <r>
    <s v="The Princess Bride"/>
    <n v="59"/>
    <n v="205"/>
    <s v="FilmCrave"/>
    <x v="177"/>
    <d v="1987-09-25T00:00:00"/>
    <x v="53"/>
    <x v="390"/>
    <x v="0"/>
    <x v="1"/>
    <x v="0"/>
    <x v="1"/>
    <x v="0"/>
    <x v="0"/>
    <x v="1"/>
    <x v="1"/>
    <x v="1"/>
    <x v="0"/>
    <x v="0"/>
    <x v="0"/>
    <x v="0"/>
    <x v="1"/>
    <x v="1"/>
    <x v="0"/>
    <x v="0"/>
    <x v="0"/>
    <x v="0"/>
  </r>
  <r>
    <s v="Full Metal Jacket"/>
    <n v="60"/>
    <n v="204"/>
    <s v="FilmCrave"/>
    <x v="22"/>
    <d v="1987-06-26T00:00:00"/>
    <x v="53"/>
    <x v="391"/>
    <x v="0"/>
    <x v="0"/>
    <x v="0"/>
    <x v="0"/>
    <x v="0"/>
    <x v="0"/>
    <x v="0"/>
    <x v="0"/>
    <x v="0"/>
    <x v="0"/>
    <x v="0"/>
    <x v="0"/>
    <x v="0"/>
    <x v="0"/>
    <x v="1"/>
    <x v="0"/>
    <x v="0"/>
    <x v="1"/>
    <x v="0"/>
  </r>
  <r>
    <s v="Wall-E"/>
    <n v="61"/>
    <n v="203"/>
    <s v="FilmCrave"/>
    <x v="12"/>
    <d v="1968-02-07T00:00:00"/>
    <x v="21"/>
    <x v="392"/>
    <x v="0"/>
    <x v="0"/>
    <x v="0"/>
    <x v="0"/>
    <x v="0"/>
    <x v="0"/>
    <x v="0"/>
    <x v="0"/>
    <x v="0"/>
    <x v="0"/>
    <x v="0"/>
    <x v="0"/>
    <x v="0"/>
    <x v="1"/>
    <x v="1"/>
    <x v="0"/>
    <x v="0"/>
    <x v="0"/>
    <x v="0"/>
  </r>
  <r>
    <s v="Unforgiven"/>
    <n v="62"/>
    <n v="202"/>
    <s v="FilmCrave"/>
    <x v="43"/>
    <d v="1992-08-07T00:00:00"/>
    <x v="18"/>
    <x v="393"/>
    <x v="0"/>
    <x v="0"/>
    <x v="0"/>
    <x v="0"/>
    <x v="0"/>
    <x v="0"/>
    <x v="1"/>
    <x v="0"/>
    <x v="0"/>
    <x v="0"/>
    <x v="0"/>
    <x v="0"/>
    <x v="0"/>
    <x v="0"/>
    <x v="1"/>
    <x v="0"/>
    <x v="0"/>
    <x v="0"/>
    <x v="1"/>
  </r>
  <r>
    <s v="Jaws"/>
    <n v="63"/>
    <n v="201"/>
    <s v="FilmCrave"/>
    <x v="80"/>
    <d v="1975-06-20T00:00:00"/>
    <x v="66"/>
    <x v="158"/>
    <x v="0"/>
    <x v="1"/>
    <x v="0"/>
    <x v="0"/>
    <x v="0"/>
    <x v="0"/>
    <x v="1"/>
    <x v="0"/>
    <x v="0"/>
    <x v="0"/>
    <x v="1"/>
    <x v="0"/>
    <x v="0"/>
    <x v="0"/>
    <x v="1"/>
    <x v="0"/>
    <x v="1"/>
    <x v="0"/>
    <x v="0"/>
  </r>
  <r>
    <s v="It's a Wonderful Life"/>
    <n v="64"/>
    <n v="200"/>
    <s v="FilmCrave"/>
    <x v="63"/>
    <d v="1946-12-20T00:00:00"/>
    <x v="5"/>
    <x v="129"/>
    <x v="0"/>
    <x v="0"/>
    <x v="0"/>
    <x v="0"/>
    <x v="0"/>
    <x v="0"/>
    <x v="0"/>
    <x v="1"/>
    <x v="1"/>
    <x v="0"/>
    <x v="0"/>
    <x v="0"/>
    <x v="0"/>
    <x v="0"/>
    <x v="1"/>
    <x v="0"/>
    <x v="0"/>
    <x v="0"/>
    <x v="0"/>
  </r>
  <r>
    <s v="Toy Story 3"/>
    <n v="65"/>
    <n v="199"/>
    <s v="FilmCrave"/>
    <x v="178"/>
    <d v="2010-06-16T00:00:00"/>
    <x v="12"/>
    <x v="394"/>
    <x v="0"/>
    <x v="0"/>
    <x v="1"/>
    <x v="1"/>
    <x v="0"/>
    <x v="0"/>
    <x v="1"/>
    <x v="1"/>
    <x v="0"/>
    <x v="0"/>
    <x v="0"/>
    <x v="0"/>
    <x v="0"/>
    <x v="0"/>
    <x v="1"/>
    <x v="0"/>
    <x v="0"/>
    <x v="0"/>
    <x v="0"/>
  </r>
  <r>
    <s v="To Kill a Mockingbird"/>
    <n v="66"/>
    <n v="198"/>
    <s v="FilmCrave"/>
    <x v="6"/>
    <d v="1962-12-20T00:00:00"/>
    <x v="42"/>
    <x v="395"/>
    <x v="0"/>
    <x v="0"/>
    <x v="0"/>
    <x v="0"/>
    <x v="0"/>
    <x v="0"/>
    <x v="0"/>
    <x v="0"/>
    <x v="0"/>
    <x v="0"/>
    <x v="0"/>
    <x v="0"/>
    <x v="0"/>
    <x v="0"/>
    <x v="1"/>
    <x v="0"/>
    <x v="0"/>
    <x v="0"/>
    <x v="0"/>
  </r>
  <r>
    <s v="Indiana Jones and the Last Crusade"/>
    <n v="67"/>
    <n v="197"/>
    <s v="FilmCrave"/>
    <x v="26"/>
    <d v="1989-05-24T00:00:00"/>
    <x v="61"/>
    <x v="360"/>
    <x v="1"/>
    <x v="1"/>
    <x v="0"/>
    <x v="0"/>
    <x v="0"/>
    <x v="0"/>
    <x v="1"/>
    <x v="0"/>
    <x v="0"/>
    <x v="0"/>
    <x v="0"/>
    <x v="0"/>
    <x v="0"/>
    <x v="0"/>
    <x v="1"/>
    <x v="0"/>
    <x v="0"/>
    <x v="0"/>
    <x v="0"/>
  </r>
  <r>
    <s v="The Dark Knight Rises"/>
    <n v="68"/>
    <n v="196"/>
    <s v="FilmCrave"/>
    <x v="179"/>
    <d v="2012-07-17T00:00:00"/>
    <x v="98"/>
    <x v="396"/>
    <x v="1"/>
    <x v="0"/>
    <x v="0"/>
    <x v="0"/>
    <x v="1"/>
    <x v="0"/>
    <x v="0"/>
    <x v="0"/>
    <x v="0"/>
    <x v="0"/>
    <x v="0"/>
    <x v="0"/>
    <x v="0"/>
    <x v="0"/>
    <x v="1"/>
    <x v="0"/>
    <x v="1"/>
    <x v="0"/>
    <x v="0"/>
  </r>
  <r>
    <s v="Blade Runner"/>
    <n v="69"/>
    <n v="195"/>
    <s v="FilmCrave"/>
    <x v="96"/>
    <d v="1982-06-25T00:00:00"/>
    <x v="74"/>
    <x v="210"/>
    <x v="0"/>
    <x v="0"/>
    <x v="0"/>
    <x v="0"/>
    <x v="0"/>
    <x v="0"/>
    <x v="0"/>
    <x v="0"/>
    <x v="0"/>
    <x v="0"/>
    <x v="0"/>
    <x v="0"/>
    <x v="0"/>
    <x v="0"/>
    <x v="0"/>
    <x v="0"/>
    <x v="1"/>
    <x v="0"/>
    <x v="0"/>
  </r>
  <r>
    <s v="Professional, The ( LÃ©on )"/>
    <n v="70"/>
    <n v="194"/>
    <s v="FilmCrave"/>
    <x v="136"/>
    <d v="1994-09-14T00:00:00"/>
    <x v="71"/>
    <x v="322"/>
    <x v="1"/>
    <x v="0"/>
    <x v="0"/>
    <x v="0"/>
    <x v="1"/>
    <x v="0"/>
    <x v="0"/>
    <x v="0"/>
    <x v="0"/>
    <x v="0"/>
    <x v="0"/>
    <x v="0"/>
    <x v="0"/>
    <x v="0"/>
    <x v="1"/>
    <x v="0"/>
    <x v="0"/>
    <x v="0"/>
    <x v="0"/>
  </r>
  <r>
    <s v="No Country for Old Men"/>
    <n v="71"/>
    <n v="193"/>
    <s v="FilmCrave"/>
    <x v="106"/>
    <d v="2007-06-13T00:00:00"/>
    <x v="4"/>
    <x v="325"/>
    <x v="0"/>
    <x v="0"/>
    <x v="0"/>
    <x v="0"/>
    <x v="1"/>
    <x v="0"/>
    <x v="0"/>
    <x v="0"/>
    <x v="0"/>
    <x v="0"/>
    <x v="0"/>
    <x v="0"/>
    <x v="0"/>
    <x v="0"/>
    <x v="1"/>
    <x v="0"/>
    <x v="1"/>
    <x v="0"/>
    <x v="0"/>
  </r>
  <r>
    <s v="Pirates of the Caribbean: The Curse of the Black Pearl"/>
    <n v="72"/>
    <n v="192"/>
    <s v="FilmCrave"/>
    <x v="157"/>
    <d v="2003-07-09T00:00:00"/>
    <x v="79"/>
    <x v="397"/>
    <x v="1"/>
    <x v="1"/>
    <x v="0"/>
    <x v="0"/>
    <x v="0"/>
    <x v="0"/>
    <x v="1"/>
    <x v="0"/>
    <x v="1"/>
    <x v="0"/>
    <x v="0"/>
    <x v="0"/>
    <x v="0"/>
    <x v="0"/>
    <x v="1"/>
    <x v="0"/>
    <x v="0"/>
    <x v="0"/>
    <x v="0"/>
  </r>
  <r>
    <s v="Inglourious Basterds"/>
    <n v="73"/>
    <n v="191"/>
    <s v="FilmCrave"/>
    <x v="147"/>
    <d v="2009-08-19T00:00:00"/>
    <x v="70"/>
    <x v="340"/>
    <x v="0"/>
    <x v="0"/>
    <x v="0"/>
    <x v="0"/>
    <x v="0"/>
    <x v="0"/>
    <x v="0"/>
    <x v="0"/>
    <x v="0"/>
    <x v="0"/>
    <x v="0"/>
    <x v="0"/>
    <x v="0"/>
    <x v="0"/>
    <x v="1"/>
    <x v="0"/>
    <x v="1"/>
    <x v="1"/>
    <x v="0"/>
  </r>
  <r>
    <s v="Pan's Labyrinth ( laberinto del fauno, El )"/>
    <n v="74"/>
    <n v="190"/>
    <s v="FilmCrave"/>
    <x v="122"/>
    <d v="2006-10-10T00:00:00"/>
    <x v="13"/>
    <x v="287"/>
    <x v="0"/>
    <x v="0"/>
    <x v="0"/>
    <x v="0"/>
    <x v="0"/>
    <x v="0"/>
    <x v="0"/>
    <x v="0"/>
    <x v="1"/>
    <x v="0"/>
    <x v="0"/>
    <x v="0"/>
    <x v="0"/>
    <x v="0"/>
    <x v="1"/>
    <x v="0"/>
    <x v="0"/>
    <x v="1"/>
    <x v="0"/>
  </r>
  <r>
    <s v="Seven Samurai, The ( Shichinin no samurai )"/>
    <n v="75"/>
    <n v="189"/>
    <s v="FilmCrave"/>
    <x v="107"/>
    <d v="1954-04-26T00:00:00"/>
    <x v="76"/>
    <x v="244"/>
    <x v="1"/>
    <x v="0"/>
    <x v="0"/>
    <x v="0"/>
    <x v="0"/>
    <x v="0"/>
    <x v="0"/>
    <x v="0"/>
    <x v="0"/>
    <x v="0"/>
    <x v="0"/>
    <x v="0"/>
    <x v="0"/>
    <x v="0"/>
    <x v="1"/>
    <x v="0"/>
    <x v="0"/>
    <x v="0"/>
    <x v="0"/>
  </r>
  <r>
    <s v="A Clockwork Orange"/>
    <n v="76"/>
    <n v="188"/>
    <s v="FilmCrave"/>
    <x v="7"/>
    <d v="1971-12-19T00:00:00"/>
    <x v="7"/>
    <x v="7"/>
    <x v="0"/>
    <x v="0"/>
    <x v="0"/>
    <x v="0"/>
    <x v="1"/>
    <x v="0"/>
    <x v="1"/>
    <x v="0"/>
    <x v="0"/>
    <x v="0"/>
    <x v="0"/>
    <x v="0"/>
    <x v="0"/>
    <x v="0"/>
    <x v="0"/>
    <x v="0"/>
    <x v="0"/>
    <x v="0"/>
    <x v="0"/>
  </r>
  <r>
    <s v="Avatar"/>
    <n v="77"/>
    <n v="187"/>
    <s v="FilmCrave"/>
    <x v="180"/>
    <d v="2009-12-15T00:00:00"/>
    <x v="70"/>
    <x v="398"/>
    <x v="1"/>
    <x v="1"/>
    <x v="0"/>
    <x v="0"/>
    <x v="0"/>
    <x v="0"/>
    <x v="1"/>
    <x v="0"/>
    <x v="1"/>
    <x v="0"/>
    <x v="0"/>
    <x v="0"/>
    <x v="0"/>
    <x v="0"/>
    <x v="0"/>
    <x v="0"/>
    <x v="0"/>
    <x v="0"/>
    <x v="0"/>
  </r>
  <r>
    <s v="The Big Lebowski"/>
    <n v="78"/>
    <n v="186"/>
    <s v="FilmCrave"/>
    <x v="155"/>
    <d v="1998-03-06T00:00:00"/>
    <x v="28"/>
    <x v="354"/>
    <x v="0"/>
    <x v="0"/>
    <x v="0"/>
    <x v="1"/>
    <x v="1"/>
    <x v="0"/>
    <x v="1"/>
    <x v="0"/>
    <x v="0"/>
    <x v="0"/>
    <x v="0"/>
    <x v="0"/>
    <x v="0"/>
    <x v="0"/>
    <x v="1"/>
    <x v="0"/>
    <x v="0"/>
    <x v="0"/>
    <x v="0"/>
  </r>
  <r>
    <s v="Raging Bull"/>
    <n v="79"/>
    <n v="185"/>
    <s v="FilmCrave"/>
    <x v="6"/>
    <d v="1980-11-14T00:00:00"/>
    <x v="72"/>
    <x v="133"/>
    <x v="0"/>
    <x v="0"/>
    <x v="0"/>
    <x v="0"/>
    <x v="0"/>
    <x v="0"/>
    <x v="0"/>
    <x v="0"/>
    <x v="0"/>
    <x v="0"/>
    <x v="0"/>
    <x v="0"/>
    <x v="0"/>
    <x v="0"/>
    <x v="1"/>
    <x v="0"/>
    <x v="0"/>
    <x v="0"/>
    <x v="0"/>
  </r>
  <r>
    <s v="Fargo"/>
    <n v="80"/>
    <n v="184"/>
    <s v="FilmCrave"/>
    <x v="106"/>
    <d v="1996-03-08T00:00:00"/>
    <x v="20"/>
    <x v="307"/>
    <x v="0"/>
    <x v="0"/>
    <x v="0"/>
    <x v="0"/>
    <x v="1"/>
    <x v="0"/>
    <x v="0"/>
    <x v="0"/>
    <x v="0"/>
    <x v="0"/>
    <x v="0"/>
    <x v="0"/>
    <x v="0"/>
    <x v="0"/>
    <x v="1"/>
    <x v="0"/>
    <x v="1"/>
    <x v="0"/>
    <x v="0"/>
  </r>
  <r>
    <s v="Iron Man"/>
    <n v="81"/>
    <n v="183"/>
    <s v="FilmCrave"/>
    <x v="162"/>
    <d v="2008-04-30T00:00:00"/>
    <x v="48"/>
    <x v="399"/>
    <x v="1"/>
    <x v="1"/>
    <x v="0"/>
    <x v="0"/>
    <x v="0"/>
    <x v="0"/>
    <x v="1"/>
    <x v="0"/>
    <x v="0"/>
    <x v="0"/>
    <x v="0"/>
    <x v="0"/>
    <x v="0"/>
    <x v="0"/>
    <x v="0"/>
    <x v="0"/>
    <x v="0"/>
    <x v="0"/>
    <x v="0"/>
  </r>
  <r>
    <s v="The Bourne Identity"/>
    <n v="82"/>
    <n v="182"/>
    <s v="FilmCrave"/>
    <x v="181"/>
    <d v="2002-06-14T00:00:00"/>
    <x v="15"/>
    <x v="400"/>
    <x v="1"/>
    <x v="0"/>
    <x v="0"/>
    <x v="0"/>
    <x v="0"/>
    <x v="0"/>
    <x v="0"/>
    <x v="0"/>
    <x v="0"/>
    <x v="0"/>
    <x v="0"/>
    <x v="0"/>
    <x v="1"/>
    <x v="0"/>
    <x v="1"/>
    <x v="0"/>
    <x v="1"/>
    <x v="0"/>
    <x v="0"/>
  </r>
  <r>
    <s v="Stand by Me"/>
    <n v="83"/>
    <n v="181"/>
    <s v="FilmCrave"/>
    <x v="182"/>
    <d v="2014-08-08T00:00:00"/>
    <x v="59"/>
    <x v="401"/>
    <x v="0"/>
    <x v="0"/>
    <x v="1"/>
    <x v="0"/>
    <x v="0"/>
    <x v="0"/>
    <x v="1"/>
    <x v="1"/>
    <x v="1"/>
    <x v="0"/>
    <x v="0"/>
    <x v="0"/>
    <x v="0"/>
    <x v="0"/>
    <x v="0"/>
    <x v="0"/>
    <x v="0"/>
    <x v="0"/>
    <x v="0"/>
  </r>
  <r>
    <s v="Monty Python and the Holy Grail"/>
    <n v="84"/>
    <n v="180"/>
    <s v="FilmCrave"/>
    <x v="183"/>
    <d v="1975-05-25T00:00:00"/>
    <x v="66"/>
    <x v="402"/>
    <x v="0"/>
    <x v="1"/>
    <x v="0"/>
    <x v="1"/>
    <x v="0"/>
    <x v="0"/>
    <x v="1"/>
    <x v="0"/>
    <x v="1"/>
    <x v="0"/>
    <x v="0"/>
    <x v="0"/>
    <x v="0"/>
    <x v="0"/>
    <x v="1"/>
    <x v="0"/>
    <x v="0"/>
    <x v="0"/>
    <x v="0"/>
  </r>
  <r>
    <s v="Whiplash"/>
    <n v="85"/>
    <n v="179"/>
    <s v="FilmCrave"/>
    <x v="11"/>
    <d v="2014-10-10T00:00:00"/>
    <x v="59"/>
    <x v="351"/>
    <x v="0"/>
    <x v="0"/>
    <x v="0"/>
    <x v="0"/>
    <x v="0"/>
    <x v="0"/>
    <x v="0"/>
    <x v="0"/>
    <x v="0"/>
    <x v="0"/>
    <x v="0"/>
    <x v="1"/>
    <x v="0"/>
    <x v="0"/>
    <x v="1"/>
    <x v="0"/>
    <x v="0"/>
    <x v="0"/>
    <x v="0"/>
  </r>
  <r>
    <s v="Vertigo"/>
    <n v="86"/>
    <n v="178"/>
    <s v="FilmCrave"/>
    <x v="111"/>
    <d v="1958-05-28T00:00:00"/>
    <x v="78"/>
    <x v="262"/>
    <x v="0"/>
    <x v="0"/>
    <x v="0"/>
    <x v="0"/>
    <x v="0"/>
    <x v="0"/>
    <x v="1"/>
    <x v="0"/>
    <x v="0"/>
    <x v="0"/>
    <x v="0"/>
    <x v="0"/>
    <x v="1"/>
    <x v="1"/>
    <x v="1"/>
    <x v="0"/>
    <x v="1"/>
    <x v="0"/>
    <x v="0"/>
  </r>
  <r>
    <s v="Gone with the Wind"/>
    <n v="87"/>
    <n v="177"/>
    <s v="FilmCrave"/>
    <x v="132"/>
    <d v="1939-12-15T00:00:00"/>
    <x v="75"/>
    <x v="314"/>
    <x v="0"/>
    <x v="0"/>
    <x v="0"/>
    <x v="0"/>
    <x v="0"/>
    <x v="0"/>
    <x v="0"/>
    <x v="0"/>
    <x v="0"/>
    <x v="0"/>
    <x v="0"/>
    <x v="0"/>
    <x v="0"/>
    <x v="1"/>
    <x v="1"/>
    <x v="0"/>
    <x v="0"/>
    <x v="1"/>
    <x v="0"/>
  </r>
  <r>
    <s v="The Breakfast Club"/>
    <n v="88"/>
    <n v="176"/>
    <s v="FilmCrave"/>
    <x v="50"/>
    <d v="1985-02-15T00:00:00"/>
    <x v="80"/>
    <x v="403"/>
    <x v="0"/>
    <x v="0"/>
    <x v="0"/>
    <x v="1"/>
    <x v="0"/>
    <x v="0"/>
    <x v="0"/>
    <x v="0"/>
    <x v="0"/>
    <x v="0"/>
    <x v="0"/>
    <x v="0"/>
    <x v="0"/>
    <x v="0"/>
    <x v="1"/>
    <x v="0"/>
    <x v="0"/>
    <x v="0"/>
    <x v="0"/>
  </r>
  <r>
    <s v="The Bourne Ultimatum"/>
    <n v="89"/>
    <n v="175"/>
    <s v="FilmCrave"/>
    <x v="181"/>
    <d v="2007-08-03T00:00:00"/>
    <x v="4"/>
    <x v="404"/>
    <x v="1"/>
    <x v="0"/>
    <x v="0"/>
    <x v="0"/>
    <x v="0"/>
    <x v="0"/>
    <x v="0"/>
    <x v="0"/>
    <x v="0"/>
    <x v="0"/>
    <x v="0"/>
    <x v="0"/>
    <x v="1"/>
    <x v="0"/>
    <x v="1"/>
    <x v="0"/>
    <x v="1"/>
    <x v="0"/>
    <x v="0"/>
  </r>
  <r>
    <s v="North by Northwest"/>
    <n v="90"/>
    <n v="174"/>
    <s v="FilmCrave"/>
    <x v="98"/>
    <d v="1959-07-08T00:00:00"/>
    <x v="56"/>
    <x v="218"/>
    <x v="0"/>
    <x v="1"/>
    <x v="0"/>
    <x v="0"/>
    <x v="0"/>
    <x v="0"/>
    <x v="1"/>
    <x v="0"/>
    <x v="0"/>
    <x v="0"/>
    <x v="0"/>
    <x v="0"/>
    <x v="1"/>
    <x v="0"/>
    <x v="1"/>
    <x v="0"/>
    <x v="1"/>
    <x v="0"/>
    <x v="0"/>
  </r>
  <r>
    <s v="Rocky"/>
    <n v="91"/>
    <n v="173"/>
    <s v="FilmCrave"/>
    <x v="12"/>
    <d v="1976-11-21T00:00:00"/>
    <x v="44"/>
    <x v="405"/>
    <x v="0"/>
    <x v="0"/>
    <x v="0"/>
    <x v="0"/>
    <x v="0"/>
    <x v="0"/>
    <x v="0"/>
    <x v="0"/>
    <x v="0"/>
    <x v="0"/>
    <x v="0"/>
    <x v="0"/>
    <x v="0"/>
    <x v="1"/>
    <x v="1"/>
    <x v="0"/>
    <x v="0"/>
    <x v="0"/>
    <x v="0"/>
  </r>
  <r>
    <s v="City of God ( Cidade de Deus )"/>
    <n v="92"/>
    <n v="172"/>
    <s v="FilmCrave"/>
    <x v="51"/>
    <d v="2002-08-30T00:00:00"/>
    <x v="15"/>
    <x v="406"/>
    <x v="0"/>
    <x v="0"/>
    <x v="0"/>
    <x v="0"/>
    <x v="1"/>
    <x v="0"/>
    <x v="0"/>
    <x v="0"/>
    <x v="0"/>
    <x v="0"/>
    <x v="0"/>
    <x v="0"/>
    <x v="0"/>
    <x v="0"/>
    <x v="1"/>
    <x v="0"/>
    <x v="0"/>
    <x v="0"/>
    <x v="0"/>
  </r>
  <r>
    <s v="Gran Torino"/>
    <n v="93"/>
    <n v="171"/>
    <s v="FilmCrave"/>
    <x v="6"/>
    <d v="2008-12-12T00:00:00"/>
    <x v="48"/>
    <x v="407"/>
    <x v="0"/>
    <x v="0"/>
    <x v="0"/>
    <x v="0"/>
    <x v="0"/>
    <x v="0"/>
    <x v="0"/>
    <x v="0"/>
    <x v="0"/>
    <x v="0"/>
    <x v="0"/>
    <x v="0"/>
    <x v="0"/>
    <x v="0"/>
    <x v="1"/>
    <x v="0"/>
    <x v="0"/>
    <x v="0"/>
    <x v="0"/>
  </r>
  <r>
    <s v="Kill Bill: Volume 1"/>
    <n v="94"/>
    <n v="170"/>
    <s v="FilmCrave"/>
    <x v="184"/>
    <d v="2003-10-10T00:00:00"/>
    <x v="79"/>
    <x v="408"/>
    <x v="1"/>
    <x v="0"/>
    <x v="0"/>
    <x v="0"/>
    <x v="1"/>
    <x v="0"/>
    <x v="1"/>
    <x v="0"/>
    <x v="0"/>
    <x v="0"/>
    <x v="0"/>
    <x v="0"/>
    <x v="0"/>
    <x v="0"/>
    <x v="1"/>
    <x v="0"/>
    <x v="0"/>
    <x v="0"/>
    <x v="0"/>
  </r>
  <r>
    <s v="Django Unchained"/>
    <n v="95"/>
    <n v="169"/>
    <s v="FilmCrave"/>
    <x v="81"/>
    <d v="2012-12-25T00:00:00"/>
    <x v="98"/>
    <x v="409"/>
    <x v="0"/>
    <x v="0"/>
    <x v="0"/>
    <x v="0"/>
    <x v="0"/>
    <x v="0"/>
    <x v="0"/>
    <x v="0"/>
    <x v="0"/>
    <x v="0"/>
    <x v="0"/>
    <x v="0"/>
    <x v="0"/>
    <x v="0"/>
    <x v="1"/>
    <x v="0"/>
    <x v="0"/>
    <x v="0"/>
    <x v="1"/>
  </r>
  <r>
    <s v="Coco"/>
    <n v="96"/>
    <n v="168"/>
    <s v="FilmCrave"/>
    <x v="114"/>
    <d v="2017-10-27T00:00:00"/>
    <x v="46"/>
    <x v="266"/>
    <x v="0"/>
    <x v="1"/>
    <x v="1"/>
    <x v="1"/>
    <x v="0"/>
    <x v="0"/>
    <x v="1"/>
    <x v="1"/>
    <x v="1"/>
    <x v="0"/>
    <x v="0"/>
    <x v="1"/>
    <x v="0"/>
    <x v="0"/>
    <x v="1"/>
    <x v="0"/>
    <x v="0"/>
    <x v="0"/>
    <x v="0"/>
  </r>
  <r>
    <s v="The Pianist"/>
    <n v="97"/>
    <n v="167"/>
    <s v="FilmCrave"/>
    <x v="22"/>
    <d v="2002-09-17T00:00:00"/>
    <x v="15"/>
    <x v="410"/>
    <x v="0"/>
    <x v="0"/>
    <x v="0"/>
    <x v="0"/>
    <x v="0"/>
    <x v="0"/>
    <x v="0"/>
    <x v="0"/>
    <x v="0"/>
    <x v="0"/>
    <x v="0"/>
    <x v="0"/>
    <x v="0"/>
    <x v="0"/>
    <x v="1"/>
    <x v="0"/>
    <x v="0"/>
    <x v="1"/>
    <x v="0"/>
  </r>
  <r>
    <s v="Shaun of the Dead"/>
    <n v="98"/>
    <n v="166"/>
    <s v="FilmCrave"/>
    <x v="139"/>
    <d v="2004-04-09T00:00:00"/>
    <x v="83"/>
    <x v="328"/>
    <x v="0"/>
    <x v="0"/>
    <x v="0"/>
    <x v="1"/>
    <x v="0"/>
    <x v="0"/>
    <x v="1"/>
    <x v="0"/>
    <x v="0"/>
    <x v="0"/>
    <x v="1"/>
    <x v="0"/>
    <x v="0"/>
    <x v="0"/>
    <x v="1"/>
    <x v="0"/>
    <x v="0"/>
    <x v="0"/>
    <x v="0"/>
  </r>
  <r>
    <s v="Donnie Darko"/>
    <n v="99"/>
    <n v="165"/>
    <s v="FilmCrave"/>
    <x v="68"/>
    <d v="2001-10-24T00:00:00"/>
    <x v="16"/>
    <x v="320"/>
    <x v="0"/>
    <x v="0"/>
    <x v="0"/>
    <x v="0"/>
    <x v="0"/>
    <x v="0"/>
    <x v="0"/>
    <x v="0"/>
    <x v="1"/>
    <x v="0"/>
    <x v="0"/>
    <x v="0"/>
    <x v="1"/>
    <x v="0"/>
    <x v="1"/>
    <x v="0"/>
    <x v="0"/>
    <x v="0"/>
    <x v="0"/>
  </r>
  <r>
    <s v="Ferris Bueller's Day Off"/>
    <n v="100"/>
    <n v="164"/>
    <s v="FilmCrave"/>
    <x v="14"/>
    <d v="1986-06-11T00:00:00"/>
    <x v="31"/>
    <x v="411"/>
    <x v="0"/>
    <x v="0"/>
    <x v="0"/>
    <x v="1"/>
    <x v="0"/>
    <x v="0"/>
    <x v="1"/>
    <x v="0"/>
    <x v="0"/>
    <x v="0"/>
    <x v="0"/>
    <x v="0"/>
    <x v="0"/>
    <x v="0"/>
    <x v="1"/>
    <x v="0"/>
    <x v="0"/>
    <x v="0"/>
    <x v="0"/>
  </r>
  <r>
    <s v="The Seven Samurai"/>
    <n v="100"/>
    <n v="164"/>
    <s v="Hollywood"/>
    <x v="107"/>
    <d v="1954-04-26T00:00:00"/>
    <x v="76"/>
    <x v="244"/>
    <x v="1"/>
    <x v="0"/>
    <x v="0"/>
    <x v="0"/>
    <x v="0"/>
    <x v="0"/>
    <x v="0"/>
    <x v="0"/>
    <x v="0"/>
    <x v="0"/>
    <x v="0"/>
    <x v="0"/>
    <x v="0"/>
    <x v="0"/>
    <x v="1"/>
    <x v="0"/>
    <x v="0"/>
    <x v="0"/>
    <x v="0"/>
  </r>
  <r>
    <s v="Bonnie and Clyde"/>
    <n v="99"/>
    <n v="165"/>
    <s v="Hollywood"/>
    <x v="48"/>
    <d v="1967-08-14T00:00:00"/>
    <x v="6"/>
    <x v="313"/>
    <x v="0"/>
    <x v="0"/>
    <x v="0"/>
    <x v="0"/>
    <x v="1"/>
    <x v="0"/>
    <x v="0"/>
    <x v="0"/>
    <x v="0"/>
    <x v="0"/>
    <x v="0"/>
    <x v="0"/>
    <x v="0"/>
    <x v="0"/>
    <x v="1"/>
    <x v="0"/>
    <x v="0"/>
    <x v="0"/>
    <x v="0"/>
  </r>
  <r>
    <s v="Reservoir Dogs"/>
    <n v="98"/>
    <n v="166"/>
    <s v="Hollywood"/>
    <x v="30"/>
    <d v="1992-09-02T00:00:00"/>
    <x v="18"/>
    <x v="316"/>
    <x v="0"/>
    <x v="0"/>
    <x v="0"/>
    <x v="0"/>
    <x v="1"/>
    <x v="0"/>
    <x v="1"/>
    <x v="0"/>
    <x v="0"/>
    <x v="0"/>
    <x v="0"/>
    <x v="0"/>
    <x v="0"/>
    <x v="0"/>
    <x v="1"/>
    <x v="0"/>
    <x v="1"/>
    <x v="0"/>
    <x v="0"/>
  </r>
  <r>
    <s v="Airplane!"/>
    <n v="97"/>
    <n v="167"/>
    <s v="Hollywood"/>
    <x v="14"/>
    <d v="1980-07-02T00:00:00"/>
    <x v="72"/>
    <x v="412"/>
    <x v="0"/>
    <x v="0"/>
    <x v="0"/>
    <x v="1"/>
    <x v="0"/>
    <x v="0"/>
    <x v="1"/>
    <x v="0"/>
    <x v="0"/>
    <x v="0"/>
    <x v="0"/>
    <x v="0"/>
    <x v="0"/>
    <x v="0"/>
    <x v="1"/>
    <x v="0"/>
    <x v="0"/>
    <x v="0"/>
    <x v="0"/>
  </r>
  <r>
    <s v="Pan's Labyrinth"/>
    <n v="96"/>
    <n v="168"/>
    <s v="Hollywood"/>
    <x v="122"/>
    <d v="2006-10-10T00:00:00"/>
    <x v="13"/>
    <x v="287"/>
    <x v="0"/>
    <x v="0"/>
    <x v="0"/>
    <x v="0"/>
    <x v="0"/>
    <x v="0"/>
    <x v="0"/>
    <x v="0"/>
    <x v="1"/>
    <x v="0"/>
    <x v="0"/>
    <x v="0"/>
    <x v="0"/>
    <x v="0"/>
    <x v="1"/>
    <x v="0"/>
    <x v="0"/>
    <x v="1"/>
    <x v="0"/>
  </r>
  <r>
    <s v="Doctor Zhivago"/>
    <n v="95"/>
    <n v="169"/>
    <s v="Hollywood"/>
    <x v="97"/>
    <d v="1965-12-22T00:00:00"/>
    <x v="62"/>
    <x v="413"/>
    <x v="0"/>
    <x v="0"/>
    <x v="0"/>
    <x v="0"/>
    <x v="0"/>
    <x v="0"/>
    <x v="0"/>
    <x v="0"/>
    <x v="0"/>
    <x v="0"/>
    <x v="0"/>
    <x v="0"/>
    <x v="0"/>
    <x v="1"/>
    <x v="1"/>
    <x v="0"/>
    <x v="0"/>
    <x v="1"/>
    <x v="0"/>
  </r>
  <r>
    <s v="The Deer Hunter"/>
    <n v="94"/>
    <n v="170"/>
    <s v="Hollywood"/>
    <x v="22"/>
    <d v="1978-12-08T00:00:00"/>
    <x v="36"/>
    <x v="46"/>
    <x v="0"/>
    <x v="0"/>
    <x v="0"/>
    <x v="0"/>
    <x v="0"/>
    <x v="0"/>
    <x v="0"/>
    <x v="0"/>
    <x v="0"/>
    <x v="0"/>
    <x v="0"/>
    <x v="0"/>
    <x v="0"/>
    <x v="0"/>
    <x v="1"/>
    <x v="0"/>
    <x v="0"/>
    <x v="1"/>
    <x v="0"/>
  </r>
  <r>
    <s v="Close Encounters of the Third Kind"/>
    <n v="93"/>
    <n v="171"/>
    <s v="Hollywood"/>
    <x v="151"/>
    <d v="1977-11-18T00:00:00"/>
    <x v="3"/>
    <x v="414"/>
    <x v="0"/>
    <x v="0"/>
    <x v="0"/>
    <x v="0"/>
    <x v="0"/>
    <x v="0"/>
    <x v="0"/>
    <x v="0"/>
    <x v="0"/>
    <x v="0"/>
    <x v="0"/>
    <x v="0"/>
    <x v="0"/>
    <x v="0"/>
    <x v="0"/>
    <x v="0"/>
    <x v="0"/>
    <x v="0"/>
    <x v="0"/>
  </r>
  <r>
    <s v="Up"/>
    <n v="92"/>
    <n v="172"/>
    <s v="Hollywood"/>
    <x v="176"/>
    <d v="2009-05-28T00:00:00"/>
    <x v="70"/>
    <x v="388"/>
    <x v="0"/>
    <x v="1"/>
    <x v="1"/>
    <x v="1"/>
    <x v="0"/>
    <x v="0"/>
    <x v="1"/>
    <x v="1"/>
    <x v="0"/>
    <x v="0"/>
    <x v="0"/>
    <x v="0"/>
    <x v="0"/>
    <x v="0"/>
    <x v="1"/>
    <x v="0"/>
    <x v="0"/>
    <x v="0"/>
    <x v="0"/>
  </r>
  <r>
    <s v="Rocky"/>
    <n v="91"/>
    <n v="173"/>
    <s v="Hollywood"/>
    <x v="12"/>
    <d v="1976-11-21T00:00:00"/>
    <x v="44"/>
    <x v="405"/>
    <x v="0"/>
    <x v="0"/>
    <x v="0"/>
    <x v="0"/>
    <x v="0"/>
    <x v="0"/>
    <x v="0"/>
    <x v="0"/>
    <x v="0"/>
    <x v="0"/>
    <x v="0"/>
    <x v="0"/>
    <x v="0"/>
    <x v="1"/>
    <x v="1"/>
    <x v="0"/>
    <x v="0"/>
    <x v="0"/>
    <x v="0"/>
  </r>
  <r>
    <s v="Memento"/>
    <n v="90"/>
    <n v="174"/>
    <s v="Hollywood"/>
    <x v="171"/>
    <d v="2000-10-11T00:00:00"/>
    <x v="27"/>
    <x v="380"/>
    <x v="0"/>
    <x v="0"/>
    <x v="0"/>
    <x v="0"/>
    <x v="0"/>
    <x v="0"/>
    <x v="1"/>
    <x v="0"/>
    <x v="0"/>
    <x v="0"/>
    <x v="0"/>
    <x v="0"/>
    <x v="1"/>
    <x v="0"/>
    <x v="1"/>
    <x v="0"/>
    <x v="1"/>
    <x v="0"/>
    <x v="0"/>
  </r>
  <r>
    <s v="Braveheart"/>
    <n v="89"/>
    <n v="175"/>
    <s v="Hollywood"/>
    <x v="168"/>
    <d v="1995-05-24T00:00:00"/>
    <x v="96"/>
    <x v="376"/>
    <x v="1"/>
    <x v="0"/>
    <x v="0"/>
    <x v="0"/>
    <x v="0"/>
    <x v="0"/>
    <x v="0"/>
    <x v="0"/>
    <x v="0"/>
    <x v="1"/>
    <x v="0"/>
    <x v="0"/>
    <x v="0"/>
    <x v="0"/>
    <x v="1"/>
    <x v="0"/>
    <x v="0"/>
    <x v="1"/>
    <x v="0"/>
  </r>
  <r>
    <s v="Slumdog Millionaire"/>
    <n v="88"/>
    <n v="176"/>
    <s v="Hollywood"/>
    <x v="12"/>
    <d v="2008-11-12T00:00:00"/>
    <x v="48"/>
    <x v="415"/>
    <x v="0"/>
    <x v="0"/>
    <x v="0"/>
    <x v="0"/>
    <x v="0"/>
    <x v="0"/>
    <x v="0"/>
    <x v="0"/>
    <x v="0"/>
    <x v="0"/>
    <x v="0"/>
    <x v="0"/>
    <x v="0"/>
    <x v="1"/>
    <x v="1"/>
    <x v="0"/>
    <x v="0"/>
    <x v="0"/>
    <x v="0"/>
  </r>
  <r>
    <s v="The Lord of the Rings: The Return of the King"/>
    <n v="87"/>
    <n v="177"/>
    <s v="Hollywood"/>
    <x v="157"/>
    <d v="2003-12-01T00:00:00"/>
    <x v="79"/>
    <x v="361"/>
    <x v="1"/>
    <x v="1"/>
    <x v="0"/>
    <x v="0"/>
    <x v="0"/>
    <x v="0"/>
    <x v="1"/>
    <x v="0"/>
    <x v="1"/>
    <x v="0"/>
    <x v="0"/>
    <x v="0"/>
    <x v="0"/>
    <x v="0"/>
    <x v="1"/>
    <x v="0"/>
    <x v="0"/>
    <x v="0"/>
    <x v="0"/>
  </r>
  <r>
    <s v="Beauty and the Beast"/>
    <n v="86"/>
    <n v="178"/>
    <s v="Hollywood"/>
    <x v="185"/>
    <d v="1991-10-22T00:00:00"/>
    <x v="85"/>
    <x v="416"/>
    <x v="0"/>
    <x v="0"/>
    <x v="1"/>
    <x v="0"/>
    <x v="0"/>
    <x v="0"/>
    <x v="1"/>
    <x v="1"/>
    <x v="1"/>
    <x v="0"/>
    <x v="0"/>
    <x v="0"/>
    <x v="0"/>
    <x v="1"/>
    <x v="1"/>
    <x v="0"/>
    <x v="0"/>
    <x v="0"/>
    <x v="0"/>
  </r>
  <r>
    <s v="Seven"/>
    <n v="85"/>
    <n v="179"/>
    <s v="Hollywood"/>
    <x v="186"/>
    <d v="2023-08-08T00:00:00"/>
    <x v="23"/>
    <x v="417"/>
    <x v="1"/>
    <x v="1"/>
    <x v="1"/>
    <x v="0"/>
    <x v="0"/>
    <x v="0"/>
    <x v="1"/>
    <x v="0"/>
    <x v="1"/>
    <x v="0"/>
    <x v="0"/>
    <x v="0"/>
    <x v="0"/>
    <x v="0"/>
    <x v="1"/>
    <x v="0"/>
    <x v="0"/>
    <x v="0"/>
    <x v="0"/>
  </r>
  <r>
    <s v="Inception"/>
    <n v="84"/>
    <n v="180"/>
    <s v="Hollywood"/>
    <x v="162"/>
    <d v="2010-07-15T00:00:00"/>
    <x v="12"/>
    <x v="367"/>
    <x v="1"/>
    <x v="1"/>
    <x v="0"/>
    <x v="0"/>
    <x v="0"/>
    <x v="0"/>
    <x v="1"/>
    <x v="0"/>
    <x v="0"/>
    <x v="0"/>
    <x v="0"/>
    <x v="0"/>
    <x v="0"/>
    <x v="0"/>
    <x v="0"/>
    <x v="0"/>
    <x v="0"/>
    <x v="0"/>
    <x v="0"/>
  </r>
  <r>
    <s v="Die Hard"/>
    <n v="83"/>
    <n v="181"/>
    <s v="Hollywood"/>
    <x v="159"/>
    <d v="1988-07-15T00:00:00"/>
    <x v="11"/>
    <x v="377"/>
    <x v="1"/>
    <x v="0"/>
    <x v="0"/>
    <x v="0"/>
    <x v="0"/>
    <x v="0"/>
    <x v="1"/>
    <x v="0"/>
    <x v="0"/>
    <x v="0"/>
    <x v="0"/>
    <x v="0"/>
    <x v="0"/>
    <x v="0"/>
    <x v="1"/>
    <x v="0"/>
    <x v="1"/>
    <x v="0"/>
    <x v="0"/>
  </r>
  <r>
    <s v="The Lord of the Rings: The Fellowship of the Ring"/>
    <n v="82"/>
    <n v="182"/>
    <s v="Hollywood"/>
    <x v="157"/>
    <d v="2001-12-18T00:00:00"/>
    <x v="16"/>
    <x v="374"/>
    <x v="1"/>
    <x v="1"/>
    <x v="0"/>
    <x v="0"/>
    <x v="0"/>
    <x v="0"/>
    <x v="1"/>
    <x v="0"/>
    <x v="1"/>
    <x v="0"/>
    <x v="0"/>
    <x v="0"/>
    <x v="0"/>
    <x v="0"/>
    <x v="1"/>
    <x v="0"/>
    <x v="0"/>
    <x v="0"/>
    <x v="0"/>
  </r>
  <r>
    <s v="Amadeus"/>
    <n v="81"/>
    <n v="183"/>
    <s v="Hollywood"/>
    <x v="187"/>
    <d v="1984-09-19T00:00:00"/>
    <x v="39"/>
    <x v="418"/>
    <x v="0"/>
    <x v="0"/>
    <x v="0"/>
    <x v="0"/>
    <x v="0"/>
    <x v="0"/>
    <x v="0"/>
    <x v="0"/>
    <x v="0"/>
    <x v="1"/>
    <x v="0"/>
    <x v="1"/>
    <x v="0"/>
    <x v="0"/>
    <x v="1"/>
    <x v="0"/>
    <x v="0"/>
    <x v="0"/>
    <x v="0"/>
  </r>
  <r>
    <s v="On the Waterfront"/>
    <n v="80"/>
    <n v="184"/>
    <s v="Hollywood"/>
    <x v="89"/>
    <d v="1954-06-22T00:00:00"/>
    <x v="76"/>
    <x v="308"/>
    <x v="0"/>
    <x v="0"/>
    <x v="0"/>
    <x v="0"/>
    <x v="1"/>
    <x v="0"/>
    <x v="0"/>
    <x v="0"/>
    <x v="0"/>
    <x v="0"/>
    <x v="0"/>
    <x v="0"/>
    <x v="0"/>
    <x v="1"/>
    <x v="1"/>
    <x v="0"/>
    <x v="0"/>
    <x v="0"/>
    <x v="0"/>
  </r>
  <r>
    <s v="Wall-E"/>
    <n v="79"/>
    <n v="185"/>
    <s v="Hollywood"/>
    <x v="12"/>
    <d v="1968-02-07T00:00:00"/>
    <x v="21"/>
    <x v="392"/>
    <x v="0"/>
    <x v="0"/>
    <x v="0"/>
    <x v="0"/>
    <x v="0"/>
    <x v="0"/>
    <x v="0"/>
    <x v="0"/>
    <x v="0"/>
    <x v="0"/>
    <x v="0"/>
    <x v="0"/>
    <x v="0"/>
    <x v="1"/>
    <x v="1"/>
    <x v="0"/>
    <x v="0"/>
    <x v="0"/>
    <x v="0"/>
  </r>
  <r>
    <s v="12 Angry Men"/>
    <n v="78"/>
    <n v="186"/>
    <s v="Hollywood"/>
    <x v="6"/>
    <d v="1957-04-10T00:00:00"/>
    <x v="52"/>
    <x v="276"/>
    <x v="0"/>
    <x v="0"/>
    <x v="0"/>
    <x v="0"/>
    <x v="0"/>
    <x v="0"/>
    <x v="0"/>
    <x v="0"/>
    <x v="0"/>
    <x v="0"/>
    <x v="0"/>
    <x v="0"/>
    <x v="0"/>
    <x v="0"/>
    <x v="1"/>
    <x v="0"/>
    <x v="0"/>
    <x v="0"/>
    <x v="0"/>
  </r>
  <r>
    <s v="Ghostbusters"/>
    <n v="77"/>
    <n v="187"/>
    <s v="Hollywood"/>
    <x v="188"/>
    <d v="2016-07-14T00:00:00"/>
    <x v="90"/>
    <x v="419"/>
    <x v="1"/>
    <x v="0"/>
    <x v="0"/>
    <x v="1"/>
    <x v="0"/>
    <x v="0"/>
    <x v="1"/>
    <x v="0"/>
    <x v="1"/>
    <x v="0"/>
    <x v="0"/>
    <x v="0"/>
    <x v="0"/>
    <x v="0"/>
    <x v="1"/>
    <x v="0"/>
    <x v="0"/>
    <x v="0"/>
    <x v="0"/>
  </r>
  <r>
    <s v="Brokeback Mountain"/>
    <n v="76"/>
    <n v="188"/>
    <s v="Hollywood"/>
    <x v="12"/>
    <d v="2005-09-10T00:00:00"/>
    <x v="30"/>
    <x v="302"/>
    <x v="0"/>
    <x v="0"/>
    <x v="0"/>
    <x v="0"/>
    <x v="0"/>
    <x v="0"/>
    <x v="0"/>
    <x v="0"/>
    <x v="0"/>
    <x v="0"/>
    <x v="0"/>
    <x v="0"/>
    <x v="0"/>
    <x v="1"/>
    <x v="1"/>
    <x v="0"/>
    <x v="0"/>
    <x v="0"/>
    <x v="0"/>
  </r>
  <r>
    <s v="The Bridge on the River Kwai"/>
    <n v="75"/>
    <n v="189"/>
    <s v="Hollywood"/>
    <x v="56"/>
    <d v="1957-10-11T00:00:00"/>
    <x v="52"/>
    <x v="420"/>
    <x v="0"/>
    <x v="0"/>
    <x v="0"/>
    <x v="0"/>
    <x v="0"/>
    <x v="0"/>
    <x v="0"/>
    <x v="0"/>
    <x v="0"/>
    <x v="1"/>
    <x v="0"/>
    <x v="0"/>
    <x v="0"/>
    <x v="0"/>
    <x v="1"/>
    <x v="0"/>
    <x v="0"/>
    <x v="1"/>
    <x v="0"/>
  </r>
  <r>
    <s v="Blazing Saddles"/>
    <n v="74"/>
    <n v="190"/>
    <s v="Hollywood"/>
    <x v="189"/>
    <d v="1974-02-07T00:00:00"/>
    <x v="25"/>
    <x v="421"/>
    <x v="0"/>
    <x v="0"/>
    <x v="0"/>
    <x v="1"/>
    <x v="0"/>
    <x v="0"/>
    <x v="1"/>
    <x v="0"/>
    <x v="0"/>
    <x v="0"/>
    <x v="0"/>
    <x v="0"/>
    <x v="0"/>
    <x v="0"/>
    <x v="1"/>
    <x v="0"/>
    <x v="0"/>
    <x v="0"/>
    <x v="1"/>
  </r>
  <r>
    <s v="All the President's Men"/>
    <n v="73"/>
    <n v="191"/>
    <s v="Hollywood"/>
    <x v="190"/>
    <d v="1976-04-09T00:00:00"/>
    <x v="44"/>
    <x v="422"/>
    <x v="0"/>
    <x v="0"/>
    <x v="0"/>
    <x v="0"/>
    <x v="0"/>
    <x v="0"/>
    <x v="0"/>
    <x v="0"/>
    <x v="0"/>
    <x v="1"/>
    <x v="0"/>
    <x v="0"/>
    <x v="1"/>
    <x v="0"/>
    <x v="1"/>
    <x v="0"/>
    <x v="1"/>
    <x v="0"/>
    <x v="0"/>
  </r>
  <r>
    <s v="Young Frankenstein"/>
    <n v="72"/>
    <n v="192"/>
    <s v="Hollywood"/>
    <x v="14"/>
    <d v="1974-12-15T00:00:00"/>
    <x v="25"/>
    <x v="423"/>
    <x v="0"/>
    <x v="0"/>
    <x v="0"/>
    <x v="1"/>
    <x v="0"/>
    <x v="0"/>
    <x v="1"/>
    <x v="0"/>
    <x v="0"/>
    <x v="0"/>
    <x v="0"/>
    <x v="0"/>
    <x v="0"/>
    <x v="0"/>
    <x v="1"/>
    <x v="0"/>
    <x v="0"/>
    <x v="0"/>
    <x v="0"/>
  </r>
  <r>
    <s v="Almost Famous"/>
    <n v="71"/>
    <n v="193"/>
    <s v="Hollywood"/>
    <x v="11"/>
    <d v="2000-09-15T00:00:00"/>
    <x v="27"/>
    <x v="424"/>
    <x v="0"/>
    <x v="0"/>
    <x v="0"/>
    <x v="0"/>
    <x v="0"/>
    <x v="0"/>
    <x v="0"/>
    <x v="0"/>
    <x v="0"/>
    <x v="0"/>
    <x v="0"/>
    <x v="1"/>
    <x v="0"/>
    <x v="0"/>
    <x v="1"/>
    <x v="0"/>
    <x v="0"/>
    <x v="0"/>
    <x v="0"/>
  </r>
  <r>
    <s v="Vertigo"/>
    <n v="70"/>
    <n v="194"/>
    <s v="Hollywood"/>
    <x v="111"/>
    <d v="1958-05-28T00:00:00"/>
    <x v="78"/>
    <x v="262"/>
    <x v="0"/>
    <x v="0"/>
    <x v="0"/>
    <x v="0"/>
    <x v="0"/>
    <x v="0"/>
    <x v="1"/>
    <x v="0"/>
    <x v="0"/>
    <x v="0"/>
    <x v="0"/>
    <x v="0"/>
    <x v="1"/>
    <x v="1"/>
    <x v="1"/>
    <x v="0"/>
    <x v="1"/>
    <x v="0"/>
    <x v="0"/>
  </r>
  <r>
    <s v="Gladiator"/>
    <n v="69"/>
    <n v="195"/>
    <s v="Hollywood"/>
    <x v="167"/>
    <d v="2000-05-04T00:00:00"/>
    <x v="27"/>
    <x v="375"/>
    <x v="1"/>
    <x v="1"/>
    <x v="0"/>
    <x v="0"/>
    <x v="0"/>
    <x v="0"/>
    <x v="0"/>
    <x v="0"/>
    <x v="0"/>
    <x v="0"/>
    <x v="0"/>
    <x v="0"/>
    <x v="0"/>
    <x v="0"/>
    <x v="1"/>
    <x v="0"/>
    <x v="0"/>
    <x v="0"/>
    <x v="0"/>
  </r>
  <r>
    <s v="Monty Python and The Holy Grail"/>
    <n v="68"/>
    <n v="196"/>
    <s v="Hollywood"/>
    <x v="183"/>
    <d v="1975-05-25T00:00:00"/>
    <x v="66"/>
    <x v="402"/>
    <x v="0"/>
    <x v="1"/>
    <x v="0"/>
    <x v="1"/>
    <x v="0"/>
    <x v="0"/>
    <x v="1"/>
    <x v="0"/>
    <x v="1"/>
    <x v="0"/>
    <x v="0"/>
    <x v="0"/>
    <x v="0"/>
    <x v="0"/>
    <x v="1"/>
    <x v="0"/>
    <x v="0"/>
    <x v="0"/>
    <x v="0"/>
  </r>
  <r>
    <s v="Avatar"/>
    <n v="67"/>
    <n v="197"/>
    <s v="Hollywood"/>
    <x v="180"/>
    <d v="2009-12-15T00:00:00"/>
    <x v="70"/>
    <x v="398"/>
    <x v="1"/>
    <x v="1"/>
    <x v="0"/>
    <x v="0"/>
    <x v="0"/>
    <x v="0"/>
    <x v="1"/>
    <x v="0"/>
    <x v="1"/>
    <x v="0"/>
    <x v="0"/>
    <x v="0"/>
    <x v="0"/>
    <x v="0"/>
    <x v="0"/>
    <x v="0"/>
    <x v="0"/>
    <x v="0"/>
    <x v="0"/>
  </r>
  <r>
    <s v="The Lion King"/>
    <n v="66"/>
    <n v="198"/>
    <s v="Hollywood"/>
    <x v="170"/>
    <d v="2019-07-12T00:00:00"/>
    <x v="14"/>
    <x v="379"/>
    <x v="0"/>
    <x v="1"/>
    <x v="1"/>
    <x v="0"/>
    <x v="0"/>
    <x v="0"/>
    <x v="0"/>
    <x v="1"/>
    <x v="0"/>
    <x v="0"/>
    <x v="0"/>
    <x v="0"/>
    <x v="0"/>
    <x v="0"/>
    <x v="1"/>
    <x v="0"/>
    <x v="0"/>
    <x v="0"/>
    <x v="0"/>
  </r>
  <r>
    <s v="Raging Bull"/>
    <n v="65"/>
    <n v="199"/>
    <s v="Hollywood"/>
    <x v="6"/>
    <d v="1980-11-14T00:00:00"/>
    <x v="72"/>
    <x v="133"/>
    <x v="0"/>
    <x v="0"/>
    <x v="0"/>
    <x v="0"/>
    <x v="0"/>
    <x v="0"/>
    <x v="0"/>
    <x v="0"/>
    <x v="0"/>
    <x v="0"/>
    <x v="0"/>
    <x v="0"/>
    <x v="0"/>
    <x v="0"/>
    <x v="1"/>
    <x v="0"/>
    <x v="0"/>
    <x v="0"/>
    <x v="0"/>
  </r>
  <r>
    <s v="Mary Poppins"/>
    <n v="64"/>
    <n v="200"/>
    <s v="Hollywood"/>
    <x v="191"/>
    <d v="1964-12-17T00:00:00"/>
    <x v="43"/>
    <x v="425"/>
    <x v="0"/>
    <x v="0"/>
    <x v="0"/>
    <x v="1"/>
    <x v="0"/>
    <x v="0"/>
    <x v="1"/>
    <x v="1"/>
    <x v="1"/>
    <x v="0"/>
    <x v="0"/>
    <x v="0"/>
    <x v="0"/>
    <x v="0"/>
    <x v="1"/>
    <x v="0"/>
    <x v="0"/>
    <x v="0"/>
    <x v="0"/>
  </r>
  <r>
    <s v="Groundhog Day"/>
    <n v="63"/>
    <n v="201"/>
    <s v="Hollywood"/>
    <x v="133"/>
    <d v="1993-02-11T00:00:00"/>
    <x v="29"/>
    <x v="317"/>
    <x v="0"/>
    <x v="0"/>
    <x v="0"/>
    <x v="1"/>
    <x v="0"/>
    <x v="0"/>
    <x v="0"/>
    <x v="0"/>
    <x v="1"/>
    <x v="0"/>
    <x v="0"/>
    <x v="0"/>
    <x v="0"/>
    <x v="1"/>
    <x v="1"/>
    <x v="0"/>
    <x v="0"/>
    <x v="0"/>
    <x v="0"/>
  </r>
  <r>
    <s v="North by Northwest"/>
    <n v="62"/>
    <n v="202"/>
    <s v="Hollywood"/>
    <x v="98"/>
    <d v="1959-07-08T00:00:00"/>
    <x v="56"/>
    <x v="218"/>
    <x v="0"/>
    <x v="1"/>
    <x v="0"/>
    <x v="0"/>
    <x v="0"/>
    <x v="0"/>
    <x v="1"/>
    <x v="0"/>
    <x v="0"/>
    <x v="0"/>
    <x v="0"/>
    <x v="0"/>
    <x v="1"/>
    <x v="0"/>
    <x v="1"/>
    <x v="0"/>
    <x v="1"/>
    <x v="0"/>
    <x v="0"/>
  </r>
  <r>
    <s v="West Side Story"/>
    <n v="61"/>
    <n v="203"/>
    <s v="Hollywood"/>
    <x v="89"/>
    <d v="1961-12-13T00:00:00"/>
    <x v="60"/>
    <x v="426"/>
    <x v="0"/>
    <x v="0"/>
    <x v="0"/>
    <x v="0"/>
    <x v="1"/>
    <x v="0"/>
    <x v="0"/>
    <x v="0"/>
    <x v="0"/>
    <x v="0"/>
    <x v="0"/>
    <x v="0"/>
    <x v="0"/>
    <x v="1"/>
    <x v="1"/>
    <x v="0"/>
    <x v="0"/>
    <x v="0"/>
    <x v="0"/>
  </r>
  <r>
    <s v="Amelie"/>
    <n v="60"/>
    <n v="204"/>
    <s v="Hollywood"/>
    <x v="39"/>
    <d v="2021-11-11T00:00:00"/>
    <x v="26"/>
    <x v="319"/>
    <x v="0"/>
    <x v="0"/>
    <x v="0"/>
    <x v="0"/>
    <x v="0"/>
    <x v="0"/>
    <x v="1"/>
    <x v="0"/>
    <x v="0"/>
    <x v="0"/>
    <x v="0"/>
    <x v="0"/>
    <x v="0"/>
    <x v="0"/>
    <x v="1"/>
    <x v="0"/>
    <x v="0"/>
    <x v="0"/>
    <x v="0"/>
  </r>
  <r>
    <s v="Thelma &amp; Louise"/>
    <n v="59"/>
    <n v="205"/>
    <s v="Hollywood"/>
    <x v="192"/>
    <d v="1991-05-24T00:00:00"/>
    <x v="85"/>
    <x v="427"/>
    <x v="0"/>
    <x v="1"/>
    <x v="0"/>
    <x v="0"/>
    <x v="1"/>
    <x v="0"/>
    <x v="0"/>
    <x v="0"/>
    <x v="0"/>
    <x v="0"/>
    <x v="0"/>
    <x v="0"/>
    <x v="0"/>
    <x v="0"/>
    <x v="1"/>
    <x v="0"/>
    <x v="1"/>
    <x v="0"/>
    <x v="0"/>
  </r>
  <r>
    <s v="Sunset Blvd."/>
    <n v="58"/>
    <n v="206"/>
    <s v="Hollywood"/>
    <x v="6"/>
    <d v="1950-08-17T00:00:00"/>
    <x v="34"/>
    <x v="428"/>
    <x v="0"/>
    <x v="0"/>
    <x v="0"/>
    <x v="0"/>
    <x v="0"/>
    <x v="0"/>
    <x v="0"/>
    <x v="0"/>
    <x v="0"/>
    <x v="0"/>
    <x v="0"/>
    <x v="0"/>
    <x v="0"/>
    <x v="0"/>
    <x v="1"/>
    <x v="0"/>
    <x v="0"/>
    <x v="0"/>
    <x v="0"/>
  </r>
  <r>
    <s v="The Dark Knight"/>
    <n v="57"/>
    <n v="207"/>
    <s v="Hollywood"/>
    <x v="123"/>
    <d v="2008-07-16T00:00:00"/>
    <x v="48"/>
    <x v="289"/>
    <x v="1"/>
    <x v="0"/>
    <x v="0"/>
    <x v="0"/>
    <x v="1"/>
    <x v="0"/>
    <x v="0"/>
    <x v="0"/>
    <x v="0"/>
    <x v="0"/>
    <x v="0"/>
    <x v="0"/>
    <x v="0"/>
    <x v="0"/>
    <x v="1"/>
    <x v="0"/>
    <x v="1"/>
    <x v="0"/>
    <x v="0"/>
  </r>
  <r>
    <s v="Eternal Sunshine of the Spotless Mind"/>
    <n v="56"/>
    <n v="208"/>
    <s v="Hollywood"/>
    <x v="104"/>
    <d v="2004-03-19T00:00:00"/>
    <x v="83"/>
    <x v="357"/>
    <x v="0"/>
    <x v="0"/>
    <x v="0"/>
    <x v="0"/>
    <x v="0"/>
    <x v="0"/>
    <x v="0"/>
    <x v="0"/>
    <x v="0"/>
    <x v="0"/>
    <x v="0"/>
    <x v="0"/>
    <x v="0"/>
    <x v="1"/>
    <x v="0"/>
    <x v="0"/>
    <x v="0"/>
    <x v="0"/>
    <x v="0"/>
  </r>
  <r>
    <s v="Taxi Driver"/>
    <n v="55"/>
    <n v="209"/>
    <s v="Hollywood"/>
    <x v="48"/>
    <d v="1976-02-09T00:00:00"/>
    <x v="44"/>
    <x v="235"/>
    <x v="0"/>
    <x v="0"/>
    <x v="0"/>
    <x v="0"/>
    <x v="1"/>
    <x v="0"/>
    <x v="0"/>
    <x v="0"/>
    <x v="0"/>
    <x v="0"/>
    <x v="0"/>
    <x v="0"/>
    <x v="0"/>
    <x v="0"/>
    <x v="1"/>
    <x v="0"/>
    <x v="0"/>
    <x v="0"/>
    <x v="0"/>
  </r>
  <r>
    <s v="Butch Cassidy and the Sundance Kid"/>
    <n v="54"/>
    <n v="210"/>
    <s v="Hollywood"/>
    <x v="43"/>
    <d v="1969-01-15T00:00:00"/>
    <x v="37"/>
    <x v="429"/>
    <x v="0"/>
    <x v="0"/>
    <x v="0"/>
    <x v="0"/>
    <x v="0"/>
    <x v="0"/>
    <x v="1"/>
    <x v="0"/>
    <x v="0"/>
    <x v="0"/>
    <x v="0"/>
    <x v="0"/>
    <x v="0"/>
    <x v="0"/>
    <x v="1"/>
    <x v="0"/>
    <x v="0"/>
    <x v="0"/>
    <x v="1"/>
  </r>
  <r>
    <s v="Good Will Hunting"/>
    <n v="53"/>
    <n v="211"/>
    <s v="Hollywood"/>
    <x v="6"/>
    <d v="1997-12-05T00:00:00"/>
    <x v="17"/>
    <x v="430"/>
    <x v="0"/>
    <x v="0"/>
    <x v="0"/>
    <x v="0"/>
    <x v="0"/>
    <x v="0"/>
    <x v="0"/>
    <x v="0"/>
    <x v="0"/>
    <x v="0"/>
    <x v="0"/>
    <x v="0"/>
    <x v="0"/>
    <x v="0"/>
    <x v="1"/>
    <x v="0"/>
    <x v="0"/>
    <x v="0"/>
    <x v="0"/>
  </r>
  <r>
    <s v="All About Eve"/>
    <n v="52"/>
    <n v="212"/>
    <s v="Hollywood"/>
    <x v="6"/>
    <d v="1950-11-09T00:00:00"/>
    <x v="34"/>
    <x v="42"/>
    <x v="0"/>
    <x v="0"/>
    <x v="0"/>
    <x v="0"/>
    <x v="0"/>
    <x v="0"/>
    <x v="0"/>
    <x v="0"/>
    <x v="0"/>
    <x v="0"/>
    <x v="0"/>
    <x v="0"/>
    <x v="0"/>
    <x v="0"/>
    <x v="1"/>
    <x v="0"/>
    <x v="0"/>
    <x v="0"/>
    <x v="0"/>
  </r>
  <r>
    <s v="The Big Lebowski"/>
    <n v="51"/>
    <n v="213"/>
    <s v="Hollywood"/>
    <x v="155"/>
    <d v="1998-03-06T00:00:00"/>
    <x v="28"/>
    <x v="354"/>
    <x v="0"/>
    <x v="0"/>
    <x v="0"/>
    <x v="1"/>
    <x v="1"/>
    <x v="0"/>
    <x v="1"/>
    <x v="0"/>
    <x v="0"/>
    <x v="0"/>
    <x v="0"/>
    <x v="0"/>
    <x v="0"/>
    <x v="0"/>
    <x v="1"/>
    <x v="0"/>
    <x v="0"/>
    <x v="0"/>
    <x v="0"/>
  </r>
  <r>
    <s v="Jurassic Park"/>
    <n v="50"/>
    <n v="214"/>
    <s v="Hollywood"/>
    <x v="164"/>
    <d v="1993-06-11T00:00:00"/>
    <x v="29"/>
    <x v="369"/>
    <x v="0"/>
    <x v="1"/>
    <x v="0"/>
    <x v="0"/>
    <x v="0"/>
    <x v="0"/>
    <x v="1"/>
    <x v="0"/>
    <x v="0"/>
    <x v="0"/>
    <x v="0"/>
    <x v="0"/>
    <x v="0"/>
    <x v="0"/>
    <x v="0"/>
    <x v="0"/>
    <x v="0"/>
    <x v="0"/>
    <x v="0"/>
  </r>
  <r>
    <s v="Rear Window"/>
    <n v="49"/>
    <n v="215"/>
    <s v="Hollywood"/>
    <x v="94"/>
    <d v="1954-08-01T00:00:00"/>
    <x v="76"/>
    <x v="224"/>
    <x v="0"/>
    <x v="0"/>
    <x v="0"/>
    <x v="0"/>
    <x v="0"/>
    <x v="0"/>
    <x v="1"/>
    <x v="0"/>
    <x v="0"/>
    <x v="0"/>
    <x v="0"/>
    <x v="0"/>
    <x v="1"/>
    <x v="0"/>
    <x v="1"/>
    <x v="0"/>
    <x v="1"/>
    <x v="0"/>
    <x v="0"/>
  </r>
  <r>
    <s v="The Usual Suspects"/>
    <n v="48"/>
    <n v="216"/>
    <s v="Hollywood"/>
    <x v="140"/>
    <d v="1995-07-19T00:00:00"/>
    <x v="96"/>
    <x v="331"/>
    <x v="0"/>
    <x v="0"/>
    <x v="0"/>
    <x v="0"/>
    <x v="1"/>
    <x v="0"/>
    <x v="0"/>
    <x v="0"/>
    <x v="0"/>
    <x v="0"/>
    <x v="0"/>
    <x v="0"/>
    <x v="0"/>
    <x v="0"/>
    <x v="1"/>
    <x v="0"/>
    <x v="1"/>
    <x v="0"/>
    <x v="0"/>
  </r>
  <r>
    <s v="Some Like It Hot"/>
    <n v="47"/>
    <n v="217"/>
    <s v="Hollywood"/>
    <x v="101"/>
    <d v="1959-03-19T00:00:00"/>
    <x v="56"/>
    <x v="226"/>
    <x v="0"/>
    <x v="0"/>
    <x v="0"/>
    <x v="1"/>
    <x v="1"/>
    <x v="0"/>
    <x v="1"/>
    <x v="0"/>
    <x v="0"/>
    <x v="0"/>
    <x v="0"/>
    <x v="0"/>
    <x v="0"/>
    <x v="1"/>
    <x v="1"/>
    <x v="0"/>
    <x v="0"/>
    <x v="0"/>
    <x v="0"/>
  </r>
  <r>
    <s v="Saving Private Ryan"/>
    <n v="46"/>
    <n v="218"/>
    <s v="Hollywood"/>
    <x v="56"/>
    <d v="1998-07-24T00:00:00"/>
    <x v="28"/>
    <x v="315"/>
    <x v="0"/>
    <x v="0"/>
    <x v="0"/>
    <x v="0"/>
    <x v="0"/>
    <x v="0"/>
    <x v="0"/>
    <x v="0"/>
    <x v="0"/>
    <x v="1"/>
    <x v="0"/>
    <x v="0"/>
    <x v="0"/>
    <x v="0"/>
    <x v="1"/>
    <x v="0"/>
    <x v="0"/>
    <x v="1"/>
    <x v="0"/>
  </r>
  <r>
    <s v="Titanic"/>
    <n v="45"/>
    <n v="219"/>
    <s v="Hollywood"/>
    <x v="12"/>
    <d v="1997-11-18T00:00:00"/>
    <x v="17"/>
    <x v="306"/>
    <x v="0"/>
    <x v="0"/>
    <x v="0"/>
    <x v="0"/>
    <x v="0"/>
    <x v="0"/>
    <x v="0"/>
    <x v="0"/>
    <x v="0"/>
    <x v="0"/>
    <x v="0"/>
    <x v="0"/>
    <x v="0"/>
    <x v="1"/>
    <x v="1"/>
    <x v="0"/>
    <x v="0"/>
    <x v="0"/>
    <x v="0"/>
  </r>
  <r>
    <s v="The Matrix"/>
    <n v="44"/>
    <n v="220"/>
    <s v="Hollywood"/>
    <x v="72"/>
    <d v="1999-03-30T00:00:00"/>
    <x v="54"/>
    <x v="141"/>
    <x v="1"/>
    <x v="0"/>
    <x v="0"/>
    <x v="0"/>
    <x v="0"/>
    <x v="0"/>
    <x v="1"/>
    <x v="0"/>
    <x v="0"/>
    <x v="0"/>
    <x v="0"/>
    <x v="0"/>
    <x v="0"/>
    <x v="0"/>
    <x v="0"/>
    <x v="0"/>
    <x v="0"/>
    <x v="0"/>
    <x v="0"/>
  </r>
  <r>
    <s v="Toy Story"/>
    <n v="43"/>
    <n v="221"/>
    <s v="Hollywood"/>
    <x v="119"/>
    <d v="1995-10-30T00:00:00"/>
    <x v="96"/>
    <x v="279"/>
    <x v="0"/>
    <x v="1"/>
    <x v="1"/>
    <x v="1"/>
    <x v="0"/>
    <x v="0"/>
    <x v="1"/>
    <x v="1"/>
    <x v="0"/>
    <x v="0"/>
    <x v="0"/>
    <x v="0"/>
    <x v="0"/>
    <x v="0"/>
    <x v="1"/>
    <x v="0"/>
    <x v="0"/>
    <x v="0"/>
    <x v="0"/>
  </r>
  <r>
    <s v="Alien"/>
    <n v="42"/>
    <n v="222"/>
    <s v="Hollywood"/>
    <x v="57"/>
    <d v="1979-05-25T00:00:00"/>
    <x v="67"/>
    <x v="116"/>
    <x v="0"/>
    <x v="0"/>
    <x v="0"/>
    <x v="0"/>
    <x v="0"/>
    <x v="0"/>
    <x v="1"/>
    <x v="0"/>
    <x v="0"/>
    <x v="0"/>
    <x v="1"/>
    <x v="0"/>
    <x v="0"/>
    <x v="0"/>
    <x v="0"/>
    <x v="0"/>
    <x v="0"/>
    <x v="0"/>
    <x v="0"/>
  </r>
  <r>
    <s v="Psycho"/>
    <n v="41"/>
    <n v="223"/>
    <s v="Hollywood"/>
    <x v="103"/>
    <d v="1960-06-22T00:00:00"/>
    <x v="86"/>
    <x v="232"/>
    <x v="0"/>
    <x v="0"/>
    <x v="0"/>
    <x v="0"/>
    <x v="0"/>
    <x v="0"/>
    <x v="0"/>
    <x v="0"/>
    <x v="0"/>
    <x v="0"/>
    <x v="1"/>
    <x v="0"/>
    <x v="0"/>
    <x v="0"/>
    <x v="1"/>
    <x v="0"/>
    <x v="1"/>
    <x v="0"/>
    <x v="0"/>
  </r>
  <r>
    <s v="Fight Club"/>
    <n v="40"/>
    <n v="224"/>
    <s v="Hollywood"/>
    <x v="6"/>
    <d v="1999-10-15T00:00:00"/>
    <x v="54"/>
    <x v="363"/>
    <x v="0"/>
    <x v="0"/>
    <x v="0"/>
    <x v="0"/>
    <x v="0"/>
    <x v="0"/>
    <x v="0"/>
    <x v="0"/>
    <x v="0"/>
    <x v="0"/>
    <x v="0"/>
    <x v="0"/>
    <x v="0"/>
    <x v="0"/>
    <x v="1"/>
    <x v="0"/>
    <x v="0"/>
    <x v="0"/>
    <x v="0"/>
  </r>
  <r>
    <s v="The Shining"/>
    <n v="39"/>
    <n v="225"/>
    <s v="Hollywood"/>
    <x v="85"/>
    <d v="1980-05-23T00:00:00"/>
    <x v="72"/>
    <x v="175"/>
    <x v="0"/>
    <x v="0"/>
    <x v="0"/>
    <x v="0"/>
    <x v="0"/>
    <x v="0"/>
    <x v="1"/>
    <x v="0"/>
    <x v="0"/>
    <x v="0"/>
    <x v="1"/>
    <x v="0"/>
    <x v="0"/>
    <x v="0"/>
    <x v="1"/>
    <x v="0"/>
    <x v="1"/>
    <x v="0"/>
    <x v="0"/>
  </r>
  <r>
    <s v="When Harry Met Sally"/>
    <n v="38"/>
    <n v="226"/>
    <s v="Hollywood"/>
    <x v="102"/>
    <d v="1989-07-21T00:00:00"/>
    <x v="61"/>
    <x v="431"/>
    <x v="0"/>
    <x v="0"/>
    <x v="0"/>
    <x v="1"/>
    <x v="0"/>
    <x v="0"/>
    <x v="0"/>
    <x v="0"/>
    <x v="0"/>
    <x v="0"/>
    <x v="0"/>
    <x v="0"/>
    <x v="0"/>
    <x v="1"/>
    <x v="1"/>
    <x v="0"/>
    <x v="0"/>
    <x v="0"/>
    <x v="0"/>
  </r>
  <r>
    <s v="Dr. Strangelove or: How I Learned to Stop Worrying and Love the Bomb"/>
    <n v="37"/>
    <n v="227"/>
    <s v="Hollywood"/>
    <x v="20"/>
    <d v="1964-01-29T00:00:00"/>
    <x v="43"/>
    <x v="59"/>
    <x v="0"/>
    <x v="0"/>
    <x v="0"/>
    <x v="1"/>
    <x v="0"/>
    <x v="0"/>
    <x v="1"/>
    <x v="0"/>
    <x v="0"/>
    <x v="0"/>
    <x v="0"/>
    <x v="0"/>
    <x v="0"/>
    <x v="0"/>
    <x v="1"/>
    <x v="0"/>
    <x v="0"/>
    <x v="1"/>
    <x v="0"/>
  </r>
  <r>
    <s v="Ferris Bueller's Day Off"/>
    <n v="36"/>
    <n v="228"/>
    <s v="Hollywood"/>
    <x v="14"/>
    <d v="1986-06-11T00:00:00"/>
    <x v="31"/>
    <x v="411"/>
    <x v="0"/>
    <x v="0"/>
    <x v="0"/>
    <x v="1"/>
    <x v="0"/>
    <x v="0"/>
    <x v="1"/>
    <x v="0"/>
    <x v="0"/>
    <x v="0"/>
    <x v="0"/>
    <x v="0"/>
    <x v="0"/>
    <x v="0"/>
    <x v="1"/>
    <x v="0"/>
    <x v="0"/>
    <x v="0"/>
    <x v="0"/>
  </r>
  <r>
    <s v="A Clockwork Orange"/>
    <n v="35"/>
    <n v="229"/>
    <s v="Hollywood"/>
    <x v="7"/>
    <d v="1971-12-19T00:00:00"/>
    <x v="7"/>
    <x v="7"/>
    <x v="0"/>
    <x v="0"/>
    <x v="0"/>
    <x v="0"/>
    <x v="1"/>
    <x v="0"/>
    <x v="1"/>
    <x v="0"/>
    <x v="0"/>
    <x v="0"/>
    <x v="0"/>
    <x v="0"/>
    <x v="0"/>
    <x v="0"/>
    <x v="0"/>
    <x v="0"/>
    <x v="0"/>
    <x v="0"/>
    <x v="0"/>
  </r>
  <r>
    <s v="American Beauty"/>
    <n v="34"/>
    <n v="230"/>
    <s v="Hollywood"/>
    <x v="6"/>
    <d v="1999-09-15T00:00:00"/>
    <x v="54"/>
    <x v="385"/>
    <x v="0"/>
    <x v="0"/>
    <x v="0"/>
    <x v="0"/>
    <x v="0"/>
    <x v="0"/>
    <x v="0"/>
    <x v="0"/>
    <x v="0"/>
    <x v="0"/>
    <x v="0"/>
    <x v="0"/>
    <x v="0"/>
    <x v="0"/>
    <x v="1"/>
    <x v="0"/>
    <x v="0"/>
    <x v="0"/>
    <x v="0"/>
  </r>
  <r>
    <s v="Fargo"/>
    <n v="33"/>
    <n v="231"/>
    <s v="Hollywood"/>
    <x v="106"/>
    <d v="1996-03-08T00:00:00"/>
    <x v="20"/>
    <x v="307"/>
    <x v="0"/>
    <x v="0"/>
    <x v="0"/>
    <x v="0"/>
    <x v="1"/>
    <x v="0"/>
    <x v="0"/>
    <x v="0"/>
    <x v="0"/>
    <x v="0"/>
    <x v="0"/>
    <x v="0"/>
    <x v="0"/>
    <x v="0"/>
    <x v="1"/>
    <x v="0"/>
    <x v="1"/>
    <x v="0"/>
    <x v="0"/>
  </r>
  <r>
    <s v="The Empire Strikes Back"/>
    <n v="32"/>
    <n v="232"/>
    <s v="Hollywood"/>
    <x v="15"/>
    <d v="1980-05-20T00:00:00"/>
    <x v="72"/>
    <x v="312"/>
    <x v="1"/>
    <x v="1"/>
    <x v="0"/>
    <x v="0"/>
    <x v="0"/>
    <x v="0"/>
    <x v="1"/>
    <x v="0"/>
    <x v="0"/>
    <x v="0"/>
    <x v="0"/>
    <x v="0"/>
    <x v="0"/>
    <x v="0"/>
    <x v="0"/>
    <x v="0"/>
    <x v="0"/>
    <x v="0"/>
    <x v="0"/>
  </r>
  <r>
    <s v="The Princess Bride"/>
    <n v="31"/>
    <n v="233"/>
    <s v="Hollywood"/>
    <x v="177"/>
    <d v="1987-09-25T00:00:00"/>
    <x v="53"/>
    <x v="390"/>
    <x v="0"/>
    <x v="1"/>
    <x v="0"/>
    <x v="1"/>
    <x v="0"/>
    <x v="0"/>
    <x v="1"/>
    <x v="1"/>
    <x v="1"/>
    <x v="0"/>
    <x v="0"/>
    <x v="0"/>
    <x v="0"/>
    <x v="1"/>
    <x v="1"/>
    <x v="0"/>
    <x v="0"/>
    <x v="0"/>
    <x v="0"/>
  </r>
  <r>
    <s v="One Flew Over the Cuckoo's Nest"/>
    <n v="30"/>
    <n v="234"/>
    <s v="Hollywood"/>
    <x v="6"/>
    <d v="1975-11-19T00:00:00"/>
    <x v="66"/>
    <x v="341"/>
    <x v="0"/>
    <x v="0"/>
    <x v="0"/>
    <x v="0"/>
    <x v="0"/>
    <x v="0"/>
    <x v="0"/>
    <x v="0"/>
    <x v="0"/>
    <x v="0"/>
    <x v="0"/>
    <x v="0"/>
    <x v="0"/>
    <x v="0"/>
    <x v="1"/>
    <x v="0"/>
    <x v="0"/>
    <x v="0"/>
    <x v="0"/>
  </r>
  <r>
    <s v="Blade Runner"/>
    <n v="29"/>
    <n v="235"/>
    <s v="Hollywood"/>
    <x v="96"/>
    <d v="1982-06-25T00:00:00"/>
    <x v="74"/>
    <x v="210"/>
    <x v="0"/>
    <x v="0"/>
    <x v="0"/>
    <x v="0"/>
    <x v="0"/>
    <x v="0"/>
    <x v="0"/>
    <x v="0"/>
    <x v="0"/>
    <x v="0"/>
    <x v="0"/>
    <x v="0"/>
    <x v="0"/>
    <x v="0"/>
    <x v="0"/>
    <x v="0"/>
    <x v="1"/>
    <x v="0"/>
    <x v="0"/>
  </r>
  <r>
    <s v="The Graduate"/>
    <n v="28"/>
    <n v="236"/>
    <s v="Hollywood"/>
    <x v="3"/>
    <d v="1967-12-21T00:00:00"/>
    <x v="6"/>
    <x v="275"/>
    <x v="0"/>
    <x v="0"/>
    <x v="0"/>
    <x v="1"/>
    <x v="0"/>
    <x v="0"/>
    <x v="0"/>
    <x v="0"/>
    <x v="0"/>
    <x v="0"/>
    <x v="0"/>
    <x v="0"/>
    <x v="0"/>
    <x v="1"/>
    <x v="1"/>
    <x v="0"/>
    <x v="0"/>
    <x v="0"/>
    <x v="0"/>
  </r>
  <r>
    <s v="The Breakfast Club"/>
    <n v="27"/>
    <n v="237"/>
    <s v="Hollywood"/>
    <x v="50"/>
    <d v="1985-02-15T00:00:00"/>
    <x v="80"/>
    <x v="403"/>
    <x v="0"/>
    <x v="0"/>
    <x v="0"/>
    <x v="1"/>
    <x v="0"/>
    <x v="0"/>
    <x v="0"/>
    <x v="0"/>
    <x v="0"/>
    <x v="0"/>
    <x v="0"/>
    <x v="0"/>
    <x v="0"/>
    <x v="0"/>
    <x v="1"/>
    <x v="0"/>
    <x v="0"/>
    <x v="0"/>
    <x v="0"/>
  </r>
  <r>
    <s v="Singin' in the Rain"/>
    <n v="26"/>
    <n v="238"/>
    <s v="Hollywood"/>
    <x v="67"/>
    <d v="1952-04-09T00:00:00"/>
    <x v="22"/>
    <x v="254"/>
    <x v="0"/>
    <x v="0"/>
    <x v="0"/>
    <x v="1"/>
    <x v="0"/>
    <x v="0"/>
    <x v="1"/>
    <x v="0"/>
    <x v="0"/>
    <x v="0"/>
    <x v="0"/>
    <x v="0"/>
    <x v="0"/>
    <x v="1"/>
    <x v="1"/>
    <x v="0"/>
    <x v="0"/>
    <x v="0"/>
    <x v="0"/>
  </r>
  <r>
    <s v="The Sound of Music"/>
    <n v="25"/>
    <n v="239"/>
    <s v="Hollywood"/>
    <x v="120"/>
    <d v="1965-03-29T00:00:00"/>
    <x v="62"/>
    <x v="285"/>
    <x v="0"/>
    <x v="0"/>
    <x v="0"/>
    <x v="0"/>
    <x v="0"/>
    <x v="0"/>
    <x v="0"/>
    <x v="1"/>
    <x v="0"/>
    <x v="0"/>
    <x v="0"/>
    <x v="1"/>
    <x v="0"/>
    <x v="1"/>
    <x v="1"/>
    <x v="0"/>
    <x v="0"/>
    <x v="0"/>
    <x v="0"/>
  </r>
  <r>
    <s v="Jaws"/>
    <n v="24"/>
    <n v="240"/>
    <s v="Hollywood"/>
    <x v="80"/>
    <d v="1975-06-20T00:00:00"/>
    <x v="66"/>
    <x v="158"/>
    <x v="0"/>
    <x v="1"/>
    <x v="0"/>
    <x v="0"/>
    <x v="0"/>
    <x v="0"/>
    <x v="1"/>
    <x v="0"/>
    <x v="0"/>
    <x v="0"/>
    <x v="1"/>
    <x v="0"/>
    <x v="0"/>
    <x v="0"/>
    <x v="1"/>
    <x v="0"/>
    <x v="1"/>
    <x v="0"/>
    <x v="0"/>
  </r>
  <r>
    <s v="Lawrence of Arabia"/>
    <n v="23"/>
    <n v="241"/>
    <s v="Hollywood"/>
    <x v="65"/>
    <d v="1962-12-11T00:00:00"/>
    <x v="42"/>
    <x v="131"/>
    <x v="0"/>
    <x v="1"/>
    <x v="0"/>
    <x v="0"/>
    <x v="0"/>
    <x v="0"/>
    <x v="0"/>
    <x v="0"/>
    <x v="0"/>
    <x v="1"/>
    <x v="0"/>
    <x v="0"/>
    <x v="0"/>
    <x v="0"/>
    <x v="1"/>
    <x v="0"/>
    <x v="0"/>
    <x v="1"/>
    <x v="0"/>
  </r>
  <r>
    <s v="The Silence of the Lambs"/>
    <n v="22"/>
    <n v="242"/>
    <s v="Hollywood"/>
    <x v="106"/>
    <d v="1991-02-14T00:00:00"/>
    <x v="85"/>
    <x v="309"/>
    <x v="0"/>
    <x v="0"/>
    <x v="0"/>
    <x v="0"/>
    <x v="1"/>
    <x v="0"/>
    <x v="0"/>
    <x v="0"/>
    <x v="0"/>
    <x v="0"/>
    <x v="0"/>
    <x v="0"/>
    <x v="0"/>
    <x v="0"/>
    <x v="1"/>
    <x v="0"/>
    <x v="1"/>
    <x v="0"/>
    <x v="0"/>
  </r>
  <r>
    <s v="Chinatown"/>
    <n v="21"/>
    <n v="243"/>
    <s v="Hollywood"/>
    <x v="55"/>
    <d v="1974-06-20T00:00:00"/>
    <x v="25"/>
    <x v="113"/>
    <x v="0"/>
    <x v="0"/>
    <x v="0"/>
    <x v="0"/>
    <x v="1"/>
    <x v="0"/>
    <x v="0"/>
    <x v="0"/>
    <x v="0"/>
    <x v="0"/>
    <x v="0"/>
    <x v="0"/>
    <x v="1"/>
    <x v="0"/>
    <x v="1"/>
    <x v="0"/>
    <x v="1"/>
    <x v="0"/>
    <x v="0"/>
  </r>
  <r>
    <s v="It's a Wonderful Life"/>
    <n v="20"/>
    <n v="244"/>
    <s v="Hollywood"/>
    <x v="63"/>
    <d v="1946-12-20T00:00:00"/>
    <x v="5"/>
    <x v="129"/>
    <x v="0"/>
    <x v="0"/>
    <x v="0"/>
    <x v="0"/>
    <x v="0"/>
    <x v="0"/>
    <x v="0"/>
    <x v="1"/>
    <x v="1"/>
    <x v="0"/>
    <x v="0"/>
    <x v="0"/>
    <x v="0"/>
    <x v="0"/>
    <x v="1"/>
    <x v="0"/>
    <x v="0"/>
    <x v="0"/>
    <x v="0"/>
  </r>
  <r>
    <s v="Goodfellas"/>
    <n v="19"/>
    <n v="245"/>
    <s v="Hollywood"/>
    <x v="51"/>
    <d v="1990-09-12T00:00:00"/>
    <x v="89"/>
    <x v="200"/>
    <x v="0"/>
    <x v="0"/>
    <x v="0"/>
    <x v="0"/>
    <x v="1"/>
    <x v="0"/>
    <x v="0"/>
    <x v="0"/>
    <x v="0"/>
    <x v="0"/>
    <x v="0"/>
    <x v="0"/>
    <x v="0"/>
    <x v="0"/>
    <x v="1"/>
    <x v="0"/>
    <x v="0"/>
    <x v="0"/>
    <x v="0"/>
  </r>
  <r>
    <s v="Annie Hall"/>
    <n v="18"/>
    <n v="246"/>
    <s v="Hollywood"/>
    <x v="3"/>
    <d v="1977-04-19T00:00:00"/>
    <x v="3"/>
    <x v="3"/>
    <x v="0"/>
    <x v="0"/>
    <x v="0"/>
    <x v="1"/>
    <x v="0"/>
    <x v="0"/>
    <x v="0"/>
    <x v="0"/>
    <x v="0"/>
    <x v="0"/>
    <x v="0"/>
    <x v="0"/>
    <x v="0"/>
    <x v="1"/>
    <x v="1"/>
    <x v="0"/>
    <x v="0"/>
    <x v="0"/>
    <x v="0"/>
  </r>
  <r>
    <s v="Apocalypse Now"/>
    <n v="17"/>
    <n v="247"/>
    <s v="Hollywood"/>
    <x v="22"/>
    <d v="1979-08-15T00:00:00"/>
    <x v="67"/>
    <x v="245"/>
    <x v="0"/>
    <x v="0"/>
    <x v="0"/>
    <x v="0"/>
    <x v="0"/>
    <x v="0"/>
    <x v="0"/>
    <x v="0"/>
    <x v="0"/>
    <x v="0"/>
    <x v="0"/>
    <x v="0"/>
    <x v="0"/>
    <x v="0"/>
    <x v="1"/>
    <x v="0"/>
    <x v="0"/>
    <x v="1"/>
    <x v="0"/>
  </r>
  <r>
    <s v="To Kill a Mockingbird"/>
    <n v="16"/>
    <n v="248"/>
    <s v="Hollywood"/>
    <x v="6"/>
    <d v="1962-12-20T00:00:00"/>
    <x v="42"/>
    <x v="395"/>
    <x v="0"/>
    <x v="0"/>
    <x v="0"/>
    <x v="0"/>
    <x v="0"/>
    <x v="0"/>
    <x v="0"/>
    <x v="0"/>
    <x v="0"/>
    <x v="0"/>
    <x v="0"/>
    <x v="0"/>
    <x v="0"/>
    <x v="0"/>
    <x v="1"/>
    <x v="0"/>
    <x v="0"/>
    <x v="0"/>
    <x v="0"/>
  </r>
  <r>
    <s v="Gone With the Wind"/>
    <n v="15"/>
    <n v="249"/>
    <s v="Hollywood"/>
    <x v="132"/>
    <d v="1939-12-15T00:00:00"/>
    <x v="75"/>
    <x v="314"/>
    <x v="0"/>
    <x v="0"/>
    <x v="0"/>
    <x v="0"/>
    <x v="0"/>
    <x v="0"/>
    <x v="0"/>
    <x v="0"/>
    <x v="0"/>
    <x v="0"/>
    <x v="0"/>
    <x v="0"/>
    <x v="0"/>
    <x v="1"/>
    <x v="1"/>
    <x v="0"/>
    <x v="0"/>
    <x v="1"/>
    <x v="0"/>
  </r>
  <r>
    <s v="Forrest Gump"/>
    <n v="14"/>
    <n v="250"/>
    <s v="Hollywood"/>
    <x v="3"/>
    <d v="1994-06-23T00:00:00"/>
    <x v="71"/>
    <x v="349"/>
    <x v="0"/>
    <x v="0"/>
    <x v="0"/>
    <x v="1"/>
    <x v="0"/>
    <x v="0"/>
    <x v="0"/>
    <x v="0"/>
    <x v="0"/>
    <x v="0"/>
    <x v="0"/>
    <x v="0"/>
    <x v="0"/>
    <x v="1"/>
    <x v="1"/>
    <x v="0"/>
    <x v="0"/>
    <x v="0"/>
    <x v="0"/>
  </r>
  <r>
    <s v="Raiders of the Lost Ark"/>
    <n v="13"/>
    <n v="251"/>
    <s v="Hollywood"/>
    <x v="26"/>
    <d v="1981-06-12T00:00:00"/>
    <x v="9"/>
    <x v="52"/>
    <x v="1"/>
    <x v="1"/>
    <x v="0"/>
    <x v="0"/>
    <x v="0"/>
    <x v="0"/>
    <x v="1"/>
    <x v="0"/>
    <x v="0"/>
    <x v="0"/>
    <x v="0"/>
    <x v="0"/>
    <x v="0"/>
    <x v="0"/>
    <x v="1"/>
    <x v="0"/>
    <x v="0"/>
    <x v="0"/>
    <x v="0"/>
  </r>
  <r>
    <s v="Back to the Future"/>
    <n v="12"/>
    <n v="252"/>
    <s v="Hollywood"/>
    <x v="165"/>
    <d v="1985-07-03T00:00:00"/>
    <x v="80"/>
    <x v="370"/>
    <x v="0"/>
    <x v="1"/>
    <x v="0"/>
    <x v="1"/>
    <x v="0"/>
    <x v="0"/>
    <x v="1"/>
    <x v="0"/>
    <x v="0"/>
    <x v="0"/>
    <x v="0"/>
    <x v="0"/>
    <x v="0"/>
    <x v="0"/>
    <x v="0"/>
    <x v="0"/>
    <x v="0"/>
    <x v="0"/>
    <x v="0"/>
  </r>
  <r>
    <s v="Star Wars"/>
    <n v="11"/>
    <n v="253"/>
    <s v="Hollywood"/>
    <x v="15"/>
    <d v="1977-05-25T00:00:00"/>
    <x v="3"/>
    <x v="24"/>
    <x v="1"/>
    <x v="1"/>
    <x v="0"/>
    <x v="0"/>
    <x v="0"/>
    <x v="0"/>
    <x v="1"/>
    <x v="0"/>
    <x v="0"/>
    <x v="0"/>
    <x v="0"/>
    <x v="0"/>
    <x v="0"/>
    <x v="0"/>
    <x v="0"/>
    <x v="0"/>
    <x v="0"/>
    <x v="0"/>
    <x v="0"/>
  </r>
  <r>
    <s v="Schindler's List"/>
    <n v="10"/>
    <n v="254"/>
    <s v="Hollywood"/>
    <x v="56"/>
    <d v="1993-12-15T00:00:00"/>
    <x v="29"/>
    <x v="353"/>
    <x v="0"/>
    <x v="0"/>
    <x v="0"/>
    <x v="0"/>
    <x v="0"/>
    <x v="0"/>
    <x v="0"/>
    <x v="0"/>
    <x v="0"/>
    <x v="1"/>
    <x v="0"/>
    <x v="0"/>
    <x v="0"/>
    <x v="0"/>
    <x v="1"/>
    <x v="0"/>
    <x v="0"/>
    <x v="1"/>
    <x v="0"/>
  </r>
  <r>
    <s v="2001: A Space Odyssey"/>
    <n v="9"/>
    <n v="255"/>
    <s v="Hollywood"/>
    <x v="110"/>
    <d v="1968-04-02T00:00:00"/>
    <x v="21"/>
    <x v="258"/>
    <x v="0"/>
    <x v="1"/>
    <x v="0"/>
    <x v="0"/>
    <x v="0"/>
    <x v="0"/>
    <x v="1"/>
    <x v="0"/>
    <x v="0"/>
    <x v="0"/>
    <x v="0"/>
    <x v="0"/>
    <x v="1"/>
    <x v="0"/>
    <x v="0"/>
    <x v="0"/>
    <x v="0"/>
    <x v="0"/>
    <x v="0"/>
  </r>
  <r>
    <s v="E.T. The Extra-Terrestrial"/>
    <n v="8"/>
    <n v="256"/>
    <s v="Hollywood"/>
    <x v="113"/>
    <d v="1982-06-11T00:00:00"/>
    <x v="74"/>
    <x v="265"/>
    <x v="0"/>
    <x v="1"/>
    <x v="0"/>
    <x v="0"/>
    <x v="0"/>
    <x v="0"/>
    <x v="1"/>
    <x v="1"/>
    <x v="1"/>
    <x v="0"/>
    <x v="0"/>
    <x v="0"/>
    <x v="0"/>
    <x v="0"/>
    <x v="0"/>
    <x v="0"/>
    <x v="0"/>
    <x v="0"/>
    <x v="0"/>
  </r>
  <r>
    <s v="The Godfather: Part II"/>
    <n v="7"/>
    <n v="257"/>
    <s v="Hollywood"/>
    <x v="51"/>
    <d v="1974-12-20T00:00:00"/>
    <x v="25"/>
    <x v="157"/>
    <x v="0"/>
    <x v="0"/>
    <x v="0"/>
    <x v="0"/>
    <x v="1"/>
    <x v="0"/>
    <x v="0"/>
    <x v="0"/>
    <x v="0"/>
    <x v="0"/>
    <x v="0"/>
    <x v="0"/>
    <x v="0"/>
    <x v="0"/>
    <x v="1"/>
    <x v="0"/>
    <x v="0"/>
    <x v="0"/>
    <x v="0"/>
  </r>
  <r>
    <s v="Casablanca"/>
    <n v="6"/>
    <n v="258"/>
    <s v="Hollywood"/>
    <x v="12"/>
    <d v="1943-01-15T00:00:00"/>
    <x v="41"/>
    <x v="201"/>
    <x v="0"/>
    <x v="0"/>
    <x v="0"/>
    <x v="0"/>
    <x v="0"/>
    <x v="0"/>
    <x v="0"/>
    <x v="0"/>
    <x v="0"/>
    <x v="0"/>
    <x v="0"/>
    <x v="0"/>
    <x v="0"/>
    <x v="1"/>
    <x v="1"/>
    <x v="0"/>
    <x v="0"/>
    <x v="0"/>
    <x v="0"/>
  </r>
  <r>
    <s v="Pulp Fiction"/>
    <n v="5"/>
    <n v="259"/>
    <s v="Hollywood"/>
    <x v="66"/>
    <d v="1994-09-10T00:00:00"/>
    <x v="71"/>
    <x v="132"/>
    <x v="0"/>
    <x v="0"/>
    <x v="0"/>
    <x v="0"/>
    <x v="1"/>
    <x v="0"/>
    <x v="1"/>
    <x v="0"/>
    <x v="0"/>
    <x v="0"/>
    <x v="0"/>
    <x v="0"/>
    <x v="0"/>
    <x v="0"/>
    <x v="1"/>
    <x v="0"/>
    <x v="1"/>
    <x v="0"/>
    <x v="0"/>
  </r>
  <r>
    <s v="The Shawshank Redemption"/>
    <n v="4"/>
    <n v="260"/>
    <s v="Hollywood"/>
    <x v="51"/>
    <d v="1994-09-23T00:00:00"/>
    <x v="71"/>
    <x v="373"/>
    <x v="0"/>
    <x v="0"/>
    <x v="0"/>
    <x v="0"/>
    <x v="1"/>
    <x v="0"/>
    <x v="0"/>
    <x v="0"/>
    <x v="0"/>
    <x v="0"/>
    <x v="0"/>
    <x v="0"/>
    <x v="0"/>
    <x v="0"/>
    <x v="1"/>
    <x v="0"/>
    <x v="0"/>
    <x v="0"/>
    <x v="0"/>
  </r>
  <r>
    <s v="Citizen Kane"/>
    <n v="3"/>
    <n v="261"/>
    <s v="Hollywood"/>
    <x v="46"/>
    <d v="1941-04-17T00:00:00"/>
    <x v="2"/>
    <x v="261"/>
    <x v="0"/>
    <x v="0"/>
    <x v="0"/>
    <x v="0"/>
    <x v="0"/>
    <x v="0"/>
    <x v="0"/>
    <x v="0"/>
    <x v="0"/>
    <x v="0"/>
    <x v="0"/>
    <x v="0"/>
    <x v="1"/>
    <x v="0"/>
    <x v="1"/>
    <x v="0"/>
    <x v="0"/>
    <x v="0"/>
    <x v="0"/>
  </r>
  <r>
    <s v="The Wizard of Oz"/>
    <n v="2"/>
    <n v="262"/>
    <s v="Hollywood"/>
    <x v="78"/>
    <d v="1939-08-15T00:00:00"/>
    <x v="75"/>
    <x v="155"/>
    <x v="0"/>
    <x v="1"/>
    <x v="0"/>
    <x v="0"/>
    <x v="0"/>
    <x v="0"/>
    <x v="1"/>
    <x v="1"/>
    <x v="1"/>
    <x v="0"/>
    <x v="0"/>
    <x v="0"/>
    <x v="0"/>
    <x v="0"/>
    <x v="1"/>
    <x v="0"/>
    <x v="0"/>
    <x v="0"/>
    <x v="0"/>
  </r>
  <r>
    <s v="The Godfather"/>
    <n v="1"/>
    <n v="263"/>
    <s v="Hollywood"/>
    <x v="51"/>
    <d v="1972-03-14T00:00:00"/>
    <x v="19"/>
    <x v="252"/>
    <x v="0"/>
    <x v="0"/>
    <x v="0"/>
    <x v="0"/>
    <x v="1"/>
    <x v="0"/>
    <x v="0"/>
    <x v="0"/>
    <x v="0"/>
    <x v="0"/>
    <x v="0"/>
    <x v="0"/>
    <x v="0"/>
    <x v="0"/>
    <x v="1"/>
    <x v="0"/>
    <x v="0"/>
    <x v="0"/>
    <x v="0"/>
  </r>
  <r>
    <s v="Harakiri"/>
    <n v="1"/>
    <n v="263"/>
    <s v="Letterbox"/>
    <x v="6"/>
    <d v="1919-12-18T00:00:00"/>
    <x v="99"/>
    <x v="432"/>
    <x v="0"/>
    <x v="0"/>
    <x v="0"/>
    <x v="0"/>
    <x v="0"/>
    <x v="0"/>
    <x v="0"/>
    <x v="0"/>
    <x v="0"/>
    <x v="0"/>
    <x v="0"/>
    <x v="0"/>
    <x v="0"/>
    <x v="0"/>
    <x v="1"/>
    <x v="0"/>
    <x v="0"/>
    <x v="0"/>
    <x v="0"/>
  </r>
  <r>
    <s v="Come and See"/>
    <n v="2"/>
    <n v="262"/>
    <s v="Letterbox"/>
    <x v="22"/>
    <d v="1985-07-09T00:00:00"/>
    <x v="80"/>
    <x v="159"/>
    <x v="0"/>
    <x v="0"/>
    <x v="0"/>
    <x v="0"/>
    <x v="0"/>
    <x v="0"/>
    <x v="0"/>
    <x v="0"/>
    <x v="0"/>
    <x v="0"/>
    <x v="0"/>
    <x v="0"/>
    <x v="0"/>
    <x v="0"/>
    <x v="1"/>
    <x v="0"/>
    <x v="0"/>
    <x v="1"/>
    <x v="0"/>
  </r>
  <r>
    <s v="12 Angry Men"/>
    <n v="3"/>
    <n v="261"/>
    <s v="Letterbox"/>
    <x v="6"/>
    <d v="1957-04-10T00:00:00"/>
    <x v="52"/>
    <x v="276"/>
    <x v="0"/>
    <x v="0"/>
    <x v="0"/>
    <x v="0"/>
    <x v="0"/>
    <x v="0"/>
    <x v="0"/>
    <x v="0"/>
    <x v="0"/>
    <x v="0"/>
    <x v="0"/>
    <x v="0"/>
    <x v="0"/>
    <x v="0"/>
    <x v="1"/>
    <x v="0"/>
    <x v="0"/>
    <x v="0"/>
    <x v="0"/>
  </r>
  <r>
    <s v="Seven Samurai"/>
    <n v="4"/>
    <n v="260"/>
    <s v="Letterbox"/>
    <x v="107"/>
    <d v="1954-04-26T00:00:00"/>
    <x v="76"/>
    <x v="244"/>
    <x v="1"/>
    <x v="0"/>
    <x v="0"/>
    <x v="0"/>
    <x v="0"/>
    <x v="0"/>
    <x v="0"/>
    <x v="0"/>
    <x v="0"/>
    <x v="0"/>
    <x v="0"/>
    <x v="0"/>
    <x v="0"/>
    <x v="0"/>
    <x v="1"/>
    <x v="0"/>
    <x v="0"/>
    <x v="0"/>
    <x v="0"/>
  </r>
  <r>
    <s v="The Godfather: Part II"/>
    <n v="5"/>
    <n v="259"/>
    <s v="Letterbox"/>
    <x v="51"/>
    <d v="1974-12-20T00:00:00"/>
    <x v="25"/>
    <x v="157"/>
    <x v="0"/>
    <x v="0"/>
    <x v="0"/>
    <x v="0"/>
    <x v="1"/>
    <x v="0"/>
    <x v="0"/>
    <x v="0"/>
    <x v="0"/>
    <x v="0"/>
    <x v="0"/>
    <x v="0"/>
    <x v="0"/>
    <x v="0"/>
    <x v="1"/>
    <x v="0"/>
    <x v="0"/>
    <x v="0"/>
    <x v="0"/>
  </r>
  <r>
    <s v="High and Low"/>
    <n v="6"/>
    <n v="258"/>
    <s v="Letterbox"/>
    <x v="55"/>
    <d v="1963-03-01T00:00:00"/>
    <x v="50"/>
    <x v="433"/>
    <x v="0"/>
    <x v="0"/>
    <x v="0"/>
    <x v="0"/>
    <x v="1"/>
    <x v="0"/>
    <x v="0"/>
    <x v="0"/>
    <x v="0"/>
    <x v="0"/>
    <x v="0"/>
    <x v="0"/>
    <x v="1"/>
    <x v="0"/>
    <x v="1"/>
    <x v="0"/>
    <x v="1"/>
    <x v="0"/>
    <x v="0"/>
  </r>
  <r>
    <s v="Parasite"/>
    <n v="7"/>
    <n v="257"/>
    <s v="Letterbox"/>
    <x v="57"/>
    <d v="1982-03-12T00:00:00"/>
    <x v="74"/>
    <x v="170"/>
    <x v="0"/>
    <x v="0"/>
    <x v="0"/>
    <x v="0"/>
    <x v="0"/>
    <x v="0"/>
    <x v="1"/>
    <x v="0"/>
    <x v="0"/>
    <x v="0"/>
    <x v="1"/>
    <x v="0"/>
    <x v="0"/>
    <x v="0"/>
    <x v="0"/>
    <x v="0"/>
    <x v="0"/>
    <x v="0"/>
    <x v="0"/>
  </r>
  <r>
    <s v="The Godfather"/>
    <n v="8"/>
    <n v="256"/>
    <s v="Letterbox"/>
    <x v="51"/>
    <d v="1972-03-14T00:00:00"/>
    <x v="19"/>
    <x v="252"/>
    <x v="0"/>
    <x v="0"/>
    <x v="0"/>
    <x v="0"/>
    <x v="1"/>
    <x v="0"/>
    <x v="0"/>
    <x v="0"/>
    <x v="0"/>
    <x v="0"/>
    <x v="0"/>
    <x v="0"/>
    <x v="0"/>
    <x v="0"/>
    <x v="1"/>
    <x v="0"/>
    <x v="0"/>
    <x v="0"/>
    <x v="0"/>
  </r>
  <r>
    <s v="The Shawshank Redemption"/>
    <n v="9"/>
    <n v="255"/>
    <s v="Letterbox"/>
    <x v="51"/>
    <d v="1994-09-23T00:00:00"/>
    <x v="71"/>
    <x v="373"/>
    <x v="0"/>
    <x v="0"/>
    <x v="0"/>
    <x v="0"/>
    <x v="1"/>
    <x v="0"/>
    <x v="0"/>
    <x v="0"/>
    <x v="0"/>
    <x v="0"/>
    <x v="0"/>
    <x v="0"/>
    <x v="0"/>
    <x v="0"/>
    <x v="1"/>
    <x v="0"/>
    <x v="0"/>
    <x v="0"/>
    <x v="0"/>
  </r>
  <r>
    <s v="The Human Condition III: A Soldier's Prayer"/>
    <n v="10"/>
    <n v="254"/>
    <s v="Letterbox"/>
    <x v="36"/>
    <d v="1961-01-28T00:00:00"/>
    <x v="60"/>
    <x v="434"/>
    <x v="0"/>
    <x v="0"/>
    <x v="0"/>
    <x v="0"/>
    <x v="0"/>
    <x v="0"/>
    <x v="0"/>
    <x v="0"/>
    <x v="0"/>
    <x v="1"/>
    <x v="0"/>
    <x v="0"/>
    <x v="0"/>
    <x v="0"/>
    <x v="1"/>
    <x v="0"/>
    <x v="0"/>
    <x v="1"/>
    <x v="0"/>
  </r>
  <r>
    <s v="Yi Yi"/>
    <n v="11"/>
    <n v="253"/>
    <s v="Letterbox"/>
    <x v="6"/>
    <d v="2000-09-20T00:00:00"/>
    <x v="27"/>
    <x v="171"/>
    <x v="0"/>
    <x v="0"/>
    <x v="0"/>
    <x v="0"/>
    <x v="0"/>
    <x v="0"/>
    <x v="0"/>
    <x v="0"/>
    <x v="0"/>
    <x v="0"/>
    <x v="0"/>
    <x v="0"/>
    <x v="0"/>
    <x v="0"/>
    <x v="1"/>
    <x v="0"/>
    <x v="0"/>
    <x v="0"/>
    <x v="0"/>
  </r>
  <r>
    <s v="City of God"/>
    <n v="12"/>
    <n v="252"/>
    <s v="Letterbox"/>
    <x v="51"/>
    <d v="2002-08-30T00:00:00"/>
    <x v="15"/>
    <x v="406"/>
    <x v="0"/>
    <x v="0"/>
    <x v="0"/>
    <x v="0"/>
    <x v="1"/>
    <x v="0"/>
    <x v="0"/>
    <x v="0"/>
    <x v="0"/>
    <x v="0"/>
    <x v="0"/>
    <x v="0"/>
    <x v="0"/>
    <x v="0"/>
    <x v="1"/>
    <x v="0"/>
    <x v="0"/>
    <x v="0"/>
    <x v="0"/>
  </r>
  <r>
    <s v="Schindler's List"/>
    <n v="13"/>
    <n v="251"/>
    <s v="Letterbox"/>
    <x v="56"/>
    <d v="1993-12-15T00:00:00"/>
    <x v="29"/>
    <x v="353"/>
    <x v="0"/>
    <x v="0"/>
    <x v="0"/>
    <x v="0"/>
    <x v="0"/>
    <x v="0"/>
    <x v="0"/>
    <x v="0"/>
    <x v="0"/>
    <x v="1"/>
    <x v="0"/>
    <x v="0"/>
    <x v="0"/>
    <x v="0"/>
    <x v="1"/>
    <x v="0"/>
    <x v="0"/>
    <x v="1"/>
    <x v="0"/>
  </r>
  <r>
    <s v="Ikiru"/>
    <n v="14"/>
    <n v="250"/>
    <s v="Letterbox"/>
    <x v="6"/>
    <d v="1952-10-09T00:00:00"/>
    <x v="22"/>
    <x v="97"/>
    <x v="0"/>
    <x v="0"/>
    <x v="0"/>
    <x v="0"/>
    <x v="0"/>
    <x v="0"/>
    <x v="0"/>
    <x v="0"/>
    <x v="0"/>
    <x v="0"/>
    <x v="0"/>
    <x v="0"/>
    <x v="0"/>
    <x v="0"/>
    <x v="1"/>
    <x v="0"/>
    <x v="0"/>
    <x v="0"/>
    <x v="0"/>
  </r>
  <r>
    <s v="La Haine"/>
    <n v="15"/>
    <n v="249"/>
    <s v="Letterbox"/>
    <x v="6"/>
    <d v="1995-05-31T00:00:00"/>
    <x v="96"/>
    <x v="435"/>
    <x v="0"/>
    <x v="0"/>
    <x v="0"/>
    <x v="0"/>
    <x v="0"/>
    <x v="0"/>
    <x v="0"/>
    <x v="0"/>
    <x v="0"/>
    <x v="0"/>
    <x v="0"/>
    <x v="0"/>
    <x v="0"/>
    <x v="0"/>
    <x v="1"/>
    <x v="0"/>
    <x v="0"/>
    <x v="0"/>
    <x v="0"/>
  </r>
  <r>
    <s v="Spider-Man: Across the Spider-Verse"/>
    <n v="16"/>
    <n v="248"/>
    <s v="Letterbox"/>
    <x v="193"/>
    <d v="2023-05-31T00:00:00"/>
    <x v="23"/>
    <x v="436"/>
    <x v="1"/>
    <x v="1"/>
    <x v="1"/>
    <x v="0"/>
    <x v="0"/>
    <x v="0"/>
    <x v="1"/>
    <x v="0"/>
    <x v="0"/>
    <x v="0"/>
    <x v="0"/>
    <x v="0"/>
    <x v="0"/>
    <x v="0"/>
    <x v="1"/>
    <x v="0"/>
    <x v="0"/>
    <x v="0"/>
    <x v="0"/>
  </r>
  <r>
    <s v="The Good, the Bad and the Ugly"/>
    <n v="17"/>
    <n v="247"/>
    <s v="Letterbox"/>
    <x v="43"/>
    <d v="1966-12-23T00:00:00"/>
    <x v="49"/>
    <x v="84"/>
    <x v="0"/>
    <x v="0"/>
    <x v="0"/>
    <x v="0"/>
    <x v="0"/>
    <x v="0"/>
    <x v="1"/>
    <x v="0"/>
    <x v="0"/>
    <x v="0"/>
    <x v="0"/>
    <x v="0"/>
    <x v="0"/>
    <x v="0"/>
    <x v="1"/>
    <x v="0"/>
    <x v="0"/>
    <x v="0"/>
    <x v="1"/>
  </r>
  <r>
    <s v="Ran"/>
    <n v="18"/>
    <n v="246"/>
    <s v="Letterbox"/>
    <x v="39"/>
    <d v="2018-06-06T00:00:00"/>
    <x v="51"/>
    <x v="76"/>
    <x v="0"/>
    <x v="0"/>
    <x v="0"/>
    <x v="0"/>
    <x v="0"/>
    <x v="0"/>
    <x v="1"/>
    <x v="0"/>
    <x v="0"/>
    <x v="0"/>
    <x v="0"/>
    <x v="0"/>
    <x v="0"/>
    <x v="0"/>
    <x v="1"/>
    <x v="0"/>
    <x v="0"/>
    <x v="0"/>
    <x v="0"/>
  </r>
  <r>
    <s v="A Brighter Summer Day"/>
    <n v="19"/>
    <n v="245"/>
    <s v="Letterbox"/>
    <x v="89"/>
    <d v="1991-07-27T00:00:00"/>
    <x v="85"/>
    <x v="185"/>
    <x v="0"/>
    <x v="0"/>
    <x v="0"/>
    <x v="0"/>
    <x v="1"/>
    <x v="0"/>
    <x v="0"/>
    <x v="0"/>
    <x v="0"/>
    <x v="0"/>
    <x v="0"/>
    <x v="0"/>
    <x v="0"/>
    <x v="1"/>
    <x v="1"/>
    <x v="0"/>
    <x v="0"/>
    <x v="0"/>
    <x v="0"/>
  </r>
  <r>
    <s v="The Lord of the Rings: The Return of the King"/>
    <n v="20"/>
    <n v="244"/>
    <s v="Letterbox"/>
    <x v="157"/>
    <d v="2003-12-01T00:00:00"/>
    <x v="79"/>
    <x v="361"/>
    <x v="1"/>
    <x v="1"/>
    <x v="0"/>
    <x v="0"/>
    <x v="0"/>
    <x v="0"/>
    <x v="1"/>
    <x v="0"/>
    <x v="1"/>
    <x v="0"/>
    <x v="0"/>
    <x v="0"/>
    <x v="0"/>
    <x v="0"/>
    <x v="1"/>
    <x v="0"/>
    <x v="0"/>
    <x v="0"/>
    <x v="0"/>
  </r>
  <r>
    <s v="GoodFellas"/>
    <n v="21"/>
    <n v="243"/>
    <s v="Letterbox"/>
    <x v="51"/>
    <d v="1990-09-12T00:00:00"/>
    <x v="89"/>
    <x v="200"/>
    <x v="0"/>
    <x v="0"/>
    <x v="0"/>
    <x v="0"/>
    <x v="1"/>
    <x v="0"/>
    <x v="0"/>
    <x v="0"/>
    <x v="0"/>
    <x v="0"/>
    <x v="0"/>
    <x v="0"/>
    <x v="0"/>
    <x v="0"/>
    <x v="1"/>
    <x v="0"/>
    <x v="0"/>
    <x v="0"/>
    <x v="0"/>
  </r>
  <r>
    <s v="The Human Condition I: No Greater Love"/>
    <n v="22"/>
    <n v="242"/>
    <s v="Letterbox"/>
    <x v="36"/>
    <d v="1959-01-15T00:00:00"/>
    <x v="56"/>
    <x v="437"/>
    <x v="0"/>
    <x v="0"/>
    <x v="0"/>
    <x v="0"/>
    <x v="0"/>
    <x v="0"/>
    <x v="0"/>
    <x v="0"/>
    <x v="0"/>
    <x v="1"/>
    <x v="0"/>
    <x v="0"/>
    <x v="0"/>
    <x v="0"/>
    <x v="1"/>
    <x v="0"/>
    <x v="0"/>
    <x v="1"/>
    <x v="0"/>
  </r>
  <r>
    <s v="Neon Genesis Evangelion: The End of Evangelion"/>
    <n v="23"/>
    <n v="241"/>
    <s v="Letterbox"/>
    <x v="194"/>
    <d v="1997-07-19T00:00:00"/>
    <x v="17"/>
    <x v="438"/>
    <x v="1"/>
    <x v="0"/>
    <x v="1"/>
    <x v="0"/>
    <x v="0"/>
    <x v="0"/>
    <x v="0"/>
    <x v="0"/>
    <x v="0"/>
    <x v="0"/>
    <x v="0"/>
    <x v="0"/>
    <x v="0"/>
    <x v="0"/>
    <x v="0"/>
    <x v="0"/>
    <x v="0"/>
    <x v="0"/>
    <x v="0"/>
  </r>
  <r>
    <s v="The Dark Knight"/>
    <n v="24"/>
    <n v="240"/>
    <s v="Letterbox"/>
    <x v="123"/>
    <d v="2008-07-16T00:00:00"/>
    <x v="48"/>
    <x v="289"/>
    <x v="1"/>
    <x v="0"/>
    <x v="0"/>
    <x v="0"/>
    <x v="1"/>
    <x v="0"/>
    <x v="0"/>
    <x v="0"/>
    <x v="0"/>
    <x v="0"/>
    <x v="0"/>
    <x v="0"/>
    <x v="0"/>
    <x v="0"/>
    <x v="1"/>
    <x v="0"/>
    <x v="1"/>
    <x v="0"/>
    <x v="0"/>
  </r>
  <r>
    <s v="Spirited Away"/>
    <n v="25"/>
    <n v="239"/>
    <s v="Letterbox"/>
    <x v="90"/>
    <d v="2001-07-20T00:00:00"/>
    <x v="16"/>
    <x v="187"/>
    <x v="0"/>
    <x v="0"/>
    <x v="1"/>
    <x v="0"/>
    <x v="0"/>
    <x v="0"/>
    <x v="1"/>
    <x v="1"/>
    <x v="1"/>
    <x v="0"/>
    <x v="0"/>
    <x v="0"/>
    <x v="0"/>
    <x v="0"/>
    <x v="1"/>
    <x v="0"/>
    <x v="0"/>
    <x v="0"/>
    <x v="0"/>
  </r>
  <r>
    <s v="There Will Be Blood"/>
    <n v="26"/>
    <n v="238"/>
    <s v="Letterbox"/>
    <x v="6"/>
    <d v="2007-12-26T00:00:00"/>
    <x v="4"/>
    <x v="142"/>
    <x v="0"/>
    <x v="0"/>
    <x v="0"/>
    <x v="0"/>
    <x v="0"/>
    <x v="0"/>
    <x v="0"/>
    <x v="0"/>
    <x v="0"/>
    <x v="0"/>
    <x v="0"/>
    <x v="0"/>
    <x v="0"/>
    <x v="0"/>
    <x v="1"/>
    <x v="0"/>
    <x v="0"/>
    <x v="0"/>
    <x v="0"/>
  </r>
  <r>
    <s v="Paths of Glory"/>
    <n v="27"/>
    <n v="237"/>
    <s v="Letterbox"/>
    <x v="22"/>
    <d v="1957-10-25T00:00:00"/>
    <x v="52"/>
    <x v="439"/>
    <x v="0"/>
    <x v="0"/>
    <x v="0"/>
    <x v="0"/>
    <x v="0"/>
    <x v="0"/>
    <x v="0"/>
    <x v="0"/>
    <x v="0"/>
    <x v="0"/>
    <x v="0"/>
    <x v="0"/>
    <x v="0"/>
    <x v="0"/>
    <x v="1"/>
    <x v="0"/>
    <x v="0"/>
    <x v="1"/>
    <x v="0"/>
  </r>
  <r>
    <s v="Grave of the Fireflies"/>
    <n v="28"/>
    <n v="236"/>
    <s v="Letterbox"/>
    <x v="6"/>
    <d v="2005-11-01T00:00:00"/>
    <x v="30"/>
    <x v="38"/>
    <x v="0"/>
    <x v="0"/>
    <x v="0"/>
    <x v="0"/>
    <x v="0"/>
    <x v="0"/>
    <x v="0"/>
    <x v="0"/>
    <x v="0"/>
    <x v="0"/>
    <x v="0"/>
    <x v="0"/>
    <x v="0"/>
    <x v="0"/>
    <x v="1"/>
    <x v="0"/>
    <x v="0"/>
    <x v="0"/>
    <x v="0"/>
  </r>
  <r>
    <s v="Apocalypse Now"/>
    <n v="29"/>
    <n v="235"/>
    <s v="Letterbox"/>
    <x v="22"/>
    <d v="1979-08-15T00:00:00"/>
    <x v="67"/>
    <x v="245"/>
    <x v="0"/>
    <x v="0"/>
    <x v="0"/>
    <x v="0"/>
    <x v="0"/>
    <x v="0"/>
    <x v="0"/>
    <x v="0"/>
    <x v="0"/>
    <x v="0"/>
    <x v="0"/>
    <x v="0"/>
    <x v="0"/>
    <x v="0"/>
    <x v="1"/>
    <x v="0"/>
    <x v="0"/>
    <x v="1"/>
    <x v="0"/>
  </r>
  <r>
    <s v="Portrait of a Lady on Fire"/>
    <n v="30"/>
    <n v="234"/>
    <s v="Letterbox"/>
    <x v="12"/>
    <d v="2019-06-17T00:00:00"/>
    <x v="14"/>
    <x v="234"/>
    <x v="0"/>
    <x v="0"/>
    <x v="0"/>
    <x v="0"/>
    <x v="0"/>
    <x v="0"/>
    <x v="0"/>
    <x v="0"/>
    <x v="0"/>
    <x v="0"/>
    <x v="0"/>
    <x v="0"/>
    <x v="0"/>
    <x v="1"/>
    <x v="1"/>
    <x v="0"/>
    <x v="0"/>
    <x v="0"/>
    <x v="0"/>
  </r>
  <r>
    <s v="Sunset Boulevard"/>
    <n v="31"/>
    <n v="233"/>
    <s v="Letterbox"/>
    <x v="6"/>
    <d v="1950-08-17T00:00:00"/>
    <x v="34"/>
    <x v="428"/>
    <x v="0"/>
    <x v="0"/>
    <x v="0"/>
    <x v="0"/>
    <x v="0"/>
    <x v="0"/>
    <x v="0"/>
    <x v="0"/>
    <x v="0"/>
    <x v="0"/>
    <x v="0"/>
    <x v="0"/>
    <x v="0"/>
    <x v="0"/>
    <x v="1"/>
    <x v="0"/>
    <x v="0"/>
    <x v="0"/>
    <x v="0"/>
  </r>
  <r>
    <s v="Stalker"/>
    <n v="32"/>
    <n v="232"/>
    <s v="Letterbox"/>
    <x v="0"/>
    <d v="1979-05-25T00:00:00"/>
    <x v="67"/>
    <x v="220"/>
    <x v="0"/>
    <x v="0"/>
    <x v="0"/>
    <x v="0"/>
    <x v="0"/>
    <x v="0"/>
    <x v="0"/>
    <x v="0"/>
    <x v="0"/>
    <x v="0"/>
    <x v="0"/>
    <x v="0"/>
    <x v="0"/>
    <x v="0"/>
    <x v="0"/>
    <x v="0"/>
    <x v="0"/>
    <x v="0"/>
    <x v="0"/>
  </r>
  <r>
    <s v="Whiplash"/>
    <n v="33"/>
    <n v="231"/>
    <s v="Letterbox"/>
    <x v="11"/>
    <d v="2014-10-10T00:00:00"/>
    <x v="59"/>
    <x v="351"/>
    <x v="0"/>
    <x v="0"/>
    <x v="0"/>
    <x v="0"/>
    <x v="0"/>
    <x v="0"/>
    <x v="0"/>
    <x v="0"/>
    <x v="0"/>
    <x v="0"/>
    <x v="0"/>
    <x v="1"/>
    <x v="0"/>
    <x v="0"/>
    <x v="1"/>
    <x v="0"/>
    <x v="0"/>
    <x v="0"/>
    <x v="0"/>
  </r>
  <r>
    <s v="Spider-Man: Into the Spider-Verse"/>
    <n v="34"/>
    <n v="230"/>
    <s v="Letterbox"/>
    <x v="146"/>
    <d v="2018-12-06T00:00:00"/>
    <x v="51"/>
    <x v="339"/>
    <x v="1"/>
    <x v="1"/>
    <x v="1"/>
    <x v="0"/>
    <x v="0"/>
    <x v="0"/>
    <x v="1"/>
    <x v="0"/>
    <x v="0"/>
    <x v="0"/>
    <x v="0"/>
    <x v="0"/>
    <x v="0"/>
    <x v="0"/>
    <x v="0"/>
    <x v="0"/>
    <x v="0"/>
    <x v="0"/>
    <x v="0"/>
  </r>
  <r>
    <s v="Autumn Sonata"/>
    <n v="35"/>
    <n v="229"/>
    <s v="Letterbox"/>
    <x v="6"/>
    <d v="1978-10-08T00:00:00"/>
    <x v="36"/>
    <x v="440"/>
    <x v="0"/>
    <x v="0"/>
    <x v="0"/>
    <x v="0"/>
    <x v="0"/>
    <x v="0"/>
    <x v="0"/>
    <x v="0"/>
    <x v="0"/>
    <x v="0"/>
    <x v="0"/>
    <x v="0"/>
    <x v="0"/>
    <x v="0"/>
    <x v="1"/>
    <x v="0"/>
    <x v="0"/>
    <x v="0"/>
    <x v="0"/>
  </r>
  <r>
    <s v="Woman in the Dunes"/>
    <n v="36"/>
    <n v="228"/>
    <s v="Letterbox"/>
    <x v="31"/>
    <d v="1964-02-15T00:00:00"/>
    <x v="43"/>
    <x v="441"/>
    <x v="0"/>
    <x v="0"/>
    <x v="0"/>
    <x v="0"/>
    <x v="0"/>
    <x v="0"/>
    <x v="0"/>
    <x v="0"/>
    <x v="0"/>
    <x v="0"/>
    <x v="0"/>
    <x v="0"/>
    <x v="0"/>
    <x v="0"/>
    <x v="1"/>
    <x v="0"/>
    <x v="1"/>
    <x v="0"/>
    <x v="0"/>
  </r>
  <r>
    <s v="Tokyo Story"/>
    <n v="37"/>
    <n v="227"/>
    <s v="Letterbox"/>
    <x v="6"/>
    <d v="1953-11-03T00:00:00"/>
    <x v="84"/>
    <x v="260"/>
    <x v="0"/>
    <x v="0"/>
    <x v="0"/>
    <x v="0"/>
    <x v="0"/>
    <x v="0"/>
    <x v="0"/>
    <x v="0"/>
    <x v="0"/>
    <x v="0"/>
    <x v="0"/>
    <x v="0"/>
    <x v="0"/>
    <x v="0"/>
    <x v="1"/>
    <x v="0"/>
    <x v="0"/>
    <x v="0"/>
    <x v="0"/>
  </r>
  <r>
    <s v="Cinema Paradiso"/>
    <n v="38"/>
    <n v="226"/>
    <s v="Letterbox"/>
    <x v="12"/>
    <d v="1988-11-17T00:00:00"/>
    <x v="11"/>
    <x v="442"/>
    <x v="0"/>
    <x v="0"/>
    <x v="0"/>
    <x v="0"/>
    <x v="0"/>
    <x v="0"/>
    <x v="0"/>
    <x v="0"/>
    <x v="0"/>
    <x v="0"/>
    <x v="0"/>
    <x v="0"/>
    <x v="0"/>
    <x v="1"/>
    <x v="1"/>
    <x v="0"/>
    <x v="0"/>
    <x v="0"/>
    <x v="0"/>
  </r>
  <r>
    <s v="The Passion of Joan of Arc"/>
    <n v="39"/>
    <n v="225"/>
    <s v="Letterbox"/>
    <x v="32"/>
    <d v="1928-04-21T00:00:00"/>
    <x v="24"/>
    <x v="243"/>
    <x v="0"/>
    <x v="0"/>
    <x v="0"/>
    <x v="0"/>
    <x v="0"/>
    <x v="0"/>
    <x v="0"/>
    <x v="0"/>
    <x v="0"/>
    <x v="1"/>
    <x v="0"/>
    <x v="0"/>
    <x v="0"/>
    <x v="0"/>
    <x v="1"/>
    <x v="0"/>
    <x v="0"/>
    <x v="0"/>
    <x v="0"/>
  </r>
  <r>
    <s v="The Apartment"/>
    <n v="40"/>
    <n v="224"/>
    <s v="Letterbox"/>
    <x v="3"/>
    <d v="1960-06-21T00:00:00"/>
    <x v="86"/>
    <x v="206"/>
    <x v="0"/>
    <x v="0"/>
    <x v="0"/>
    <x v="1"/>
    <x v="0"/>
    <x v="0"/>
    <x v="0"/>
    <x v="0"/>
    <x v="0"/>
    <x v="0"/>
    <x v="0"/>
    <x v="0"/>
    <x v="0"/>
    <x v="1"/>
    <x v="1"/>
    <x v="0"/>
    <x v="0"/>
    <x v="0"/>
    <x v="0"/>
  </r>
  <r>
    <s v="Persona"/>
    <n v="41"/>
    <n v="223"/>
    <s v="Letterbox"/>
    <x v="6"/>
    <d v="1966-10-18T00:00:00"/>
    <x v="49"/>
    <x v="246"/>
    <x v="0"/>
    <x v="0"/>
    <x v="0"/>
    <x v="0"/>
    <x v="0"/>
    <x v="0"/>
    <x v="0"/>
    <x v="0"/>
    <x v="0"/>
    <x v="0"/>
    <x v="0"/>
    <x v="0"/>
    <x v="0"/>
    <x v="0"/>
    <x v="1"/>
    <x v="0"/>
    <x v="0"/>
    <x v="0"/>
    <x v="0"/>
  </r>
  <r>
    <s v="Andrei Rublev"/>
    <n v="42"/>
    <n v="222"/>
    <s v="Letterbox"/>
    <x v="32"/>
    <d v="1966-12-16T00:00:00"/>
    <x v="49"/>
    <x v="195"/>
    <x v="0"/>
    <x v="0"/>
    <x v="0"/>
    <x v="0"/>
    <x v="0"/>
    <x v="0"/>
    <x v="0"/>
    <x v="0"/>
    <x v="0"/>
    <x v="1"/>
    <x v="0"/>
    <x v="0"/>
    <x v="0"/>
    <x v="0"/>
    <x v="1"/>
    <x v="0"/>
    <x v="0"/>
    <x v="0"/>
    <x v="0"/>
  </r>
  <r>
    <s v="The Handmaiden"/>
    <n v="43"/>
    <n v="221"/>
    <s v="Letterbox"/>
    <x v="195"/>
    <d v="2016-06-01T00:00:00"/>
    <x v="90"/>
    <x v="443"/>
    <x v="0"/>
    <x v="0"/>
    <x v="0"/>
    <x v="0"/>
    <x v="0"/>
    <x v="0"/>
    <x v="0"/>
    <x v="0"/>
    <x v="0"/>
    <x v="0"/>
    <x v="0"/>
    <x v="0"/>
    <x v="0"/>
    <x v="1"/>
    <x v="1"/>
    <x v="0"/>
    <x v="1"/>
    <x v="0"/>
    <x v="0"/>
  </r>
  <r>
    <s v="Le Trou"/>
    <n v="44"/>
    <n v="220"/>
    <s v="Letterbox"/>
    <x v="169"/>
    <d v="1960-03-18T00:00:00"/>
    <x v="86"/>
    <x v="444"/>
    <x v="0"/>
    <x v="0"/>
    <x v="0"/>
    <x v="0"/>
    <x v="1"/>
    <x v="0"/>
    <x v="0"/>
    <x v="0"/>
    <x v="0"/>
    <x v="0"/>
    <x v="0"/>
    <x v="0"/>
    <x v="0"/>
    <x v="0"/>
    <x v="1"/>
    <x v="0"/>
    <x v="1"/>
    <x v="0"/>
    <x v="0"/>
  </r>
  <r>
    <s v="The Empire Strikes Back"/>
    <n v="45"/>
    <n v="219"/>
    <s v="Letterbox"/>
    <x v="15"/>
    <d v="1980-05-20T00:00:00"/>
    <x v="72"/>
    <x v="312"/>
    <x v="1"/>
    <x v="1"/>
    <x v="0"/>
    <x v="0"/>
    <x v="0"/>
    <x v="0"/>
    <x v="1"/>
    <x v="0"/>
    <x v="0"/>
    <x v="0"/>
    <x v="0"/>
    <x v="0"/>
    <x v="0"/>
    <x v="0"/>
    <x v="0"/>
    <x v="0"/>
    <x v="0"/>
    <x v="0"/>
    <x v="0"/>
  </r>
  <r>
    <s v="In the Mood for Love"/>
    <n v="46"/>
    <n v="218"/>
    <s v="Letterbox"/>
    <x v="12"/>
    <d v="2000-09-29T00:00:00"/>
    <x v="27"/>
    <x v="259"/>
    <x v="0"/>
    <x v="0"/>
    <x v="0"/>
    <x v="0"/>
    <x v="0"/>
    <x v="0"/>
    <x v="0"/>
    <x v="0"/>
    <x v="0"/>
    <x v="0"/>
    <x v="0"/>
    <x v="0"/>
    <x v="0"/>
    <x v="1"/>
    <x v="1"/>
    <x v="0"/>
    <x v="0"/>
    <x v="0"/>
    <x v="0"/>
  </r>
  <r>
    <s v="Close-Up"/>
    <n v="47"/>
    <n v="217"/>
    <s v="Letterbox"/>
    <x v="48"/>
    <d v="1990-05-09T00:00:00"/>
    <x v="89"/>
    <x v="247"/>
    <x v="0"/>
    <x v="0"/>
    <x v="0"/>
    <x v="0"/>
    <x v="1"/>
    <x v="0"/>
    <x v="0"/>
    <x v="0"/>
    <x v="0"/>
    <x v="0"/>
    <x v="0"/>
    <x v="0"/>
    <x v="0"/>
    <x v="0"/>
    <x v="1"/>
    <x v="0"/>
    <x v="0"/>
    <x v="0"/>
    <x v="0"/>
  </r>
  <r>
    <s v="Memories of Murder"/>
    <n v="48"/>
    <n v="216"/>
    <s v="Letterbox"/>
    <x v="106"/>
    <d v="2003-05-02T00:00:00"/>
    <x v="79"/>
    <x v="445"/>
    <x v="0"/>
    <x v="0"/>
    <x v="0"/>
    <x v="0"/>
    <x v="1"/>
    <x v="0"/>
    <x v="0"/>
    <x v="0"/>
    <x v="0"/>
    <x v="0"/>
    <x v="0"/>
    <x v="0"/>
    <x v="0"/>
    <x v="0"/>
    <x v="1"/>
    <x v="0"/>
    <x v="1"/>
    <x v="0"/>
    <x v="0"/>
  </r>
  <r>
    <s v="Mishima: A Life in Four Chapters"/>
    <n v="49"/>
    <n v="215"/>
    <s v="Letterbox"/>
    <x v="6"/>
    <d v="1985-05-15T00:00:00"/>
    <x v="80"/>
    <x v="446"/>
    <x v="0"/>
    <x v="0"/>
    <x v="0"/>
    <x v="0"/>
    <x v="0"/>
    <x v="0"/>
    <x v="0"/>
    <x v="0"/>
    <x v="0"/>
    <x v="0"/>
    <x v="0"/>
    <x v="0"/>
    <x v="0"/>
    <x v="0"/>
    <x v="1"/>
    <x v="0"/>
    <x v="0"/>
    <x v="0"/>
    <x v="0"/>
  </r>
  <r>
    <s v="Paris, Texas"/>
    <n v="50"/>
    <n v="214"/>
    <s v="Letterbox"/>
    <x v="6"/>
    <d v="1984-07-16T00:00:00"/>
    <x v="39"/>
    <x v="69"/>
    <x v="0"/>
    <x v="0"/>
    <x v="0"/>
    <x v="0"/>
    <x v="0"/>
    <x v="0"/>
    <x v="0"/>
    <x v="0"/>
    <x v="0"/>
    <x v="0"/>
    <x v="0"/>
    <x v="0"/>
    <x v="0"/>
    <x v="0"/>
    <x v="1"/>
    <x v="0"/>
    <x v="0"/>
    <x v="0"/>
    <x v="0"/>
  </r>
  <r>
    <s v="Oldboy"/>
    <n v="51"/>
    <n v="213"/>
    <s v="Letterbox"/>
    <x v="196"/>
    <d v="2013-11-14T00:00:00"/>
    <x v="63"/>
    <x v="447"/>
    <x v="1"/>
    <x v="0"/>
    <x v="0"/>
    <x v="0"/>
    <x v="0"/>
    <x v="0"/>
    <x v="0"/>
    <x v="0"/>
    <x v="0"/>
    <x v="0"/>
    <x v="0"/>
    <x v="0"/>
    <x v="1"/>
    <x v="0"/>
    <x v="1"/>
    <x v="0"/>
    <x v="1"/>
    <x v="0"/>
    <x v="0"/>
  </r>
  <r>
    <s v="Do the Right Thing"/>
    <n v="52"/>
    <n v="212"/>
    <s v="Letterbox"/>
    <x v="6"/>
    <d v="1989-06-14T00:00:00"/>
    <x v="61"/>
    <x v="240"/>
    <x v="0"/>
    <x v="0"/>
    <x v="0"/>
    <x v="0"/>
    <x v="0"/>
    <x v="0"/>
    <x v="0"/>
    <x v="0"/>
    <x v="0"/>
    <x v="0"/>
    <x v="0"/>
    <x v="0"/>
    <x v="0"/>
    <x v="0"/>
    <x v="1"/>
    <x v="0"/>
    <x v="0"/>
    <x v="0"/>
    <x v="0"/>
  </r>
  <r>
    <s v="Fanny and Alexander"/>
    <n v="53"/>
    <n v="211"/>
    <s v="Letterbox"/>
    <x v="68"/>
    <d v="1982-12-17T00:00:00"/>
    <x v="74"/>
    <x v="135"/>
    <x v="0"/>
    <x v="0"/>
    <x v="0"/>
    <x v="0"/>
    <x v="0"/>
    <x v="0"/>
    <x v="0"/>
    <x v="0"/>
    <x v="1"/>
    <x v="0"/>
    <x v="0"/>
    <x v="0"/>
    <x v="1"/>
    <x v="0"/>
    <x v="1"/>
    <x v="0"/>
    <x v="0"/>
    <x v="0"/>
    <x v="0"/>
  </r>
  <r>
    <s v="Perfect Blue"/>
    <n v="54"/>
    <n v="210"/>
    <s v="Letterbox"/>
    <x v="197"/>
    <d v="1998-02-28T00:00:00"/>
    <x v="28"/>
    <x v="448"/>
    <x v="0"/>
    <x v="0"/>
    <x v="1"/>
    <x v="0"/>
    <x v="0"/>
    <x v="0"/>
    <x v="1"/>
    <x v="0"/>
    <x v="0"/>
    <x v="0"/>
    <x v="0"/>
    <x v="0"/>
    <x v="0"/>
    <x v="0"/>
    <x v="1"/>
    <x v="0"/>
    <x v="1"/>
    <x v="0"/>
    <x v="0"/>
  </r>
  <r>
    <s v="Incendies"/>
    <n v="55"/>
    <n v="209"/>
    <s v="Letterbox"/>
    <x v="198"/>
    <d v="2010-09-04T00:00:00"/>
    <x v="12"/>
    <x v="449"/>
    <x v="0"/>
    <x v="0"/>
    <x v="0"/>
    <x v="0"/>
    <x v="0"/>
    <x v="0"/>
    <x v="0"/>
    <x v="0"/>
    <x v="0"/>
    <x v="0"/>
    <x v="0"/>
    <x v="0"/>
    <x v="1"/>
    <x v="0"/>
    <x v="1"/>
    <x v="0"/>
    <x v="0"/>
    <x v="1"/>
    <x v="0"/>
  </r>
  <r>
    <s v="The Human Condition II: Road to Eternity"/>
    <n v="56"/>
    <n v="208"/>
    <s v="Letterbox"/>
    <x v="36"/>
    <d v="1959-11-20T00:00:00"/>
    <x v="56"/>
    <x v="450"/>
    <x v="0"/>
    <x v="0"/>
    <x v="0"/>
    <x v="0"/>
    <x v="0"/>
    <x v="0"/>
    <x v="0"/>
    <x v="0"/>
    <x v="0"/>
    <x v="1"/>
    <x v="0"/>
    <x v="0"/>
    <x v="0"/>
    <x v="0"/>
    <x v="1"/>
    <x v="0"/>
    <x v="0"/>
    <x v="1"/>
    <x v="0"/>
  </r>
  <r>
    <s v="Barry Lyndon"/>
    <n v="57"/>
    <n v="207"/>
    <s v="Letterbox"/>
    <x v="97"/>
    <d v="1975-12-18T00:00:00"/>
    <x v="66"/>
    <x v="217"/>
    <x v="0"/>
    <x v="0"/>
    <x v="0"/>
    <x v="0"/>
    <x v="0"/>
    <x v="0"/>
    <x v="0"/>
    <x v="0"/>
    <x v="0"/>
    <x v="0"/>
    <x v="0"/>
    <x v="0"/>
    <x v="0"/>
    <x v="1"/>
    <x v="1"/>
    <x v="0"/>
    <x v="0"/>
    <x v="1"/>
    <x v="0"/>
  </r>
  <r>
    <s v="Once Upon a Time in the West"/>
    <n v="58"/>
    <n v="206"/>
    <s v="Letterbox"/>
    <x v="81"/>
    <d v="1968-12-21T00:00:00"/>
    <x v="21"/>
    <x v="164"/>
    <x v="0"/>
    <x v="0"/>
    <x v="0"/>
    <x v="0"/>
    <x v="0"/>
    <x v="0"/>
    <x v="0"/>
    <x v="0"/>
    <x v="0"/>
    <x v="0"/>
    <x v="0"/>
    <x v="0"/>
    <x v="0"/>
    <x v="0"/>
    <x v="1"/>
    <x v="0"/>
    <x v="0"/>
    <x v="0"/>
    <x v="1"/>
  </r>
  <r>
    <s v="It's Such a Beautiful Day"/>
    <n v="59"/>
    <n v="205"/>
    <s v="Letterbox"/>
    <x v="199"/>
    <d v="2012-08-24T00:00:00"/>
    <x v="98"/>
    <x v="451"/>
    <x v="0"/>
    <x v="0"/>
    <x v="1"/>
    <x v="1"/>
    <x v="0"/>
    <x v="0"/>
    <x v="0"/>
    <x v="0"/>
    <x v="0"/>
    <x v="0"/>
    <x v="0"/>
    <x v="0"/>
    <x v="0"/>
    <x v="0"/>
    <x v="1"/>
    <x v="0"/>
    <x v="0"/>
    <x v="0"/>
    <x v="0"/>
  </r>
  <r>
    <s v="The Cranes Are Flying"/>
    <n v="60"/>
    <n v="204"/>
    <s v="Letterbox"/>
    <x v="97"/>
    <d v="1957-10-12T00:00:00"/>
    <x v="52"/>
    <x v="452"/>
    <x v="0"/>
    <x v="0"/>
    <x v="0"/>
    <x v="0"/>
    <x v="0"/>
    <x v="0"/>
    <x v="0"/>
    <x v="0"/>
    <x v="0"/>
    <x v="0"/>
    <x v="0"/>
    <x v="0"/>
    <x v="0"/>
    <x v="1"/>
    <x v="1"/>
    <x v="0"/>
    <x v="0"/>
    <x v="1"/>
    <x v="0"/>
  </r>
  <r>
    <s v="A Woman Under the Influence"/>
    <n v="61"/>
    <n v="203"/>
    <s v="Letterbox"/>
    <x v="6"/>
    <d v="1974-11-18T00:00:00"/>
    <x v="25"/>
    <x v="149"/>
    <x v="0"/>
    <x v="0"/>
    <x v="0"/>
    <x v="0"/>
    <x v="0"/>
    <x v="0"/>
    <x v="0"/>
    <x v="0"/>
    <x v="0"/>
    <x v="0"/>
    <x v="0"/>
    <x v="0"/>
    <x v="0"/>
    <x v="0"/>
    <x v="1"/>
    <x v="0"/>
    <x v="0"/>
    <x v="0"/>
    <x v="0"/>
  </r>
  <r>
    <s v="The Lord of the Rings: The Two Towers"/>
    <n v="62"/>
    <n v="202"/>
    <s v="Letterbox"/>
    <x v="157"/>
    <d v="2002-12-18T00:00:00"/>
    <x v="15"/>
    <x v="358"/>
    <x v="1"/>
    <x v="1"/>
    <x v="0"/>
    <x v="0"/>
    <x v="0"/>
    <x v="0"/>
    <x v="1"/>
    <x v="0"/>
    <x v="1"/>
    <x v="0"/>
    <x v="0"/>
    <x v="0"/>
    <x v="0"/>
    <x v="0"/>
    <x v="1"/>
    <x v="0"/>
    <x v="0"/>
    <x v="0"/>
    <x v="0"/>
  </r>
  <r>
    <s v="Rear Window"/>
    <n v="63"/>
    <n v="201"/>
    <s v="Letterbox"/>
    <x v="94"/>
    <d v="1954-08-01T00:00:00"/>
    <x v="76"/>
    <x v="224"/>
    <x v="0"/>
    <x v="0"/>
    <x v="0"/>
    <x v="0"/>
    <x v="0"/>
    <x v="0"/>
    <x v="1"/>
    <x v="0"/>
    <x v="0"/>
    <x v="0"/>
    <x v="0"/>
    <x v="0"/>
    <x v="1"/>
    <x v="0"/>
    <x v="1"/>
    <x v="0"/>
    <x v="1"/>
    <x v="0"/>
    <x v="0"/>
  </r>
  <r>
    <s v="It's a Wonderful Life"/>
    <n v="64"/>
    <n v="200"/>
    <s v="Letterbox"/>
    <x v="63"/>
    <d v="1946-12-20T00:00:00"/>
    <x v="5"/>
    <x v="129"/>
    <x v="0"/>
    <x v="0"/>
    <x v="0"/>
    <x v="0"/>
    <x v="0"/>
    <x v="0"/>
    <x v="0"/>
    <x v="1"/>
    <x v="1"/>
    <x v="0"/>
    <x v="0"/>
    <x v="0"/>
    <x v="0"/>
    <x v="0"/>
    <x v="1"/>
    <x v="0"/>
    <x v="0"/>
    <x v="0"/>
    <x v="0"/>
  </r>
  <r>
    <s v="The Battle of Algiers"/>
    <n v="65"/>
    <n v="199"/>
    <s v="Letterbox"/>
    <x v="99"/>
    <d v="1966-09-08T00:00:00"/>
    <x v="49"/>
    <x v="219"/>
    <x v="0"/>
    <x v="0"/>
    <x v="0"/>
    <x v="0"/>
    <x v="0"/>
    <x v="0"/>
    <x v="0"/>
    <x v="0"/>
    <x v="0"/>
    <x v="1"/>
    <x v="0"/>
    <x v="0"/>
    <x v="0"/>
    <x v="0"/>
    <x v="1"/>
    <x v="0"/>
    <x v="0"/>
    <x v="1"/>
    <x v="0"/>
  </r>
  <r>
    <s v="The Red Shoes"/>
    <n v="66"/>
    <n v="198"/>
    <s v="Letterbox"/>
    <x v="12"/>
    <d v="1948-09-06T00:00:00"/>
    <x v="57"/>
    <x v="193"/>
    <x v="0"/>
    <x v="0"/>
    <x v="0"/>
    <x v="0"/>
    <x v="0"/>
    <x v="0"/>
    <x v="0"/>
    <x v="0"/>
    <x v="0"/>
    <x v="0"/>
    <x v="0"/>
    <x v="0"/>
    <x v="0"/>
    <x v="1"/>
    <x v="1"/>
    <x v="0"/>
    <x v="0"/>
    <x v="0"/>
    <x v="0"/>
  </r>
  <r>
    <s v="Princess Mononoke"/>
    <n v="67"/>
    <n v="197"/>
    <s v="Letterbox"/>
    <x v="200"/>
    <d v="1997-07-12T00:00:00"/>
    <x v="17"/>
    <x v="453"/>
    <x v="0"/>
    <x v="1"/>
    <x v="1"/>
    <x v="0"/>
    <x v="0"/>
    <x v="0"/>
    <x v="1"/>
    <x v="0"/>
    <x v="1"/>
    <x v="0"/>
    <x v="0"/>
    <x v="0"/>
    <x v="0"/>
    <x v="0"/>
    <x v="1"/>
    <x v="0"/>
    <x v="0"/>
    <x v="0"/>
    <x v="0"/>
  </r>
  <r>
    <s v="Sansho the Bailiff"/>
    <n v="68"/>
    <n v="196"/>
    <s v="Letterbox"/>
    <x v="6"/>
    <d v="1954-03-31T00:00:00"/>
    <x v="76"/>
    <x v="188"/>
    <x v="0"/>
    <x v="0"/>
    <x v="0"/>
    <x v="0"/>
    <x v="0"/>
    <x v="0"/>
    <x v="0"/>
    <x v="0"/>
    <x v="0"/>
    <x v="0"/>
    <x v="0"/>
    <x v="0"/>
    <x v="0"/>
    <x v="0"/>
    <x v="1"/>
    <x v="0"/>
    <x v="0"/>
    <x v="0"/>
    <x v="0"/>
  </r>
  <r>
    <s v="The Ascent"/>
    <n v="69"/>
    <n v="195"/>
    <s v="Letterbox"/>
    <x v="69"/>
    <d v="2019-10-17T00:00:00"/>
    <x v="14"/>
    <x v="136"/>
    <x v="1"/>
    <x v="0"/>
    <x v="0"/>
    <x v="0"/>
    <x v="0"/>
    <x v="0"/>
    <x v="1"/>
    <x v="0"/>
    <x v="0"/>
    <x v="0"/>
    <x v="1"/>
    <x v="0"/>
    <x v="0"/>
    <x v="0"/>
    <x v="0"/>
    <x v="0"/>
    <x v="0"/>
    <x v="0"/>
    <x v="0"/>
  </r>
  <r>
    <s v="A Separation"/>
    <n v="70"/>
    <n v="194"/>
    <s v="Letterbox"/>
    <x v="6"/>
    <d v="2019-08-03T00:00:00"/>
    <x v="14"/>
    <x v="454"/>
    <x v="0"/>
    <x v="0"/>
    <x v="0"/>
    <x v="0"/>
    <x v="0"/>
    <x v="0"/>
    <x v="0"/>
    <x v="0"/>
    <x v="0"/>
    <x v="0"/>
    <x v="0"/>
    <x v="0"/>
    <x v="0"/>
    <x v="0"/>
    <x v="1"/>
    <x v="0"/>
    <x v="0"/>
    <x v="0"/>
    <x v="0"/>
  </r>
  <r>
    <s v="Sherlock, Jr."/>
    <n v="71"/>
    <n v="193"/>
    <s v="Letterbox"/>
    <x v="95"/>
    <d v="1924-04-17T00:00:00"/>
    <x v="91"/>
    <x v="207"/>
    <x v="1"/>
    <x v="0"/>
    <x v="0"/>
    <x v="1"/>
    <x v="0"/>
    <x v="0"/>
    <x v="1"/>
    <x v="0"/>
    <x v="0"/>
    <x v="0"/>
    <x v="0"/>
    <x v="0"/>
    <x v="1"/>
    <x v="0"/>
    <x v="1"/>
    <x v="0"/>
    <x v="0"/>
    <x v="0"/>
    <x v="0"/>
  </r>
  <r>
    <s v="The Lord of the Rings: The Fellowship of the Ring"/>
    <n v="72"/>
    <n v="192"/>
    <s v="Letterbox"/>
    <x v="157"/>
    <d v="2001-12-18T00:00:00"/>
    <x v="16"/>
    <x v="374"/>
    <x v="1"/>
    <x v="1"/>
    <x v="0"/>
    <x v="0"/>
    <x v="0"/>
    <x v="0"/>
    <x v="1"/>
    <x v="0"/>
    <x v="1"/>
    <x v="0"/>
    <x v="0"/>
    <x v="0"/>
    <x v="0"/>
    <x v="0"/>
    <x v="1"/>
    <x v="0"/>
    <x v="0"/>
    <x v="0"/>
    <x v="0"/>
  </r>
  <r>
    <s v="One Flew Over the Cuckoo's Nest"/>
    <n v="73"/>
    <n v="191"/>
    <s v="Letterbox"/>
    <x v="6"/>
    <d v="1975-11-19T00:00:00"/>
    <x v="66"/>
    <x v="341"/>
    <x v="0"/>
    <x v="0"/>
    <x v="0"/>
    <x v="0"/>
    <x v="0"/>
    <x v="0"/>
    <x v="0"/>
    <x v="0"/>
    <x v="0"/>
    <x v="0"/>
    <x v="0"/>
    <x v="0"/>
    <x v="0"/>
    <x v="0"/>
    <x v="1"/>
    <x v="0"/>
    <x v="0"/>
    <x v="0"/>
    <x v="0"/>
  </r>
  <r>
    <s v="Before Sunset"/>
    <n v="74"/>
    <n v="190"/>
    <s v="Letterbox"/>
    <x v="12"/>
    <d v="2004-06-16T00:00:00"/>
    <x v="83"/>
    <x v="455"/>
    <x v="0"/>
    <x v="0"/>
    <x v="0"/>
    <x v="0"/>
    <x v="0"/>
    <x v="0"/>
    <x v="0"/>
    <x v="0"/>
    <x v="0"/>
    <x v="0"/>
    <x v="0"/>
    <x v="0"/>
    <x v="0"/>
    <x v="1"/>
    <x v="1"/>
    <x v="0"/>
    <x v="0"/>
    <x v="0"/>
    <x v="0"/>
  </r>
  <r>
    <s v="Satantango"/>
    <n v="75"/>
    <n v="189"/>
    <s v="Letterbox"/>
    <x v="6"/>
    <d v="1994-02-08T00:00:00"/>
    <x v="71"/>
    <x v="186"/>
    <x v="0"/>
    <x v="0"/>
    <x v="0"/>
    <x v="0"/>
    <x v="0"/>
    <x v="0"/>
    <x v="0"/>
    <x v="0"/>
    <x v="0"/>
    <x v="0"/>
    <x v="0"/>
    <x v="0"/>
    <x v="0"/>
    <x v="0"/>
    <x v="1"/>
    <x v="0"/>
    <x v="0"/>
    <x v="0"/>
    <x v="0"/>
  </r>
  <r>
    <s v="The Pianist"/>
    <n v="76"/>
    <n v="188"/>
    <s v="Letterbox"/>
    <x v="22"/>
    <d v="2002-09-17T00:00:00"/>
    <x v="15"/>
    <x v="410"/>
    <x v="0"/>
    <x v="0"/>
    <x v="0"/>
    <x v="0"/>
    <x v="0"/>
    <x v="0"/>
    <x v="0"/>
    <x v="0"/>
    <x v="0"/>
    <x v="0"/>
    <x v="0"/>
    <x v="0"/>
    <x v="0"/>
    <x v="0"/>
    <x v="1"/>
    <x v="0"/>
    <x v="0"/>
    <x v="1"/>
    <x v="0"/>
  </r>
  <r>
    <s v="The Thing"/>
    <n v="77"/>
    <n v="187"/>
    <s v="Letterbox"/>
    <x v="73"/>
    <d v="1982-06-25T00:00:00"/>
    <x v="74"/>
    <x v="143"/>
    <x v="0"/>
    <x v="0"/>
    <x v="0"/>
    <x v="0"/>
    <x v="0"/>
    <x v="0"/>
    <x v="1"/>
    <x v="0"/>
    <x v="0"/>
    <x v="0"/>
    <x v="1"/>
    <x v="0"/>
    <x v="1"/>
    <x v="0"/>
    <x v="0"/>
    <x v="0"/>
    <x v="0"/>
    <x v="0"/>
    <x v="0"/>
  </r>
  <r>
    <s v="Love Exposure"/>
    <n v="78"/>
    <n v="186"/>
    <s v="Letterbox"/>
    <x v="201"/>
    <d v="2009-01-31T00:00:00"/>
    <x v="70"/>
    <x v="456"/>
    <x v="1"/>
    <x v="0"/>
    <x v="0"/>
    <x v="1"/>
    <x v="0"/>
    <x v="0"/>
    <x v="0"/>
    <x v="0"/>
    <x v="0"/>
    <x v="0"/>
    <x v="0"/>
    <x v="0"/>
    <x v="0"/>
    <x v="1"/>
    <x v="1"/>
    <x v="0"/>
    <x v="0"/>
    <x v="0"/>
    <x v="0"/>
  </r>
  <r>
    <s v="Lawrence of Arabia"/>
    <n v="79"/>
    <n v="185"/>
    <s v="Letterbox"/>
    <x v="65"/>
    <d v="1962-12-11T00:00:00"/>
    <x v="42"/>
    <x v="131"/>
    <x v="0"/>
    <x v="1"/>
    <x v="0"/>
    <x v="0"/>
    <x v="0"/>
    <x v="0"/>
    <x v="0"/>
    <x v="0"/>
    <x v="0"/>
    <x v="1"/>
    <x v="0"/>
    <x v="0"/>
    <x v="0"/>
    <x v="0"/>
    <x v="1"/>
    <x v="0"/>
    <x v="0"/>
    <x v="1"/>
    <x v="0"/>
  </r>
  <r>
    <s v="Scenes from a Marriage"/>
    <n v="80"/>
    <n v="184"/>
    <s v="Letterbox"/>
    <x v="12"/>
    <d v="1974-09-15T00:00:00"/>
    <x v="25"/>
    <x v="282"/>
    <x v="0"/>
    <x v="0"/>
    <x v="0"/>
    <x v="0"/>
    <x v="0"/>
    <x v="0"/>
    <x v="0"/>
    <x v="0"/>
    <x v="0"/>
    <x v="0"/>
    <x v="0"/>
    <x v="0"/>
    <x v="0"/>
    <x v="1"/>
    <x v="1"/>
    <x v="0"/>
    <x v="0"/>
    <x v="0"/>
    <x v="0"/>
  </r>
  <r>
    <s v="Nights of Cabiria"/>
    <n v="81"/>
    <n v="183"/>
    <s v="Letterbox"/>
    <x v="6"/>
    <d v="1957-10-03T00:00:00"/>
    <x v="52"/>
    <x v="457"/>
    <x v="0"/>
    <x v="0"/>
    <x v="0"/>
    <x v="0"/>
    <x v="0"/>
    <x v="0"/>
    <x v="0"/>
    <x v="0"/>
    <x v="0"/>
    <x v="0"/>
    <x v="0"/>
    <x v="0"/>
    <x v="0"/>
    <x v="0"/>
    <x v="1"/>
    <x v="0"/>
    <x v="0"/>
    <x v="0"/>
    <x v="0"/>
  </r>
  <r>
    <s v="The Seventh Seal"/>
    <n v="82"/>
    <n v="182"/>
    <s v="Letterbox"/>
    <x v="61"/>
    <d v="1957-02-16T00:00:00"/>
    <x v="52"/>
    <x v="123"/>
    <x v="0"/>
    <x v="0"/>
    <x v="0"/>
    <x v="0"/>
    <x v="0"/>
    <x v="0"/>
    <x v="0"/>
    <x v="0"/>
    <x v="1"/>
    <x v="0"/>
    <x v="0"/>
    <x v="0"/>
    <x v="0"/>
    <x v="0"/>
    <x v="1"/>
    <x v="0"/>
    <x v="0"/>
    <x v="0"/>
    <x v="0"/>
  </r>
  <r>
    <s v="Mirror"/>
    <n v="83"/>
    <n v="181"/>
    <s v="Letterbox"/>
    <x v="104"/>
    <d v="2017-07-15T00:00:00"/>
    <x v="46"/>
    <x v="233"/>
    <x v="0"/>
    <x v="0"/>
    <x v="0"/>
    <x v="0"/>
    <x v="0"/>
    <x v="0"/>
    <x v="0"/>
    <x v="0"/>
    <x v="0"/>
    <x v="0"/>
    <x v="0"/>
    <x v="0"/>
    <x v="0"/>
    <x v="1"/>
    <x v="0"/>
    <x v="0"/>
    <x v="0"/>
    <x v="0"/>
    <x v="0"/>
  </r>
  <r>
    <s v="Before Sunrise"/>
    <n v="84"/>
    <n v="180"/>
    <s v="Letterbox"/>
    <x v="12"/>
    <d v="1995-01-27T00:00:00"/>
    <x v="96"/>
    <x v="458"/>
    <x v="0"/>
    <x v="0"/>
    <x v="0"/>
    <x v="0"/>
    <x v="0"/>
    <x v="0"/>
    <x v="0"/>
    <x v="0"/>
    <x v="0"/>
    <x v="0"/>
    <x v="0"/>
    <x v="0"/>
    <x v="0"/>
    <x v="1"/>
    <x v="1"/>
    <x v="0"/>
    <x v="0"/>
    <x v="0"/>
    <x v="0"/>
  </r>
  <r>
    <s v="Three Colours: Red"/>
    <n v="85"/>
    <n v="179"/>
    <s v="Letterbox"/>
    <x v="202"/>
    <d v="1994-05-12T00:00:00"/>
    <x v="71"/>
    <x v="459"/>
    <x v="0"/>
    <x v="0"/>
    <x v="0"/>
    <x v="0"/>
    <x v="0"/>
    <x v="0"/>
    <x v="0"/>
    <x v="0"/>
    <x v="0"/>
    <x v="0"/>
    <x v="0"/>
    <x v="0"/>
    <x v="1"/>
    <x v="1"/>
    <x v="1"/>
    <x v="0"/>
    <x v="0"/>
    <x v="0"/>
    <x v="0"/>
  </r>
  <r>
    <s v="City Lights"/>
    <n v="86"/>
    <n v="178"/>
    <s v="Letterbox"/>
    <x v="102"/>
    <d v="1931-02-01T00:00:00"/>
    <x v="40"/>
    <x v="228"/>
    <x v="0"/>
    <x v="0"/>
    <x v="0"/>
    <x v="1"/>
    <x v="0"/>
    <x v="0"/>
    <x v="0"/>
    <x v="0"/>
    <x v="0"/>
    <x v="0"/>
    <x v="0"/>
    <x v="0"/>
    <x v="0"/>
    <x v="1"/>
    <x v="1"/>
    <x v="0"/>
    <x v="0"/>
    <x v="0"/>
    <x v="0"/>
  </r>
  <r>
    <s v="Inglourious Basterds"/>
    <n v="87"/>
    <n v="177"/>
    <s v="Letterbox"/>
    <x v="147"/>
    <d v="2009-08-19T00:00:00"/>
    <x v="70"/>
    <x v="340"/>
    <x v="0"/>
    <x v="0"/>
    <x v="0"/>
    <x v="0"/>
    <x v="0"/>
    <x v="0"/>
    <x v="0"/>
    <x v="0"/>
    <x v="0"/>
    <x v="0"/>
    <x v="0"/>
    <x v="0"/>
    <x v="0"/>
    <x v="0"/>
    <x v="1"/>
    <x v="0"/>
    <x v="1"/>
    <x v="1"/>
    <x v="0"/>
  </r>
  <r>
    <s v="I Am Cuba"/>
    <n v="88"/>
    <n v="176"/>
    <s v="Letterbox"/>
    <x v="6"/>
    <d v="1964-10-26T00:00:00"/>
    <x v="43"/>
    <x v="460"/>
    <x v="0"/>
    <x v="0"/>
    <x v="0"/>
    <x v="0"/>
    <x v="0"/>
    <x v="0"/>
    <x v="0"/>
    <x v="0"/>
    <x v="0"/>
    <x v="0"/>
    <x v="0"/>
    <x v="0"/>
    <x v="0"/>
    <x v="0"/>
    <x v="1"/>
    <x v="0"/>
    <x v="0"/>
    <x v="0"/>
    <x v="0"/>
  </r>
  <r>
    <s v="Everything Everywhere All at Once"/>
    <n v="89"/>
    <n v="175"/>
    <s v="Letterbox"/>
    <x v="33"/>
    <d v="2022-03-24T00:00:00"/>
    <x v="97"/>
    <x v="461"/>
    <x v="1"/>
    <x v="1"/>
    <x v="0"/>
    <x v="0"/>
    <x v="0"/>
    <x v="0"/>
    <x v="1"/>
    <x v="0"/>
    <x v="0"/>
    <x v="0"/>
    <x v="0"/>
    <x v="0"/>
    <x v="0"/>
    <x v="0"/>
    <x v="0"/>
    <x v="0"/>
    <x v="0"/>
    <x v="0"/>
    <x v="0"/>
  </r>
  <r>
    <s v="A Man Escaped"/>
    <n v="90"/>
    <n v="174"/>
    <s v="Letterbox"/>
    <x v="31"/>
    <d v="1956-11-11T00:00:00"/>
    <x v="81"/>
    <x v="165"/>
    <x v="0"/>
    <x v="0"/>
    <x v="0"/>
    <x v="0"/>
    <x v="0"/>
    <x v="0"/>
    <x v="0"/>
    <x v="0"/>
    <x v="0"/>
    <x v="0"/>
    <x v="0"/>
    <x v="0"/>
    <x v="0"/>
    <x v="0"/>
    <x v="1"/>
    <x v="0"/>
    <x v="1"/>
    <x v="0"/>
    <x v="0"/>
  </r>
  <r>
    <s v="The Silence of the Lambs"/>
    <n v="91"/>
    <n v="173"/>
    <s v="Letterbox"/>
    <x v="106"/>
    <d v="1991-02-14T00:00:00"/>
    <x v="85"/>
    <x v="309"/>
    <x v="0"/>
    <x v="0"/>
    <x v="0"/>
    <x v="0"/>
    <x v="1"/>
    <x v="0"/>
    <x v="0"/>
    <x v="0"/>
    <x v="0"/>
    <x v="0"/>
    <x v="0"/>
    <x v="0"/>
    <x v="0"/>
    <x v="0"/>
    <x v="1"/>
    <x v="0"/>
    <x v="1"/>
    <x v="0"/>
    <x v="0"/>
  </r>
  <r>
    <s v="Eternity and a Day"/>
    <n v="92"/>
    <n v="172"/>
    <s v="Letterbox"/>
    <x v="6"/>
    <d v="1998-09-02T00:00:00"/>
    <x v="28"/>
    <x v="462"/>
    <x v="0"/>
    <x v="0"/>
    <x v="0"/>
    <x v="0"/>
    <x v="0"/>
    <x v="0"/>
    <x v="0"/>
    <x v="0"/>
    <x v="0"/>
    <x v="0"/>
    <x v="0"/>
    <x v="0"/>
    <x v="0"/>
    <x v="0"/>
    <x v="1"/>
    <x v="0"/>
    <x v="0"/>
    <x v="0"/>
    <x v="0"/>
  </r>
  <r>
    <s v="Psycho"/>
    <n v="93"/>
    <n v="171"/>
    <s v="Letterbox"/>
    <x v="103"/>
    <d v="1960-06-22T00:00:00"/>
    <x v="86"/>
    <x v="232"/>
    <x v="0"/>
    <x v="0"/>
    <x v="0"/>
    <x v="0"/>
    <x v="0"/>
    <x v="0"/>
    <x v="0"/>
    <x v="0"/>
    <x v="0"/>
    <x v="0"/>
    <x v="1"/>
    <x v="0"/>
    <x v="0"/>
    <x v="0"/>
    <x v="1"/>
    <x v="0"/>
    <x v="1"/>
    <x v="0"/>
    <x v="0"/>
  </r>
  <r>
    <s v="Wild Strawberries"/>
    <n v="94"/>
    <n v="170"/>
    <s v="Letterbox"/>
    <x v="6"/>
    <d v="1957-12-26T00:00:00"/>
    <x v="52"/>
    <x v="154"/>
    <x v="0"/>
    <x v="0"/>
    <x v="0"/>
    <x v="0"/>
    <x v="0"/>
    <x v="0"/>
    <x v="0"/>
    <x v="0"/>
    <x v="0"/>
    <x v="0"/>
    <x v="0"/>
    <x v="0"/>
    <x v="0"/>
    <x v="0"/>
    <x v="1"/>
    <x v="0"/>
    <x v="0"/>
    <x v="0"/>
    <x v="0"/>
  </r>
  <r>
    <s v="No Country for Old Men"/>
    <n v="95"/>
    <n v="169"/>
    <s v="Letterbox"/>
    <x v="106"/>
    <d v="2007-06-13T00:00:00"/>
    <x v="4"/>
    <x v="325"/>
    <x v="0"/>
    <x v="0"/>
    <x v="0"/>
    <x v="0"/>
    <x v="1"/>
    <x v="0"/>
    <x v="0"/>
    <x v="0"/>
    <x v="0"/>
    <x v="0"/>
    <x v="0"/>
    <x v="0"/>
    <x v="0"/>
    <x v="0"/>
    <x v="1"/>
    <x v="0"/>
    <x v="1"/>
    <x v="0"/>
    <x v="0"/>
  </r>
  <r>
    <s v="Where Is the Friend's House?"/>
    <n v="96"/>
    <n v="168"/>
    <s v="Letterbox"/>
    <x v="53"/>
    <d v="1987-07-01T00:00:00"/>
    <x v="53"/>
    <x v="103"/>
    <x v="0"/>
    <x v="0"/>
    <x v="0"/>
    <x v="0"/>
    <x v="0"/>
    <x v="0"/>
    <x v="0"/>
    <x v="1"/>
    <x v="0"/>
    <x v="0"/>
    <x v="0"/>
    <x v="0"/>
    <x v="0"/>
    <x v="0"/>
    <x v="1"/>
    <x v="0"/>
    <x v="0"/>
    <x v="0"/>
    <x v="0"/>
  </r>
  <r>
    <s v="M"/>
    <n v="97"/>
    <n v="167"/>
    <s v="Letterbox"/>
    <x v="12"/>
    <d v="2023-06-08T00:00:00"/>
    <x v="23"/>
    <x v="227"/>
    <x v="0"/>
    <x v="0"/>
    <x v="0"/>
    <x v="0"/>
    <x v="0"/>
    <x v="0"/>
    <x v="0"/>
    <x v="0"/>
    <x v="0"/>
    <x v="0"/>
    <x v="0"/>
    <x v="0"/>
    <x v="0"/>
    <x v="1"/>
    <x v="1"/>
    <x v="0"/>
    <x v="0"/>
    <x v="0"/>
    <x v="0"/>
  </r>
  <r>
    <s v="All About Eve"/>
    <n v="98"/>
    <n v="166"/>
    <s v="Letterbox"/>
    <x v="6"/>
    <d v="1950-11-09T00:00:00"/>
    <x v="34"/>
    <x v="42"/>
    <x v="0"/>
    <x v="0"/>
    <x v="0"/>
    <x v="0"/>
    <x v="0"/>
    <x v="0"/>
    <x v="0"/>
    <x v="0"/>
    <x v="0"/>
    <x v="0"/>
    <x v="0"/>
    <x v="0"/>
    <x v="0"/>
    <x v="0"/>
    <x v="1"/>
    <x v="0"/>
    <x v="0"/>
    <x v="0"/>
    <x v="0"/>
  </r>
  <r>
    <s v="The 400 Blows"/>
    <n v="99"/>
    <n v="165"/>
    <s v="Letterbox"/>
    <x v="6"/>
    <d v="1959-06-03T00:00:00"/>
    <x v="56"/>
    <x v="214"/>
    <x v="0"/>
    <x v="0"/>
    <x v="0"/>
    <x v="0"/>
    <x v="0"/>
    <x v="0"/>
    <x v="0"/>
    <x v="0"/>
    <x v="0"/>
    <x v="0"/>
    <x v="0"/>
    <x v="0"/>
    <x v="0"/>
    <x v="0"/>
    <x v="1"/>
    <x v="0"/>
    <x v="0"/>
    <x v="0"/>
    <x v="0"/>
  </r>
  <r>
    <s v="Army of Shadows"/>
    <n v="100"/>
    <n v="164"/>
    <s v="Letterbox"/>
    <x v="23"/>
    <d v="1969-09-10T00:00:00"/>
    <x v="37"/>
    <x v="47"/>
    <x v="0"/>
    <x v="0"/>
    <x v="0"/>
    <x v="0"/>
    <x v="0"/>
    <x v="0"/>
    <x v="0"/>
    <x v="0"/>
    <x v="0"/>
    <x v="0"/>
    <x v="0"/>
    <x v="0"/>
    <x v="0"/>
    <x v="0"/>
    <x v="1"/>
    <x v="0"/>
    <x v="1"/>
    <x v="1"/>
    <x v="0"/>
  </r>
  <r>
    <s v="Late Spring"/>
    <n v="101"/>
    <n v="163"/>
    <s v="Letterbox"/>
    <x v="6"/>
    <d v="1949-09-13T00:00:00"/>
    <x v="88"/>
    <x v="242"/>
    <x v="0"/>
    <x v="0"/>
    <x v="0"/>
    <x v="0"/>
    <x v="0"/>
    <x v="0"/>
    <x v="0"/>
    <x v="0"/>
    <x v="0"/>
    <x v="0"/>
    <x v="0"/>
    <x v="0"/>
    <x v="0"/>
    <x v="0"/>
    <x v="1"/>
    <x v="0"/>
    <x v="0"/>
    <x v="0"/>
    <x v="0"/>
  </r>
  <r>
    <s v="Witness for the Prosecution"/>
    <n v="102"/>
    <n v="162"/>
    <s v="Letterbox"/>
    <x v="203"/>
    <d v="1957-12-17T00:00:00"/>
    <x v="52"/>
    <x v="463"/>
    <x v="0"/>
    <x v="0"/>
    <x v="0"/>
    <x v="0"/>
    <x v="1"/>
    <x v="0"/>
    <x v="0"/>
    <x v="0"/>
    <x v="0"/>
    <x v="0"/>
    <x v="0"/>
    <x v="0"/>
    <x v="1"/>
    <x v="0"/>
    <x v="1"/>
    <x v="0"/>
    <x v="0"/>
    <x v="0"/>
    <x v="0"/>
  </r>
  <r>
    <s v="Se7en"/>
    <n v="103"/>
    <n v="161"/>
    <s v="Letterbox"/>
    <x v="141"/>
    <d v="1995-09-22T00:00:00"/>
    <x v="96"/>
    <x v="356"/>
    <x v="0"/>
    <x v="0"/>
    <x v="0"/>
    <x v="0"/>
    <x v="1"/>
    <x v="0"/>
    <x v="1"/>
    <x v="0"/>
    <x v="0"/>
    <x v="0"/>
    <x v="0"/>
    <x v="0"/>
    <x v="1"/>
    <x v="0"/>
    <x v="1"/>
    <x v="0"/>
    <x v="1"/>
    <x v="0"/>
    <x v="0"/>
  </r>
  <r>
    <s v="Singin' in the Rain"/>
    <n v="104"/>
    <n v="160"/>
    <s v="Letterbox"/>
    <x v="67"/>
    <d v="1952-04-09T00:00:00"/>
    <x v="22"/>
    <x v="254"/>
    <x v="0"/>
    <x v="0"/>
    <x v="0"/>
    <x v="1"/>
    <x v="0"/>
    <x v="0"/>
    <x v="1"/>
    <x v="0"/>
    <x v="0"/>
    <x v="0"/>
    <x v="0"/>
    <x v="0"/>
    <x v="0"/>
    <x v="1"/>
    <x v="1"/>
    <x v="0"/>
    <x v="0"/>
    <x v="0"/>
    <x v="0"/>
  </r>
  <r>
    <s v="Ordet"/>
    <n v="105"/>
    <n v="159"/>
    <s v="Letterbox"/>
    <x v="6"/>
    <d v="1955-01-09T00:00:00"/>
    <x v="68"/>
    <x v="215"/>
    <x v="0"/>
    <x v="0"/>
    <x v="0"/>
    <x v="0"/>
    <x v="0"/>
    <x v="0"/>
    <x v="0"/>
    <x v="0"/>
    <x v="0"/>
    <x v="0"/>
    <x v="0"/>
    <x v="0"/>
    <x v="0"/>
    <x v="0"/>
    <x v="1"/>
    <x v="0"/>
    <x v="0"/>
    <x v="0"/>
    <x v="0"/>
  </r>
  <r>
    <s v="Life Is Beautiful"/>
    <n v="106"/>
    <n v="158"/>
    <s v="Letterbox"/>
    <x v="50"/>
    <d v="1997-12-20T00:00:00"/>
    <x v="17"/>
    <x v="464"/>
    <x v="0"/>
    <x v="0"/>
    <x v="0"/>
    <x v="1"/>
    <x v="0"/>
    <x v="0"/>
    <x v="0"/>
    <x v="0"/>
    <x v="0"/>
    <x v="0"/>
    <x v="0"/>
    <x v="0"/>
    <x v="0"/>
    <x v="0"/>
    <x v="1"/>
    <x v="0"/>
    <x v="0"/>
    <x v="0"/>
    <x v="0"/>
  </r>
  <r>
    <s v="2001: A Space Odyssey"/>
    <n v="107"/>
    <n v="157"/>
    <s v="Letterbox"/>
    <x v="110"/>
    <d v="1968-04-02T00:00:00"/>
    <x v="21"/>
    <x v="258"/>
    <x v="0"/>
    <x v="1"/>
    <x v="0"/>
    <x v="0"/>
    <x v="0"/>
    <x v="0"/>
    <x v="1"/>
    <x v="0"/>
    <x v="0"/>
    <x v="0"/>
    <x v="0"/>
    <x v="0"/>
    <x v="1"/>
    <x v="0"/>
    <x v="0"/>
    <x v="0"/>
    <x v="0"/>
    <x v="0"/>
    <x v="0"/>
  </r>
  <r>
    <s v="Mommy"/>
    <n v="108"/>
    <n v="156"/>
    <s v="Letterbox"/>
    <x v="6"/>
    <d v="2014-09-19T00:00:00"/>
    <x v="59"/>
    <x v="465"/>
    <x v="0"/>
    <x v="0"/>
    <x v="0"/>
    <x v="0"/>
    <x v="0"/>
    <x v="0"/>
    <x v="0"/>
    <x v="0"/>
    <x v="0"/>
    <x v="0"/>
    <x v="0"/>
    <x v="0"/>
    <x v="0"/>
    <x v="0"/>
    <x v="1"/>
    <x v="0"/>
    <x v="0"/>
    <x v="0"/>
    <x v="0"/>
  </r>
  <r>
    <s v="Amadeus"/>
    <n v="109"/>
    <n v="155"/>
    <s v="Letterbox"/>
    <x v="187"/>
    <d v="1984-09-19T00:00:00"/>
    <x v="39"/>
    <x v="418"/>
    <x v="0"/>
    <x v="0"/>
    <x v="0"/>
    <x v="0"/>
    <x v="0"/>
    <x v="0"/>
    <x v="0"/>
    <x v="0"/>
    <x v="0"/>
    <x v="1"/>
    <x v="0"/>
    <x v="1"/>
    <x v="0"/>
    <x v="0"/>
    <x v="1"/>
    <x v="0"/>
    <x v="0"/>
    <x v="0"/>
    <x v="0"/>
  </r>
  <r>
    <s v="Bicycle Thieves"/>
    <n v="110"/>
    <n v="154"/>
    <s v="Letterbox"/>
    <x v="6"/>
    <d v="1948-11-24T00:00:00"/>
    <x v="57"/>
    <x v="223"/>
    <x v="0"/>
    <x v="0"/>
    <x v="0"/>
    <x v="0"/>
    <x v="0"/>
    <x v="0"/>
    <x v="0"/>
    <x v="0"/>
    <x v="0"/>
    <x v="0"/>
    <x v="0"/>
    <x v="0"/>
    <x v="0"/>
    <x v="0"/>
    <x v="1"/>
    <x v="0"/>
    <x v="0"/>
    <x v="0"/>
    <x v="0"/>
  </r>
  <r>
    <s v="An Elephant Sitting Still"/>
    <n v="111"/>
    <n v="153"/>
    <s v="Letterbox"/>
    <x v="6"/>
    <d v="2018-03-08T00:00:00"/>
    <x v="51"/>
    <x v="466"/>
    <x v="0"/>
    <x v="0"/>
    <x v="0"/>
    <x v="0"/>
    <x v="0"/>
    <x v="0"/>
    <x v="0"/>
    <x v="0"/>
    <x v="0"/>
    <x v="0"/>
    <x v="0"/>
    <x v="0"/>
    <x v="0"/>
    <x v="0"/>
    <x v="1"/>
    <x v="0"/>
    <x v="0"/>
    <x v="0"/>
    <x v="0"/>
  </r>
  <r>
    <s v="Nobody Knows"/>
    <n v="112"/>
    <n v="152"/>
    <s v="Letterbox"/>
    <x v="6"/>
    <d v="2004-08-07T00:00:00"/>
    <x v="83"/>
    <x v="467"/>
    <x v="0"/>
    <x v="0"/>
    <x v="0"/>
    <x v="0"/>
    <x v="0"/>
    <x v="0"/>
    <x v="0"/>
    <x v="0"/>
    <x v="0"/>
    <x v="0"/>
    <x v="0"/>
    <x v="0"/>
    <x v="0"/>
    <x v="0"/>
    <x v="1"/>
    <x v="0"/>
    <x v="0"/>
    <x v="0"/>
    <x v="0"/>
  </r>
  <r>
    <s v="Apur Sansar"/>
    <n v="113"/>
    <n v="151"/>
    <s v="Letterbox"/>
    <x v="6"/>
    <d v="1959-05-01T00:00:00"/>
    <x v="56"/>
    <x v="468"/>
    <x v="0"/>
    <x v="0"/>
    <x v="0"/>
    <x v="0"/>
    <x v="0"/>
    <x v="0"/>
    <x v="0"/>
    <x v="0"/>
    <x v="0"/>
    <x v="0"/>
    <x v="0"/>
    <x v="0"/>
    <x v="0"/>
    <x v="0"/>
    <x v="1"/>
    <x v="0"/>
    <x v="0"/>
    <x v="0"/>
    <x v="0"/>
  </r>
  <r>
    <s v="Paper Moon"/>
    <n v="114"/>
    <n v="150"/>
    <s v="Letterbox"/>
    <x v="117"/>
    <d v="1973-05-09T00:00:00"/>
    <x v="10"/>
    <x v="469"/>
    <x v="0"/>
    <x v="0"/>
    <x v="0"/>
    <x v="1"/>
    <x v="1"/>
    <x v="0"/>
    <x v="0"/>
    <x v="0"/>
    <x v="0"/>
    <x v="0"/>
    <x v="0"/>
    <x v="0"/>
    <x v="0"/>
    <x v="0"/>
    <x v="1"/>
    <x v="0"/>
    <x v="0"/>
    <x v="0"/>
    <x v="0"/>
  </r>
  <r>
    <s v="Dr. Strangelove or: How I Learned to Stop Worrying and Love the Bomb"/>
    <n v="115"/>
    <n v="149"/>
    <s v="Letterbox"/>
    <x v="20"/>
    <d v="1964-01-29T00:00:00"/>
    <x v="43"/>
    <x v="59"/>
    <x v="0"/>
    <x v="0"/>
    <x v="0"/>
    <x v="1"/>
    <x v="0"/>
    <x v="0"/>
    <x v="1"/>
    <x v="0"/>
    <x v="0"/>
    <x v="0"/>
    <x v="0"/>
    <x v="0"/>
    <x v="0"/>
    <x v="0"/>
    <x v="1"/>
    <x v="0"/>
    <x v="0"/>
    <x v="1"/>
    <x v="0"/>
  </r>
  <r>
    <s v="Dog Day Afternoon"/>
    <n v="116"/>
    <n v="148"/>
    <s v="Letterbox"/>
    <x v="106"/>
    <d v="1975-09-21T00:00:00"/>
    <x v="66"/>
    <x v="470"/>
    <x v="0"/>
    <x v="0"/>
    <x v="0"/>
    <x v="0"/>
    <x v="1"/>
    <x v="0"/>
    <x v="0"/>
    <x v="0"/>
    <x v="0"/>
    <x v="0"/>
    <x v="0"/>
    <x v="0"/>
    <x v="0"/>
    <x v="0"/>
    <x v="1"/>
    <x v="0"/>
    <x v="1"/>
    <x v="0"/>
    <x v="0"/>
  </r>
  <r>
    <s v="Still Walking"/>
    <n v="117"/>
    <n v="147"/>
    <s v="Letterbox"/>
    <x v="53"/>
    <d v="2008-06-28T00:00:00"/>
    <x v="48"/>
    <x v="471"/>
    <x v="0"/>
    <x v="0"/>
    <x v="0"/>
    <x v="0"/>
    <x v="0"/>
    <x v="0"/>
    <x v="0"/>
    <x v="1"/>
    <x v="0"/>
    <x v="0"/>
    <x v="0"/>
    <x v="0"/>
    <x v="0"/>
    <x v="0"/>
    <x v="1"/>
    <x v="0"/>
    <x v="0"/>
    <x v="0"/>
    <x v="0"/>
  </r>
  <r>
    <s v="Howl's Moving Castle"/>
    <n v="118"/>
    <n v="146"/>
    <s v="Letterbox"/>
    <x v="204"/>
    <d v="2004-09-09T00:00:00"/>
    <x v="83"/>
    <x v="472"/>
    <x v="0"/>
    <x v="1"/>
    <x v="1"/>
    <x v="0"/>
    <x v="0"/>
    <x v="0"/>
    <x v="1"/>
    <x v="0"/>
    <x v="1"/>
    <x v="0"/>
    <x v="0"/>
    <x v="0"/>
    <x v="0"/>
    <x v="0"/>
    <x v="1"/>
    <x v="0"/>
    <x v="0"/>
    <x v="0"/>
    <x v="0"/>
  </r>
  <r>
    <s v="The Wages of Fear"/>
    <n v="119"/>
    <n v="145"/>
    <s v="Letterbox"/>
    <x v="205"/>
    <d v="1953-04-22T00:00:00"/>
    <x v="84"/>
    <x v="473"/>
    <x v="0"/>
    <x v="1"/>
    <x v="0"/>
    <x v="0"/>
    <x v="0"/>
    <x v="0"/>
    <x v="0"/>
    <x v="0"/>
    <x v="0"/>
    <x v="0"/>
    <x v="0"/>
    <x v="0"/>
    <x v="0"/>
    <x v="0"/>
    <x v="1"/>
    <x v="0"/>
    <x v="1"/>
    <x v="0"/>
    <x v="0"/>
  </r>
  <r>
    <s v="Interstellar"/>
    <n v="120"/>
    <n v="144"/>
    <s v="Letterbox"/>
    <x v="158"/>
    <d v="2014-11-05T00:00:00"/>
    <x v="59"/>
    <x v="359"/>
    <x v="0"/>
    <x v="1"/>
    <x v="0"/>
    <x v="0"/>
    <x v="0"/>
    <x v="0"/>
    <x v="0"/>
    <x v="0"/>
    <x v="0"/>
    <x v="0"/>
    <x v="0"/>
    <x v="0"/>
    <x v="0"/>
    <x v="0"/>
    <x v="0"/>
    <x v="0"/>
    <x v="0"/>
    <x v="0"/>
    <x v="0"/>
  </r>
  <r>
    <s v="Children of Men"/>
    <n v="121"/>
    <n v="143"/>
    <s v="Letterbox"/>
    <x v="206"/>
    <d v="2006-09-22T00:00:00"/>
    <x v="13"/>
    <x v="474"/>
    <x v="1"/>
    <x v="0"/>
    <x v="0"/>
    <x v="0"/>
    <x v="0"/>
    <x v="0"/>
    <x v="0"/>
    <x v="0"/>
    <x v="0"/>
    <x v="0"/>
    <x v="0"/>
    <x v="0"/>
    <x v="0"/>
    <x v="0"/>
    <x v="0"/>
    <x v="0"/>
    <x v="1"/>
    <x v="0"/>
    <x v="0"/>
  </r>
  <r>
    <s v="Yojimbo"/>
    <n v="122"/>
    <n v="142"/>
    <s v="Letterbox"/>
    <x v="31"/>
    <d v="1961-04-25T00:00:00"/>
    <x v="60"/>
    <x v="475"/>
    <x v="0"/>
    <x v="0"/>
    <x v="0"/>
    <x v="0"/>
    <x v="0"/>
    <x v="0"/>
    <x v="0"/>
    <x v="0"/>
    <x v="0"/>
    <x v="0"/>
    <x v="0"/>
    <x v="0"/>
    <x v="0"/>
    <x v="0"/>
    <x v="1"/>
    <x v="0"/>
    <x v="1"/>
    <x v="0"/>
    <x v="0"/>
  </r>
  <r>
    <s v="8Â½"/>
    <n v="123"/>
    <n v="141"/>
    <s v="Letterbox"/>
    <x v="6"/>
    <d v="1963-02-14T00:00:00"/>
    <x v="50"/>
    <x v="231"/>
    <x v="0"/>
    <x v="0"/>
    <x v="0"/>
    <x v="0"/>
    <x v="0"/>
    <x v="0"/>
    <x v="0"/>
    <x v="0"/>
    <x v="0"/>
    <x v="0"/>
    <x v="0"/>
    <x v="0"/>
    <x v="0"/>
    <x v="0"/>
    <x v="1"/>
    <x v="0"/>
    <x v="0"/>
    <x v="0"/>
    <x v="0"/>
  </r>
  <r>
    <s v="Landscape in the Mist"/>
    <n v="124"/>
    <n v="140"/>
    <s v="Letterbox"/>
    <x v="6"/>
    <d v="1988-09-10T00:00:00"/>
    <x v="11"/>
    <x v="476"/>
    <x v="0"/>
    <x v="0"/>
    <x v="0"/>
    <x v="0"/>
    <x v="0"/>
    <x v="0"/>
    <x v="0"/>
    <x v="0"/>
    <x v="0"/>
    <x v="0"/>
    <x v="0"/>
    <x v="0"/>
    <x v="0"/>
    <x v="0"/>
    <x v="1"/>
    <x v="0"/>
    <x v="0"/>
    <x v="0"/>
    <x v="0"/>
  </r>
  <r>
    <s v="Chungking Express"/>
    <n v="125"/>
    <n v="139"/>
    <s v="Letterbox"/>
    <x v="59"/>
    <d v="1994-07-14T00:00:00"/>
    <x v="71"/>
    <x v="176"/>
    <x v="0"/>
    <x v="0"/>
    <x v="0"/>
    <x v="1"/>
    <x v="0"/>
    <x v="0"/>
    <x v="0"/>
    <x v="0"/>
    <x v="0"/>
    <x v="0"/>
    <x v="0"/>
    <x v="0"/>
    <x v="0"/>
    <x v="1"/>
    <x v="1"/>
    <x v="0"/>
    <x v="0"/>
    <x v="0"/>
    <x v="0"/>
  </r>
  <r>
    <s v="Taste of Cherry"/>
    <n v="126"/>
    <n v="138"/>
    <s v="Letterbox"/>
    <x v="6"/>
    <d v="1997-09-28T00:00:00"/>
    <x v="17"/>
    <x v="19"/>
    <x v="0"/>
    <x v="0"/>
    <x v="0"/>
    <x v="0"/>
    <x v="0"/>
    <x v="0"/>
    <x v="0"/>
    <x v="0"/>
    <x v="0"/>
    <x v="0"/>
    <x v="0"/>
    <x v="0"/>
    <x v="0"/>
    <x v="0"/>
    <x v="1"/>
    <x v="0"/>
    <x v="0"/>
    <x v="0"/>
    <x v="0"/>
  </r>
  <r>
    <s v="The Great Dictator"/>
    <n v="127"/>
    <n v="137"/>
    <s v="Letterbox"/>
    <x v="20"/>
    <d v="1940-10-15T00:00:00"/>
    <x v="73"/>
    <x v="477"/>
    <x v="0"/>
    <x v="0"/>
    <x v="0"/>
    <x v="1"/>
    <x v="0"/>
    <x v="0"/>
    <x v="1"/>
    <x v="0"/>
    <x v="0"/>
    <x v="0"/>
    <x v="0"/>
    <x v="0"/>
    <x v="0"/>
    <x v="0"/>
    <x v="1"/>
    <x v="0"/>
    <x v="0"/>
    <x v="1"/>
    <x v="0"/>
  </r>
  <r>
    <s v="Werckmeister Harmonies"/>
    <n v="128"/>
    <n v="136"/>
    <s v="Letterbox"/>
    <x v="6"/>
    <d v="2001-02-01T00:00:00"/>
    <x v="16"/>
    <x v="18"/>
    <x v="0"/>
    <x v="0"/>
    <x v="0"/>
    <x v="0"/>
    <x v="0"/>
    <x v="0"/>
    <x v="0"/>
    <x v="0"/>
    <x v="0"/>
    <x v="0"/>
    <x v="0"/>
    <x v="0"/>
    <x v="0"/>
    <x v="0"/>
    <x v="1"/>
    <x v="0"/>
    <x v="0"/>
    <x v="0"/>
    <x v="0"/>
  </r>
  <r>
    <s v="Red Beard"/>
    <n v="129"/>
    <n v="135"/>
    <s v="Letterbox"/>
    <x v="6"/>
    <d v="1965-04-03T00:00:00"/>
    <x v="62"/>
    <x v="478"/>
    <x v="0"/>
    <x v="0"/>
    <x v="0"/>
    <x v="0"/>
    <x v="0"/>
    <x v="0"/>
    <x v="0"/>
    <x v="0"/>
    <x v="0"/>
    <x v="0"/>
    <x v="0"/>
    <x v="0"/>
    <x v="0"/>
    <x v="0"/>
    <x v="1"/>
    <x v="0"/>
    <x v="0"/>
    <x v="0"/>
    <x v="0"/>
  </r>
  <r>
    <s v="Brief Encounter"/>
    <n v="130"/>
    <n v="134"/>
    <s v="Letterbox"/>
    <x v="12"/>
    <d v="1945-11-24T00:00:00"/>
    <x v="35"/>
    <x v="43"/>
    <x v="0"/>
    <x v="0"/>
    <x v="0"/>
    <x v="0"/>
    <x v="0"/>
    <x v="0"/>
    <x v="0"/>
    <x v="0"/>
    <x v="0"/>
    <x v="0"/>
    <x v="0"/>
    <x v="0"/>
    <x v="0"/>
    <x v="1"/>
    <x v="1"/>
    <x v="0"/>
    <x v="0"/>
    <x v="0"/>
    <x v="0"/>
  </r>
  <r>
    <s v="Wings of Desire"/>
    <n v="131"/>
    <n v="133"/>
    <s v="Letterbox"/>
    <x v="40"/>
    <d v="1987-05-17T00:00:00"/>
    <x v="53"/>
    <x v="78"/>
    <x v="0"/>
    <x v="0"/>
    <x v="0"/>
    <x v="0"/>
    <x v="0"/>
    <x v="0"/>
    <x v="0"/>
    <x v="0"/>
    <x v="1"/>
    <x v="0"/>
    <x v="0"/>
    <x v="0"/>
    <x v="0"/>
    <x v="1"/>
    <x v="1"/>
    <x v="0"/>
    <x v="0"/>
    <x v="0"/>
    <x v="0"/>
  </r>
  <r>
    <s v="Shoplifters"/>
    <n v="132"/>
    <n v="132"/>
    <s v="Letterbox"/>
    <x v="140"/>
    <d v="2018-06-02T00:00:00"/>
    <x v="51"/>
    <x v="479"/>
    <x v="0"/>
    <x v="0"/>
    <x v="0"/>
    <x v="0"/>
    <x v="1"/>
    <x v="0"/>
    <x v="0"/>
    <x v="0"/>
    <x v="0"/>
    <x v="0"/>
    <x v="0"/>
    <x v="0"/>
    <x v="0"/>
    <x v="0"/>
    <x v="1"/>
    <x v="0"/>
    <x v="1"/>
    <x v="0"/>
    <x v="0"/>
  </r>
  <r>
    <s v="The Hunt"/>
    <n v="133"/>
    <n v="131"/>
    <s v="Letterbox"/>
    <x v="207"/>
    <d v="2020-03-11T00:00:00"/>
    <x v="100"/>
    <x v="480"/>
    <x v="1"/>
    <x v="0"/>
    <x v="0"/>
    <x v="0"/>
    <x v="0"/>
    <x v="0"/>
    <x v="1"/>
    <x v="0"/>
    <x v="0"/>
    <x v="0"/>
    <x v="1"/>
    <x v="0"/>
    <x v="0"/>
    <x v="0"/>
    <x v="1"/>
    <x v="0"/>
    <x v="1"/>
    <x v="0"/>
    <x v="0"/>
  </r>
  <r>
    <s v="Chinatown"/>
    <n v="134"/>
    <n v="130"/>
    <s v="Letterbox"/>
    <x v="55"/>
    <d v="1974-06-20T00:00:00"/>
    <x v="25"/>
    <x v="113"/>
    <x v="0"/>
    <x v="0"/>
    <x v="0"/>
    <x v="0"/>
    <x v="1"/>
    <x v="0"/>
    <x v="0"/>
    <x v="0"/>
    <x v="0"/>
    <x v="0"/>
    <x v="0"/>
    <x v="0"/>
    <x v="1"/>
    <x v="0"/>
    <x v="1"/>
    <x v="0"/>
    <x v="1"/>
    <x v="0"/>
    <x v="0"/>
  </r>
  <r>
    <s v="All That Jazz"/>
    <n v="135"/>
    <n v="129"/>
    <s v="Letterbox"/>
    <x v="6"/>
    <d v="1979-12-16T00:00:00"/>
    <x v="67"/>
    <x v="481"/>
    <x v="0"/>
    <x v="0"/>
    <x v="0"/>
    <x v="0"/>
    <x v="0"/>
    <x v="0"/>
    <x v="0"/>
    <x v="0"/>
    <x v="0"/>
    <x v="0"/>
    <x v="0"/>
    <x v="0"/>
    <x v="0"/>
    <x v="0"/>
    <x v="1"/>
    <x v="0"/>
    <x v="0"/>
    <x v="0"/>
    <x v="0"/>
  </r>
  <r>
    <s v="Oppenheimer"/>
    <n v="136"/>
    <n v="128"/>
    <s v="Letterbox"/>
    <x v="32"/>
    <d v="2023-07-19T00:00:00"/>
    <x v="23"/>
    <x v="482"/>
    <x v="0"/>
    <x v="0"/>
    <x v="0"/>
    <x v="0"/>
    <x v="0"/>
    <x v="0"/>
    <x v="0"/>
    <x v="0"/>
    <x v="0"/>
    <x v="1"/>
    <x v="0"/>
    <x v="0"/>
    <x v="0"/>
    <x v="0"/>
    <x v="1"/>
    <x v="0"/>
    <x v="0"/>
    <x v="0"/>
    <x v="0"/>
  </r>
  <r>
    <s v="The Departed"/>
    <n v="137"/>
    <n v="127"/>
    <s v="Letterbox"/>
    <x v="169"/>
    <d v="2006-10-04T00:00:00"/>
    <x v="13"/>
    <x v="378"/>
    <x v="0"/>
    <x v="0"/>
    <x v="0"/>
    <x v="0"/>
    <x v="1"/>
    <x v="0"/>
    <x v="0"/>
    <x v="0"/>
    <x v="0"/>
    <x v="0"/>
    <x v="0"/>
    <x v="0"/>
    <x v="0"/>
    <x v="0"/>
    <x v="1"/>
    <x v="0"/>
    <x v="1"/>
    <x v="0"/>
    <x v="0"/>
  </r>
  <r>
    <s v="The Father"/>
    <n v="138"/>
    <n v="126"/>
    <s v="Letterbox"/>
    <x v="6"/>
    <d v="2020-12-23T00:00:00"/>
    <x v="100"/>
    <x v="483"/>
    <x v="0"/>
    <x v="0"/>
    <x v="0"/>
    <x v="0"/>
    <x v="0"/>
    <x v="0"/>
    <x v="0"/>
    <x v="0"/>
    <x v="0"/>
    <x v="0"/>
    <x v="0"/>
    <x v="0"/>
    <x v="0"/>
    <x v="0"/>
    <x v="1"/>
    <x v="0"/>
    <x v="0"/>
    <x v="0"/>
    <x v="0"/>
  </r>
  <r>
    <s v="Tampopo"/>
    <n v="139"/>
    <n v="125"/>
    <s v="Letterbox"/>
    <x v="14"/>
    <d v="1985-11-23T00:00:00"/>
    <x v="80"/>
    <x v="484"/>
    <x v="0"/>
    <x v="0"/>
    <x v="0"/>
    <x v="1"/>
    <x v="0"/>
    <x v="0"/>
    <x v="1"/>
    <x v="0"/>
    <x v="0"/>
    <x v="0"/>
    <x v="0"/>
    <x v="0"/>
    <x v="0"/>
    <x v="0"/>
    <x v="1"/>
    <x v="0"/>
    <x v="0"/>
    <x v="0"/>
    <x v="0"/>
  </r>
  <r>
    <s v="The Sacrifice"/>
    <n v="140"/>
    <n v="124"/>
    <s v="Letterbox"/>
    <x v="6"/>
    <d v="1911-06-09T00:00:00"/>
    <x v="101"/>
    <x v="485"/>
    <x v="0"/>
    <x v="0"/>
    <x v="0"/>
    <x v="0"/>
    <x v="0"/>
    <x v="0"/>
    <x v="0"/>
    <x v="0"/>
    <x v="0"/>
    <x v="0"/>
    <x v="0"/>
    <x v="0"/>
    <x v="0"/>
    <x v="0"/>
    <x v="1"/>
    <x v="0"/>
    <x v="0"/>
    <x v="0"/>
    <x v="0"/>
  </r>
  <r>
    <s v="Pather Panchali"/>
    <n v="141"/>
    <n v="123"/>
    <s v="Letterbox"/>
    <x v="6"/>
    <d v="1955-08-26T00:00:00"/>
    <x v="68"/>
    <x v="229"/>
    <x v="0"/>
    <x v="0"/>
    <x v="0"/>
    <x v="0"/>
    <x v="0"/>
    <x v="0"/>
    <x v="0"/>
    <x v="0"/>
    <x v="0"/>
    <x v="0"/>
    <x v="0"/>
    <x v="0"/>
    <x v="0"/>
    <x v="0"/>
    <x v="1"/>
    <x v="0"/>
    <x v="0"/>
    <x v="0"/>
    <x v="0"/>
  </r>
  <r>
    <s v="The Young Girls of Rochefort"/>
    <n v="142"/>
    <n v="122"/>
    <s v="Letterbox"/>
    <x v="37"/>
    <d v="1967-03-08T00:00:00"/>
    <x v="6"/>
    <x v="70"/>
    <x v="0"/>
    <x v="0"/>
    <x v="0"/>
    <x v="1"/>
    <x v="0"/>
    <x v="0"/>
    <x v="0"/>
    <x v="0"/>
    <x v="0"/>
    <x v="0"/>
    <x v="0"/>
    <x v="0"/>
    <x v="0"/>
    <x v="1"/>
    <x v="1"/>
    <x v="0"/>
    <x v="0"/>
    <x v="0"/>
    <x v="0"/>
  </r>
  <r>
    <s v="Funeral Parade of Roses"/>
    <n v="143"/>
    <n v="121"/>
    <s v="Letterbox"/>
    <x v="6"/>
    <d v="1969-09-13T00:00:00"/>
    <x v="37"/>
    <x v="486"/>
    <x v="0"/>
    <x v="0"/>
    <x v="0"/>
    <x v="0"/>
    <x v="0"/>
    <x v="0"/>
    <x v="0"/>
    <x v="0"/>
    <x v="0"/>
    <x v="0"/>
    <x v="0"/>
    <x v="0"/>
    <x v="0"/>
    <x v="0"/>
    <x v="1"/>
    <x v="0"/>
    <x v="0"/>
    <x v="0"/>
    <x v="0"/>
  </r>
  <r>
    <s v="Alien"/>
    <n v="144"/>
    <n v="120"/>
    <s v="Letterbox"/>
    <x v="57"/>
    <d v="1979-05-25T00:00:00"/>
    <x v="67"/>
    <x v="116"/>
    <x v="0"/>
    <x v="0"/>
    <x v="0"/>
    <x v="0"/>
    <x v="0"/>
    <x v="0"/>
    <x v="1"/>
    <x v="0"/>
    <x v="0"/>
    <x v="0"/>
    <x v="1"/>
    <x v="0"/>
    <x v="0"/>
    <x v="0"/>
    <x v="0"/>
    <x v="0"/>
    <x v="0"/>
    <x v="0"/>
    <x v="0"/>
  </r>
  <r>
    <s v="Poor Things"/>
    <n v="145"/>
    <n v="119"/>
    <s v="Letterbox"/>
    <x v="208"/>
    <d v="2023-12-07T00:00:00"/>
    <x v="23"/>
    <x v="487"/>
    <x v="0"/>
    <x v="0"/>
    <x v="0"/>
    <x v="1"/>
    <x v="0"/>
    <x v="0"/>
    <x v="1"/>
    <x v="0"/>
    <x v="0"/>
    <x v="0"/>
    <x v="0"/>
    <x v="0"/>
    <x v="0"/>
    <x v="1"/>
    <x v="0"/>
    <x v="0"/>
    <x v="0"/>
    <x v="0"/>
    <x v="0"/>
  </r>
  <r>
    <s v="To Be or Not to Be"/>
    <n v="146"/>
    <n v="118"/>
    <s v="Letterbox"/>
    <x v="14"/>
    <d v="1983-12-16T00:00:00"/>
    <x v="0"/>
    <x v="150"/>
    <x v="0"/>
    <x v="0"/>
    <x v="0"/>
    <x v="1"/>
    <x v="0"/>
    <x v="0"/>
    <x v="1"/>
    <x v="0"/>
    <x v="0"/>
    <x v="0"/>
    <x v="0"/>
    <x v="0"/>
    <x v="0"/>
    <x v="0"/>
    <x v="1"/>
    <x v="0"/>
    <x v="0"/>
    <x v="0"/>
    <x v="0"/>
  </r>
  <r>
    <s v="Prisoners"/>
    <n v="147"/>
    <n v="117"/>
    <s v="Letterbox"/>
    <x v="169"/>
    <d v="2013-09-19T00:00:00"/>
    <x v="63"/>
    <x v="488"/>
    <x v="0"/>
    <x v="0"/>
    <x v="0"/>
    <x v="0"/>
    <x v="1"/>
    <x v="0"/>
    <x v="0"/>
    <x v="0"/>
    <x v="0"/>
    <x v="0"/>
    <x v="0"/>
    <x v="0"/>
    <x v="0"/>
    <x v="0"/>
    <x v="1"/>
    <x v="0"/>
    <x v="1"/>
    <x v="0"/>
    <x v="0"/>
  </r>
  <r>
    <s v="Casablanca"/>
    <n v="148"/>
    <n v="116"/>
    <s v="Letterbox"/>
    <x v="12"/>
    <d v="1943-01-15T00:00:00"/>
    <x v="41"/>
    <x v="201"/>
    <x v="0"/>
    <x v="0"/>
    <x v="0"/>
    <x v="0"/>
    <x v="0"/>
    <x v="0"/>
    <x v="0"/>
    <x v="0"/>
    <x v="0"/>
    <x v="0"/>
    <x v="0"/>
    <x v="0"/>
    <x v="0"/>
    <x v="1"/>
    <x v="1"/>
    <x v="0"/>
    <x v="0"/>
    <x v="0"/>
    <x v="0"/>
  </r>
  <r>
    <s v="The Fifth Seal"/>
    <n v="149"/>
    <n v="115"/>
    <s v="Letterbox"/>
    <x v="22"/>
    <d v="1976-10-07T00:00:00"/>
    <x v="44"/>
    <x v="489"/>
    <x v="0"/>
    <x v="0"/>
    <x v="0"/>
    <x v="0"/>
    <x v="0"/>
    <x v="0"/>
    <x v="0"/>
    <x v="0"/>
    <x v="0"/>
    <x v="0"/>
    <x v="0"/>
    <x v="0"/>
    <x v="0"/>
    <x v="0"/>
    <x v="1"/>
    <x v="0"/>
    <x v="0"/>
    <x v="1"/>
    <x v="0"/>
  </r>
  <r>
    <s v="Z"/>
    <n v="150"/>
    <n v="114"/>
    <s v="Letterbox"/>
    <x v="209"/>
    <d v="1969-02-26T00:00:00"/>
    <x v="37"/>
    <x v="490"/>
    <x v="0"/>
    <x v="0"/>
    <x v="0"/>
    <x v="0"/>
    <x v="1"/>
    <x v="0"/>
    <x v="0"/>
    <x v="0"/>
    <x v="0"/>
    <x v="0"/>
    <x v="0"/>
    <x v="0"/>
    <x v="0"/>
    <x v="0"/>
    <x v="1"/>
    <x v="0"/>
    <x v="1"/>
    <x v="0"/>
    <x v="0"/>
  </r>
  <r>
    <s v="Terminator 2: Judgment Day"/>
    <n v="151"/>
    <n v="113"/>
    <s v="Letterbox"/>
    <x v="138"/>
    <d v="1991-07-03T00:00:00"/>
    <x v="85"/>
    <x v="364"/>
    <x v="1"/>
    <x v="0"/>
    <x v="0"/>
    <x v="0"/>
    <x v="0"/>
    <x v="0"/>
    <x v="1"/>
    <x v="0"/>
    <x v="0"/>
    <x v="0"/>
    <x v="0"/>
    <x v="0"/>
    <x v="0"/>
    <x v="0"/>
    <x v="0"/>
    <x v="0"/>
    <x v="1"/>
    <x v="0"/>
    <x v="0"/>
  </r>
  <r>
    <s v="Modern Times"/>
    <n v="152"/>
    <n v="112"/>
    <s v="Letterbox"/>
    <x v="50"/>
    <d v="1936-02-05T00:00:00"/>
    <x v="32"/>
    <x v="182"/>
    <x v="0"/>
    <x v="0"/>
    <x v="0"/>
    <x v="1"/>
    <x v="0"/>
    <x v="0"/>
    <x v="0"/>
    <x v="0"/>
    <x v="0"/>
    <x v="0"/>
    <x v="0"/>
    <x v="0"/>
    <x v="0"/>
    <x v="0"/>
    <x v="1"/>
    <x v="0"/>
    <x v="0"/>
    <x v="0"/>
    <x v="0"/>
  </r>
  <r>
    <s v="Pulp Fiction"/>
    <n v="153"/>
    <n v="111"/>
    <s v="Letterbox"/>
    <x v="66"/>
    <d v="1994-09-10T00:00:00"/>
    <x v="71"/>
    <x v="132"/>
    <x v="0"/>
    <x v="0"/>
    <x v="0"/>
    <x v="0"/>
    <x v="1"/>
    <x v="0"/>
    <x v="1"/>
    <x v="0"/>
    <x v="0"/>
    <x v="0"/>
    <x v="0"/>
    <x v="0"/>
    <x v="0"/>
    <x v="0"/>
    <x v="1"/>
    <x v="0"/>
    <x v="1"/>
    <x v="0"/>
    <x v="0"/>
  </r>
  <r>
    <s v="Fight Club"/>
    <n v="154"/>
    <n v="110"/>
    <s v="Letterbox"/>
    <x v="6"/>
    <d v="1999-10-15T00:00:00"/>
    <x v="54"/>
    <x v="363"/>
    <x v="0"/>
    <x v="0"/>
    <x v="0"/>
    <x v="0"/>
    <x v="0"/>
    <x v="0"/>
    <x v="0"/>
    <x v="0"/>
    <x v="0"/>
    <x v="0"/>
    <x v="0"/>
    <x v="0"/>
    <x v="0"/>
    <x v="0"/>
    <x v="1"/>
    <x v="0"/>
    <x v="0"/>
    <x v="0"/>
    <x v="0"/>
  </r>
  <r>
    <s v="Good Will Hunting"/>
    <n v="155"/>
    <n v="109"/>
    <s v="Letterbox"/>
    <x v="6"/>
    <d v="1997-12-05T00:00:00"/>
    <x v="17"/>
    <x v="430"/>
    <x v="0"/>
    <x v="0"/>
    <x v="0"/>
    <x v="0"/>
    <x v="0"/>
    <x v="0"/>
    <x v="0"/>
    <x v="0"/>
    <x v="0"/>
    <x v="0"/>
    <x v="0"/>
    <x v="0"/>
    <x v="0"/>
    <x v="0"/>
    <x v="1"/>
    <x v="0"/>
    <x v="0"/>
    <x v="0"/>
    <x v="0"/>
  </r>
  <r>
    <s v="La Dolce Vita"/>
    <n v="156"/>
    <n v="108"/>
    <s v="Letterbox"/>
    <x v="50"/>
    <d v="1960-02-05T00:00:00"/>
    <x v="86"/>
    <x v="203"/>
    <x v="0"/>
    <x v="0"/>
    <x v="0"/>
    <x v="1"/>
    <x v="0"/>
    <x v="0"/>
    <x v="0"/>
    <x v="0"/>
    <x v="0"/>
    <x v="0"/>
    <x v="0"/>
    <x v="0"/>
    <x v="0"/>
    <x v="0"/>
    <x v="1"/>
    <x v="0"/>
    <x v="0"/>
    <x v="0"/>
    <x v="0"/>
  </r>
  <r>
    <s v="Raise the Red Lantern"/>
    <n v="157"/>
    <n v="107"/>
    <s v="Letterbox"/>
    <x v="6"/>
    <d v="1991-12-18T00:00:00"/>
    <x v="85"/>
    <x v="491"/>
    <x v="0"/>
    <x v="0"/>
    <x v="0"/>
    <x v="0"/>
    <x v="0"/>
    <x v="0"/>
    <x v="0"/>
    <x v="0"/>
    <x v="0"/>
    <x v="0"/>
    <x v="0"/>
    <x v="0"/>
    <x v="0"/>
    <x v="0"/>
    <x v="1"/>
    <x v="0"/>
    <x v="0"/>
    <x v="0"/>
    <x v="0"/>
  </r>
  <r>
    <s v="War and Peace"/>
    <n v="158"/>
    <n v="106"/>
    <s v="Letterbox"/>
    <x v="210"/>
    <d v="1956-08-21T00:00:00"/>
    <x v="81"/>
    <x v="492"/>
    <x v="0"/>
    <x v="0"/>
    <x v="0"/>
    <x v="0"/>
    <x v="0"/>
    <x v="0"/>
    <x v="0"/>
    <x v="0"/>
    <x v="0"/>
    <x v="1"/>
    <x v="0"/>
    <x v="0"/>
    <x v="0"/>
    <x v="1"/>
    <x v="1"/>
    <x v="0"/>
    <x v="0"/>
    <x v="1"/>
    <x v="0"/>
  </r>
  <r>
    <s v="The Treasure of the Sierra Madre"/>
    <n v="159"/>
    <n v="105"/>
    <s v="Letterbox"/>
    <x v="211"/>
    <d v="1948-01-15T00:00:00"/>
    <x v="57"/>
    <x v="493"/>
    <x v="0"/>
    <x v="1"/>
    <x v="0"/>
    <x v="0"/>
    <x v="0"/>
    <x v="0"/>
    <x v="0"/>
    <x v="0"/>
    <x v="0"/>
    <x v="0"/>
    <x v="0"/>
    <x v="0"/>
    <x v="0"/>
    <x v="0"/>
    <x v="1"/>
    <x v="0"/>
    <x v="0"/>
    <x v="0"/>
    <x v="1"/>
  </r>
  <r>
    <s v="The Third Man"/>
    <n v="160"/>
    <n v="104"/>
    <s v="Letterbox"/>
    <x v="94"/>
    <d v="1949-08-31T00:00:00"/>
    <x v="88"/>
    <x v="199"/>
    <x v="0"/>
    <x v="0"/>
    <x v="0"/>
    <x v="0"/>
    <x v="0"/>
    <x v="0"/>
    <x v="1"/>
    <x v="0"/>
    <x v="0"/>
    <x v="0"/>
    <x v="0"/>
    <x v="0"/>
    <x v="1"/>
    <x v="0"/>
    <x v="1"/>
    <x v="0"/>
    <x v="1"/>
    <x v="0"/>
    <x v="0"/>
  </r>
  <r>
    <s v="The Night of the Hunter"/>
    <n v="161"/>
    <n v="103"/>
    <s v="Letterbox"/>
    <x v="106"/>
    <d v="1955-08-26T00:00:00"/>
    <x v="68"/>
    <x v="238"/>
    <x v="0"/>
    <x v="0"/>
    <x v="0"/>
    <x v="0"/>
    <x v="1"/>
    <x v="0"/>
    <x v="0"/>
    <x v="0"/>
    <x v="0"/>
    <x v="0"/>
    <x v="0"/>
    <x v="0"/>
    <x v="0"/>
    <x v="0"/>
    <x v="1"/>
    <x v="0"/>
    <x v="1"/>
    <x v="0"/>
    <x v="0"/>
  </r>
  <r>
    <s v="Akira"/>
    <n v="162"/>
    <n v="102"/>
    <s v="Letterbox"/>
    <x v="212"/>
    <d v="1988-07-16T00:00:00"/>
    <x v="11"/>
    <x v="494"/>
    <x v="1"/>
    <x v="0"/>
    <x v="1"/>
    <x v="0"/>
    <x v="0"/>
    <x v="0"/>
    <x v="1"/>
    <x v="0"/>
    <x v="0"/>
    <x v="0"/>
    <x v="0"/>
    <x v="0"/>
    <x v="0"/>
    <x v="0"/>
    <x v="0"/>
    <x v="0"/>
    <x v="0"/>
    <x v="0"/>
    <x v="0"/>
  </r>
  <r>
    <s v="Das Boot"/>
    <n v="163"/>
    <n v="101"/>
    <s v="Letterbox"/>
    <x v="56"/>
    <d v="1981-09-17T00:00:00"/>
    <x v="9"/>
    <x v="495"/>
    <x v="0"/>
    <x v="0"/>
    <x v="0"/>
    <x v="0"/>
    <x v="0"/>
    <x v="0"/>
    <x v="0"/>
    <x v="0"/>
    <x v="0"/>
    <x v="1"/>
    <x v="0"/>
    <x v="0"/>
    <x v="0"/>
    <x v="0"/>
    <x v="1"/>
    <x v="0"/>
    <x v="0"/>
    <x v="1"/>
    <x v="0"/>
  </r>
  <r>
    <s v="Heat"/>
    <n v="164"/>
    <n v="100"/>
    <s v="Letterbox"/>
    <x v="173"/>
    <d v="1995-12-15T00:00:00"/>
    <x v="96"/>
    <x v="496"/>
    <x v="1"/>
    <x v="0"/>
    <x v="0"/>
    <x v="0"/>
    <x v="1"/>
    <x v="0"/>
    <x v="0"/>
    <x v="0"/>
    <x v="0"/>
    <x v="0"/>
    <x v="0"/>
    <x v="0"/>
    <x v="0"/>
    <x v="0"/>
    <x v="1"/>
    <x v="0"/>
    <x v="0"/>
    <x v="0"/>
    <x v="0"/>
  </r>
  <r>
    <s v="The Lives of Others"/>
    <n v="165"/>
    <n v="99"/>
    <s v="Letterbox"/>
    <x v="31"/>
    <d v="2006-03-15T00:00:00"/>
    <x v="13"/>
    <x v="497"/>
    <x v="0"/>
    <x v="0"/>
    <x v="0"/>
    <x v="0"/>
    <x v="0"/>
    <x v="0"/>
    <x v="0"/>
    <x v="0"/>
    <x v="0"/>
    <x v="0"/>
    <x v="0"/>
    <x v="0"/>
    <x v="0"/>
    <x v="0"/>
    <x v="1"/>
    <x v="0"/>
    <x v="1"/>
    <x v="0"/>
    <x v="0"/>
  </r>
  <r>
    <s v="Double Indemnity"/>
    <n v="166"/>
    <n v="98"/>
    <s v="Letterbox"/>
    <x v="30"/>
    <d v="1944-06-14T00:00:00"/>
    <x v="8"/>
    <x v="58"/>
    <x v="0"/>
    <x v="0"/>
    <x v="0"/>
    <x v="0"/>
    <x v="1"/>
    <x v="0"/>
    <x v="1"/>
    <x v="0"/>
    <x v="0"/>
    <x v="0"/>
    <x v="0"/>
    <x v="0"/>
    <x v="0"/>
    <x v="0"/>
    <x v="1"/>
    <x v="0"/>
    <x v="1"/>
    <x v="0"/>
    <x v="0"/>
  </r>
  <r>
    <s v="Network"/>
    <n v="167"/>
    <n v="97"/>
    <s v="Letterbox"/>
    <x v="6"/>
    <d v="1976-11-14T00:00:00"/>
    <x v="44"/>
    <x v="311"/>
    <x v="0"/>
    <x v="0"/>
    <x v="0"/>
    <x v="0"/>
    <x v="0"/>
    <x v="0"/>
    <x v="0"/>
    <x v="0"/>
    <x v="0"/>
    <x v="0"/>
    <x v="0"/>
    <x v="0"/>
    <x v="0"/>
    <x v="0"/>
    <x v="1"/>
    <x v="0"/>
    <x v="0"/>
    <x v="0"/>
    <x v="0"/>
  </r>
  <r>
    <s v="Fantastic Mr. Fox"/>
    <n v="168"/>
    <n v="96"/>
    <s v="Letterbox"/>
    <x v="213"/>
    <d v="2009-10-23T00:00:00"/>
    <x v="70"/>
    <x v="498"/>
    <x v="0"/>
    <x v="1"/>
    <x v="1"/>
    <x v="1"/>
    <x v="0"/>
    <x v="0"/>
    <x v="1"/>
    <x v="1"/>
    <x v="0"/>
    <x v="0"/>
    <x v="0"/>
    <x v="0"/>
    <x v="0"/>
    <x v="0"/>
    <x v="1"/>
    <x v="0"/>
    <x v="0"/>
    <x v="0"/>
    <x v="0"/>
  </r>
  <r>
    <s v="The Celebration"/>
    <n v="169"/>
    <n v="95"/>
    <s v="Letterbox"/>
    <x v="6"/>
    <m/>
    <x v="45"/>
    <x v="499"/>
    <x v="0"/>
    <x v="0"/>
    <x v="0"/>
    <x v="0"/>
    <x v="0"/>
    <x v="0"/>
    <x v="0"/>
    <x v="0"/>
    <x v="0"/>
    <x v="0"/>
    <x v="0"/>
    <x v="0"/>
    <x v="0"/>
    <x v="0"/>
    <x v="1"/>
    <x v="0"/>
    <x v="0"/>
    <x v="0"/>
    <x v="0"/>
  </r>
  <r>
    <s v="Throne of Blood"/>
    <n v="170"/>
    <n v="94"/>
    <s v="Letterbox"/>
    <x v="32"/>
    <d v="1957-01-15T00:00:00"/>
    <x v="52"/>
    <x v="500"/>
    <x v="0"/>
    <x v="0"/>
    <x v="0"/>
    <x v="0"/>
    <x v="0"/>
    <x v="0"/>
    <x v="0"/>
    <x v="0"/>
    <x v="0"/>
    <x v="1"/>
    <x v="0"/>
    <x v="0"/>
    <x v="0"/>
    <x v="0"/>
    <x v="1"/>
    <x v="0"/>
    <x v="0"/>
    <x v="0"/>
    <x v="0"/>
  </r>
  <r>
    <s v="Past Lives"/>
    <n v="171"/>
    <n v="93"/>
    <s v="Letterbox"/>
    <x v="12"/>
    <d v="2023-06-02T00:00:00"/>
    <x v="23"/>
    <x v="501"/>
    <x v="0"/>
    <x v="0"/>
    <x v="0"/>
    <x v="0"/>
    <x v="0"/>
    <x v="0"/>
    <x v="0"/>
    <x v="0"/>
    <x v="0"/>
    <x v="0"/>
    <x v="0"/>
    <x v="0"/>
    <x v="0"/>
    <x v="1"/>
    <x v="1"/>
    <x v="0"/>
    <x v="0"/>
    <x v="0"/>
    <x v="0"/>
  </r>
  <r>
    <s v="Metropolis"/>
    <n v="172"/>
    <n v="92"/>
    <s v="Letterbox"/>
    <x v="0"/>
    <d v="1927-02-06T00:00:00"/>
    <x v="87"/>
    <x v="194"/>
    <x v="0"/>
    <x v="0"/>
    <x v="0"/>
    <x v="0"/>
    <x v="0"/>
    <x v="0"/>
    <x v="0"/>
    <x v="0"/>
    <x v="0"/>
    <x v="0"/>
    <x v="0"/>
    <x v="0"/>
    <x v="0"/>
    <x v="0"/>
    <x v="0"/>
    <x v="0"/>
    <x v="0"/>
    <x v="0"/>
    <x v="0"/>
  </r>
  <r>
    <s v="The Best of Youth"/>
    <n v="173"/>
    <n v="91"/>
    <s v="Letterbox"/>
    <x v="42"/>
    <d v="2003-06-22T00:00:00"/>
    <x v="79"/>
    <x v="502"/>
    <x v="0"/>
    <x v="0"/>
    <x v="0"/>
    <x v="0"/>
    <x v="0"/>
    <x v="0"/>
    <x v="0"/>
    <x v="0"/>
    <x v="0"/>
    <x v="1"/>
    <x v="0"/>
    <x v="0"/>
    <x v="0"/>
    <x v="1"/>
    <x v="1"/>
    <x v="0"/>
    <x v="0"/>
    <x v="0"/>
    <x v="0"/>
  </r>
  <r>
    <s v="Rocco and His Brothers"/>
    <n v="174"/>
    <n v="90"/>
    <s v="Letterbox"/>
    <x v="12"/>
    <d v="1960-10-06T00:00:00"/>
    <x v="86"/>
    <x v="503"/>
    <x v="0"/>
    <x v="0"/>
    <x v="0"/>
    <x v="0"/>
    <x v="0"/>
    <x v="0"/>
    <x v="0"/>
    <x v="0"/>
    <x v="0"/>
    <x v="0"/>
    <x v="0"/>
    <x v="0"/>
    <x v="0"/>
    <x v="1"/>
    <x v="1"/>
    <x v="0"/>
    <x v="0"/>
    <x v="0"/>
    <x v="0"/>
  </r>
  <r>
    <s v="Raging Bull"/>
    <n v="175"/>
    <n v="89"/>
    <s v="Letterbox"/>
    <x v="6"/>
    <d v="1980-11-14T00:00:00"/>
    <x v="72"/>
    <x v="133"/>
    <x v="0"/>
    <x v="0"/>
    <x v="0"/>
    <x v="0"/>
    <x v="0"/>
    <x v="0"/>
    <x v="0"/>
    <x v="0"/>
    <x v="0"/>
    <x v="0"/>
    <x v="0"/>
    <x v="0"/>
    <x v="0"/>
    <x v="0"/>
    <x v="1"/>
    <x v="0"/>
    <x v="0"/>
    <x v="0"/>
    <x v="0"/>
  </r>
  <r>
    <s v="Django Unchained"/>
    <n v="176"/>
    <n v="88"/>
    <s v="Letterbox"/>
    <x v="81"/>
    <d v="2012-12-25T00:00:00"/>
    <x v="98"/>
    <x v="409"/>
    <x v="0"/>
    <x v="0"/>
    <x v="0"/>
    <x v="0"/>
    <x v="0"/>
    <x v="0"/>
    <x v="0"/>
    <x v="0"/>
    <x v="0"/>
    <x v="0"/>
    <x v="0"/>
    <x v="0"/>
    <x v="0"/>
    <x v="0"/>
    <x v="1"/>
    <x v="0"/>
    <x v="0"/>
    <x v="0"/>
    <x v="1"/>
  </r>
  <r>
    <s v="The Shining"/>
    <n v="177"/>
    <n v="87"/>
    <s v="Letterbox"/>
    <x v="85"/>
    <d v="1980-05-23T00:00:00"/>
    <x v="72"/>
    <x v="175"/>
    <x v="0"/>
    <x v="0"/>
    <x v="0"/>
    <x v="0"/>
    <x v="0"/>
    <x v="0"/>
    <x v="1"/>
    <x v="0"/>
    <x v="0"/>
    <x v="0"/>
    <x v="1"/>
    <x v="0"/>
    <x v="0"/>
    <x v="0"/>
    <x v="1"/>
    <x v="0"/>
    <x v="1"/>
    <x v="0"/>
    <x v="0"/>
  </r>
  <r>
    <s v="Le SamouraÃ¯"/>
    <n v="178"/>
    <n v="86"/>
    <s v="Letterbox"/>
    <x v="30"/>
    <d v="1967-10-25T00:00:00"/>
    <x v="6"/>
    <x v="281"/>
    <x v="0"/>
    <x v="0"/>
    <x v="0"/>
    <x v="0"/>
    <x v="1"/>
    <x v="0"/>
    <x v="1"/>
    <x v="0"/>
    <x v="0"/>
    <x v="0"/>
    <x v="0"/>
    <x v="0"/>
    <x v="0"/>
    <x v="0"/>
    <x v="1"/>
    <x v="0"/>
    <x v="1"/>
    <x v="0"/>
    <x v="0"/>
  </r>
  <r>
    <s v="The Grand Budapest Hotel"/>
    <n v="179"/>
    <n v="85"/>
    <s v="Letterbox"/>
    <x v="50"/>
    <d v="2014-02-26T00:00:00"/>
    <x v="59"/>
    <x v="504"/>
    <x v="0"/>
    <x v="0"/>
    <x v="0"/>
    <x v="1"/>
    <x v="0"/>
    <x v="0"/>
    <x v="0"/>
    <x v="0"/>
    <x v="0"/>
    <x v="0"/>
    <x v="0"/>
    <x v="0"/>
    <x v="0"/>
    <x v="0"/>
    <x v="1"/>
    <x v="0"/>
    <x v="0"/>
    <x v="0"/>
    <x v="0"/>
  </r>
  <r>
    <s v="Mulholland Drive"/>
    <n v="180"/>
    <n v="84"/>
    <s v="Letterbox"/>
    <x v="144"/>
    <d v="2001-06-06T00:00:00"/>
    <x v="16"/>
    <x v="337"/>
    <x v="0"/>
    <x v="0"/>
    <x v="0"/>
    <x v="0"/>
    <x v="0"/>
    <x v="0"/>
    <x v="0"/>
    <x v="0"/>
    <x v="0"/>
    <x v="0"/>
    <x v="0"/>
    <x v="0"/>
    <x v="1"/>
    <x v="0"/>
    <x v="1"/>
    <x v="0"/>
    <x v="1"/>
    <x v="0"/>
    <x v="0"/>
  </r>
  <r>
    <s v="Solaris"/>
    <n v="181"/>
    <n v="83"/>
    <s v="Letterbox"/>
    <x v="142"/>
    <d v="2002-11-27T00:00:00"/>
    <x v="15"/>
    <x v="505"/>
    <x v="0"/>
    <x v="0"/>
    <x v="0"/>
    <x v="0"/>
    <x v="0"/>
    <x v="0"/>
    <x v="0"/>
    <x v="0"/>
    <x v="0"/>
    <x v="0"/>
    <x v="0"/>
    <x v="0"/>
    <x v="1"/>
    <x v="0"/>
    <x v="0"/>
    <x v="0"/>
    <x v="0"/>
    <x v="0"/>
    <x v="0"/>
  </r>
  <r>
    <s v="Jeanne Dielman, 23, quai du Commerce, 1080 Bruxelles"/>
    <n v="182"/>
    <n v="82"/>
    <s v="Letterbox"/>
    <x v="6"/>
    <d v="1976-01-21T00:00:00"/>
    <x v="44"/>
    <x v="263"/>
    <x v="0"/>
    <x v="0"/>
    <x v="0"/>
    <x v="0"/>
    <x v="0"/>
    <x v="0"/>
    <x v="0"/>
    <x v="0"/>
    <x v="0"/>
    <x v="0"/>
    <x v="0"/>
    <x v="0"/>
    <x v="0"/>
    <x v="0"/>
    <x v="1"/>
    <x v="0"/>
    <x v="0"/>
    <x v="0"/>
    <x v="0"/>
  </r>
  <r>
    <s v="Aftersun"/>
    <n v="183"/>
    <n v="81"/>
    <s v="Letterbox"/>
    <x v="6"/>
    <d v="2022-10-21T00:00:00"/>
    <x v="97"/>
    <x v="506"/>
    <x v="0"/>
    <x v="0"/>
    <x v="0"/>
    <x v="0"/>
    <x v="0"/>
    <x v="0"/>
    <x v="0"/>
    <x v="0"/>
    <x v="0"/>
    <x v="0"/>
    <x v="0"/>
    <x v="0"/>
    <x v="0"/>
    <x v="0"/>
    <x v="1"/>
    <x v="0"/>
    <x v="0"/>
    <x v="0"/>
    <x v="0"/>
  </r>
  <r>
    <s v="Farewell My Concubine"/>
    <n v="184"/>
    <n v="80"/>
    <s v="Letterbox"/>
    <x v="6"/>
    <d v="1993-01-01T00:00:00"/>
    <x v="29"/>
    <x v="507"/>
    <x v="0"/>
    <x v="0"/>
    <x v="0"/>
    <x v="0"/>
    <x v="0"/>
    <x v="0"/>
    <x v="0"/>
    <x v="0"/>
    <x v="0"/>
    <x v="0"/>
    <x v="0"/>
    <x v="0"/>
    <x v="0"/>
    <x v="0"/>
    <x v="1"/>
    <x v="0"/>
    <x v="0"/>
    <x v="0"/>
    <x v="0"/>
  </r>
  <r>
    <s v="A Special Day"/>
    <n v="185"/>
    <n v="79"/>
    <s v="Letterbox"/>
    <x v="12"/>
    <d v="1977-08-11T00:00:00"/>
    <x v="3"/>
    <x v="508"/>
    <x v="0"/>
    <x v="0"/>
    <x v="0"/>
    <x v="0"/>
    <x v="0"/>
    <x v="0"/>
    <x v="0"/>
    <x v="0"/>
    <x v="0"/>
    <x v="0"/>
    <x v="0"/>
    <x v="0"/>
    <x v="0"/>
    <x v="1"/>
    <x v="1"/>
    <x v="0"/>
    <x v="0"/>
    <x v="0"/>
    <x v="0"/>
  </r>
  <r>
    <s v="La Notte"/>
    <n v="186"/>
    <n v="78"/>
    <s v="Letterbox"/>
    <x v="12"/>
    <d v="1961-01-24T00:00:00"/>
    <x v="60"/>
    <x v="509"/>
    <x v="0"/>
    <x v="0"/>
    <x v="0"/>
    <x v="0"/>
    <x v="0"/>
    <x v="0"/>
    <x v="0"/>
    <x v="0"/>
    <x v="0"/>
    <x v="0"/>
    <x v="0"/>
    <x v="0"/>
    <x v="0"/>
    <x v="1"/>
    <x v="1"/>
    <x v="0"/>
    <x v="0"/>
    <x v="0"/>
    <x v="0"/>
  </r>
  <r>
    <s v="Evangelion: 3.0+1.0 Thrice Upon a Time"/>
    <n v="187"/>
    <n v="77"/>
    <s v="Letterbox"/>
    <x v="214"/>
    <d v="2021-03-08T00:00:00"/>
    <x v="26"/>
    <x v="510"/>
    <x v="1"/>
    <x v="0"/>
    <x v="1"/>
    <x v="0"/>
    <x v="0"/>
    <x v="0"/>
    <x v="0"/>
    <x v="0"/>
    <x v="0"/>
    <x v="0"/>
    <x v="0"/>
    <x v="0"/>
    <x v="0"/>
    <x v="0"/>
    <x v="0"/>
    <x v="0"/>
    <x v="0"/>
    <x v="0"/>
    <x v="0"/>
  </r>
  <r>
    <s v="Nostalgia"/>
    <n v="188"/>
    <n v="76"/>
    <s v="Letterbox"/>
    <x v="51"/>
    <d v="2022-05-25T00:00:00"/>
    <x v="97"/>
    <x v="511"/>
    <x v="0"/>
    <x v="0"/>
    <x v="0"/>
    <x v="0"/>
    <x v="1"/>
    <x v="0"/>
    <x v="0"/>
    <x v="0"/>
    <x v="0"/>
    <x v="0"/>
    <x v="0"/>
    <x v="0"/>
    <x v="0"/>
    <x v="0"/>
    <x v="1"/>
    <x v="0"/>
    <x v="0"/>
    <x v="0"/>
    <x v="0"/>
  </r>
  <r>
    <s v="Eternal Sunshine of the Spotless Mind"/>
    <n v="189"/>
    <n v="75"/>
    <s v="Letterbox"/>
    <x v="104"/>
    <d v="2004-03-19T00:00:00"/>
    <x v="83"/>
    <x v="357"/>
    <x v="0"/>
    <x v="0"/>
    <x v="0"/>
    <x v="0"/>
    <x v="0"/>
    <x v="0"/>
    <x v="0"/>
    <x v="0"/>
    <x v="0"/>
    <x v="0"/>
    <x v="0"/>
    <x v="0"/>
    <x v="0"/>
    <x v="1"/>
    <x v="0"/>
    <x v="0"/>
    <x v="0"/>
    <x v="0"/>
    <x v="0"/>
  </r>
  <r>
    <s v="Ugetsu"/>
    <n v="190"/>
    <n v="74"/>
    <s v="Letterbox"/>
    <x v="68"/>
    <d v="1953-03-26T00:00:00"/>
    <x v="84"/>
    <x v="172"/>
    <x v="0"/>
    <x v="0"/>
    <x v="0"/>
    <x v="0"/>
    <x v="0"/>
    <x v="0"/>
    <x v="0"/>
    <x v="0"/>
    <x v="1"/>
    <x v="0"/>
    <x v="0"/>
    <x v="0"/>
    <x v="1"/>
    <x v="0"/>
    <x v="1"/>
    <x v="0"/>
    <x v="0"/>
    <x v="0"/>
    <x v="0"/>
  </r>
  <r>
    <s v="Vertigo"/>
    <n v="191"/>
    <n v="73"/>
    <s v="Letterbox"/>
    <x v="111"/>
    <d v="1958-05-28T00:00:00"/>
    <x v="78"/>
    <x v="262"/>
    <x v="0"/>
    <x v="0"/>
    <x v="0"/>
    <x v="0"/>
    <x v="0"/>
    <x v="0"/>
    <x v="1"/>
    <x v="0"/>
    <x v="0"/>
    <x v="0"/>
    <x v="0"/>
    <x v="0"/>
    <x v="1"/>
    <x v="1"/>
    <x v="1"/>
    <x v="0"/>
    <x v="1"/>
    <x v="0"/>
    <x v="0"/>
  </r>
  <r>
    <s v="Ace in the Hole"/>
    <n v="192"/>
    <n v="72"/>
    <s v="Letterbox"/>
    <x v="6"/>
    <d v="1951-06-29T00:00:00"/>
    <x v="102"/>
    <x v="512"/>
    <x v="0"/>
    <x v="0"/>
    <x v="0"/>
    <x v="0"/>
    <x v="0"/>
    <x v="0"/>
    <x v="0"/>
    <x v="0"/>
    <x v="0"/>
    <x v="0"/>
    <x v="0"/>
    <x v="0"/>
    <x v="0"/>
    <x v="0"/>
    <x v="1"/>
    <x v="0"/>
    <x v="0"/>
    <x v="0"/>
    <x v="0"/>
  </r>
  <r>
    <s v="The King of Comedy"/>
    <n v="193"/>
    <n v="71"/>
    <s v="Letterbox"/>
    <x v="79"/>
    <d v="1982-12-18T00:00:00"/>
    <x v="74"/>
    <x v="513"/>
    <x v="0"/>
    <x v="0"/>
    <x v="0"/>
    <x v="1"/>
    <x v="0"/>
    <x v="0"/>
    <x v="0"/>
    <x v="0"/>
    <x v="0"/>
    <x v="0"/>
    <x v="0"/>
    <x v="0"/>
    <x v="0"/>
    <x v="0"/>
    <x v="1"/>
    <x v="0"/>
    <x v="0"/>
    <x v="0"/>
    <x v="0"/>
  </r>
  <r>
    <s v="The Iron Giant"/>
    <n v="194"/>
    <n v="70"/>
    <s v="Letterbox"/>
    <x v="215"/>
    <d v="1999-08-06T00:00:00"/>
    <x v="54"/>
    <x v="514"/>
    <x v="0"/>
    <x v="0"/>
    <x v="1"/>
    <x v="0"/>
    <x v="0"/>
    <x v="0"/>
    <x v="0"/>
    <x v="1"/>
    <x v="0"/>
    <x v="0"/>
    <x v="0"/>
    <x v="0"/>
    <x v="0"/>
    <x v="0"/>
    <x v="0"/>
    <x v="0"/>
    <x v="0"/>
    <x v="0"/>
    <x v="0"/>
  </r>
  <r>
    <s v="Children of Paradise"/>
    <n v="195"/>
    <n v="69"/>
    <s v="Letterbox"/>
    <x v="12"/>
    <d v="1945-03-15T00:00:00"/>
    <x v="35"/>
    <x v="127"/>
    <x v="0"/>
    <x v="0"/>
    <x v="0"/>
    <x v="0"/>
    <x v="0"/>
    <x v="0"/>
    <x v="0"/>
    <x v="0"/>
    <x v="0"/>
    <x v="0"/>
    <x v="0"/>
    <x v="0"/>
    <x v="0"/>
    <x v="1"/>
    <x v="1"/>
    <x v="0"/>
    <x v="0"/>
    <x v="0"/>
    <x v="0"/>
  </r>
  <r>
    <s v="Rashomon"/>
    <n v="196"/>
    <n v="68"/>
    <s v="Letterbox"/>
    <x v="100"/>
    <d v="1950-08-26T00:00:00"/>
    <x v="34"/>
    <x v="222"/>
    <x v="0"/>
    <x v="0"/>
    <x v="0"/>
    <x v="0"/>
    <x v="1"/>
    <x v="0"/>
    <x v="0"/>
    <x v="0"/>
    <x v="0"/>
    <x v="0"/>
    <x v="0"/>
    <x v="0"/>
    <x v="1"/>
    <x v="0"/>
    <x v="1"/>
    <x v="0"/>
    <x v="0"/>
    <x v="0"/>
    <x v="0"/>
  </r>
  <r>
    <s v="Some Like It Hot"/>
    <n v="197"/>
    <n v="67"/>
    <s v="Letterbox"/>
    <x v="101"/>
    <d v="1959-03-19T00:00:00"/>
    <x v="56"/>
    <x v="226"/>
    <x v="0"/>
    <x v="0"/>
    <x v="0"/>
    <x v="1"/>
    <x v="1"/>
    <x v="0"/>
    <x v="1"/>
    <x v="0"/>
    <x v="0"/>
    <x v="0"/>
    <x v="0"/>
    <x v="0"/>
    <x v="0"/>
    <x v="1"/>
    <x v="1"/>
    <x v="0"/>
    <x v="0"/>
    <x v="0"/>
    <x v="0"/>
  </r>
  <r>
    <s v="Who's Afraid of Virginia Woolf?"/>
    <n v="198"/>
    <n v="66"/>
    <s v="Letterbox"/>
    <x v="6"/>
    <d v="1966-06-22T00:00:00"/>
    <x v="49"/>
    <x v="515"/>
    <x v="0"/>
    <x v="0"/>
    <x v="0"/>
    <x v="0"/>
    <x v="0"/>
    <x v="0"/>
    <x v="0"/>
    <x v="0"/>
    <x v="0"/>
    <x v="0"/>
    <x v="0"/>
    <x v="0"/>
    <x v="0"/>
    <x v="0"/>
    <x v="1"/>
    <x v="0"/>
    <x v="0"/>
    <x v="0"/>
    <x v="0"/>
  </r>
  <r>
    <s v="Rififi"/>
    <n v="199"/>
    <n v="65"/>
    <s v="Letterbox"/>
    <x v="121"/>
    <d v="1955-04-13T00:00:00"/>
    <x v="68"/>
    <x v="516"/>
    <x v="0"/>
    <x v="0"/>
    <x v="0"/>
    <x v="0"/>
    <x v="1"/>
    <x v="0"/>
    <x v="0"/>
    <x v="0"/>
    <x v="0"/>
    <x v="0"/>
    <x v="0"/>
    <x v="0"/>
    <x v="0"/>
    <x v="0"/>
    <x v="1"/>
    <x v="0"/>
    <x v="1"/>
    <x v="0"/>
    <x v="0"/>
  </r>
  <r>
    <s v="Fargo"/>
    <n v="200"/>
    <n v="64"/>
    <s v="Letterbox"/>
    <x v="106"/>
    <d v="1996-03-08T00:00:00"/>
    <x v="20"/>
    <x v="307"/>
    <x v="0"/>
    <x v="0"/>
    <x v="0"/>
    <x v="0"/>
    <x v="1"/>
    <x v="0"/>
    <x v="0"/>
    <x v="0"/>
    <x v="0"/>
    <x v="0"/>
    <x v="0"/>
    <x v="0"/>
    <x v="0"/>
    <x v="0"/>
    <x v="1"/>
    <x v="0"/>
    <x v="1"/>
    <x v="0"/>
    <x v="0"/>
  </r>
  <r>
    <s v="Killers of the Flower Moon"/>
    <n v="201"/>
    <n v="63"/>
    <s v="Letterbox"/>
    <x v="216"/>
    <d v="2023-10-18T00:00:00"/>
    <x v="23"/>
    <x v="517"/>
    <x v="0"/>
    <x v="0"/>
    <x v="0"/>
    <x v="0"/>
    <x v="1"/>
    <x v="0"/>
    <x v="0"/>
    <x v="0"/>
    <x v="0"/>
    <x v="1"/>
    <x v="0"/>
    <x v="0"/>
    <x v="0"/>
    <x v="0"/>
    <x v="1"/>
    <x v="0"/>
    <x v="0"/>
    <x v="0"/>
    <x v="0"/>
  </r>
  <r>
    <s v="Cure"/>
    <n v="202"/>
    <n v="62"/>
    <s v="Letterbox"/>
    <x v="217"/>
    <d v="2020-06-21T00:00:00"/>
    <x v="100"/>
    <x v="518"/>
    <x v="0"/>
    <x v="0"/>
    <x v="0"/>
    <x v="1"/>
    <x v="0"/>
    <x v="0"/>
    <x v="1"/>
    <x v="0"/>
    <x v="0"/>
    <x v="0"/>
    <x v="1"/>
    <x v="0"/>
    <x v="0"/>
    <x v="0"/>
    <x v="1"/>
    <x v="0"/>
    <x v="0"/>
    <x v="0"/>
    <x v="0"/>
  </r>
  <r>
    <s v="Eureka"/>
    <n v="203"/>
    <n v="61"/>
    <s v="Letterbox"/>
    <x v="6"/>
    <d v="1983-05-01T00:00:00"/>
    <x v="0"/>
    <x v="519"/>
    <x v="0"/>
    <x v="0"/>
    <x v="0"/>
    <x v="0"/>
    <x v="0"/>
    <x v="0"/>
    <x v="0"/>
    <x v="0"/>
    <x v="0"/>
    <x v="0"/>
    <x v="0"/>
    <x v="0"/>
    <x v="0"/>
    <x v="0"/>
    <x v="1"/>
    <x v="0"/>
    <x v="0"/>
    <x v="0"/>
    <x v="0"/>
  </r>
  <r>
    <s v="The Elephant Man"/>
    <n v="204"/>
    <n v="60"/>
    <s v="Letterbox"/>
    <x v="32"/>
    <d v="1980-10-09T00:00:00"/>
    <x v="72"/>
    <x v="520"/>
    <x v="0"/>
    <x v="0"/>
    <x v="0"/>
    <x v="0"/>
    <x v="0"/>
    <x v="0"/>
    <x v="0"/>
    <x v="0"/>
    <x v="0"/>
    <x v="1"/>
    <x v="0"/>
    <x v="0"/>
    <x v="0"/>
    <x v="0"/>
    <x v="1"/>
    <x v="0"/>
    <x v="0"/>
    <x v="0"/>
    <x v="0"/>
  </r>
  <r>
    <s v="Sweet Smell of Success"/>
    <n v="205"/>
    <n v="59"/>
    <s v="Letterbox"/>
    <x v="6"/>
    <d v="1957-07-04T00:00:00"/>
    <x v="52"/>
    <x v="521"/>
    <x v="0"/>
    <x v="0"/>
    <x v="0"/>
    <x v="0"/>
    <x v="0"/>
    <x v="0"/>
    <x v="0"/>
    <x v="0"/>
    <x v="0"/>
    <x v="0"/>
    <x v="0"/>
    <x v="0"/>
    <x v="0"/>
    <x v="0"/>
    <x v="1"/>
    <x v="0"/>
    <x v="0"/>
    <x v="0"/>
    <x v="0"/>
  </r>
  <r>
    <s v="Opening Night"/>
    <n v="206"/>
    <n v="58"/>
    <s v="Letterbox"/>
    <x v="39"/>
    <d v="2023-09-09T00:00:00"/>
    <x v="23"/>
    <x v="522"/>
    <x v="0"/>
    <x v="0"/>
    <x v="0"/>
    <x v="0"/>
    <x v="0"/>
    <x v="0"/>
    <x v="1"/>
    <x v="0"/>
    <x v="0"/>
    <x v="0"/>
    <x v="0"/>
    <x v="0"/>
    <x v="0"/>
    <x v="0"/>
    <x v="1"/>
    <x v="0"/>
    <x v="0"/>
    <x v="0"/>
    <x v="0"/>
  </r>
  <r>
    <s v="Marcel the Shell with Shoes On"/>
    <n v="207"/>
    <n v="57"/>
    <s v="Letterbox"/>
    <x v="218"/>
    <d v="2022-06-24T00:00:00"/>
    <x v="97"/>
    <x v="523"/>
    <x v="0"/>
    <x v="0"/>
    <x v="1"/>
    <x v="1"/>
    <x v="0"/>
    <x v="0"/>
    <x v="0"/>
    <x v="1"/>
    <x v="0"/>
    <x v="0"/>
    <x v="0"/>
    <x v="0"/>
    <x v="0"/>
    <x v="0"/>
    <x v="1"/>
    <x v="0"/>
    <x v="0"/>
    <x v="0"/>
    <x v="0"/>
  </r>
  <r>
    <s v="Saving Private Ryan"/>
    <n v="208"/>
    <n v="56"/>
    <s v="Letterbox"/>
    <x v="56"/>
    <d v="1998-07-24T00:00:00"/>
    <x v="28"/>
    <x v="315"/>
    <x v="0"/>
    <x v="0"/>
    <x v="0"/>
    <x v="0"/>
    <x v="0"/>
    <x v="0"/>
    <x v="0"/>
    <x v="0"/>
    <x v="0"/>
    <x v="1"/>
    <x v="0"/>
    <x v="0"/>
    <x v="0"/>
    <x v="0"/>
    <x v="1"/>
    <x v="0"/>
    <x v="0"/>
    <x v="1"/>
    <x v="0"/>
  </r>
  <r>
    <s v="Winter Light"/>
    <n v="209"/>
    <n v="55"/>
    <s v="Letterbox"/>
    <x v="6"/>
    <d v="1963-02-11T00:00:00"/>
    <x v="50"/>
    <x v="524"/>
    <x v="0"/>
    <x v="0"/>
    <x v="0"/>
    <x v="0"/>
    <x v="0"/>
    <x v="0"/>
    <x v="0"/>
    <x v="0"/>
    <x v="0"/>
    <x v="0"/>
    <x v="0"/>
    <x v="0"/>
    <x v="0"/>
    <x v="0"/>
    <x v="1"/>
    <x v="0"/>
    <x v="0"/>
    <x v="0"/>
    <x v="0"/>
  </r>
  <r>
    <s v="Dead Poets Society"/>
    <n v="210"/>
    <n v="54"/>
    <s v="Letterbox"/>
    <x v="6"/>
    <d v="1989-06-02T00:00:00"/>
    <x v="61"/>
    <x v="525"/>
    <x v="0"/>
    <x v="0"/>
    <x v="0"/>
    <x v="0"/>
    <x v="0"/>
    <x v="0"/>
    <x v="0"/>
    <x v="0"/>
    <x v="0"/>
    <x v="0"/>
    <x v="0"/>
    <x v="0"/>
    <x v="0"/>
    <x v="0"/>
    <x v="1"/>
    <x v="0"/>
    <x v="0"/>
    <x v="0"/>
    <x v="0"/>
  </r>
  <r>
    <s v="Underground"/>
    <n v="211"/>
    <n v="53"/>
    <s v="Letterbox"/>
    <x v="10"/>
    <d v="2011-01-01T00:00:00"/>
    <x v="38"/>
    <x v="526"/>
    <x v="0"/>
    <x v="0"/>
    <x v="0"/>
    <x v="0"/>
    <x v="0"/>
    <x v="0"/>
    <x v="1"/>
    <x v="0"/>
    <x v="0"/>
    <x v="0"/>
    <x v="1"/>
    <x v="0"/>
    <x v="0"/>
    <x v="0"/>
    <x v="1"/>
    <x v="0"/>
    <x v="0"/>
    <x v="0"/>
    <x v="0"/>
  </r>
  <r>
    <s v="The Tale of the Princess Kaguya"/>
    <n v="212"/>
    <n v="52"/>
    <s v="Letterbox"/>
    <x v="219"/>
    <d v="2013-11-23T00:00:00"/>
    <x v="63"/>
    <x v="527"/>
    <x v="0"/>
    <x v="0"/>
    <x v="1"/>
    <x v="0"/>
    <x v="0"/>
    <x v="0"/>
    <x v="0"/>
    <x v="0"/>
    <x v="1"/>
    <x v="0"/>
    <x v="0"/>
    <x v="0"/>
    <x v="0"/>
    <x v="0"/>
    <x v="1"/>
    <x v="0"/>
    <x v="0"/>
    <x v="0"/>
    <x v="0"/>
  </r>
  <r>
    <s v="The Cremator"/>
    <n v="213"/>
    <n v="51"/>
    <s v="Letterbox"/>
    <x v="39"/>
    <m/>
    <x v="45"/>
    <x v="528"/>
    <x v="0"/>
    <x v="0"/>
    <x v="0"/>
    <x v="0"/>
    <x v="0"/>
    <x v="0"/>
    <x v="1"/>
    <x v="0"/>
    <x v="0"/>
    <x v="0"/>
    <x v="0"/>
    <x v="0"/>
    <x v="0"/>
    <x v="0"/>
    <x v="1"/>
    <x v="0"/>
    <x v="0"/>
    <x v="0"/>
    <x v="0"/>
  </r>
  <r>
    <s v="Life, and Nothing More..."/>
    <n v="214"/>
    <n v="50"/>
    <s v="Letterbox"/>
    <x v="6"/>
    <d v="1992-10-21T00:00:00"/>
    <x v="18"/>
    <x v="529"/>
    <x v="0"/>
    <x v="0"/>
    <x v="0"/>
    <x v="0"/>
    <x v="0"/>
    <x v="0"/>
    <x v="0"/>
    <x v="0"/>
    <x v="0"/>
    <x v="0"/>
    <x v="0"/>
    <x v="0"/>
    <x v="0"/>
    <x v="0"/>
    <x v="1"/>
    <x v="0"/>
    <x v="0"/>
    <x v="0"/>
    <x v="0"/>
  </r>
  <r>
    <s v="The Man Who Shot Liberty Valance"/>
    <n v="215"/>
    <n v="49"/>
    <s v="Letterbox"/>
    <x v="43"/>
    <d v="1962-04-13T00:00:00"/>
    <x v="42"/>
    <x v="152"/>
    <x v="0"/>
    <x v="0"/>
    <x v="0"/>
    <x v="0"/>
    <x v="0"/>
    <x v="0"/>
    <x v="1"/>
    <x v="0"/>
    <x v="0"/>
    <x v="0"/>
    <x v="0"/>
    <x v="0"/>
    <x v="0"/>
    <x v="0"/>
    <x v="1"/>
    <x v="0"/>
    <x v="0"/>
    <x v="0"/>
    <x v="1"/>
  </r>
  <r>
    <s v="Umberto D."/>
    <n v="216"/>
    <n v="48"/>
    <s v="Letterbox"/>
    <x v="6"/>
    <d v="1952-01-20T00:00:00"/>
    <x v="22"/>
    <x v="530"/>
    <x v="0"/>
    <x v="0"/>
    <x v="0"/>
    <x v="0"/>
    <x v="0"/>
    <x v="0"/>
    <x v="0"/>
    <x v="0"/>
    <x v="0"/>
    <x v="0"/>
    <x v="0"/>
    <x v="0"/>
    <x v="0"/>
    <x v="0"/>
    <x v="1"/>
    <x v="0"/>
    <x v="0"/>
    <x v="0"/>
    <x v="0"/>
  </r>
  <r>
    <s v="Citizen Kane"/>
    <n v="217"/>
    <n v="47"/>
    <s v="Letterbox"/>
    <x v="46"/>
    <d v="1941-04-17T00:00:00"/>
    <x v="2"/>
    <x v="261"/>
    <x v="0"/>
    <x v="0"/>
    <x v="0"/>
    <x v="0"/>
    <x v="0"/>
    <x v="0"/>
    <x v="0"/>
    <x v="0"/>
    <x v="0"/>
    <x v="0"/>
    <x v="0"/>
    <x v="0"/>
    <x v="1"/>
    <x v="0"/>
    <x v="1"/>
    <x v="0"/>
    <x v="0"/>
    <x v="0"/>
    <x v="0"/>
  </r>
  <r>
    <s v="Magnolia"/>
    <n v="218"/>
    <n v="46"/>
    <s v="Letterbox"/>
    <x v="6"/>
    <d v="1999-12-10T00:00:00"/>
    <x v="54"/>
    <x v="79"/>
    <x v="0"/>
    <x v="0"/>
    <x v="0"/>
    <x v="0"/>
    <x v="0"/>
    <x v="0"/>
    <x v="0"/>
    <x v="0"/>
    <x v="0"/>
    <x v="0"/>
    <x v="0"/>
    <x v="0"/>
    <x v="0"/>
    <x v="0"/>
    <x v="1"/>
    <x v="0"/>
    <x v="0"/>
    <x v="0"/>
    <x v="0"/>
  </r>
  <r>
    <s v="Secrets &amp; Lies"/>
    <n v="219"/>
    <n v="45"/>
    <s v="Letterbox"/>
    <x v="6"/>
    <d v="1996-05-24T00:00:00"/>
    <x v="20"/>
    <x v="531"/>
    <x v="0"/>
    <x v="0"/>
    <x v="0"/>
    <x v="0"/>
    <x v="0"/>
    <x v="0"/>
    <x v="0"/>
    <x v="0"/>
    <x v="0"/>
    <x v="0"/>
    <x v="0"/>
    <x v="0"/>
    <x v="0"/>
    <x v="0"/>
    <x v="1"/>
    <x v="0"/>
    <x v="0"/>
    <x v="0"/>
    <x v="0"/>
  </r>
  <r>
    <s v="Boogie Nights"/>
    <n v="220"/>
    <n v="44"/>
    <s v="Letterbox"/>
    <x v="6"/>
    <d v="1997-10-07T00:00:00"/>
    <x v="17"/>
    <x v="293"/>
    <x v="0"/>
    <x v="0"/>
    <x v="0"/>
    <x v="0"/>
    <x v="0"/>
    <x v="0"/>
    <x v="0"/>
    <x v="0"/>
    <x v="0"/>
    <x v="0"/>
    <x v="0"/>
    <x v="0"/>
    <x v="0"/>
    <x v="0"/>
    <x v="1"/>
    <x v="0"/>
    <x v="0"/>
    <x v="0"/>
    <x v="0"/>
  </r>
  <r>
    <s v="Sorcerer"/>
    <n v="221"/>
    <n v="43"/>
    <s v="Letterbox"/>
    <x v="220"/>
    <d v="1977-06-24T00:00:00"/>
    <x v="3"/>
    <x v="532"/>
    <x v="0"/>
    <x v="1"/>
    <x v="0"/>
    <x v="0"/>
    <x v="0"/>
    <x v="0"/>
    <x v="0"/>
    <x v="0"/>
    <x v="0"/>
    <x v="0"/>
    <x v="0"/>
    <x v="0"/>
    <x v="0"/>
    <x v="0"/>
    <x v="1"/>
    <x v="0"/>
    <x v="1"/>
    <x v="0"/>
    <x v="0"/>
  </r>
  <r>
    <s v="The Bridge on the River Kwai"/>
    <n v="222"/>
    <n v="42"/>
    <s v="Letterbox"/>
    <x v="56"/>
    <d v="1957-10-11T00:00:00"/>
    <x v="52"/>
    <x v="420"/>
    <x v="0"/>
    <x v="0"/>
    <x v="0"/>
    <x v="0"/>
    <x v="0"/>
    <x v="0"/>
    <x v="0"/>
    <x v="0"/>
    <x v="0"/>
    <x v="1"/>
    <x v="0"/>
    <x v="0"/>
    <x v="0"/>
    <x v="0"/>
    <x v="1"/>
    <x v="0"/>
    <x v="0"/>
    <x v="1"/>
    <x v="0"/>
  </r>
  <r>
    <s v="The Prestige"/>
    <n v="223"/>
    <n v="41"/>
    <s v="Letterbox"/>
    <x v="221"/>
    <d v="2006-10-19T00:00:00"/>
    <x v="13"/>
    <x v="533"/>
    <x v="0"/>
    <x v="0"/>
    <x v="0"/>
    <x v="0"/>
    <x v="0"/>
    <x v="0"/>
    <x v="0"/>
    <x v="0"/>
    <x v="0"/>
    <x v="0"/>
    <x v="0"/>
    <x v="0"/>
    <x v="1"/>
    <x v="0"/>
    <x v="0"/>
    <x v="0"/>
    <x v="0"/>
    <x v="0"/>
    <x v="0"/>
  </r>
  <r>
    <s v="Happy Together"/>
    <n v="224"/>
    <n v="40"/>
    <s v="Letterbox"/>
    <x v="12"/>
    <d v="1997-05-30T00:00:00"/>
    <x v="17"/>
    <x v="35"/>
    <x v="0"/>
    <x v="0"/>
    <x v="0"/>
    <x v="0"/>
    <x v="0"/>
    <x v="0"/>
    <x v="0"/>
    <x v="0"/>
    <x v="0"/>
    <x v="0"/>
    <x v="0"/>
    <x v="0"/>
    <x v="0"/>
    <x v="1"/>
    <x v="1"/>
    <x v="0"/>
    <x v="0"/>
    <x v="0"/>
    <x v="0"/>
  </r>
  <r>
    <s v="Samurai Rebellion"/>
    <n v="225"/>
    <n v="39"/>
    <s v="Letterbox"/>
    <x v="222"/>
    <d v="1967-05-27T00:00:00"/>
    <x v="6"/>
    <x v="534"/>
    <x v="1"/>
    <x v="0"/>
    <x v="0"/>
    <x v="0"/>
    <x v="0"/>
    <x v="0"/>
    <x v="0"/>
    <x v="0"/>
    <x v="0"/>
    <x v="1"/>
    <x v="0"/>
    <x v="0"/>
    <x v="0"/>
    <x v="0"/>
    <x v="1"/>
    <x v="0"/>
    <x v="0"/>
    <x v="0"/>
    <x v="0"/>
  </r>
  <r>
    <s v="A Matter of Life and Death"/>
    <n v="226"/>
    <n v="38"/>
    <s v="Letterbox"/>
    <x v="87"/>
    <d v="1946-12-15T00:00:00"/>
    <x v="5"/>
    <x v="181"/>
    <x v="0"/>
    <x v="0"/>
    <x v="0"/>
    <x v="1"/>
    <x v="0"/>
    <x v="0"/>
    <x v="0"/>
    <x v="0"/>
    <x v="1"/>
    <x v="0"/>
    <x v="0"/>
    <x v="0"/>
    <x v="0"/>
    <x v="1"/>
    <x v="1"/>
    <x v="0"/>
    <x v="0"/>
    <x v="0"/>
    <x v="0"/>
  </r>
  <r>
    <s v="Mary and Max"/>
    <n v="227"/>
    <n v="37"/>
    <s v="Letterbox"/>
    <x v="223"/>
    <d v="2009-02-09T00:00:00"/>
    <x v="70"/>
    <x v="535"/>
    <x v="0"/>
    <x v="0"/>
    <x v="1"/>
    <x v="1"/>
    <x v="0"/>
    <x v="0"/>
    <x v="0"/>
    <x v="0"/>
    <x v="0"/>
    <x v="0"/>
    <x v="0"/>
    <x v="0"/>
    <x v="0"/>
    <x v="0"/>
    <x v="1"/>
    <x v="0"/>
    <x v="0"/>
    <x v="0"/>
    <x v="0"/>
  </r>
  <r>
    <s v="Millennium Actress"/>
    <n v="228"/>
    <n v="36"/>
    <s v="Letterbox"/>
    <x v="224"/>
    <d v="2002-09-14T00:00:00"/>
    <x v="15"/>
    <x v="536"/>
    <x v="0"/>
    <x v="0"/>
    <x v="1"/>
    <x v="0"/>
    <x v="0"/>
    <x v="0"/>
    <x v="0"/>
    <x v="0"/>
    <x v="0"/>
    <x v="0"/>
    <x v="0"/>
    <x v="0"/>
    <x v="0"/>
    <x v="1"/>
    <x v="1"/>
    <x v="0"/>
    <x v="0"/>
    <x v="0"/>
    <x v="0"/>
  </r>
  <r>
    <s v="Napoleon"/>
    <n v="229"/>
    <n v="35"/>
    <s v="Letterbox"/>
    <x v="16"/>
    <d v="2023-11-22T00:00:00"/>
    <x v="23"/>
    <x v="28"/>
    <x v="0"/>
    <x v="0"/>
    <x v="0"/>
    <x v="0"/>
    <x v="0"/>
    <x v="0"/>
    <x v="0"/>
    <x v="0"/>
    <x v="0"/>
    <x v="1"/>
    <x v="0"/>
    <x v="0"/>
    <x v="0"/>
    <x v="0"/>
    <x v="1"/>
    <x v="0"/>
    <x v="0"/>
    <x v="1"/>
    <x v="0"/>
  </r>
  <r>
    <s v="Ritual"/>
    <n v="230"/>
    <n v="34"/>
    <s v="Letterbox"/>
    <x v="10"/>
    <d v="2013-12-31T00:00:00"/>
    <x v="63"/>
    <x v="537"/>
    <x v="0"/>
    <x v="0"/>
    <x v="0"/>
    <x v="0"/>
    <x v="0"/>
    <x v="0"/>
    <x v="1"/>
    <x v="0"/>
    <x v="0"/>
    <x v="0"/>
    <x v="1"/>
    <x v="0"/>
    <x v="0"/>
    <x v="0"/>
    <x v="1"/>
    <x v="0"/>
    <x v="0"/>
    <x v="0"/>
    <x v="0"/>
  </r>
  <r>
    <s v="Make Way for Tomorrow"/>
    <n v="231"/>
    <n v="33"/>
    <s v="Letterbox"/>
    <x v="12"/>
    <d v="1937-05-09T00:00:00"/>
    <x v="65"/>
    <x v="538"/>
    <x v="0"/>
    <x v="0"/>
    <x v="0"/>
    <x v="0"/>
    <x v="0"/>
    <x v="0"/>
    <x v="0"/>
    <x v="0"/>
    <x v="0"/>
    <x v="0"/>
    <x v="0"/>
    <x v="0"/>
    <x v="0"/>
    <x v="1"/>
    <x v="1"/>
    <x v="0"/>
    <x v="0"/>
    <x v="0"/>
    <x v="0"/>
  </r>
  <r>
    <s v="The Disappearance of Haruhi Suzumiya"/>
    <n v="232"/>
    <n v="32"/>
    <s v="Letterbox"/>
    <x v="225"/>
    <d v="2010-02-05T00:00:00"/>
    <x v="12"/>
    <x v="539"/>
    <x v="0"/>
    <x v="0"/>
    <x v="1"/>
    <x v="1"/>
    <x v="0"/>
    <x v="0"/>
    <x v="0"/>
    <x v="0"/>
    <x v="0"/>
    <x v="0"/>
    <x v="0"/>
    <x v="0"/>
    <x v="1"/>
    <x v="0"/>
    <x v="0"/>
    <x v="0"/>
    <x v="0"/>
    <x v="0"/>
    <x v="0"/>
  </r>
  <r>
    <s v="4 Months, 3 Weeks and 2 Days"/>
    <n v="233"/>
    <n v="31"/>
    <s v="Letterbox"/>
    <x v="6"/>
    <d v="2007-08-24T00:00:00"/>
    <x v="4"/>
    <x v="540"/>
    <x v="0"/>
    <x v="0"/>
    <x v="0"/>
    <x v="0"/>
    <x v="0"/>
    <x v="0"/>
    <x v="0"/>
    <x v="0"/>
    <x v="0"/>
    <x v="0"/>
    <x v="0"/>
    <x v="0"/>
    <x v="0"/>
    <x v="0"/>
    <x v="1"/>
    <x v="0"/>
    <x v="0"/>
    <x v="0"/>
    <x v="0"/>
  </r>
  <r>
    <s v="The Lion King"/>
    <n v="234"/>
    <n v="30"/>
    <s v="Letterbox"/>
    <x v="170"/>
    <d v="2019-07-12T00:00:00"/>
    <x v="14"/>
    <x v="379"/>
    <x v="0"/>
    <x v="1"/>
    <x v="1"/>
    <x v="0"/>
    <x v="0"/>
    <x v="0"/>
    <x v="0"/>
    <x v="1"/>
    <x v="0"/>
    <x v="0"/>
    <x v="0"/>
    <x v="0"/>
    <x v="0"/>
    <x v="0"/>
    <x v="1"/>
    <x v="0"/>
    <x v="0"/>
    <x v="0"/>
    <x v="0"/>
  </r>
  <r>
    <s v="Your Name."/>
    <n v="235"/>
    <n v="29"/>
    <s v="Letterbox"/>
    <x v="226"/>
    <d v="2016-08-26T00:00:00"/>
    <x v="90"/>
    <x v="541"/>
    <x v="0"/>
    <x v="0"/>
    <x v="1"/>
    <x v="0"/>
    <x v="0"/>
    <x v="0"/>
    <x v="0"/>
    <x v="0"/>
    <x v="0"/>
    <x v="0"/>
    <x v="0"/>
    <x v="0"/>
    <x v="0"/>
    <x v="1"/>
    <x v="1"/>
    <x v="0"/>
    <x v="0"/>
    <x v="0"/>
    <x v="0"/>
  </r>
  <r>
    <s v="Amour"/>
    <n v="236"/>
    <n v="28"/>
    <s v="Letterbox"/>
    <x v="12"/>
    <d v="2012-09-20T00:00:00"/>
    <x v="98"/>
    <x v="542"/>
    <x v="0"/>
    <x v="0"/>
    <x v="0"/>
    <x v="0"/>
    <x v="0"/>
    <x v="0"/>
    <x v="0"/>
    <x v="0"/>
    <x v="0"/>
    <x v="0"/>
    <x v="0"/>
    <x v="0"/>
    <x v="0"/>
    <x v="1"/>
    <x v="1"/>
    <x v="0"/>
    <x v="0"/>
    <x v="0"/>
    <x v="0"/>
  </r>
  <r>
    <s v="Once Upon a Time in America"/>
    <n v="237"/>
    <n v="27"/>
    <s v="Letterbox"/>
    <x v="51"/>
    <d v="1984-05-23T00:00:00"/>
    <x v="39"/>
    <x v="101"/>
    <x v="0"/>
    <x v="0"/>
    <x v="0"/>
    <x v="0"/>
    <x v="1"/>
    <x v="0"/>
    <x v="0"/>
    <x v="0"/>
    <x v="0"/>
    <x v="0"/>
    <x v="0"/>
    <x v="0"/>
    <x v="0"/>
    <x v="0"/>
    <x v="1"/>
    <x v="0"/>
    <x v="0"/>
    <x v="0"/>
    <x v="0"/>
  </r>
  <r>
    <s v="Judgment at Nuremberg"/>
    <n v="238"/>
    <n v="26"/>
    <s v="Letterbox"/>
    <x v="6"/>
    <d v="1961-12-18T00:00:00"/>
    <x v="60"/>
    <x v="543"/>
    <x v="0"/>
    <x v="0"/>
    <x v="0"/>
    <x v="0"/>
    <x v="0"/>
    <x v="0"/>
    <x v="0"/>
    <x v="0"/>
    <x v="0"/>
    <x v="0"/>
    <x v="0"/>
    <x v="0"/>
    <x v="0"/>
    <x v="0"/>
    <x v="1"/>
    <x v="0"/>
    <x v="0"/>
    <x v="0"/>
    <x v="0"/>
  </r>
  <r>
    <s v="Moonlight"/>
    <n v="239"/>
    <n v="25"/>
    <s v="Letterbox"/>
    <x v="6"/>
    <d v="2016-10-21T00:00:00"/>
    <x v="90"/>
    <x v="204"/>
    <x v="0"/>
    <x v="0"/>
    <x v="0"/>
    <x v="0"/>
    <x v="0"/>
    <x v="0"/>
    <x v="0"/>
    <x v="0"/>
    <x v="0"/>
    <x v="0"/>
    <x v="0"/>
    <x v="0"/>
    <x v="0"/>
    <x v="0"/>
    <x v="1"/>
    <x v="0"/>
    <x v="0"/>
    <x v="0"/>
    <x v="0"/>
  </r>
  <r>
    <s v="An Autumn Afternoon"/>
    <n v="240"/>
    <n v="24"/>
    <s v="Letterbox"/>
    <x v="6"/>
    <d v="1962-11-18T00:00:00"/>
    <x v="42"/>
    <x v="73"/>
    <x v="0"/>
    <x v="0"/>
    <x v="0"/>
    <x v="0"/>
    <x v="0"/>
    <x v="0"/>
    <x v="0"/>
    <x v="0"/>
    <x v="0"/>
    <x v="0"/>
    <x v="0"/>
    <x v="0"/>
    <x v="0"/>
    <x v="0"/>
    <x v="1"/>
    <x v="0"/>
    <x v="0"/>
    <x v="0"/>
    <x v="0"/>
  </r>
  <r>
    <s v="Rosemary's Baby"/>
    <n v="241"/>
    <n v="23"/>
    <s v="Letterbox"/>
    <x v="129"/>
    <d v="1968-06-12T00:00:00"/>
    <x v="21"/>
    <x v="303"/>
    <x v="0"/>
    <x v="0"/>
    <x v="0"/>
    <x v="0"/>
    <x v="0"/>
    <x v="0"/>
    <x v="0"/>
    <x v="0"/>
    <x v="0"/>
    <x v="0"/>
    <x v="1"/>
    <x v="0"/>
    <x v="0"/>
    <x v="0"/>
    <x v="1"/>
    <x v="0"/>
    <x v="1"/>
    <x v="0"/>
    <x v="0"/>
  </r>
  <r>
    <s v="Back to the Future"/>
    <n v="242"/>
    <n v="22"/>
    <s v="Letterbox"/>
    <x v="165"/>
    <d v="1985-07-03T00:00:00"/>
    <x v="80"/>
    <x v="370"/>
    <x v="0"/>
    <x v="1"/>
    <x v="0"/>
    <x v="1"/>
    <x v="0"/>
    <x v="0"/>
    <x v="1"/>
    <x v="0"/>
    <x v="0"/>
    <x v="0"/>
    <x v="0"/>
    <x v="0"/>
    <x v="0"/>
    <x v="0"/>
    <x v="0"/>
    <x v="0"/>
    <x v="0"/>
    <x v="0"/>
    <x v="0"/>
  </r>
  <r>
    <s v="Fallen Angels"/>
    <n v="243"/>
    <n v="21"/>
    <s v="Letterbox"/>
    <x v="227"/>
    <d v="1995-09-06T00:00:00"/>
    <x v="96"/>
    <x v="544"/>
    <x v="1"/>
    <x v="0"/>
    <x v="0"/>
    <x v="0"/>
    <x v="1"/>
    <x v="0"/>
    <x v="1"/>
    <x v="0"/>
    <x v="0"/>
    <x v="0"/>
    <x v="0"/>
    <x v="0"/>
    <x v="0"/>
    <x v="1"/>
    <x v="1"/>
    <x v="0"/>
    <x v="0"/>
    <x v="0"/>
    <x v="0"/>
  </r>
  <r>
    <s v="The Truman Show"/>
    <n v="244"/>
    <n v="20"/>
    <s v="Letterbox"/>
    <x v="50"/>
    <d v="1998-06-04T00:00:00"/>
    <x v="28"/>
    <x v="545"/>
    <x v="0"/>
    <x v="0"/>
    <x v="0"/>
    <x v="1"/>
    <x v="0"/>
    <x v="0"/>
    <x v="0"/>
    <x v="0"/>
    <x v="0"/>
    <x v="0"/>
    <x v="0"/>
    <x v="0"/>
    <x v="0"/>
    <x v="0"/>
    <x v="1"/>
    <x v="0"/>
    <x v="0"/>
    <x v="0"/>
    <x v="0"/>
  </r>
  <r>
    <s v="The Big City"/>
    <n v="245"/>
    <n v="19"/>
    <s v="Letterbox"/>
    <x v="6"/>
    <d v="1963-09-27T00:00:00"/>
    <x v="50"/>
    <x v="546"/>
    <x v="0"/>
    <x v="0"/>
    <x v="0"/>
    <x v="0"/>
    <x v="0"/>
    <x v="0"/>
    <x v="0"/>
    <x v="0"/>
    <x v="0"/>
    <x v="0"/>
    <x v="0"/>
    <x v="0"/>
    <x v="0"/>
    <x v="0"/>
    <x v="1"/>
    <x v="0"/>
    <x v="0"/>
    <x v="0"/>
    <x v="0"/>
  </r>
  <r>
    <s v="Full Metal Jacket"/>
    <n v="246"/>
    <n v="18"/>
    <s v="Letterbox"/>
    <x v="22"/>
    <d v="1987-06-26T00:00:00"/>
    <x v="53"/>
    <x v="391"/>
    <x v="0"/>
    <x v="0"/>
    <x v="0"/>
    <x v="0"/>
    <x v="0"/>
    <x v="0"/>
    <x v="0"/>
    <x v="0"/>
    <x v="0"/>
    <x v="0"/>
    <x v="0"/>
    <x v="0"/>
    <x v="0"/>
    <x v="0"/>
    <x v="1"/>
    <x v="0"/>
    <x v="0"/>
    <x v="1"/>
    <x v="0"/>
  </r>
  <r>
    <s v="The Life and Death of Colonel Blimp"/>
    <n v="247"/>
    <n v="17"/>
    <s v="Letterbox"/>
    <x v="28"/>
    <d v="1943-07-26T00:00:00"/>
    <x v="41"/>
    <x v="54"/>
    <x v="0"/>
    <x v="0"/>
    <x v="0"/>
    <x v="1"/>
    <x v="0"/>
    <x v="0"/>
    <x v="0"/>
    <x v="0"/>
    <x v="0"/>
    <x v="0"/>
    <x v="0"/>
    <x v="0"/>
    <x v="0"/>
    <x v="1"/>
    <x v="1"/>
    <x v="0"/>
    <x v="0"/>
    <x v="1"/>
    <x v="0"/>
  </r>
  <r>
    <s v="Aparajito"/>
    <n v="248"/>
    <n v="16"/>
    <s v="Letterbox"/>
    <x v="6"/>
    <d v="1956-10-11T00:00:00"/>
    <x v="81"/>
    <x v="547"/>
    <x v="0"/>
    <x v="0"/>
    <x v="0"/>
    <x v="0"/>
    <x v="0"/>
    <x v="0"/>
    <x v="0"/>
    <x v="0"/>
    <x v="0"/>
    <x v="0"/>
    <x v="0"/>
    <x v="0"/>
    <x v="0"/>
    <x v="0"/>
    <x v="1"/>
    <x v="0"/>
    <x v="0"/>
    <x v="0"/>
    <x v="0"/>
  </r>
  <r>
    <s v="Dersu Uzala"/>
    <n v="249"/>
    <n v="15"/>
    <s v="Letterbox"/>
    <x v="228"/>
    <d v="1975-08-02T00:00:00"/>
    <x v="66"/>
    <x v="548"/>
    <x v="1"/>
    <x v="1"/>
    <x v="0"/>
    <x v="0"/>
    <x v="0"/>
    <x v="0"/>
    <x v="0"/>
    <x v="0"/>
    <x v="0"/>
    <x v="0"/>
    <x v="0"/>
    <x v="0"/>
    <x v="0"/>
    <x v="0"/>
    <x v="1"/>
    <x v="0"/>
    <x v="0"/>
    <x v="0"/>
    <x v="0"/>
  </r>
  <r>
    <s v="The Green Mile"/>
    <n v="250"/>
    <n v="14"/>
    <s v="Letterbox"/>
    <x v="172"/>
    <d v="1999-12-10T00:00:00"/>
    <x v="54"/>
    <x v="382"/>
    <x v="0"/>
    <x v="0"/>
    <x v="0"/>
    <x v="0"/>
    <x v="1"/>
    <x v="0"/>
    <x v="0"/>
    <x v="0"/>
    <x v="1"/>
    <x v="0"/>
    <x v="0"/>
    <x v="0"/>
    <x v="0"/>
    <x v="0"/>
    <x v="1"/>
    <x v="0"/>
    <x v="0"/>
    <x v="0"/>
    <x v="0"/>
  </r>
  <r>
    <s v="Kill Bill Volume 1"/>
    <n v="100"/>
    <n v="164"/>
    <s v="Rollingstone_AU"/>
    <x v="184"/>
    <d v="2003-10-10T00:00:00"/>
    <x v="79"/>
    <x v="408"/>
    <x v="1"/>
    <x v="0"/>
    <x v="0"/>
    <x v="0"/>
    <x v="1"/>
    <x v="0"/>
    <x v="1"/>
    <x v="0"/>
    <x v="0"/>
    <x v="0"/>
    <x v="0"/>
    <x v="0"/>
    <x v="0"/>
    <x v="0"/>
    <x v="1"/>
    <x v="0"/>
    <x v="0"/>
    <x v="0"/>
    <x v="0"/>
  </r>
  <r>
    <s v="Star Wars Episode III: Revenge of the Sith"/>
    <n v="99"/>
    <n v="165"/>
    <s v="Rollingstone_AU"/>
    <x v="15"/>
    <d v="2005-05-17T00:00:00"/>
    <x v="30"/>
    <x v="549"/>
    <x v="1"/>
    <x v="1"/>
    <x v="0"/>
    <x v="0"/>
    <x v="0"/>
    <x v="0"/>
    <x v="1"/>
    <x v="0"/>
    <x v="0"/>
    <x v="0"/>
    <x v="0"/>
    <x v="0"/>
    <x v="0"/>
    <x v="0"/>
    <x v="0"/>
    <x v="0"/>
    <x v="0"/>
    <x v="0"/>
    <x v="0"/>
  </r>
  <r>
    <s v="Moulin Rouge! "/>
    <n v="98"/>
    <n v="166"/>
    <s v="Rollingstone_AU"/>
    <x v="128"/>
    <d v="2001-05-24T00:00:00"/>
    <x v="16"/>
    <x v="301"/>
    <x v="0"/>
    <x v="0"/>
    <x v="0"/>
    <x v="0"/>
    <x v="0"/>
    <x v="0"/>
    <x v="0"/>
    <x v="0"/>
    <x v="0"/>
    <x v="0"/>
    <x v="0"/>
    <x v="1"/>
    <x v="0"/>
    <x v="1"/>
    <x v="1"/>
    <x v="0"/>
    <x v="0"/>
    <x v="0"/>
    <x v="0"/>
  </r>
  <r>
    <s v="Spider-Man: Far From Home"/>
    <n v="97"/>
    <n v="167"/>
    <s v="Rollingstone_AU"/>
    <x v="33"/>
    <d v="2019-06-28T00:00:00"/>
    <x v="14"/>
    <x v="550"/>
    <x v="1"/>
    <x v="1"/>
    <x v="0"/>
    <x v="0"/>
    <x v="0"/>
    <x v="0"/>
    <x v="1"/>
    <x v="0"/>
    <x v="0"/>
    <x v="0"/>
    <x v="0"/>
    <x v="0"/>
    <x v="0"/>
    <x v="0"/>
    <x v="0"/>
    <x v="0"/>
    <x v="0"/>
    <x v="0"/>
    <x v="0"/>
  </r>
  <r>
    <s v="The Fifth Element"/>
    <n v="96"/>
    <n v="168"/>
    <s v="Rollingstone_AU"/>
    <x v="229"/>
    <d v="1997-05-02T00:00:00"/>
    <x v="17"/>
    <x v="551"/>
    <x v="1"/>
    <x v="1"/>
    <x v="0"/>
    <x v="0"/>
    <x v="0"/>
    <x v="0"/>
    <x v="1"/>
    <x v="0"/>
    <x v="1"/>
    <x v="0"/>
    <x v="0"/>
    <x v="0"/>
    <x v="0"/>
    <x v="0"/>
    <x v="0"/>
    <x v="0"/>
    <x v="1"/>
    <x v="0"/>
    <x v="0"/>
  </r>
  <r>
    <s v="Vertigo"/>
    <n v="95"/>
    <n v="169"/>
    <s v="Rollingstone_AU"/>
    <x v="111"/>
    <d v="1958-05-28T00:00:00"/>
    <x v="78"/>
    <x v="262"/>
    <x v="0"/>
    <x v="0"/>
    <x v="0"/>
    <x v="0"/>
    <x v="0"/>
    <x v="0"/>
    <x v="1"/>
    <x v="0"/>
    <x v="0"/>
    <x v="0"/>
    <x v="0"/>
    <x v="0"/>
    <x v="1"/>
    <x v="1"/>
    <x v="1"/>
    <x v="0"/>
    <x v="1"/>
    <x v="0"/>
    <x v="0"/>
  </r>
  <r>
    <s v="Monty Python's Life of Brian"/>
    <n v="94"/>
    <n v="170"/>
    <s v="Rollingstone_AU"/>
    <x v="14"/>
    <d v="1979-08-17T00:00:00"/>
    <x v="67"/>
    <x v="552"/>
    <x v="0"/>
    <x v="0"/>
    <x v="0"/>
    <x v="1"/>
    <x v="0"/>
    <x v="0"/>
    <x v="1"/>
    <x v="0"/>
    <x v="0"/>
    <x v="0"/>
    <x v="0"/>
    <x v="0"/>
    <x v="0"/>
    <x v="0"/>
    <x v="1"/>
    <x v="0"/>
    <x v="0"/>
    <x v="0"/>
    <x v="0"/>
  </r>
  <r>
    <s v="There Will Be Blood"/>
    <n v="93"/>
    <n v="171"/>
    <s v="Rollingstone_AU"/>
    <x v="6"/>
    <d v="2007-12-26T00:00:00"/>
    <x v="4"/>
    <x v="142"/>
    <x v="0"/>
    <x v="0"/>
    <x v="0"/>
    <x v="0"/>
    <x v="0"/>
    <x v="0"/>
    <x v="0"/>
    <x v="0"/>
    <x v="0"/>
    <x v="0"/>
    <x v="0"/>
    <x v="0"/>
    <x v="0"/>
    <x v="0"/>
    <x v="1"/>
    <x v="0"/>
    <x v="0"/>
    <x v="0"/>
    <x v="0"/>
  </r>
  <r>
    <s v="Whiplash"/>
    <n v="92"/>
    <n v="172"/>
    <s v="Rollingstone_AU"/>
    <x v="11"/>
    <d v="2014-10-10T00:00:00"/>
    <x v="59"/>
    <x v="351"/>
    <x v="0"/>
    <x v="0"/>
    <x v="0"/>
    <x v="0"/>
    <x v="0"/>
    <x v="0"/>
    <x v="0"/>
    <x v="0"/>
    <x v="0"/>
    <x v="0"/>
    <x v="0"/>
    <x v="1"/>
    <x v="0"/>
    <x v="0"/>
    <x v="1"/>
    <x v="0"/>
    <x v="0"/>
    <x v="0"/>
    <x v="0"/>
  </r>
  <r>
    <s v="The Goonies"/>
    <n v="91"/>
    <n v="173"/>
    <s v="Rollingstone_AU"/>
    <x v="134"/>
    <d v="1985-06-07T00:00:00"/>
    <x v="80"/>
    <x v="553"/>
    <x v="0"/>
    <x v="1"/>
    <x v="0"/>
    <x v="1"/>
    <x v="0"/>
    <x v="0"/>
    <x v="1"/>
    <x v="1"/>
    <x v="0"/>
    <x v="0"/>
    <x v="0"/>
    <x v="0"/>
    <x v="0"/>
    <x v="0"/>
    <x v="1"/>
    <x v="0"/>
    <x v="0"/>
    <x v="0"/>
    <x v="0"/>
  </r>
  <r>
    <s v="Blade Runner 2049"/>
    <n v="90"/>
    <n v="174"/>
    <s v="Rollingstone_AU"/>
    <x v="151"/>
    <d v="2017-10-04T00:00:00"/>
    <x v="46"/>
    <x v="346"/>
    <x v="0"/>
    <x v="0"/>
    <x v="0"/>
    <x v="0"/>
    <x v="0"/>
    <x v="0"/>
    <x v="0"/>
    <x v="0"/>
    <x v="0"/>
    <x v="0"/>
    <x v="0"/>
    <x v="0"/>
    <x v="0"/>
    <x v="0"/>
    <x v="0"/>
    <x v="0"/>
    <x v="0"/>
    <x v="0"/>
    <x v="0"/>
  </r>
  <r>
    <s v="La La Land"/>
    <n v="89"/>
    <n v="175"/>
    <s v="Rollingstone_AU"/>
    <x v="230"/>
    <d v="2016-11-29T00:00:00"/>
    <x v="90"/>
    <x v="554"/>
    <x v="0"/>
    <x v="0"/>
    <x v="0"/>
    <x v="1"/>
    <x v="0"/>
    <x v="0"/>
    <x v="0"/>
    <x v="0"/>
    <x v="0"/>
    <x v="0"/>
    <x v="0"/>
    <x v="1"/>
    <x v="0"/>
    <x v="1"/>
    <x v="1"/>
    <x v="0"/>
    <x v="0"/>
    <x v="0"/>
    <x v="0"/>
  </r>
  <r>
    <s v="The Avengers"/>
    <n v="88"/>
    <n v="176"/>
    <s v="Rollingstone_AU"/>
    <x v="175"/>
    <d v="2012-04-25T00:00:00"/>
    <x v="98"/>
    <x v="387"/>
    <x v="1"/>
    <x v="1"/>
    <x v="0"/>
    <x v="0"/>
    <x v="0"/>
    <x v="0"/>
    <x v="1"/>
    <x v="0"/>
    <x v="0"/>
    <x v="0"/>
    <x v="0"/>
    <x v="0"/>
    <x v="0"/>
    <x v="0"/>
    <x v="0"/>
    <x v="0"/>
    <x v="0"/>
    <x v="0"/>
    <x v="0"/>
  </r>
  <r>
    <s v="No Country for Old Men"/>
    <n v="87"/>
    <n v="177"/>
    <s v="Rollingstone_AU"/>
    <x v="106"/>
    <d v="2007-06-13T00:00:00"/>
    <x v="4"/>
    <x v="325"/>
    <x v="0"/>
    <x v="0"/>
    <x v="0"/>
    <x v="0"/>
    <x v="1"/>
    <x v="0"/>
    <x v="0"/>
    <x v="0"/>
    <x v="0"/>
    <x v="0"/>
    <x v="0"/>
    <x v="0"/>
    <x v="0"/>
    <x v="0"/>
    <x v="1"/>
    <x v="0"/>
    <x v="1"/>
    <x v="0"/>
    <x v="0"/>
  </r>
  <r>
    <s v="Dead Poets Society"/>
    <n v="86"/>
    <n v="178"/>
    <s v="Rollingstone_AU"/>
    <x v="6"/>
    <d v="1989-06-02T00:00:00"/>
    <x v="61"/>
    <x v="525"/>
    <x v="0"/>
    <x v="0"/>
    <x v="0"/>
    <x v="0"/>
    <x v="0"/>
    <x v="0"/>
    <x v="0"/>
    <x v="0"/>
    <x v="0"/>
    <x v="0"/>
    <x v="0"/>
    <x v="0"/>
    <x v="0"/>
    <x v="0"/>
    <x v="1"/>
    <x v="0"/>
    <x v="0"/>
    <x v="0"/>
    <x v="0"/>
  </r>
  <r>
    <s v="Donny Darko"/>
    <n v="85"/>
    <n v="179"/>
    <s v="Rollingstone_AU"/>
    <x v="54"/>
    <s v="Error"/>
    <x v="64"/>
    <x v="111"/>
    <x v="0"/>
    <x v="0"/>
    <x v="0"/>
    <x v="0"/>
    <x v="0"/>
    <x v="0"/>
    <x v="1"/>
    <x v="0"/>
    <x v="0"/>
    <x v="0"/>
    <x v="0"/>
    <x v="0"/>
    <x v="0"/>
    <x v="0"/>
    <x v="1"/>
    <x v="0"/>
    <x v="0"/>
    <x v="0"/>
    <x v="0"/>
  </r>
  <r>
    <s v="Joker"/>
    <n v="84"/>
    <n v="180"/>
    <s v="Rollingstone_AU"/>
    <x v="121"/>
    <d v="2019-10-01T00:00:00"/>
    <x v="14"/>
    <x v="555"/>
    <x v="0"/>
    <x v="0"/>
    <x v="0"/>
    <x v="0"/>
    <x v="1"/>
    <x v="0"/>
    <x v="0"/>
    <x v="0"/>
    <x v="0"/>
    <x v="0"/>
    <x v="0"/>
    <x v="0"/>
    <x v="0"/>
    <x v="0"/>
    <x v="1"/>
    <x v="0"/>
    <x v="1"/>
    <x v="0"/>
    <x v="0"/>
  </r>
  <r>
    <s v="3 Godfathers"/>
    <n v="83"/>
    <n v="181"/>
    <s v="Rollingstone_AU"/>
    <x v="43"/>
    <d v="1948-12-31T00:00:00"/>
    <x v="57"/>
    <x v="556"/>
    <x v="0"/>
    <x v="0"/>
    <x v="0"/>
    <x v="0"/>
    <x v="0"/>
    <x v="0"/>
    <x v="1"/>
    <x v="0"/>
    <x v="0"/>
    <x v="0"/>
    <x v="0"/>
    <x v="0"/>
    <x v="0"/>
    <x v="0"/>
    <x v="1"/>
    <x v="0"/>
    <x v="0"/>
    <x v="0"/>
    <x v="1"/>
  </r>
  <r>
    <s v="The Terminator"/>
    <n v="82"/>
    <n v="182"/>
    <s v="Rollingstone_AU"/>
    <x v="138"/>
    <d v="1984-10-26T00:00:00"/>
    <x v="39"/>
    <x v="324"/>
    <x v="1"/>
    <x v="0"/>
    <x v="0"/>
    <x v="0"/>
    <x v="0"/>
    <x v="0"/>
    <x v="1"/>
    <x v="0"/>
    <x v="0"/>
    <x v="0"/>
    <x v="0"/>
    <x v="0"/>
    <x v="0"/>
    <x v="0"/>
    <x v="0"/>
    <x v="0"/>
    <x v="1"/>
    <x v="0"/>
    <x v="0"/>
  </r>
  <r>
    <s v="The Castle"/>
    <n v="81"/>
    <n v="183"/>
    <s v="Rollingstone_AU"/>
    <x v="79"/>
    <d v="1997-04-10T00:00:00"/>
    <x v="17"/>
    <x v="557"/>
    <x v="0"/>
    <x v="0"/>
    <x v="0"/>
    <x v="1"/>
    <x v="0"/>
    <x v="0"/>
    <x v="0"/>
    <x v="0"/>
    <x v="0"/>
    <x v="0"/>
    <x v="0"/>
    <x v="0"/>
    <x v="0"/>
    <x v="0"/>
    <x v="1"/>
    <x v="0"/>
    <x v="0"/>
    <x v="0"/>
    <x v="0"/>
  </r>
  <r>
    <s v="The Usual Suspects"/>
    <n v="80"/>
    <n v="184"/>
    <s v="Rollingstone_AU"/>
    <x v="140"/>
    <d v="1995-07-19T00:00:00"/>
    <x v="96"/>
    <x v="331"/>
    <x v="0"/>
    <x v="0"/>
    <x v="0"/>
    <x v="0"/>
    <x v="1"/>
    <x v="0"/>
    <x v="0"/>
    <x v="0"/>
    <x v="0"/>
    <x v="0"/>
    <x v="0"/>
    <x v="0"/>
    <x v="0"/>
    <x v="0"/>
    <x v="1"/>
    <x v="0"/>
    <x v="1"/>
    <x v="0"/>
    <x v="0"/>
  </r>
  <r>
    <s v="Rocketman"/>
    <n v="79"/>
    <n v="185"/>
    <s v="Rollingstone_AU"/>
    <x v="64"/>
    <d v="2019-05-17T00:00:00"/>
    <x v="14"/>
    <x v="558"/>
    <x v="0"/>
    <x v="0"/>
    <x v="0"/>
    <x v="0"/>
    <x v="0"/>
    <x v="0"/>
    <x v="0"/>
    <x v="0"/>
    <x v="0"/>
    <x v="1"/>
    <x v="0"/>
    <x v="1"/>
    <x v="0"/>
    <x v="0"/>
    <x v="1"/>
    <x v="0"/>
    <x v="0"/>
    <x v="0"/>
    <x v="0"/>
  </r>
  <r>
    <s v="The Lion King"/>
    <n v="78"/>
    <n v="186"/>
    <s v="Rollingstone_AU"/>
    <x v="170"/>
    <d v="2019-07-12T00:00:00"/>
    <x v="14"/>
    <x v="379"/>
    <x v="0"/>
    <x v="1"/>
    <x v="1"/>
    <x v="0"/>
    <x v="0"/>
    <x v="0"/>
    <x v="0"/>
    <x v="1"/>
    <x v="0"/>
    <x v="0"/>
    <x v="0"/>
    <x v="0"/>
    <x v="0"/>
    <x v="0"/>
    <x v="1"/>
    <x v="0"/>
    <x v="0"/>
    <x v="0"/>
    <x v="0"/>
  </r>
  <r>
    <s v="The Greatest Showman"/>
    <n v="77"/>
    <n v="187"/>
    <s v="Rollingstone_AU"/>
    <x v="6"/>
    <d v="2017-12-20T00:00:00"/>
    <x v="46"/>
    <x v="559"/>
    <x v="0"/>
    <x v="0"/>
    <x v="0"/>
    <x v="0"/>
    <x v="0"/>
    <x v="0"/>
    <x v="0"/>
    <x v="0"/>
    <x v="0"/>
    <x v="0"/>
    <x v="0"/>
    <x v="0"/>
    <x v="0"/>
    <x v="0"/>
    <x v="1"/>
    <x v="0"/>
    <x v="0"/>
    <x v="0"/>
    <x v="0"/>
  </r>
  <r>
    <s v="Toy Story"/>
    <n v="76"/>
    <n v="188"/>
    <s v="Rollingstone_AU"/>
    <x v="119"/>
    <d v="1995-10-30T00:00:00"/>
    <x v="96"/>
    <x v="279"/>
    <x v="0"/>
    <x v="1"/>
    <x v="1"/>
    <x v="1"/>
    <x v="0"/>
    <x v="0"/>
    <x v="1"/>
    <x v="1"/>
    <x v="0"/>
    <x v="0"/>
    <x v="0"/>
    <x v="0"/>
    <x v="0"/>
    <x v="0"/>
    <x v="1"/>
    <x v="0"/>
    <x v="0"/>
    <x v="0"/>
    <x v="0"/>
  </r>
  <r>
    <s v="Spirited Away"/>
    <n v="75"/>
    <n v="189"/>
    <s v="Rollingstone_AU"/>
    <x v="90"/>
    <d v="2001-07-20T00:00:00"/>
    <x v="16"/>
    <x v="187"/>
    <x v="0"/>
    <x v="0"/>
    <x v="1"/>
    <x v="0"/>
    <x v="0"/>
    <x v="0"/>
    <x v="1"/>
    <x v="1"/>
    <x v="1"/>
    <x v="0"/>
    <x v="0"/>
    <x v="0"/>
    <x v="0"/>
    <x v="0"/>
    <x v="1"/>
    <x v="0"/>
    <x v="0"/>
    <x v="0"/>
    <x v="0"/>
  </r>
  <r>
    <s v="Psycho"/>
    <n v="74"/>
    <n v="190"/>
    <s v="Rollingstone_AU"/>
    <x v="103"/>
    <d v="1960-06-22T00:00:00"/>
    <x v="86"/>
    <x v="232"/>
    <x v="0"/>
    <x v="0"/>
    <x v="0"/>
    <x v="0"/>
    <x v="0"/>
    <x v="0"/>
    <x v="0"/>
    <x v="0"/>
    <x v="0"/>
    <x v="0"/>
    <x v="1"/>
    <x v="0"/>
    <x v="0"/>
    <x v="0"/>
    <x v="1"/>
    <x v="0"/>
    <x v="1"/>
    <x v="0"/>
    <x v="0"/>
  </r>
  <r>
    <s v="The Rocky Horror Picture Show"/>
    <n v="73"/>
    <n v="191"/>
    <s v="Rollingstone_AU"/>
    <x v="231"/>
    <d v="1975-08-14T00:00:00"/>
    <x v="66"/>
    <x v="560"/>
    <x v="0"/>
    <x v="0"/>
    <x v="0"/>
    <x v="1"/>
    <x v="0"/>
    <x v="0"/>
    <x v="1"/>
    <x v="0"/>
    <x v="1"/>
    <x v="0"/>
    <x v="1"/>
    <x v="0"/>
    <x v="0"/>
    <x v="0"/>
    <x v="0"/>
    <x v="0"/>
    <x v="0"/>
    <x v="0"/>
    <x v="0"/>
  </r>
  <r>
    <s v="Mad Max: Fury Road"/>
    <n v="72"/>
    <n v="192"/>
    <s v="Rollingstone_AU"/>
    <x v="33"/>
    <d v="2015-05-13T00:00:00"/>
    <x v="47"/>
    <x v="64"/>
    <x v="1"/>
    <x v="1"/>
    <x v="0"/>
    <x v="0"/>
    <x v="0"/>
    <x v="0"/>
    <x v="1"/>
    <x v="0"/>
    <x v="0"/>
    <x v="0"/>
    <x v="0"/>
    <x v="0"/>
    <x v="0"/>
    <x v="0"/>
    <x v="0"/>
    <x v="0"/>
    <x v="0"/>
    <x v="0"/>
    <x v="0"/>
  </r>
  <r>
    <s v="Frozen"/>
    <n v="71"/>
    <n v="193"/>
    <s v="Rollingstone_AU"/>
    <x v="232"/>
    <d v="2013-11-20T00:00:00"/>
    <x v="63"/>
    <x v="561"/>
    <x v="0"/>
    <x v="1"/>
    <x v="1"/>
    <x v="0"/>
    <x v="0"/>
    <x v="0"/>
    <x v="1"/>
    <x v="1"/>
    <x v="1"/>
    <x v="0"/>
    <x v="0"/>
    <x v="0"/>
    <x v="0"/>
    <x v="0"/>
    <x v="1"/>
    <x v="0"/>
    <x v="0"/>
    <x v="0"/>
    <x v="0"/>
  </r>
  <r>
    <s v="Mad Max"/>
    <n v="70"/>
    <n v="194"/>
    <s v="Rollingstone_AU"/>
    <x v="233"/>
    <d v="1979-04-12T00:00:00"/>
    <x v="67"/>
    <x v="562"/>
    <x v="1"/>
    <x v="1"/>
    <x v="0"/>
    <x v="0"/>
    <x v="0"/>
    <x v="0"/>
    <x v="1"/>
    <x v="0"/>
    <x v="0"/>
    <x v="0"/>
    <x v="0"/>
    <x v="0"/>
    <x v="0"/>
    <x v="0"/>
    <x v="0"/>
    <x v="0"/>
    <x v="1"/>
    <x v="0"/>
    <x v="0"/>
  </r>
  <r>
    <s v="Eternal Sunshine of the Spotless Mind"/>
    <n v="69"/>
    <n v="195"/>
    <s v="Rollingstone_AU"/>
    <x v="104"/>
    <d v="2004-03-19T00:00:00"/>
    <x v="83"/>
    <x v="357"/>
    <x v="0"/>
    <x v="0"/>
    <x v="0"/>
    <x v="0"/>
    <x v="0"/>
    <x v="0"/>
    <x v="0"/>
    <x v="0"/>
    <x v="0"/>
    <x v="0"/>
    <x v="0"/>
    <x v="0"/>
    <x v="0"/>
    <x v="1"/>
    <x v="0"/>
    <x v="0"/>
    <x v="0"/>
    <x v="0"/>
    <x v="0"/>
  </r>
  <r>
    <s v="Indiana Jones &amp; the Last Crusade"/>
    <n v="68"/>
    <n v="196"/>
    <s v="Rollingstone_AU"/>
    <x v="26"/>
    <d v="1989-05-24T00:00:00"/>
    <x v="61"/>
    <x v="360"/>
    <x v="1"/>
    <x v="1"/>
    <x v="0"/>
    <x v="0"/>
    <x v="0"/>
    <x v="0"/>
    <x v="1"/>
    <x v="0"/>
    <x v="0"/>
    <x v="0"/>
    <x v="0"/>
    <x v="0"/>
    <x v="0"/>
    <x v="0"/>
    <x v="1"/>
    <x v="0"/>
    <x v="0"/>
    <x v="0"/>
    <x v="0"/>
  </r>
  <r>
    <s v="Ghost"/>
    <n v="67"/>
    <n v="197"/>
    <s v="Rollingstone_AU"/>
    <x v="234"/>
    <d v="1990-07-13T00:00:00"/>
    <x v="89"/>
    <x v="563"/>
    <x v="0"/>
    <x v="0"/>
    <x v="0"/>
    <x v="0"/>
    <x v="0"/>
    <x v="0"/>
    <x v="0"/>
    <x v="0"/>
    <x v="1"/>
    <x v="0"/>
    <x v="0"/>
    <x v="0"/>
    <x v="1"/>
    <x v="1"/>
    <x v="1"/>
    <x v="0"/>
    <x v="1"/>
    <x v="0"/>
    <x v="0"/>
  </r>
  <r>
    <s v="Good Will Hunting"/>
    <n v="66"/>
    <n v="198"/>
    <s v="Rollingstone_AU"/>
    <x v="6"/>
    <d v="1997-12-05T00:00:00"/>
    <x v="17"/>
    <x v="430"/>
    <x v="0"/>
    <x v="0"/>
    <x v="0"/>
    <x v="0"/>
    <x v="0"/>
    <x v="0"/>
    <x v="0"/>
    <x v="0"/>
    <x v="0"/>
    <x v="0"/>
    <x v="0"/>
    <x v="0"/>
    <x v="0"/>
    <x v="0"/>
    <x v="1"/>
    <x v="0"/>
    <x v="0"/>
    <x v="0"/>
    <x v="0"/>
  </r>
  <r>
    <s v="The Lord of the Rings: Two Towers"/>
    <n v="65"/>
    <n v="199"/>
    <s v="Rollingstone_AU"/>
    <x v="157"/>
    <d v="2002-12-18T00:00:00"/>
    <x v="15"/>
    <x v="358"/>
    <x v="1"/>
    <x v="1"/>
    <x v="0"/>
    <x v="0"/>
    <x v="0"/>
    <x v="0"/>
    <x v="1"/>
    <x v="0"/>
    <x v="1"/>
    <x v="0"/>
    <x v="0"/>
    <x v="0"/>
    <x v="0"/>
    <x v="0"/>
    <x v="1"/>
    <x v="0"/>
    <x v="0"/>
    <x v="0"/>
    <x v="0"/>
  </r>
  <r>
    <s v="Stand By Me"/>
    <n v="64"/>
    <n v="200"/>
    <s v="Rollingstone_AU"/>
    <x v="182"/>
    <d v="2014-08-08T00:00:00"/>
    <x v="59"/>
    <x v="400"/>
    <x v="0"/>
    <x v="0"/>
    <x v="1"/>
    <x v="0"/>
    <x v="0"/>
    <x v="0"/>
    <x v="1"/>
    <x v="1"/>
    <x v="1"/>
    <x v="0"/>
    <x v="0"/>
    <x v="0"/>
    <x v="0"/>
    <x v="0"/>
    <x v="0"/>
    <x v="0"/>
    <x v="0"/>
    <x v="0"/>
    <x v="0"/>
  </r>
  <r>
    <s v="Hunt for the Wilderpeople"/>
    <n v="63"/>
    <n v="201"/>
    <s v="Rollingstone_AU"/>
    <x v="235"/>
    <d v="2016-03-31T00:00:00"/>
    <x v="90"/>
    <x v="564"/>
    <x v="0"/>
    <x v="1"/>
    <x v="0"/>
    <x v="1"/>
    <x v="0"/>
    <x v="0"/>
    <x v="0"/>
    <x v="0"/>
    <x v="0"/>
    <x v="0"/>
    <x v="0"/>
    <x v="0"/>
    <x v="0"/>
    <x v="0"/>
    <x v="1"/>
    <x v="0"/>
    <x v="0"/>
    <x v="0"/>
    <x v="0"/>
  </r>
  <r>
    <s v="The Breakfast Club"/>
    <n v="62"/>
    <n v="202"/>
    <s v="Rollingstone_AU"/>
    <x v="50"/>
    <d v="1985-02-15T00:00:00"/>
    <x v="80"/>
    <x v="403"/>
    <x v="0"/>
    <x v="0"/>
    <x v="0"/>
    <x v="1"/>
    <x v="0"/>
    <x v="0"/>
    <x v="0"/>
    <x v="0"/>
    <x v="0"/>
    <x v="0"/>
    <x v="0"/>
    <x v="0"/>
    <x v="0"/>
    <x v="0"/>
    <x v="1"/>
    <x v="0"/>
    <x v="0"/>
    <x v="0"/>
    <x v="0"/>
  </r>
  <r>
    <s v="The Notebook"/>
    <n v="61"/>
    <n v="203"/>
    <s v="Rollingstone_AU"/>
    <x v="29"/>
    <d v="2004-06-25T00:00:00"/>
    <x v="83"/>
    <x v="565"/>
    <x v="0"/>
    <x v="0"/>
    <x v="0"/>
    <x v="0"/>
    <x v="0"/>
    <x v="0"/>
    <x v="0"/>
    <x v="0"/>
    <x v="0"/>
    <x v="0"/>
    <x v="0"/>
    <x v="0"/>
    <x v="0"/>
    <x v="1"/>
    <x v="1"/>
    <x v="0"/>
    <x v="0"/>
    <x v="0"/>
    <x v="0"/>
  </r>
  <r>
    <s v="Rocky"/>
    <n v="60"/>
    <n v="204"/>
    <s v="Rollingstone_AU"/>
    <x v="12"/>
    <d v="1976-11-21T00:00:00"/>
    <x v="44"/>
    <x v="405"/>
    <x v="0"/>
    <x v="0"/>
    <x v="0"/>
    <x v="0"/>
    <x v="0"/>
    <x v="0"/>
    <x v="0"/>
    <x v="0"/>
    <x v="0"/>
    <x v="0"/>
    <x v="0"/>
    <x v="0"/>
    <x v="0"/>
    <x v="1"/>
    <x v="1"/>
    <x v="0"/>
    <x v="0"/>
    <x v="0"/>
    <x v="0"/>
  </r>
  <r>
    <s v="Ferris Bueller's Day Off"/>
    <n v="59"/>
    <n v="205"/>
    <s v="Rollingstone_AU"/>
    <x v="14"/>
    <d v="1986-06-11T00:00:00"/>
    <x v="31"/>
    <x v="411"/>
    <x v="0"/>
    <x v="0"/>
    <x v="0"/>
    <x v="1"/>
    <x v="0"/>
    <x v="0"/>
    <x v="1"/>
    <x v="0"/>
    <x v="0"/>
    <x v="0"/>
    <x v="0"/>
    <x v="0"/>
    <x v="0"/>
    <x v="0"/>
    <x v="1"/>
    <x v="0"/>
    <x v="0"/>
    <x v="0"/>
    <x v="0"/>
  </r>
  <r>
    <s v="Taxi Driver"/>
    <n v="58"/>
    <n v="206"/>
    <s v="Rollingstone_AU"/>
    <x v="48"/>
    <d v="1976-02-09T00:00:00"/>
    <x v="44"/>
    <x v="235"/>
    <x v="0"/>
    <x v="0"/>
    <x v="0"/>
    <x v="0"/>
    <x v="1"/>
    <x v="0"/>
    <x v="0"/>
    <x v="0"/>
    <x v="0"/>
    <x v="0"/>
    <x v="0"/>
    <x v="0"/>
    <x v="0"/>
    <x v="0"/>
    <x v="1"/>
    <x v="0"/>
    <x v="0"/>
    <x v="0"/>
    <x v="0"/>
  </r>
  <r>
    <s v="Ben Hur"/>
    <n v="57"/>
    <n v="207"/>
    <s v="Rollingstone_AU"/>
    <x v="236"/>
    <d v="1959-11-18T00:00:00"/>
    <x v="56"/>
    <x v="566"/>
    <x v="1"/>
    <x v="1"/>
    <x v="0"/>
    <x v="0"/>
    <x v="0"/>
    <x v="0"/>
    <x v="0"/>
    <x v="0"/>
    <x v="0"/>
    <x v="1"/>
    <x v="0"/>
    <x v="0"/>
    <x v="0"/>
    <x v="0"/>
    <x v="1"/>
    <x v="0"/>
    <x v="0"/>
    <x v="0"/>
    <x v="0"/>
  </r>
  <r>
    <s v="Avengers: Infinity War"/>
    <n v="56"/>
    <n v="208"/>
    <s v="Rollingstone_AU"/>
    <x v="15"/>
    <d v="2018-04-25T00:00:00"/>
    <x v="51"/>
    <x v="371"/>
    <x v="1"/>
    <x v="1"/>
    <x v="0"/>
    <x v="0"/>
    <x v="0"/>
    <x v="0"/>
    <x v="1"/>
    <x v="0"/>
    <x v="0"/>
    <x v="0"/>
    <x v="0"/>
    <x v="0"/>
    <x v="0"/>
    <x v="0"/>
    <x v="0"/>
    <x v="0"/>
    <x v="0"/>
    <x v="0"/>
    <x v="0"/>
  </r>
  <r>
    <s v="To Kill a Mockingbird"/>
    <n v="55"/>
    <n v="209"/>
    <s v="Rollingstone_AU"/>
    <x v="6"/>
    <d v="1962-12-20T00:00:00"/>
    <x v="42"/>
    <x v="395"/>
    <x v="0"/>
    <x v="0"/>
    <x v="0"/>
    <x v="0"/>
    <x v="0"/>
    <x v="0"/>
    <x v="0"/>
    <x v="0"/>
    <x v="0"/>
    <x v="0"/>
    <x v="0"/>
    <x v="0"/>
    <x v="0"/>
    <x v="0"/>
    <x v="1"/>
    <x v="0"/>
    <x v="0"/>
    <x v="0"/>
    <x v="0"/>
  </r>
  <r>
    <s v="Lawrence of Arabia"/>
    <n v="54"/>
    <n v="210"/>
    <s v="Rollingstone_AU"/>
    <x v="65"/>
    <d v="1962-12-11T00:00:00"/>
    <x v="42"/>
    <x v="131"/>
    <x v="0"/>
    <x v="1"/>
    <x v="0"/>
    <x v="0"/>
    <x v="0"/>
    <x v="0"/>
    <x v="0"/>
    <x v="0"/>
    <x v="0"/>
    <x v="1"/>
    <x v="0"/>
    <x v="0"/>
    <x v="0"/>
    <x v="0"/>
    <x v="1"/>
    <x v="0"/>
    <x v="0"/>
    <x v="1"/>
    <x v="0"/>
  </r>
  <r>
    <s v="The Shining"/>
    <n v="53"/>
    <n v="211"/>
    <s v="Rollingstone_AU"/>
    <x v="85"/>
    <d v="1980-05-23T00:00:00"/>
    <x v="72"/>
    <x v="175"/>
    <x v="0"/>
    <x v="0"/>
    <x v="0"/>
    <x v="0"/>
    <x v="0"/>
    <x v="0"/>
    <x v="1"/>
    <x v="0"/>
    <x v="0"/>
    <x v="0"/>
    <x v="1"/>
    <x v="0"/>
    <x v="0"/>
    <x v="0"/>
    <x v="1"/>
    <x v="0"/>
    <x v="1"/>
    <x v="0"/>
    <x v="0"/>
  </r>
  <r>
    <s v="Braveheart"/>
    <n v="52"/>
    <n v="212"/>
    <s v="Rollingstone_AU"/>
    <x v="168"/>
    <d v="1995-05-24T00:00:00"/>
    <x v="96"/>
    <x v="376"/>
    <x v="1"/>
    <x v="0"/>
    <x v="0"/>
    <x v="0"/>
    <x v="0"/>
    <x v="0"/>
    <x v="0"/>
    <x v="0"/>
    <x v="0"/>
    <x v="1"/>
    <x v="0"/>
    <x v="0"/>
    <x v="0"/>
    <x v="0"/>
    <x v="1"/>
    <x v="0"/>
    <x v="0"/>
    <x v="1"/>
    <x v="0"/>
  </r>
  <r>
    <s v="The Blues Brothers"/>
    <n v="51"/>
    <n v="213"/>
    <s v="Rollingstone_AU"/>
    <x v="237"/>
    <d v="1980-06-16T00:00:00"/>
    <x v="72"/>
    <x v="567"/>
    <x v="1"/>
    <x v="0"/>
    <x v="0"/>
    <x v="1"/>
    <x v="1"/>
    <x v="0"/>
    <x v="1"/>
    <x v="0"/>
    <x v="0"/>
    <x v="0"/>
    <x v="0"/>
    <x v="1"/>
    <x v="0"/>
    <x v="0"/>
    <x v="1"/>
    <x v="0"/>
    <x v="0"/>
    <x v="0"/>
    <x v="0"/>
  </r>
  <r>
    <s v="Silence of the Lambs"/>
    <n v="50"/>
    <n v="214"/>
    <s v="Rollingstone_AU"/>
    <x v="106"/>
    <d v="1991-02-14T00:00:00"/>
    <x v="85"/>
    <x v="309"/>
    <x v="0"/>
    <x v="0"/>
    <x v="0"/>
    <x v="0"/>
    <x v="1"/>
    <x v="0"/>
    <x v="0"/>
    <x v="0"/>
    <x v="0"/>
    <x v="0"/>
    <x v="0"/>
    <x v="0"/>
    <x v="0"/>
    <x v="0"/>
    <x v="1"/>
    <x v="0"/>
    <x v="1"/>
    <x v="0"/>
    <x v="0"/>
  </r>
  <r>
    <s v="One Flew Over the Cuckoo's Nest"/>
    <n v="49"/>
    <n v="215"/>
    <s v="Rollingstone_AU"/>
    <x v="6"/>
    <d v="1975-11-19T00:00:00"/>
    <x v="66"/>
    <x v="341"/>
    <x v="0"/>
    <x v="0"/>
    <x v="0"/>
    <x v="0"/>
    <x v="0"/>
    <x v="0"/>
    <x v="0"/>
    <x v="0"/>
    <x v="0"/>
    <x v="0"/>
    <x v="0"/>
    <x v="0"/>
    <x v="0"/>
    <x v="0"/>
    <x v="1"/>
    <x v="0"/>
    <x v="0"/>
    <x v="0"/>
    <x v="0"/>
  </r>
  <r>
    <n v="1917"/>
    <n v="48"/>
    <n v="216"/>
    <s v="Rollingstone_AU"/>
    <x v="112"/>
    <d v="2019-12-25T00:00:00"/>
    <x v="14"/>
    <x v="568"/>
    <x v="1"/>
    <x v="0"/>
    <x v="0"/>
    <x v="0"/>
    <x v="0"/>
    <x v="0"/>
    <x v="0"/>
    <x v="0"/>
    <x v="0"/>
    <x v="0"/>
    <x v="0"/>
    <x v="0"/>
    <x v="0"/>
    <x v="0"/>
    <x v="1"/>
    <x v="0"/>
    <x v="0"/>
    <x v="1"/>
    <x v="0"/>
  </r>
  <r>
    <s v="Ghostbusters"/>
    <n v="47"/>
    <n v="217"/>
    <s v="Rollingstone_AU"/>
    <x v="188"/>
    <d v="2016-07-14T00:00:00"/>
    <x v="90"/>
    <x v="419"/>
    <x v="1"/>
    <x v="0"/>
    <x v="0"/>
    <x v="1"/>
    <x v="0"/>
    <x v="0"/>
    <x v="1"/>
    <x v="0"/>
    <x v="1"/>
    <x v="0"/>
    <x v="0"/>
    <x v="0"/>
    <x v="0"/>
    <x v="0"/>
    <x v="1"/>
    <x v="0"/>
    <x v="0"/>
    <x v="0"/>
    <x v="0"/>
  </r>
  <r>
    <s v="The Wizard of Oz"/>
    <n v="46"/>
    <n v="218"/>
    <s v="Rollingstone_AU"/>
    <x v="78"/>
    <d v="1939-08-15T00:00:00"/>
    <x v="75"/>
    <x v="155"/>
    <x v="0"/>
    <x v="1"/>
    <x v="0"/>
    <x v="0"/>
    <x v="0"/>
    <x v="0"/>
    <x v="1"/>
    <x v="1"/>
    <x v="1"/>
    <x v="0"/>
    <x v="0"/>
    <x v="0"/>
    <x v="0"/>
    <x v="0"/>
    <x v="1"/>
    <x v="0"/>
    <x v="0"/>
    <x v="0"/>
    <x v="0"/>
  </r>
  <r>
    <s v="Aliens"/>
    <n v="45"/>
    <n v="219"/>
    <s v="Rollingstone_AU"/>
    <x v="138"/>
    <d v="1986-07-18T00:00:00"/>
    <x v="31"/>
    <x v="389"/>
    <x v="1"/>
    <x v="0"/>
    <x v="0"/>
    <x v="0"/>
    <x v="0"/>
    <x v="0"/>
    <x v="1"/>
    <x v="0"/>
    <x v="0"/>
    <x v="0"/>
    <x v="0"/>
    <x v="0"/>
    <x v="0"/>
    <x v="0"/>
    <x v="0"/>
    <x v="0"/>
    <x v="1"/>
    <x v="0"/>
    <x v="0"/>
  </r>
  <r>
    <s v="Pretty Woman"/>
    <n v="44"/>
    <n v="220"/>
    <s v="Rollingstone_AU"/>
    <x v="67"/>
    <d v="1990-03-23T00:00:00"/>
    <x v="89"/>
    <x v="569"/>
    <x v="0"/>
    <x v="0"/>
    <x v="0"/>
    <x v="1"/>
    <x v="0"/>
    <x v="0"/>
    <x v="1"/>
    <x v="0"/>
    <x v="0"/>
    <x v="0"/>
    <x v="0"/>
    <x v="0"/>
    <x v="0"/>
    <x v="1"/>
    <x v="1"/>
    <x v="0"/>
    <x v="0"/>
    <x v="0"/>
    <x v="0"/>
  </r>
  <r>
    <s v="Interstellar"/>
    <n v="43"/>
    <n v="221"/>
    <s v="Rollingstone_AU"/>
    <x v="158"/>
    <d v="2014-11-05T00:00:00"/>
    <x v="59"/>
    <x v="359"/>
    <x v="0"/>
    <x v="1"/>
    <x v="0"/>
    <x v="0"/>
    <x v="0"/>
    <x v="0"/>
    <x v="0"/>
    <x v="0"/>
    <x v="0"/>
    <x v="0"/>
    <x v="0"/>
    <x v="0"/>
    <x v="0"/>
    <x v="0"/>
    <x v="0"/>
    <x v="0"/>
    <x v="0"/>
    <x v="0"/>
    <x v="0"/>
  </r>
  <r>
    <s v="Top Gun"/>
    <n v="42"/>
    <n v="222"/>
    <s v="Rollingstone_AU"/>
    <x v="130"/>
    <d v="1986-05-16T00:00:00"/>
    <x v="31"/>
    <x v="570"/>
    <x v="1"/>
    <x v="0"/>
    <x v="0"/>
    <x v="0"/>
    <x v="0"/>
    <x v="0"/>
    <x v="0"/>
    <x v="0"/>
    <x v="0"/>
    <x v="0"/>
    <x v="0"/>
    <x v="0"/>
    <x v="0"/>
    <x v="1"/>
    <x v="1"/>
    <x v="0"/>
    <x v="0"/>
    <x v="0"/>
    <x v="0"/>
  </r>
  <r>
    <s v="Die Hard"/>
    <n v="41"/>
    <n v="223"/>
    <s v="Rollingstone_AU"/>
    <x v="159"/>
    <d v="1988-07-15T00:00:00"/>
    <x v="11"/>
    <x v="377"/>
    <x v="1"/>
    <x v="0"/>
    <x v="0"/>
    <x v="0"/>
    <x v="0"/>
    <x v="0"/>
    <x v="1"/>
    <x v="0"/>
    <x v="0"/>
    <x v="0"/>
    <x v="0"/>
    <x v="0"/>
    <x v="0"/>
    <x v="0"/>
    <x v="1"/>
    <x v="0"/>
    <x v="1"/>
    <x v="0"/>
    <x v="0"/>
  </r>
  <r>
    <s v="Gladiator"/>
    <n v="40"/>
    <n v="224"/>
    <s v="Rollingstone_AU"/>
    <x v="167"/>
    <d v="2000-05-04T00:00:00"/>
    <x v="27"/>
    <x v="375"/>
    <x v="1"/>
    <x v="1"/>
    <x v="0"/>
    <x v="0"/>
    <x v="0"/>
    <x v="0"/>
    <x v="0"/>
    <x v="0"/>
    <x v="0"/>
    <x v="0"/>
    <x v="0"/>
    <x v="0"/>
    <x v="0"/>
    <x v="0"/>
    <x v="1"/>
    <x v="0"/>
    <x v="0"/>
    <x v="0"/>
    <x v="0"/>
  </r>
  <r>
    <s v="Schindler's List"/>
    <n v="39"/>
    <n v="225"/>
    <s v="Rollingstone_AU"/>
    <x v="56"/>
    <d v="1993-12-15T00:00:00"/>
    <x v="29"/>
    <x v="353"/>
    <x v="0"/>
    <x v="0"/>
    <x v="0"/>
    <x v="0"/>
    <x v="0"/>
    <x v="0"/>
    <x v="0"/>
    <x v="0"/>
    <x v="0"/>
    <x v="1"/>
    <x v="0"/>
    <x v="0"/>
    <x v="0"/>
    <x v="0"/>
    <x v="1"/>
    <x v="0"/>
    <x v="0"/>
    <x v="1"/>
    <x v="0"/>
  </r>
  <r>
    <s v="The Godfather Part 2"/>
    <n v="38"/>
    <n v="226"/>
    <s v="Rollingstone_AU"/>
    <x v="51"/>
    <d v="1974-12-20T00:00:00"/>
    <x v="25"/>
    <x v="157"/>
    <x v="0"/>
    <x v="0"/>
    <x v="0"/>
    <x v="0"/>
    <x v="1"/>
    <x v="0"/>
    <x v="0"/>
    <x v="0"/>
    <x v="0"/>
    <x v="0"/>
    <x v="0"/>
    <x v="0"/>
    <x v="0"/>
    <x v="0"/>
    <x v="1"/>
    <x v="0"/>
    <x v="0"/>
    <x v="0"/>
    <x v="0"/>
  </r>
  <r>
    <s v="Citizen Kane"/>
    <n v="37"/>
    <n v="227"/>
    <s v="Rollingstone_AU"/>
    <x v="46"/>
    <d v="1941-04-17T00:00:00"/>
    <x v="2"/>
    <x v="261"/>
    <x v="0"/>
    <x v="0"/>
    <x v="0"/>
    <x v="0"/>
    <x v="0"/>
    <x v="0"/>
    <x v="0"/>
    <x v="0"/>
    <x v="0"/>
    <x v="0"/>
    <x v="0"/>
    <x v="0"/>
    <x v="1"/>
    <x v="0"/>
    <x v="1"/>
    <x v="0"/>
    <x v="0"/>
    <x v="0"/>
    <x v="0"/>
  </r>
  <r>
    <s v="Apocalypse Now"/>
    <n v="36"/>
    <n v="228"/>
    <s v="Rollingstone_AU"/>
    <x v="22"/>
    <d v="1979-08-15T00:00:00"/>
    <x v="67"/>
    <x v="245"/>
    <x v="0"/>
    <x v="0"/>
    <x v="0"/>
    <x v="0"/>
    <x v="0"/>
    <x v="0"/>
    <x v="0"/>
    <x v="0"/>
    <x v="0"/>
    <x v="0"/>
    <x v="0"/>
    <x v="0"/>
    <x v="0"/>
    <x v="0"/>
    <x v="1"/>
    <x v="0"/>
    <x v="0"/>
    <x v="1"/>
    <x v="0"/>
  </r>
  <r>
    <s v="The Princess Bride"/>
    <n v="35"/>
    <n v="229"/>
    <s v="Rollingstone_AU"/>
    <x v="177"/>
    <d v="1987-09-25T00:00:00"/>
    <x v="53"/>
    <x v="390"/>
    <x v="0"/>
    <x v="1"/>
    <x v="0"/>
    <x v="1"/>
    <x v="0"/>
    <x v="0"/>
    <x v="1"/>
    <x v="1"/>
    <x v="1"/>
    <x v="0"/>
    <x v="0"/>
    <x v="0"/>
    <x v="0"/>
    <x v="1"/>
    <x v="1"/>
    <x v="0"/>
    <x v="0"/>
    <x v="0"/>
    <x v="0"/>
  </r>
  <r>
    <s v="Alien"/>
    <n v="34"/>
    <n v="230"/>
    <s v="Rollingstone_AU"/>
    <x v="57"/>
    <d v="1979-05-25T00:00:00"/>
    <x v="67"/>
    <x v="116"/>
    <x v="0"/>
    <x v="0"/>
    <x v="0"/>
    <x v="0"/>
    <x v="0"/>
    <x v="0"/>
    <x v="1"/>
    <x v="0"/>
    <x v="0"/>
    <x v="0"/>
    <x v="1"/>
    <x v="0"/>
    <x v="0"/>
    <x v="0"/>
    <x v="0"/>
    <x v="0"/>
    <x v="0"/>
    <x v="0"/>
    <x v="0"/>
  </r>
  <r>
    <s v="Fight Club"/>
    <n v="33"/>
    <n v="231"/>
    <s v="Rollingstone_AU"/>
    <x v="6"/>
    <d v="1999-10-15T00:00:00"/>
    <x v="54"/>
    <x v="363"/>
    <x v="0"/>
    <x v="0"/>
    <x v="0"/>
    <x v="0"/>
    <x v="0"/>
    <x v="0"/>
    <x v="0"/>
    <x v="0"/>
    <x v="0"/>
    <x v="0"/>
    <x v="0"/>
    <x v="0"/>
    <x v="0"/>
    <x v="0"/>
    <x v="1"/>
    <x v="0"/>
    <x v="0"/>
    <x v="0"/>
    <x v="0"/>
  </r>
  <r>
    <s v="Saving Private Ryan"/>
    <n v="32"/>
    <n v="232"/>
    <s v="Rollingstone_AU"/>
    <x v="56"/>
    <d v="1998-07-24T00:00:00"/>
    <x v="28"/>
    <x v="315"/>
    <x v="0"/>
    <x v="0"/>
    <x v="0"/>
    <x v="0"/>
    <x v="0"/>
    <x v="0"/>
    <x v="0"/>
    <x v="0"/>
    <x v="0"/>
    <x v="1"/>
    <x v="0"/>
    <x v="0"/>
    <x v="0"/>
    <x v="0"/>
    <x v="1"/>
    <x v="0"/>
    <x v="0"/>
    <x v="1"/>
    <x v="0"/>
  </r>
  <r>
    <s v="Terminator 2: Judgement Day"/>
    <n v="31"/>
    <n v="233"/>
    <s v="Rollingstone_AU"/>
    <x v="138"/>
    <d v="1991-07-03T00:00:00"/>
    <x v="85"/>
    <x v="364"/>
    <x v="1"/>
    <x v="0"/>
    <x v="0"/>
    <x v="0"/>
    <x v="0"/>
    <x v="0"/>
    <x v="1"/>
    <x v="0"/>
    <x v="0"/>
    <x v="0"/>
    <x v="0"/>
    <x v="0"/>
    <x v="0"/>
    <x v="0"/>
    <x v="0"/>
    <x v="0"/>
    <x v="1"/>
    <x v="0"/>
    <x v="0"/>
  </r>
  <r>
    <s v="Grease"/>
    <n v="30"/>
    <n v="234"/>
    <s v="Rollingstone_AU"/>
    <x v="238"/>
    <d v="1978-07-07T00:00:00"/>
    <x v="36"/>
    <x v="571"/>
    <x v="0"/>
    <x v="0"/>
    <x v="0"/>
    <x v="1"/>
    <x v="0"/>
    <x v="0"/>
    <x v="1"/>
    <x v="0"/>
    <x v="0"/>
    <x v="0"/>
    <x v="0"/>
    <x v="0"/>
    <x v="0"/>
    <x v="1"/>
    <x v="1"/>
    <x v="0"/>
    <x v="0"/>
    <x v="0"/>
    <x v="0"/>
  </r>
  <r>
    <s v="2001: A Space Odyssey"/>
    <n v="29"/>
    <n v="235"/>
    <s v="Rollingstone_AU"/>
    <x v="110"/>
    <d v="1968-04-02T00:00:00"/>
    <x v="21"/>
    <x v="258"/>
    <x v="0"/>
    <x v="1"/>
    <x v="0"/>
    <x v="0"/>
    <x v="0"/>
    <x v="0"/>
    <x v="1"/>
    <x v="0"/>
    <x v="0"/>
    <x v="0"/>
    <x v="0"/>
    <x v="0"/>
    <x v="1"/>
    <x v="0"/>
    <x v="0"/>
    <x v="0"/>
    <x v="0"/>
    <x v="0"/>
    <x v="0"/>
  </r>
  <r>
    <s v="The Matrix"/>
    <n v="28"/>
    <n v="236"/>
    <s v="Rollingstone_AU"/>
    <x v="72"/>
    <d v="1999-03-30T00:00:00"/>
    <x v="54"/>
    <x v="141"/>
    <x v="1"/>
    <x v="0"/>
    <x v="0"/>
    <x v="0"/>
    <x v="0"/>
    <x v="0"/>
    <x v="1"/>
    <x v="0"/>
    <x v="0"/>
    <x v="0"/>
    <x v="0"/>
    <x v="0"/>
    <x v="0"/>
    <x v="0"/>
    <x v="0"/>
    <x v="0"/>
    <x v="0"/>
    <x v="0"/>
    <x v="0"/>
  </r>
  <r>
    <s v="The Green Mile"/>
    <n v="27"/>
    <n v="237"/>
    <s v="Rollingstone_AU"/>
    <x v="172"/>
    <d v="1999-12-10T00:00:00"/>
    <x v="54"/>
    <x v="382"/>
    <x v="0"/>
    <x v="0"/>
    <x v="0"/>
    <x v="0"/>
    <x v="1"/>
    <x v="0"/>
    <x v="0"/>
    <x v="0"/>
    <x v="1"/>
    <x v="0"/>
    <x v="0"/>
    <x v="0"/>
    <x v="0"/>
    <x v="0"/>
    <x v="1"/>
    <x v="0"/>
    <x v="0"/>
    <x v="0"/>
    <x v="0"/>
  </r>
  <r>
    <s v="Jurassic Park"/>
    <n v="26"/>
    <n v="238"/>
    <s v="Rollingstone_AU"/>
    <x v="164"/>
    <d v="1993-06-11T00:00:00"/>
    <x v="29"/>
    <x v="369"/>
    <x v="0"/>
    <x v="1"/>
    <x v="0"/>
    <x v="0"/>
    <x v="0"/>
    <x v="0"/>
    <x v="1"/>
    <x v="0"/>
    <x v="0"/>
    <x v="0"/>
    <x v="0"/>
    <x v="0"/>
    <x v="0"/>
    <x v="0"/>
    <x v="0"/>
    <x v="0"/>
    <x v="0"/>
    <x v="0"/>
    <x v="0"/>
  </r>
  <r>
    <s v="Lord of the Rings: The Fellowship of the Ring"/>
    <n v="25"/>
    <n v="239"/>
    <s v="Rollingstone_AU"/>
    <x v="157"/>
    <d v="2001-12-18T00:00:00"/>
    <x v="16"/>
    <x v="374"/>
    <x v="1"/>
    <x v="1"/>
    <x v="0"/>
    <x v="0"/>
    <x v="0"/>
    <x v="0"/>
    <x v="1"/>
    <x v="0"/>
    <x v="1"/>
    <x v="0"/>
    <x v="0"/>
    <x v="0"/>
    <x v="0"/>
    <x v="0"/>
    <x v="1"/>
    <x v="0"/>
    <x v="0"/>
    <x v="0"/>
    <x v="0"/>
  </r>
  <r>
    <s v="Parasite"/>
    <n v="24"/>
    <n v="240"/>
    <s v="Rollingstone_AU"/>
    <x v="57"/>
    <d v="1982-03-12T00:00:00"/>
    <x v="74"/>
    <x v="170"/>
    <x v="0"/>
    <x v="0"/>
    <x v="0"/>
    <x v="0"/>
    <x v="0"/>
    <x v="0"/>
    <x v="1"/>
    <x v="0"/>
    <x v="0"/>
    <x v="0"/>
    <x v="1"/>
    <x v="0"/>
    <x v="0"/>
    <x v="0"/>
    <x v="0"/>
    <x v="0"/>
    <x v="0"/>
    <x v="0"/>
    <x v="0"/>
  </r>
  <r>
    <s v="E.T. the Extra-Terrestrial"/>
    <n v="23"/>
    <n v="241"/>
    <s v="Rollingstone_AU"/>
    <x v="113"/>
    <d v="1982-06-11T00:00:00"/>
    <x v="74"/>
    <x v="265"/>
    <x v="0"/>
    <x v="1"/>
    <x v="0"/>
    <x v="0"/>
    <x v="0"/>
    <x v="0"/>
    <x v="1"/>
    <x v="1"/>
    <x v="1"/>
    <x v="0"/>
    <x v="0"/>
    <x v="0"/>
    <x v="0"/>
    <x v="0"/>
    <x v="0"/>
    <x v="0"/>
    <x v="0"/>
    <x v="0"/>
    <x v="0"/>
  </r>
  <r>
    <s v="Inception"/>
    <n v="22"/>
    <n v="242"/>
    <s v="Rollingstone_AU"/>
    <x v="162"/>
    <d v="2010-07-15T00:00:00"/>
    <x v="12"/>
    <x v="367"/>
    <x v="1"/>
    <x v="1"/>
    <x v="0"/>
    <x v="0"/>
    <x v="0"/>
    <x v="0"/>
    <x v="1"/>
    <x v="0"/>
    <x v="0"/>
    <x v="0"/>
    <x v="0"/>
    <x v="0"/>
    <x v="0"/>
    <x v="0"/>
    <x v="0"/>
    <x v="0"/>
    <x v="0"/>
    <x v="0"/>
    <x v="0"/>
  </r>
  <r>
    <s v="Avatar"/>
    <n v="21"/>
    <n v="243"/>
    <s v="Rollingstone_AU"/>
    <x v="180"/>
    <d v="2009-12-15T00:00:00"/>
    <x v="70"/>
    <x v="398"/>
    <x v="1"/>
    <x v="1"/>
    <x v="0"/>
    <x v="0"/>
    <x v="0"/>
    <x v="0"/>
    <x v="1"/>
    <x v="0"/>
    <x v="1"/>
    <x v="0"/>
    <x v="0"/>
    <x v="0"/>
    <x v="0"/>
    <x v="0"/>
    <x v="0"/>
    <x v="0"/>
    <x v="0"/>
    <x v="0"/>
    <x v="0"/>
  </r>
  <r>
    <s v="The Lord of the Rings: The Return of the King"/>
    <n v="20"/>
    <n v="244"/>
    <s v="Rollingstone_AU"/>
    <x v="157"/>
    <d v="2003-12-01T00:00:00"/>
    <x v="79"/>
    <x v="361"/>
    <x v="1"/>
    <x v="1"/>
    <x v="0"/>
    <x v="0"/>
    <x v="0"/>
    <x v="0"/>
    <x v="1"/>
    <x v="0"/>
    <x v="1"/>
    <x v="0"/>
    <x v="0"/>
    <x v="0"/>
    <x v="0"/>
    <x v="0"/>
    <x v="1"/>
    <x v="0"/>
    <x v="0"/>
    <x v="0"/>
    <x v="0"/>
  </r>
  <r>
    <s v="Blade Runner"/>
    <n v="19"/>
    <n v="245"/>
    <s v="Rollingstone_AU"/>
    <x v="96"/>
    <d v="1982-06-25T00:00:00"/>
    <x v="74"/>
    <x v="210"/>
    <x v="0"/>
    <x v="0"/>
    <x v="0"/>
    <x v="0"/>
    <x v="0"/>
    <x v="0"/>
    <x v="0"/>
    <x v="0"/>
    <x v="0"/>
    <x v="0"/>
    <x v="0"/>
    <x v="0"/>
    <x v="0"/>
    <x v="0"/>
    <x v="0"/>
    <x v="0"/>
    <x v="1"/>
    <x v="0"/>
    <x v="0"/>
  </r>
  <r>
    <s v="Goodfellas"/>
    <n v="18"/>
    <n v="246"/>
    <s v="Rollingstone_AU"/>
    <x v="51"/>
    <d v="1990-09-12T00:00:00"/>
    <x v="89"/>
    <x v="200"/>
    <x v="0"/>
    <x v="0"/>
    <x v="0"/>
    <x v="0"/>
    <x v="1"/>
    <x v="0"/>
    <x v="0"/>
    <x v="0"/>
    <x v="0"/>
    <x v="0"/>
    <x v="0"/>
    <x v="0"/>
    <x v="0"/>
    <x v="0"/>
    <x v="1"/>
    <x v="0"/>
    <x v="0"/>
    <x v="0"/>
    <x v="0"/>
  </r>
  <r>
    <s v="Casablanca"/>
    <n v="17"/>
    <n v="247"/>
    <s v="Rollingstone_AU"/>
    <x v="12"/>
    <d v="1943-01-15T00:00:00"/>
    <x v="41"/>
    <x v="201"/>
    <x v="0"/>
    <x v="0"/>
    <x v="0"/>
    <x v="0"/>
    <x v="0"/>
    <x v="0"/>
    <x v="0"/>
    <x v="0"/>
    <x v="0"/>
    <x v="0"/>
    <x v="0"/>
    <x v="0"/>
    <x v="0"/>
    <x v="1"/>
    <x v="1"/>
    <x v="0"/>
    <x v="0"/>
    <x v="0"/>
    <x v="0"/>
  </r>
  <r>
    <s v="Dirty Dancing"/>
    <n v="16"/>
    <n v="248"/>
    <s v="Rollingstone_AU"/>
    <x v="239"/>
    <d v="1987-08-21T00:00:00"/>
    <x v="53"/>
    <x v="572"/>
    <x v="0"/>
    <x v="0"/>
    <x v="0"/>
    <x v="0"/>
    <x v="0"/>
    <x v="0"/>
    <x v="0"/>
    <x v="0"/>
    <x v="0"/>
    <x v="0"/>
    <x v="0"/>
    <x v="1"/>
    <x v="0"/>
    <x v="1"/>
    <x v="1"/>
    <x v="0"/>
    <x v="0"/>
    <x v="0"/>
    <x v="0"/>
  </r>
  <r>
    <s v="The Sound of Music"/>
    <n v="15"/>
    <n v="249"/>
    <s v="Rollingstone_AU"/>
    <x v="120"/>
    <d v="1965-03-29T00:00:00"/>
    <x v="62"/>
    <x v="285"/>
    <x v="0"/>
    <x v="0"/>
    <x v="0"/>
    <x v="0"/>
    <x v="0"/>
    <x v="0"/>
    <x v="0"/>
    <x v="1"/>
    <x v="0"/>
    <x v="0"/>
    <x v="0"/>
    <x v="1"/>
    <x v="0"/>
    <x v="1"/>
    <x v="1"/>
    <x v="0"/>
    <x v="0"/>
    <x v="0"/>
    <x v="0"/>
  </r>
  <r>
    <s v="Raiders of the Lost Ark"/>
    <n v="14"/>
    <n v="250"/>
    <s v="Rollingstone_AU"/>
    <x v="26"/>
    <d v="1981-06-12T00:00:00"/>
    <x v="9"/>
    <x v="52"/>
    <x v="1"/>
    <x v="1"/>
    <x v="0"/>
    <x v="0"/>
    <x v="0"/>
    <x v="0"/>
    <x v="1"/>
    <x v="0"/>
    <x v="0"/>
    <x v="0"/>
    <x v="0"/>
    <x v="0"/>
    <x v="0"/>
    <x v="0"/>
    <x v="1"/>
    <x v="0"/>
    <x v="0"/>
    <x v="0"/>
    <x v="0"/>
  </r>
  <r>
    <s v="Love Actually"/>
    <n v="13"/>
    <n v="251"/>
    <s v="Rollingstone_AU"/>
    <x v="102"/>
    <d v="2003-09-07T00:00:00"/>
    <x v="79"/>
    <x v="573"/>
    <x v="0"/>
    <x v="0"/>
    <x v="0"/>
    <x v="1"/>
    <x v="0"/>
    <x v="0"/>
    <x v="0"/>
    <x v="0"/>
    <x v="0"/>
    <x v="0"/>
    <x v="0"/>
    <x v="0"/>
    <x v="0"/>
    <x v="1"/>
    <x v="1"/>
    <x v="0"/>
    <x v="0"/>
    <x v="0"/>
    <x v="0"/>
  </r>
  <r>
    <s v="Avengers: Endgame"/>
    <n v="12"/>
    <n v="252"/>
    <s v="Rollingstone_AU"/>
    <x v="160"/>
    <d v="2019-04-24T00:00:00"/>
    <x v="14"/>
    <x v="365"/>
    <x v="1"/>
    <x v="1"/>
    <x v="0"/>
    <x v="0"/>
    <x v="0"/>
    <x v="0"/>
    <x v="1"/>
    <x v="0"/>
    <x v="0"/>
    <x v="0"/>
    <x v="0"/>
    <x v="0"/>
    <x v="0"/>
    <x v="0"/>
    <x v="0"/>
    <x v="0"/>
    <x v="0"/>
    <x v="0"/>
    <x v="0"/>
  </r>
  <r>
    <s v="The Dark Knight"/>
    <n v="11"/>
    <n v="253"/>
    <s v="Rollingstone_AU"/>
    <x v="123"/>
    <d v="2008-07-16T00:00:00"/>
    <x v="48"/>
    <x v="289"/>
    <x v="1"/>
    <x v="0"/>
    <x v="0"/>
    <x v="0"/>
    <x v="1"/>
    <x v="0"/>
    <x v="0"/>
    <x v="0"/>
    <x v="0"/>
    <x v="0"/>
    <x v="0"/>
    <x v="0"/>
    <x v="0"/>
    <x v="0"/>
    <x v="1"/>
    <x v="0"/>
    <x v="1"/>
    <x v="0"/>
    <x v="0"/>
  </r>
  <r>
    <s v="Forrest Gump"/>
    <n v="10"/>
    <n v="254"/>
    <s v="Rollingstone_AU"/>
    <x v="3"/>
    <d v="1994-06-23T00:00:00"/>
    <x v="71"/>
    <x v="349"/>
    <x v="0"/>
    <x v="0"/>
    <x v="0"/>
    <x v="1"/>
    <x v="0"/>
    <x v="0"/>
    <x v="0"/>
    <x v="0"/>
    <x v="0"/>
    <x v="0"/>
    <x v="0"/>
    <x v="0"/>
    <x v="0"/>
    <x v="1"/>
    <x v="1"/>
    <x v="0"/>
    <x v="0"/>
    <x v="0"/>
    <x v="0"/>
  </r>
  <r>
    <s v="Back to the Future"/>
    <n v="9"/>
    <n v="255"/>
    <s v="Rollingstone_AU"/>
    <x v="165"/>
    <d v="1985-07-03T00:00:00"/>
    <x v="80"/>
    <x v="370"/>
    <x v="0"/>
    <x v="1"/>
    <x v="0"/>
    <x v="1"/>
    <x v="0"/>
    <x v="0"/>
    <x v="1"/>
    <x v="0"/>
    <x v="0"/>
    <x v="0"/>
    <x v="0"/>
    <x v="0"/>
    <x v="0"/>
    <x v="0"/>
    <x v="0"/>
    <x v="0"/>
    <x v="0"/>
    <x v="0"/>
    <x v="0"/>
  </r>
  <r>
    <s v="Gone with the Wind"/>
    <n v="8"/>
    <n v="256"/>
    <s v="Rollingstone_AU"/>
    <x v="132"/>
    <d v="1939-12-15T00:00:00"/>
    <x v="75"/>
    <x v="314"/>
    <x v="0"/>
    <x v="0"/>
    <x v="0"/>
    <x v="0"/>
    <x v="0"/>
    <x v="0"/>
    <x v="0"/>
    <x v="0"/>
    <x v="0"/>
    <x v="0"/>
    <x v="0"/>
    <x v="0"/>
    <x v="0"/>
    <x v="1"/>
    <x v="1"/>
    <x v="0"/>
    <x v="0"/>
    <x v="1"/>
    <x v="0"/>
  </r>
  <r>
    <s v="Star Wars Episode V: The Empire Strikes Back"/>
    <n v="7"/>
    <n v="257"/>
    <s v="Rollingstone_AU"/>
    <x v="15"/>
    <d v="1980-05-20T00:00:00"/>
    <x v="72"/>
    <x v="312"/>
    <x v="1"/>
    <x v="1"/>
    <x v="0"/>
    <x v="0"/>
    <x v="0"/>
    <x v="0"/>
    <x v="1"/>
    <x v="0"/>
    <x v="0"/>
    <x v="0"/>
    <x v="0"/>
    <x v="0"/>
    <x v="0"/>
    <x v="0"/>
    <x v="0"/>
    <x v="0"/>
    <x v="0"/>
    <x v="0"/>
    <x v="0"/>
  </r>
  <r>
    <s v="Jaws"/>
    <n v="6"/>
    <n v="258"/>
    <s v="Rollingstone_AU"/>
    <x v="80"/>
    <d v="1975-06-20T00:00:00"/>
    <x v="66"/>
    <x v="158"/>
    <x v="0"/>
    <x v="1"/>
    <x v="0"/>
    <x v="0"/>
    <x v="0"/>
    <x v="0"/>
    <x v="1"/>
    <x v="0"/>
    <x v="0"/>
    <x v="0"/>
    <x v="1"/>
    <x v="0"/>
    <x v="0"/>
    <x v="0"/>
    <x v="1"/>
    <x v="0"/>
    <x v="1"/>
    <x v="0"/>
    <x v="0"/>
  </r>
  <r>
    <s v="Pulp Fiction"/>
    <n v="5"/>
    <n v="259"/>
    <s v="Rollingstone_AU"/>
    <x v="66"/>
    <d v="1994-09-10T00:00:00"/>
    <x v="71"/>
    <x v="132"/>
    <x v="0"/>
    <x v="0"/>
    <x v="0"/>
    <x v="0"/>
    <x v="1"/>
    <x v="0"/>
    <x v="1"/>
    <x v="0"/>
    <x v="0"/>
    <x v="0"/>
    <x v="0"/>
    <x v="0"/>
    <x v="0"/>
    <x v="0"/>
    <x v="1"/>
    <x v="0"/>
    <x v="1"/>
    <x v="0"/>
    <x v="0"/>
  </r>
  <r>
    <s v="The Godfather"/>
    <n v="4"/>
    <n v="260"/>
    <s v="Rollingstone_AU"/>
    <x v="51"/>
    <d v="1972-03-14T00:00:00"/>
    <x v="19"/>
    <x v="252"/>
    <x v="0"/>
    <x v="0"/>
    <x v="0"/>
    <x v="0"/>
    <x v="1"/>
    <x v="0"/>
    <x v="0"/>
    <x v="0"/>
    <x v="0"/>
    <x v="0"/>
    <x v="0"/>
    <x v="0"/>
    <x v="0"/>
    <x v="0"/>
    <x v="1"/>
    <x v="0"/>
    <x v="0"/>
    <x v="0"/>
    <x v="0"/>
  </r>
  <r>
    <s v="Star Wars Episode IV: A New Hope"/>
    <n v="3"/>
    <n v="261"/>
    <s v="Rollingstone_AU"/>
    <x v="15"/>
    <d v="1977-05-25T00:00:00"/>
    <x v="3"/>
    <x v="24"/>
    <x v="1"/>
    <x v="1"/>
    <x v="0"/>
    <x v="0"/>
    <x v="0"/>
    <x v="0"/>
    <x v="1"/>
    <x v="0"/>
    <x v="0"/>
    <x v="0"/>
    <x v="0"/>
    <x v="0"/>
    <x v="0"/>
    <x v="0"/>
    <x v="0"/>
    <x v="0"/>
    <x v="0"/>
    <x v="0"/>
    <x v="0"/>
  </r>
  <r>
    <s v="Titanic"/>
    <n v="2"/>
    <n v="262"/>
    <s v="Rollingstone_AU"/>
    <x v="12"/>
    <d v="1997-11-18T00:00:00"/>
    <x v="17"/>
    <x v="306"/>
    <x v="0"/>
    <x v="0"/>
    <x v="0"/>
    <x v="0"/>
    <x v="0"/>
    <x v="0"/>
    <x v="0"/>
    <x v="0"/>
    <x v="0"/>
    <x v="0"/>
    <x v="0"/>
    <x v="0"/>
    <x v="0"/>
    <x v="1"/>
    <x v="1"/>
    <x v="0"/>
    <x v="0"/>
    <x v="0"/>
    <x v="0"/>
  </r>
  <r>
    <s v="The Shawshank Redemption"/>
    <n v="1"/>
    <n v="263"/>
    <s v="Rollingstone_AU"/>
    <x v="51"/>
    <d v="1994-09-23T00:00:00"/>
    <x v="71"/>
    <x v="373"/>
    <x v="0"/>
    <x v="0"/>
    <x v="0"/>
    <x v="0"/>
    <x v="1"/>
    <x v="0"/>
    <x v="0"/>
    <x v="0"/>
    <x v="0"/>
    <x v="0"/>
    <x v="0"/>
    <x v="0"/>
    <x v="0"/>
    <x v="0"/>
    <x v="1"/>
    <x v="0"/>
    <x v="0"/>
    <x v="0"/>
    <x v="0"/>
  </r>
  <r>
    <s v="Moonlight"/>
    <n v="100"/>
    <n v="164"/>
    <s v="Stacker"/>
    <x v="6"/>
    <d v="2016-10-21T00:00:00"/>
    <x v="90"/>
    <x v="204"/>
    <x v="0"/>
    <x v="0"/>
    <x v="0"/>
    <x v="0"/>
    <x v="0"/>
    <x v="0"/>
    <x v="0"/>
    <x v="0"/>
    <x v="0"/>
    <x v="0"/>
    <x v="0"/>
    <x v="0"/>
    <x v="0"/>
    <x v="0"/>
    <x v="1"/>
    <x v="0"/>
    <x v="0"/>
    <x v="0"/>
    <x v="0"/>
  </r>
  <r>
    <s v="The Best of Youth"/>
    <n v="99"/>
    <n v="165"/>
    <s v="Stacker"/>
    <x v="42"/>
    <d v="2003-06-22T00:00:00"/>
    <x v="79"/>
    <x v="502"/>
    <x v="0"/>
    <x v="0"/>
    <x v="0"/>
    <x v="0"/>
    <x v="0"/>
    <x v="0"/>
    <x v="0"/>
    <x v="0"/>
    <x v="0"/>
    <x v="1"/>
    <x v="0"/>
    <x v="0"/>
    <x v="0"/>
    <x v="1"/>
    <x v="1"/>
    <x v="0"/>
    <x v="0"/>
    <x v="0"/>
    <x v="0"/>
  </r>
  <r>
    <s v="Yi Yi"/>
    <n v="98"/>
    <n v="166"/>
    <s v="Stacker"/>
    <x v="6"/>
    <d v="2000-09-20T00:00:00"/>
    <x v="27"/>
    <x v="171"/>
    <x v="0"/>
    <x v="0"/>
    <x v="0"/>
    <x v="0"/>
    <x v="0"/>
    <x v="0"/>
    <x v="0"/>
    <x v="0"/>
    <x v="0"/>
    <x v="0"/>
    <x v="0"/>
    <x v="0"/>
    <x v="0"/>
    <x v="0"/>
    <x v="1"/>
    <x v="0"/>
    <x v="0"/>
    <x v="0"/>
    <x v="0"/>
  </r>
  <r>
    <s v="Umberto D."/>
    <n v="97"/>
    <n v="167"/>
    <s v="Stacker"/>
    <x v="6"/>
    <d v="1952-01-20T00:00:00"/>
    <x v="22"/>
    <x v="530"/>
    <x v="0"/>
    <x v="0"/>
    <x v="0"/>
    <x v="0"/>
    <x v="0"/>
    <x v="0"/>
    <x v="0"/>
    <x v="0"/>
    <x v="0"/>
    <x v="0"/>
    <x v="0"/>
    <x v="0"/>
    <x v="0"/>
    <x v="0"/>
    <x v="1"/>
    <x v="0"/>
    <x v="0"/>
    <x v="0"/>
    <x v="0"/>
  </r>
  <r>
    <s v="Jules and Jim"/>
    <n v="96"/>
    <n v="168"/>
    <s v="Stacker"/>
    <x v="12"/>
    <d v="1962-01-23T00:00:00"/>
    <x v="42"/>
    <x v="574"/>
    <x v="0"/>
    <x v="0"/>
    <x v="0"/>
    <x v="0"/>
    <x v="0"/>
    <x v="0"/>
    <x v="0"/>
    <x v="0"/>
    <x v="0"/>
    <x v="0"/>
    <x v="0"/>
    <x v="0"/>
    <x v="0"/>
    <x v="1"/>
    <x v="1"/>
    <x v="0"/>
    <x v="0"/>
    <x v="0"/>
    <x v="0"/>
  </r>
  <r>
    <s v="High and Low"/>
    <n v="95"/>
    <n v="169"/>
    <s v="Stacker"/>
    <x v="55"/>
    <d v="1963-03-01T00:00:00"/>
    <x v="50"/>
    <x v="433"/>
    <x v="0"/>
    <x v="0"/>
    <x v="0"/>
    <x v="0"/>
    <x v="1"/>
    <x v="0"/>
    <x v="0"/>
    <x v="0"/>
    <x v="0"/>
    <x v="0"/>
    <x v="0"/>
    <x v="0"/>
    <x v="1"/>
    <x v="0"/>
    <x v="1"/>
    <x v="0"/>
    <x v="1"/>
    <x v="0"/>
    <x v="0"/>
  </r>
  <r>
    <s v="The Best Years of Our Lives"/>
    <n v="94"/>
    <n v="170"/>
    <s v="Stacker"/>
    <x v="97"/>
    <d v="1946-12-25T00:00:00"/>
    <x v="5"/>
    <x v="575"/>
    <x v="0"/>
    <x v="0"/>
    <x v="0"/>
    <x v="0"/>
    <x v="0"/>
    <x v="0"/>
    <x v="0"/>
    <x v="0"/>
    <x v="0"/>
    <x v="0"/>
    <x v="0"/>
    <x v="0"/>
    <x v="0"/>
    <x v="1"/>
    <x v="1"/>
    <x v="0"/>
    <x v="0"/>
    <x v="1"/>
    <x v="0"/>
  </r>
  <r>
    <s v="Ikiru"/>
    <n v="93"/>
    <n v="171"/>
    <s v="Stacker"/>
    <x v="6"/>
    <d v="1952-10-09T00:00:00"/>
    <x v="22"/>
    <x v="97"/>
    <x v="0"/>
    <x v="0"/>
    <x v="0"/>
    <x v="0"/>
    <x v="0"/>
    <x v="0"/>
    <x v="0"/>
    <x v="0"/>
    <x v="0"/>
    <x v="0"/>
    <x v="0"/>
    <x v="0"/>
    <x v="0"/>
    <x v="0"/>
    <x v="1"/>
    <x v="0"/>
    <x v="0"/>
    <x v="0"/>
    <x v="0"/>
  </r>
  <r>
    <s v="Pinocchio"/>
    <n v="92"/>
    <n v="172"/>
    <s v="Stacker"/>
    <x v="156"/>
    <d v="1940-02-23T00:00:00"/>
    <x v="73"/>
    <x v="576"/>
    <x v="0"/>
    <x v="0"/>
    <x v="1"/>
    <x v="0"/>
    <x v="0"/>
    <x v="0"/>
    <x v="1"/>
    <x v="1"/>
    <x v="0"/>
    <x v="0"/>
    <x v="0"/>
    <x v="0"/>
    <x v="0"/>
    <x v="0"/>
    <x v="1"/>
    <x v="0"/>
    <x v="0"/>
    <x v="0"/>
    <x v="0"/>
  </r>
  <r>
    <s v="Paths of Glory"/>
    <n v="91"/>
    <n v="173"/>
    <s v="Stacker"/>
    <x v="22"/>
    <d v="1957-10-25T00:00:00"/>
    <x v="52"/>
    <x v="439"/>
    <x v="0"/>
    <x v="0"/>
    <x v="0"/>
    <x v="0"/>
    <x v="0"/>
    <x v="0"/>
    <x v="0"/>
    <x v="0"/>
    <x v="0"/>
    <x v="0"/>
    <x v="0"/>
    <x v="0"/>
    <x v="0"/>
    <x v="0"/>
    <x v="1"/>
    <x v="0"/>
    <x v="0"/>
    <x v="1"/>
    <x v="0"/>
  </r>
  <r>
    <s v="Manchester by the Sea"/>
    <n v="90"/>
    <n v="174"/>
    <s v="Stacker"/>
    <x v="6"/>
    <d v="2016-11-18T00:00:00"/>
    <x v="90"/>
    <x v="577"/>
    <x v="0"/>
    <x v="0"/>
    <x v="0"/>
    <x v="0"/>
    <x v="0"/>
    <x v="0"/>
    <x v="0"/>
    <x v="0"/>
    <x v="0"/>
    <x v="0"/>
    <x v="0"/>
    <x v="0"/>
    <x v="0"/>
    <x v="0"/>
    <x v="1"/>
    <x v="0"/>
    <x v="0"/>
    <x v="0"/>
    <x v="0"/>
  </r>
  <r>
    <s v="Chinatown"/>
    <n v="89"/>
    <n v="175"/>
    <s v="Stacker"/>
    <x v="55"/>
    <d v="1974-06-20T00:00:00"/>
    <x v="25"/>
    <x v="113"/>
    <x v="0"/>
    <x v="0"/>
    <x v="0"/>
    <x v="0"/>
    <x v="1"/>
    <x v="0"/>
    <x v="0"/>
    <x v="0"/>
    <x v="0"/>
    <x v="0"/>
    <x v="0"/>
    <x v="0"/>
    <x v="1"/>
    <x v="0"/>
    <x v="1"/>
    <x v="0"/>
    <x v="1"/>
    <x v="0"/>
    <x v="0"/>
  </r>
  <r>
    <s v="Spotlight"/>
    <n v="88"/>
    <n v="176"/>
    <s v="Stacker"/>
    <x v="32"/>
    <d v="2015-11-06T00:00:00"/>
    <x v="47"/>
    <x v="578"/>
    <x v="0"/>
    <x v="0"/>
    <x v="0"/>
    <x v="0"/>
    <x v="0"/>
    <x v="0"/>
    <x v="0"/>
    <x v="0"/>
    <x v="0"/>
    <x v="1"/>
    <x v="0"/>
    <x v="0"/>
    <x v="0"/>
    <x v="0"/>
    <x v="1"/>
    <x v="0"/>
    <x v="0"/>
    <x v="0"/>
    <x v="0"/>
  </r>
  <r>
    <s v="La La Land"/>
    <n v="87"/>
    <n v="177"/>
    <s v="Stacker"/>
    <x v="230"/>
    <d v="2016-11-29T00:00:00"/>
    <x v="90"/>
    <x v="554"/>
    <x v="0"/>
    <x v="0"/>
    <x v="0"/>
    <x v="1"/>
    <x v="0"/>
    <x v="0"/>
    <x v="0"/>
    <x v="0"/>
    <x v="0"/>
    <x v="0"/>
    <x v="0"/>
    <x v="1"/>
    <x v="0"/>
    <x v="1"/>
    <x v="1"/>
    <x v="0"/>
    <x v="0"/>
    <x v="0"/>
    <x v="0"/>
  </r>
  <r>
    <s v="Alien"/>
    <n v="86"/>
    <n v="178"/>
    <s v="Stacker"/>
    <x v="57"/>
    <d v="1979-05-25T00:00:00"/>
    <x v="67"/>
    <x v="116"/>
    <x v="0"/>
    <x v="0"/>
    <x v="0"/>
    <x v="0"/>
    <x v="0"/>
    <x v="0"/>
    <x v="1"/>
    <x v="0"/>
    <x v="0"/>
    <x v="0"/>
    <x v="1"/>
    <x v="0"/>
    <x v="0"/>
    <x v="0"/>
    <x v="0"/>
    <x v="0"/>
    <x v="0"/>
    <x v="0"/>
    <x v="0"/>
  </r>
  <r>
    <s v="No Country for Old Men"/>
    <n v="85"/>
    <n v="179"/>
    <s v="Stacker"/>
    <x v="106"/>
    <d v="2007-06-13T00:00:00"/>
    <x v="4"/>
    <x v="325"/>
    <x v="0"/>
    <x v="0"/>
    <x v="0"/>
    <x v="0"/>
    <x v="1"/>
    <x v="0"/>
    <x v="0"/>
    <x v="0"/>
    <x v="0"/>
    <x v="0"/>
    <x v="0"/>
    <x v="0"/>
    <x v="0"/>
    <x v="0"/>
    <x v="1"/>
    <x v="0"/>
    <x v="1"/>
    <x v="0"/>
    <x v="0"/>
  </r>
  <r>
    <s v="The Dark Knight"/>
    <n v="84"/>
    <n v="180"/>
    <s v="Stacker"/>
    <x v="123"/>
    <d v="2008-07-16T00:00:00"/>
    <x v="48"/>
    <x v="289"/>
    <x v="1"/>
    <x v="0"/>
    <x v="0"/>
    <x v="0"/>
    <x v="1"/>
    <x v="0"/>
    <x v="0"/>
    <x v="0"/>
    <x v="0"/>
    <x v="0"/>
    <x v="0"/>
    <x v="0"/>
    <x v="0"/>
    <x v="0"/>
    <x v="1"/>
    <x v="0"/>
    <x v="1"/>
    <x v="0"/>
    <x v="0"/>
  </r>
  <r>
    <s v="The Shawshank Redemption"/>
    <n v="83"/>
    <n v="181"/>
    <s v="Stacker"/>
    <x v="51"/>
    <d v="1994-09-23T00:00:00"/>
    <x v="71"/>
    <x v="373"/>
    <x v="0"/>
    <x v="0"/>
    <x v="0"/>
    <x v="0"/>
    <x v="1"/>
    <x v="0"/>
    <x v="0"/>
    <x v="0"/>
    <x v="0"/>
    <x v="0"/>
    <x v="0"/>
    <x v="0"/>
    <x v="0"/>
    <x v="0"/>
    <x v="1"/>
    <x v="0"/>
    <x v="0"/>
    <x v="0"/>
    <x v="0"/>
  </r>
  <r>
    <s v="Anatomy of a Murder"/>
    <n v="82"/>
    <n v="182"/>
    <s v="Stacker"/>
    <x v="100"/>
    <d v="1959-07-01T00:00:00"/>
    <x v="56"/>
    <x v="579"/>
    <x v="0"/>
    <x v="0"/>
    <x v="0"/>
    <x v="0"/>
    <x v="1"/>
    <x v="0"/>
    <x v="0"/>
    <x v="0"/>
    <x v="0"/>
    <x v="0"/>
    <x v="0"/>
    <x v="0"/>
    <x v="1"/>
    <x v="0"/>
    <x v="1"/>
    <x v="0"/>
    <x v="0"/>
    <x v="0"/>
    <x v="0"/>
  </r>
  <r>
    <s v="The Philadelphia Story"/>
    <n v="81"/>
    <n v="183"/>
    <s v="Stacker"/>
    <x v="67"/>
    <d v="1940-12-05T00:00:00"/>
    <x v="73"/>
    <x v="580"/>
    <x v="0"/>
    <x v="0"/>
    <x v="0"/>
    <x v="1"/>
    <x v="0"/>
    <x v="0"/>
    <x v="1"/>
    <x v="0"/>
    <x v="0"/>
    <x v="0"/>
    <x v="0"/>
    <x v="0"/>
    <x v="0"/>
    <x v="1"/>
    <x v="1"/>
    <x v="0"/>
    <x v="0"/>
    <x v="0"/>
    <x v="0"/>
  </r>
  <r>
    <s v="La Dolce Vita"/>
    <n v="80"/>
    <n v="184"/>
    <s v="Stacker"/>
    <x v="50"/>
    <d v="1960-02-05T00:00:00"/>
    <x v="86"/>
    <x v="203"/>
    <x v="0"/>
    <x v="0"/>
    <x v="0"/>
    <x v="1"/>
    <x v="0"/>
    <x v="0"/>
    <x v="0"/>
    <x v="0"/>
    <x v="0"/>
    <x v="0"/>
    <x v="0"/>
    <x v="0"/>
    <x v="0"/>
    <x v="0"/>
    <x v="1"/>
    <x v="0"/>
    <x v="0"/>
    <x v="0"/>
    <x v="0"/>
  </r>
  <r>
    <s v="The Man Who Shot Liberty Valance"/>
    <n v="79"/>
    <n v="185"/>
    <s v="Stacker"/>
    <x v="43"/>
    <d v="1962-04-13T00:00:00"/>
    <x v="42"/>
    <x v="152"/>
    <x v="0"/>
    <x v="0"/>
    <x v="0"/>
    <x v="0"/>
    <x v="0"/>
    <x v="0"/>
    <x v="1"/>
    <x v="0"/>
    <x v="0"/>
    <x v="0"/>
    <x v="0"/>
    <x v="0"/>
    <x v="0"/>
    <x v="0"/>
    <x v="1"/>
    <x v="0"/>
    <x v="0"/>
    <x v="0"/>
    <x v="1"/>
  </r>
  <r>
    <s v="Yojimbo"/>
    <n v="78"/>
    <n v="186"/>
    <s v="Stacker"/>
    <x v="31"/>
    <d v="1961-04-25T00:00:00"/>
    <x v="60"/>
    <x v="475"/>
    <x v="0"/>
    <x v="0"/>
    <x v="0"/>
    <x v="0"/>
    <x v="0"/>
    <x v="0"/>
    <x v="0"/>
    <x v="0"/>
    <x v="0"/>
    <x v="0"/>
    <x v="0"/>
    <x v="0"/>
    <x v="0"/>
    <x v="0"/>
    <x v="1"/>
    <x v="0"/>
    <x v="1"/>
    <x v="0"/>
    <x v="0"/>
  </r>
  <r>
    <s v="It's a Wonderful Life"/>
    <n v="77"/>
    <n v="187"/>
    <s v="Stacker"/>
    <x v="63"/>
    <d v="1946-12-20T00:00:00"/>
    <x v="5"/>
    <x v="129"/>
    <x v="0"/>
    <x v="0"/>
    <x v="0"/>
    <x v="0"/>
    <x v="0"/>
    <x v="0"/>
    <x v="0"/>
    <x v="1"/>
    <x v="1"/>
    <x v="0"/>
    <x v="0"/>
    <x v="0"/>
    <x v="0"/>
    <x v="0"/>
    <x v="1"/>
    <x v="0"/>
    <x v="0"/>
    <x v="0"/>
    <x v="0"/>
  </r>
  <r>
    <s v="Beauty and the Beast"/>
    <n v="76"/>
    <n v="188"/>
    <s v="Stacker"/>
    <x v="185"/>
    <d v="1991-10-22T00:00:00"/>
    <x v="85"/>
    <x v="416"/>
    <x v="0"/>
    <x v="0"/>
    <x v="1"/>
    <x v="0"/>
    <x v="0"/>
    <x v="0"/>
    <x v="1"/>
    <x v="1"/>
    <x v="1"/>
    <x v="0"/>
    <x v="0"/>
    <x v="0"/>
    <x v="0"/>
    <x v="1"/>
    <x v="1"/>
    <x v="0"/>
    <x v="0"/>
    <x v="0"/>
    <x v="0"/>
  </r>
  <r>
    <s v="There Will Be Blood"/>
    <n v="75"/>
    <n v="189"/>
    <s v="Stacker"/>
    <x v="6"/>
    <d v="2007-12-26T00:00:00"/>
    <x v="4"/>
    <x v="142"/>
    <x v="0"/>
    <x v="0"/>
    <x v="0"/>
    <x v="0"/>
    <x v="0"/>
    <x v="0"/>
    <x v="0"/>
    <x v="0"/>
    <x v="0"/>
    <x v="0"/>
    <x v="0"/>
    <x v="0"/>
    <x v="0"/>
    <x v="0"/>
    <x v="1"/>
    <x v="0"/>
    <x v="0"/>
    <x v="0"/>
    <x v="0"/>
  </r>
  <r>
    <s v="Toy Story 3"/>
    <n v="74"/>
    <n v="190"/>
    <s v="Stacker"/>
    <x v="178"/>
    <d v="2010-06-16T00:00:00"/>
    <x v="12"/>
    <x v="394"/>
    <x v="0"/>
    <x v="0"/>
    <x v="1"/>
    <x v="1"/>
    <x v="0"/>
    <x v="0"/>
    <x v="1"/>
    <x v="1"/>
    <x v="0"/>
    <x v="0"/>
    <x v="0"/>
    <x v="0"/>
    <x v="0"/>
    <x v="0"/>
    <x v="1"/>
    <x v="0"/>
    <x v="0"/>
    <x v="0"/>
    <x v="0"/>
  </r>
  <r>
    <s v="The Lord of the Rings: The Two Towers"/>
    <n v="73"/>
    <n v="191"/>
    <s v="Stacker"/>
    <x v="157"/>
    <d v="2002-12-18T00:00:00"/>
    <x v="15"/>
    <x v="358"/>
    <x v="1"/>
    <x v="1"/>
    <x v="0"/>
    <x v="0"/>
    <x v="0"/>
    <x v="0"/>
    <x v="1"/>
    <x v="0"/>
    <x v="1"/>
    <x v="0"/>
    <x v="0"/>
    <x v="0"/>
    <x v="0"/>
    <x v="0"/>
    <x v="1"/>
    <x v="0"/>
    <x v="0"/>
    <x v="0"/>
    <x v="0"/>
  </r>
  <r>
    <s v="Au hasard Balthazar"/>
    <n v="72"/>
    <n v="192"/>
    <s v="Stacker"/>
    <x v="6"/>
    <d v="1966-05-25T00:00:00"/>
    <x v="49"/>
    <x v="239"/>
    <x v="0"/>
    <x v="0"/>
    <x v="0"/>
    <x v="0"/>
    <x v="0"/>
    <x v="0"/>
    <x v="0"/>
    <x v="0"/>
    <x v="0"/>
    <x v="0"/>
    <x v="0"/>
    <x v="0"/>
    <x v="0"/>
    <x v="0"/>
    <x v="1"/>
    <x v="0"/>
    <x v="0"/>
    <x v="0"/>
    <x v="0"/>
  </r>
  <r>
    <s v="The Shop Around the Corner"/>
    <n v="71"/>
    <n v="193"/>
    <s v="Stacker"/>
    <x v="3"/>
    <d v="1940-01-12T00:00:00"/>
    <x v="73"/>
    <x v="581"/>
    <x v="0"/>
    <x v="0"/>
    <x v="0"/>
    <x v="1"/>
    <x v="0"/>
    <x v="0"/>
    <x v="0"/>
    <x v="0"/>
    <x v="0"/>
    <x v="0"/>
    <x v="0"/>
    <x v="0"/>
    <x v="0"/>
    <x v="1"/>
    <x v="1"/>
    <x v="0"/>
    <x v="0"/>
    <x v="0"/>
    <x v="0"/>
  </r>
  <r>
    <s v="The Adventures of Robin Hood"/>
    <n v="70"/>
    <n v="194"/>
    <s v="Stacker"/>
    <x v="240"/>
    <d v="1938-05-13T00:00:00"/>
    <x v="77"/>
    <x v="582"/>
    <x v="0"/>
    <x v="1"/>
    <x v="0"/>
    <x v="0"/>
    <x v="0"/>
    <x v="0"/>
    <x v="1"/>
    <x v="0"/>
    <x v="0"/>
    <x v="1"/>
    <x v="0"/>
    <x v="0"/>
    <x v="0"/>
    <x v="1"/>
    <x v="1"/>
    <x v="0"/>
    <x v="0"/>
    <x v="0"/>
    <x v="0"/>
  </r>
  <r>
    <s v="The Lady Vanishes"/>
    <n v="69"/>
    <n v="195"/>
    <s v="Stacker"/>
    <x v="241"/>
    <d v="1938-10-07T00:00:00"/>
    <x v="77"/>
    <x v="583"/>
    <x v="0"/>
    <x v="0"/>
    <x v="0"/>
    <x v="1"/>
    <x v="0"/>
    <x v="0"/>
    <x v="1"/>
    <x v="0"/>
    <x v="0"/>
    <x v="0"/>
    <x v="0"/>
    <x v="0"/>
    <x v="1"/>
    <x v="0"/>
    <x v="1"/>
    <x v="0"/>
    <x v="1"/>
    <x v="0"/>
    <x v="0"/>
  </r>
  <r>
    <s v="4 Months, 3 Weeks and 2 Days"/>
    <n v="68"/>
    <n v="196"/>
    <s v="Stacker"/>
    <x v="6"/>
    <d v="2007-08-24T00:00:00"/>
    <x v="4"/>
    <x v="540"/>
    <x v="0"/>
    <x v="0"/>
    <x v="0"/>
    <x v="0"/>
    <x v="0"/>
    <x v="0"/>
    <x v="0"/>
    <x v="0"/>
    <x v="0"/>
    <x v="0"/>
    <x v="0"/>
    <x v="0"/>
    <x v="0"/>
    <x v="0"/>
    <x v="1"/>
    <x v="0"/>
    <x v="0"/>
    <x v="0"/>
    <x v="0"/>
  </r>
  <r>
    <s v="My Left Foot"/>
    <n v="67"/>
    <n v="197"/>
    <s v="Stacker"/>
    <x v="6"/>
    <d v="1989-04-07T00:00:00"/>
    <x v="61"/>
    <x v="584"/>
    <x v="0"/>
    <x v="0"/>
    <x v="0"/>
    <x v="0"/>
    <x v="0"/>
    <x v="0"/>
    <x v="0"/>
    <x v="0"/>
    <x v="0"/>
    <x v="0"/>
    <x v="0"/>
    <x v="0"/>
    <x v="0"/>
    <x v="0"/>
    <x v="1"/>
    <x v="0"/>
    <x v="0"/>
    <x v="0"/>
    <x v="0"/>
  </r>
  <r>
    <s v="The Wild Bunch"/>
    <n v="66"/>
    <n v="198"/>
    <s v="Stacker"/>
    <x v="43"/>
    <d v="1969-06-19T00:00:00"/>
    <x v="37"/>
    <x v="126"/>
    <x v="0"/>
    <x v="0"/>
    <x v="0"/>
    <x v="0"/>
    <x v="0"/>
    <x v="0"/>
    <x v="1"/>
    <x v="0"/>
    <x v="0"/>
    <x v="0"/>
    <x v="0"/>
    <x v="0"/>
    <x v="0"/>
    <x v="0"/>
    <x v="1"/>
    <x v="0"/>
    <x v="0"/>
    <x v="0"/>
    <x v="1"/>
  </r>
  <r>
    <s v="Portrait of a Lady on Fire"/>
    <n v="65"/>
    <n v="199"/>
    <s v="Stacker"/>
    <x v="12"/>
    <d v="2019-06-17T00:00:00"/>
    <x v="14"/>
    <x v="234"/>
    <x v="0"/>
    <x v="0"/>
    <x v="0"/>
    <x v="0"/>
    <x v="0"/>
    <x v="0"/>
    <x v="0"/>
    <x v="0"/>
    <x v="0"/>
    <x v="0"/>
    <x v="0"/>
    <x v="0"/>
    <x v="0"/>
    <x v="1"/>
    <x v="1"/>
    <x v="0"/>
    <x v="0"/>
    <x v="0"/>
    <x v="0"/>
  </r>
  <r>
    <s v="A Streetcar Named Desire"/>
    <n v="64"/>
    <n v="200"/>
    <s v="Stacker"/>
    <x v="6"/>
    <d v="1951-09-19T00:00:00"/>
    <x v="102"/>
    <x v="585"/>
    <x v="0"/>
    <x v="0"/>
    <x v="0"/>
    <x v="0"/>
    <x v="0"/>
    <x v="0"/>
    <x v="0"/>
    <x v="0"/>
    <x v="0"/>
    <x v="0"/>
    <x v="0"/>
    <x v="0"/>
    <x v="0"/>
    <x v="0"/>
    <x v="1"/>
    <x v="0"/>
    <x v="0"/>
    <x v="0"/>
    <x v="0"/>
  </r>
  <r>
    <s v="Rosemary's Baby"/>
    <n v="63"/>
    <n v="201"/>
    <s v="Stacker"/>
    <x v="129"/>
    <d v="1968-06-12T00:00:00"/>
    <x v="21"/>
    <x v="303"/>
    <x v="0"/>
    <x v="0"/>
    <x v="0"/>
    <x v="0"/>
    <x v="0"/>
    <x v="0"/>
    <x v="0"/>
    <x v="0"/>
    <x v="0"/>
    <x v="0"/>
    <x v="1"/>
    <x v="0"/>
    <x v="0"/>
    <x v="0"/>
    <x v="1"/>
    <x v="0"/>
    <x v="1"/>
    <x v="0"/>
    <x v="0"/>
  </r>
  <r>
    <s v="Inside Out"/>
    <n v="62"/>
    <n v="202"/>
    <s v="Stacker"/>
    <x v="116"/>
    <d v="2015-06-09T00:00:00"/>
    <x v="47"/>
    <x v="270"/>
    <x v="0"/>
    <x v="1"/>
    <x v="1"/>
    <x v="1"/>
    <x v="0"/>
    <x v="0"/>
    <x v="0"/>
    <x v="1"/>
    <x v="0"/>
    <x v="0"/>
    <x v="0"/>
    <x v="0"/>
    <x v="0"/>
    <x v="0"/>
    <x v="1"/>
    <x v="0"/>
    <x v="0"/>
    <x v="0"/>
    <x v="0"/>
  </r>
  <r>
    <s v="Taxi Driver"/>
    <n v="61"/>
    <n v="203"/>
    <s v="Stacker"/>
    <x v="48"/>
    <d v="1976-02-09T00:00:00"/>
    <x v="44"/>
    <x v="235"/>
    <x v="0"/>
    <x v="0"/>
    <x v="0"/>
    <x v="0"/>
    <x v="1"/>
    <x v="0"/>
    <x v="0"/>
    <x v="0"/>
    <x v="0"/>
    <x v="0"/>
    <x v="0"/>
    <x v="0"/>
    <x v="0"/>
    <x v="0"/>
    <x v="1"/>
    <x v="0"/>
    <x v="0"/>
    <x v="0"/>
    <x v="0"/>
  </r>
  <r>
    <s v="Star Wars: Episode IVâ€”A New Hope"/>
    <n v="60"/>
    <n v="204"/>
    <s v="Stacker"/>
    <x v="15"/>
    <d v="1977-05-25T00:00:00"/>
    <x v="3"/>
    <x v="24"/>
    <x v="1"/>
    <x v="1"/>
    <x v="0"/>
    <x v="0"/>
    <x v="0"/>
    <x v="0"/>
    <x v="1"/>
    <x v="0"/>
    <x v="0"/>
    <x v="0"/>
    <x v="0"/>
    <x v="0"/>
    <x v="0"/>
    <x v="0"/>
    <x v="0"/>
    <x v="0"/>
    <x v="0"/>
    <x v="0"/>
    <x v="0"/>
  </r>
  <r>
    <s v="Quo Vadis, Aida?"/>
    <n v="59"/>
    <n v="205"/>
    <s v="Stacker"/>
    <x v="36"/>
    <d v="2021-02-26T00:00:00"/>
    <x v="26"/>
    <x v="586"/>
    <x v="0"/>
    <x v="0"/>
    <x v="0"/>
    <x v="0"/>
    <x v="0"/>
    <x v="0"/>
    <x v="0"/>
    <x v="0"/>
    <x v="0"/>
    <x v="1"/>
    <x v="0"/>
    <x v="0"/>
    <x v="0"/>
    <x v="0"/>
    <x v="1"/>
    <x v="0"/>
    <x v="0"/>
    <x v="1"/>
    <x v="0"/>
  </r>
  <r>
    <s v="Battleship Potemkin"/>
    <n v="58"/>
    <n v="206"/>
    <s v="Stacker"/>
    <x v="56"/>
    <d v="1925-12-24T00:00:00"/>
    <x v="92"/>
    <x v="209"/>
    <x v="0"/>
    <x v="0"/>
    <x v="0"/>
    <x v="0"/>
    <x v="0"/>
    <x v="0"/>
    <x v="0"/>
    <x v="0"/>
    <x v="0"/>
    <x v="1"/>
    <x v="0"/>
    <x v="0"/>
    <x v="0"/>
    <x v="0"/>
    <x v="1"/>
    <x v="0"/>
    <x v="0"/>
    <x v="1"/>
    <x v="0"/>
  </r>
  <r>
    <s v="The Battle of Algiers"/>
    <n v="57"/>
    <n v="207"/>
    <s v="Stacker"/>
    <x v="99"/>
    <d v="1966-09-08T00:00:00"/>
    <x v="49"/>
    <x v="219"/>
    <x v="0"/>
    <x v="0"/>
    <x v="0"/>
    <x v="0"/>
    <x v="0"/>
    <x v="0"/>
    <x v="0"/>
    <x v="0"/>
    <x v="0"/>
    <x v="1"/>
    <x v="0"/>
    <x v="0"/>
    <x v="0"/>
    <x v="0"/>
    <x v="1"/>
    <x v="0"/>
    <x v="0"/>
    <x v="1"/>
    <x v="0"/>
  </r>
  <r>
    <s v="The Grapes of Wrath"/>
    <n v="56"/>
    <n v="208"/>
    <s v="Stacker"/>
    <x v="6"/>
    <d v="1940-03-15T00:00:00"/>
    <x v="73"/>
    <x v="587"/>
    <x v="0"/>
    <x v="0"/>
    <x v="0"/>
    <x v="0"/>
    <x v="0"/>
    <x v="0"/>
    <x v="0"/>
    <x v="0"/>
    <x v="0"/>
    <x v="0"/>
    <x v="0"/>
    <x v="0"/>
    <x v="0"/>
    <x v="0"/>
    <x v="1"/>
    <x v="0"/>
    <x v="0"/>
    <x v="0"/>
    <x v="0"/>
  </r>
  <r>
    <s v="The Maltese Falcon"/>
    <n v="55"/>
    <n v="209"/>
    <s v="Stacker"/>
    <x v="242"/>
    <d v="1941-10-18T00:00:00"/>
    <x v="2"/>
    <x v="588"/>
    <x v="0"/>
    <x v="0"/>
    <x v="0"/>
    <x v="0"/>
    <x v="1"/>
    <x v="0"/>
    <x v="1"/>
    <x v="0"/>
    <x v="0"/>
    <x v="0"/>
    <x v="0"/>
    <x v="0"/>
    <x v="1"/>
    <x v="0"/>
    <x v="1"/>
    <x v="0"/>
    <x v="1"/>
    <x v="0"/>
    <x v="0"/>
  </r>
  <r>
    <s v="The Apartment"/>
    <n v="54"/>
    <n v="210"/>
    <s v="Stacker"/>
    <x v="3"/>
    <d v="1960-06-21T00:00:00"/>
    <x v="86"/>
    <x v="206"/>
    <x v="0"/>
    <x v="0"/>
    <x v="0"/>
    <x v="1"/>
    <x v="0"/>
    <x v="0"/>
    <x v="0"/>
    <x v="0"/>
    <x v="0"/>
    <x v="0"/>
    <x v="0"/>
    <x v="0"/>
    <x v="0"/>
    <x v="1"/>
    <x v="1"/>
    <x v="0"/>
    <x v="0"/>
    <x v="0"/>
    <x v="0"/>
  </r>
  <r>
    <s v="12 Years a Slave"/>
    <n v="53"/>
    <n v="211"/>
    <s v="Stacker"/>
    <x v="32"/>
    <d v="2013-10-18T00:00:00"/>
    <x v="63"/>
    <x v="296"/>
    <x v="0"/>
    <x v="0"/>
    <x v="0"/>
    <x v="0"/>
    <x v="0"/>
    <x v="0"/>
    <x v="0"/>
    <x v="0"/>
    <x v="0"/>
    <x v="1"/>
    <x v="0"/>
    <x v="0"/>
    <x v="0"/>
    <x v="0"/>
    <x v="1"/>
    <x v="0"/>
    <x v="0"/>
    <x v="0"/>
    <x v="0"/>
  </r>
  <r>
    <s v="Ratatouille"/>
    <n v="52"/>
    <n v="212"/>
    <s v="Stacker"/>
    <x v="243"/>
    <d v="2007-06-28T00:00:00"/>
    <x v="4"/>
    <x v="589"/>
    <x v="0"/>
    <x v="0"/>
    <x v="1"/>
    <x v="1"/>
    <x v="0"/>
    <x v="0"/>
    <x v="1"/>
    <x v="1"/>
    <x v="1"/>
    <x v="0"/>
    <x v="0"/>
    <x v="0"/>
    <x v="0"/>
    <x v="0"/>
    <x v="1"/>
    <x v="0"/>
    <x v="0"/>
    <x v="0"/>
    <x v="0"/>
  </r>
  <r>
    <s v="Goodfellas"/>
    <n v="51"/>
    <n v="213"/>
    <s v="Stacker"/>
    <x v="51"/>
    <d v="1990-09-12T00:00:00"/>
    <x v="89"/>
    <x v="200"/>
    <x v="0"/>
    <x v="0"/>
    <x v="0"/>
    <x v="0"/>
    <x v="1"/>
    <x v="0"/>
    <x v="0"/>
    <x v="0"/>
    <x v="0"/>
    <x v="0"/>
    <x v="0"/>
    <x v="0"/>
    <x v="0"/>
    <x v="0"/>
    <x v="1"/>
    <x v="0"/>
    <x v="0"/>
    <x v="0"/>
    <x v="0"/>
  </r>
  <r>
    <s v="Saving Private Ryan"/>
    <n v="50"/>
    <n v="214"/>
    <s v="Stacker"/>
    <x v="56"/>
    <d v="1998-07-24T00:00:00"/>
    <x v="28"/>
    <x v="315"/>
    <x v="0"/>
    <x v="0"/>
    <x v="0"/>
    <x v="0"/>
    <x v="0"/>
    <x v="0"/>
    <x v="0"/>
    <x v="0"/>
    <x v="0"/>
    <x v="1"/>
    <x v="0"/>
    <x v="0"/>
    <x v="0"/>
    <x v="0"/>
    <x v="1"/>
    <x v="0"/>
    <x v="0"/>
    <x v="1"/>
    <x v="0"/>
  </r>
  <r>
    <s v="Rififi"/>
    <n v="49"/>
    <n v="215"/>
    <s v="Stacker"/>
    <x v="121"/>
    <d v="1955-04-13T00:00:00"/>
    <x v="68"/>
    <x v="516"/>
    <x v="0"/>
    <x v="0"/>
    <x v="0"/>
    <x v="0"/>
    <x v="1"/>
    <x v="0"/>
    <x v="0"/>
    <x v="0"/>
    <x v="0"/>
    <x v="0"/>
    <x v="0"/>
    <x v="0"/>
    <x v="0"/>
    <x v="0"/>
    <x v="1"/>
    <x v="0"/>
    <x v="1"/>
    <x v="0"/>
    <x v="0"/>
  </r>
  <r>
    <s v="Ran"/>
    <n v="48"/>
    <n v="216"/>
    <s v="Stacker"/>
    <x v="39"/>
    <d v="2018-06-06T00:00:00"/>
    <x v="51"/>
    <x v="76"/>
    <x v="0"/>
    <x v="0"/>
    <x v="0"/>
    <x v="0"/>
    <x v="0"/>
    <x v="0"/>
    <x v="1"/>
    <x v="0"/>
    <x v="0"/>
    <x v="0"/>
    <x v="0"/>
    <x v="0"/>
    <x v="0"/>
    <x v="0"/>
    <x v="1"/>
    <x v="0"/>
    <x v="0"/>
    <x v="0"/>
    <x v="0"/>
  </r>
  <r>
    <s v="Double Indemnity"/>
    <n v="47"/>
    <n v="217"/>
    <s v="Stacker"/>
    <x v="30"/>
    <d v="1944-06-14T00:00:00"/>
    <x v="8"/>
    <x v="58"/>
    <x v="0"/>
    <x v="0"/>
    <x v="0"/>
    <x v="0"/>
    <x v="1"/>
    <x v="0"/>
    <x v="1"/>
    <x v="0"/>
    <x v="0"/>
    <x v="0"/>
    <x v="0"/>
    <x v="0"/>
    <x v="0"/>
    <x v="0"/>
    <x v="1"/>
    <x v="0"/>
    <x v="1"/>
    <x v="0"/>
    <x v="0"/>
  </r>
  <r>
    <s v="The Third Man"/>
    <n v="46"/>
    <n v="218"/>
    <s v="Stacker"/>
    <x v="94"/>
    <d v="1949-08-31T00:00:00"/>
    <x v="88"/>
    <x v="199"/>
    <x v="0"/>
    <x v="0"/>
    <x v="0"/>
    <x v="0"/>
    <x v="0"/>
    <x v="0"/>
    <x v="1"/>
    <x v="0"/>
    <x v="0"/>
    <x v="0"/>
    <x v="0"/>
    <x v="0"/>
    <x v="1"/>
    <x v="0"/>
    <x v="1"/>
    <x v="0"/>
    <x v="1"/>
    <x v="0"/>
    <x v="0"/>
  </r>
  <r>
    <s v="A Separation"/>
    <n v="45"/>
    <n v="219"/>
    <s v="Stacker"/>
    <x v="6"/>
    <d v="2019-08-03T00:00:00"/>
    <x v="14"/>
    <x v="454"/>
    <x v="0"/>
    <x v="0"/>
    <x v="0"/>
    <x v="0"/>
    <x v="0"/>
    <x v="0"/>
    <x v="0"/>
    <x v="0"/>
    <x v="0"/>
    <x v="0"/>
    <x v="0"/>
    <x v="0"/>
    <x v="0"/>
    <x v="0"/>
    <x v="1"/>
    <x v="0"/>
    <x v="0"/>
    <x v="0"/>
    <x v="0"/>
  </r>
  <r>
    <s v="The Good, the Bad and the Ugly"/>
    <n v="44"/>
    <n v="220"/>
    <s v="Stacker"/>
    <x v="43"/>
    <d v="1966-12-23T00:00:00"/>
    <x v="49"/>
    <x v="84"/>
    <x v="0"/>
    <x v="0"/>
    <x v="0"/>
    <x v="0"/>
    <x v="0"/>
    <x v="0"/>
    <x v="1"/>
    <x v="0"/>
    <x v="0"/>
    <x v="0"/>
    <x v="0"/>
    <x v="0"/>
    <x v="0"/>
    <x v="0"/>
    <x v="1"/>
    <x v="0"/>
    <x v="0"/>
    <x v="0"/>
    <x v="1"/>
  </r>
  <r>
    <s v="Toy Story"/>
    <n v="43"/>
    <n v="221"/>
    <s v="Stacker"/>
    <x v="119"/>
    <d v="1995-10-30T00:00:00"/>
    <x v="96"/>
    <x v="279"/>
    <x v="0"/>
    <x v="1"/>
    <x v="1"/>
    <x v="1"/>
    <x v="0"/>
    <x v="0"/>
    <x v="1"/>
    <x v="1"/>
    <x v="0"/>
    <x v="0"/>
    <x v="0"/>
    <x v="0"/>
    <x v="0"/>
    <x v="0"/>
    <x v="1"/>
    <x v="0"/>
    <x v="0"/>
    <x v="0"/>
    <x v="0"/>
  </r>
  <r>
    <s v="Children of Paradise"/>
    <n v="42"/>
    <n v="222"/>
    <s v="Stacker"/>
    <x v="12"/>
    <d v="1945-03-15T00:00:00"/>
    <x v="35"/>
    <x v="127"/>
    <x v="0"/>
    <x v="0"/>
    <x v="0"/>
    <x v="0"/>
    <x v="0"/>
    <x v="0"/>
    <x v="0"/>
    <x v="0"/>
    <x v="0"/>
    <x v="0"/>
    <x v="0"/>
    <x v="0"/>
    <x v="0"/>
    <x v="1"/>
    <x v="1"/>
    <x v="0"/>
    <x v="0"/>
    <x v="0"/>
    <x v="0"/>
  </r>
  <r>
    <s v="The Conformist"/>
    <n v="41"/>
    <n v="223"/>
    <s v="Stacker"/>
    <x v="6"/>
    <d v="1971-01-29T00:00:00"/>
    <x v="7"/>
    <x v="145"/>
    <x v="0"/>
    <x v="0"/>
    <x v="0"/>
    <x v="0"/>
    <x v="0"/>
    <x v="0"/>
    <x v="0"/>
    <x v="0"/>
    <x v="0"/>
    <x v="0"/>
    <x v="0"/>
    <x v="0"/>
    <x v="0"/>
    <x v="0"/>
    <x v="1"/>
    <x v="0"/>
    <x v="0"/>
    <x v="0"/>
    <x v="0"/>
  </r>
  <r>
    <s v="The Night of the Hunter"/>
    <n v="40"/>
    <n v="224"/>
    <s v="Stacker"/>
    <x v="106"/>
    <d v="1955-08-26T00:00:00"/>
    <x v="68"/>
    <x v="238"/>
    <x v="0"/>
    <x v="0"/>
    <x v="0"/>
    <x v="0"/>
    <x v="1"/>
    <x v="0"/>
    <x v="0"/>
    <x v="0"/>
    <x v="0"/>
    <x v="0"/>
    <x v="0"/>
    <x v="0"/>
    <x v="0"/>
    <x v="0"/>
    <x v="1"/>
    <x v="0"/>
    <x v="1"/>
    <x v="0"/>
    <x v="0"/>
  </r>
  <r>
    <s v="Notorious"/>
    <n v="39"/>
    <n v="225"/>
    <s v="Stacker"/>
    <x v="64"/>
    <d v="2009-01-16T00:00:00"/>
    <x v="70"/>
    <x v="130"/>
    <x v="0"/>
    <x v="0"/>
    <x v="0"/>
    <x v="0"/>
    <x v="0"/>
    <x v="0"/>
    <x v="0"/>
    <x v="0"/>
    <x v="0"/>
    <x v="1"/>
    <x v="0"/>
    <x v="1"/>
    <x v="0"/>
    <x v="0"/>
    <x v="1"/>
    <x v="0"/>
    <x v="0"/>
    <x v="0"/>
    <x v="0"/>
  </r>
  <r>
    <s v="Touch of Evil"/>
    <n v="38"/>
    <n v="226"/>
    <s v="Stacker"/>
    <x v="77"/>
    <d v="1958-03-30T00:00:00"/>
    <x v="78"/>
    <x v="153"/>
    <x v="0"/>
    <x v="0"/>
    <x v="0"/>
    <x v="0"/>
    <x v="1"/>
    <x v="0"/>
    <x v="1"/>
    <x v="0"/>
    <x v="0"/>
    <x v="0"/>
    <x v="0"/>
    <x v="0"/>
    <x v="1"/>
    <x v="0"/>
    <x v="1"/>
    <x v="0"/>
    <x v="1"/>
    <x v="0"/>
    <x v="0"/>
  </r>
  <r>
    <s v="Grave of the Fireflies"/>
    <n v="37"/>
    <n v="227"/>
    <s v="Stacker"/>
    <x v="6"/>
    <d v="2005-11-01T00:00:00"/>
    <x v="30"/>
    <x v="38"/>
    <x v="0"/>
    <x v="0"/>
    <x v="0"/>
    <x v="0"/>
    <x v="0"/>
    <x v="0"/>
    <x v="0"/>
    <x v="0"/>
    <x v="0"/>
    <x v="0"/>
    <x v="0"/>
    <x v="0"/>
    <x v="0"/>
    <x v="0"/>
    <x v="1"/>
    <x v="0"/>
    <x v="0"/>
    <x v="0"/>
    <x v="0"/>
  </r>
  <r>
    <s v="Gone with the Wind"/>
    <n v="36"/>
    <n v="228"/>
    <s v="Stacker"/>
    <x v="132"/>
    <d v="1939-12-15T00:00:00"/>
    <x v="75"/>
    <x v="314"/>
    <x v="0"/>
    <x v="0"/>
    <x v="0"/>
    <x v="0"/>
    <x v="0"/>
    <x v="0"/>
    <x v="0"/>
    <x v="0"/>
    <x v="0"/>
    <x v="0"/>
    <x v="0"/>
    <x v="0"/>
    <x v="0"/>
    <x v="1"/>
    <x v="1"/>
    <x v="0"/>
    <x v="0"/>
    <x v="1"/>
    <x v="0"/>
  </r>
  <r>
    <s v="Boyhood"/>
    <n v="35"/>
    <n v="229"/>
    <s v="Stacker"/>
    <x v="6"/>
    <d v="2014-06-05T00:00:00"/>
    <x v="59"/>
    <x v="590"/>
    <x v="0"/>
    <x v="0"/>
    <x v="0"/>
    <x v="0"/>
    <x v="0"/>
    <x v="0"/>
    <x v="0"/>
    <x v="0"/>
    <x v="0"/>
    <x v="0"/>
    <x v="0"/>
    <x v="0"/>
    <x v="0"/>
    <x v="0"/>
    <x v="1"/>
    <x v="0"/>
    <x v="0"/>
    <x v="0"/>
    <x v="0"/>
  </r>
  <r>
    <s v="Apocalypse Now"/>
    <n v="34"/>
    <n v="230"/>
    <s v="Stacker"/>
    <x v="22"/>
    <d v="1979-08-15T00:00:00"/>
    <x v="67"/>
    <x v="245"/>
    <x v="0"/>
    <x v="0"/>
    <x v="0"/>
    <x v="0"/>
    <x v="0"/>
    <x v="0"/>
    <x v="0"/>
    <x v="0"/>
    <x v="0"/>
    <x v="0"/>
    <x v="0"/>
    <x v="0"/>
    <x v="0"/>
    <x v="0"/>
    <x v="1"/>
    <x v="0"/>
    <x v="0"/>
    <x v="1"/>
    <x v="0"/>
  </r>
  <r>
    <s v="WALLÂ·E"/>
    <n v="33"/>
    <n v="231"/>
    <s v="Stacker"/>
    <x v="244"/>
    <d v="2008-06-22T00:00:00"/>
    <x v="48"/>
    <x v="591"/>
    <x v="0"/>
    <x v="0"/>
    <x v="1"/>
    <x v="0"/>
    <x v="0"/>
    <x v="0"/>
    <x v="1"/>
    <x v="1"/>
    <x v="0"/>
    <x v="0"/>
    <x v="0"/>
    <x v="0"/>
    <x v="0"/>
    <x v="0"/>
    <x v="0"/>
    <x v="0"/>
    <x v="0"/>
    <x v="0"/>
    <x v="0"/>
  </r>
  <r>
    <s v="Army of Shadows"/>
    <n v="32"/>
    <n v="232"/>
    <s v="Stacker"/>
    <x v="23"/>
    <d v="1969-09-10T00:00:00"/>
    <x v="37"/>
    <x v="47"/>
    <x v="0"/>
    <x v="0"/>
    <x v="0"/>
    <x v="0"/>
    <x v="0"/>
    <x v="0"/>
    <x v="0"/>
    <x v="0"/>
    <x v="0"/>
    <x v="0"/>
    <x v="0"/>
    <x v="0"/>
    <x v="0"/>
    <x v="0"/>
    <x v="1"/>
    <x v="0"/>
    <x v="1"/>
    <x v="1"/>
    <x v="0"/>
  </r>
  <r>
    <s v="The Leopard"/>
    <n v="31"/>
    <n v="233"/>
    <s v="Stacker"/>
    <x v="6"/>
    <d v="1963-03-28T00:00:00"/>
    <x v="50"/>
    <x v="173"/>
    <x v="0"/>
    <x v="0"/>
    <x v="0"/>
    <x v="0"/>
    <x v="0"/>
    <x v="0"/>
    <x v="0"/>
    <x v="0"/>
    <x v="0"/>
    <x v="0"/>
    <x v="0"/>
    <x v="0"/>
    <x v="0"/>
    <x v="0"/>
    <x v="1"/>
    <x v="0"/>
    <x v="0"/>
    <x v="0"/>
    <x v="0"/>
  </r>
  <r>
    <s v="Sweet Smell of Success"/>
    <n v="30"/>
    <n v="234"/>
    <s v="Stacker"/>
    <x v="6"/>
    <d v="1957-07-04T00:00:00"/>
    <x v="52"/>
    <x v="521"/>
    <x v="0"/>
    <x v="0"/>
    <x v="0"/>
    <x v="0"/>
    <x v="0"/>
    <x v="0"/>
    <x v="0"/>
    <x v="0"/>
    <x v="0"/>
    <x v="0"/>
    <x v="0"/>
    <x v="0"/>
    <x v="0"/>
    <x v="0"/>
    <x v="1"/>
    <x v="0"/>
    <x v="0"/>
    <x v="0"/>
    <x v="0"/>
  </r>
  <r>
    <s v="The Treasure of the Sierra Madre"/>
    <n v="29"/>
    <n v="235"/>
    <s v="Stacker"/>
    <x v="211"/>
    <d v="1948-01-15T00:00:00"/>
    <x v="57"/>
    <x v="493"/>
    <x v="0"/>
    <x v="1"/>
    <x v="0"/>
    <x v="0"/>
    <x v="0"/>
    <x v="0"/>
    <x v="0"/>
    <x v="0"/>
    <x v="0"/>
    <x v="0"/>
    <x v="0"/>
    <x v="0"/>
    <x v="0"/>
    <x v="0"/>
    <x v="1"/>
    <x v="0"/>
    <x v="0"/>
    <x v="0"/>
    <x v="1"/>
  </r>
  <r>
    <s v="All About Eve"/>
    <n v="28"/>
    <n v="236"/>
    <s v="Stacker"/>
    <x v="6"/>
    <d v="1950-11-09T00:00:00"/>
    <x v="34"/>
    <x v="42"/>
    <x v="0"/>
    <x v="0"/>
    <x v="0"/>
    <x v="0"/>
    <x v="0"/>
    <x v="0"/>
    <x v="0"/>
    <x v="0"/>
    <x v="0"/>
    <x v="0"/>
    <x v="0"/>
    <x v="0"/>
    <x v="0"/>
    <x v="0"/>
    <x v="1"/>
    <x v="0"/>
    <x v="0"/>
    <x v="0"/>
    <x v="0"/>
  </r>
  <r>
    <s v="Rashomon"/>
    <n v="27"/>
    <n v="237"/>
    <s v="Stacker"/>
    <x v="100"/>
    <d v="1950-08-26T00:00:00"/>
    <x v="34"/>
    <x v="222"/>
    <x v="0"/>
    <x v="0"/>
    <x v="0"/>
    <x v="0"/>
    <x v="1"/>
    <x v="0"/>
    <x v="0"/>
    <x v="0"/>
    <x v="0"/>
    <x v="0"/>
    <x v="0"/>
    <x v="0"/>
    <x v="1"/>
    <x v="0"/>
    <x v="1"/>
    <x v="0"/>
    <x v="0"/>
    <x v="0"/>
    <x v="0"/>
  </r>
  <r>
    <s v="Some Like It Hot"/>
    <n v="26"/>
    <n v="238"/>
    <s v="Stacker"/>
    <x v="101"/>
    <d v="1959-03-19T00:00:00"/>
    <x v="56"/>
    <x v="226"/>
    <x v="0"/>
    <x v="0"/>
    <x v="0"/>
    <x v="1"/>
    <x v="1"/>
    <x v="0"/>
    <x v="1"/>
    <x v="0"/>
    <x v="0"/>
    <x v="0"/>
    <x v="0"/>
    <x v="0"/>
    <x v="0"/>
    <x v="1"/>
    <x v="1"/>
    <x v="0"/>
    <x v="0"/>
    <x v="0"/>
    <x v="0"/>
  </r>
  <r>
    <s v="Pan's Labyrinth"/>
    <n v="25"/>
    <n v="239"/>
    <s v="Stacker"/>
    <x v="122"/>
    <d v="2006-10-10T00:00:00"/>
    <x v="13"/>
    <x v="287"/>
    <x v="0"/>
    <x v="0"/>
    <x v="0"/>
    <x v="0"/>
    <x v="0"/>
    <x v="0"/>
    <x v="0"/>
    <x v="0"/>
    <x v="1"/>
    <x v="0"/>
    <x v="0"/>
    <x v="0"/>
    <x v="0"/>
    <x v="0"/>
    <x v="1"/>
    <x v="0"/>
    <x v="0"/>
    <x v="1"/>
    <x v="0"/>
  </r>
  <r>
    <s v="The Godfather: Part II"/>
    <n v="24"/>
    <n v="240"/>
    <s v="Stacker"/>
    <x v="51"/>
    <d v="1974-12-20T00:00:00"/>
    <x v="25"/>
    <x v="157"/>
    <x v="0"/>
    <x v="0"/>
    <x v="0"/>
    <x v="0"/>
    <x v="1"/>
    <x v="0"/>
    <x v="0"/>
    <x v="0"/>
    <x v="0"/>
    <x v="0"/>
    <x v="0"/>
    <x v="0"/>
    <x v="0"/>
    <x v="0"/>
    <x v="1"/>
    <x v="0"/>
    <x v="0"/>
    <x v="0"/>
    <x v="0"/>
  </r>
  <r>
    <s v="The Lord of the Rings: The Fellowship of the Ring"/>
    <n v="23"/>
    <n v="241"/>
    <s v="Stacker"/>
    <x v="157"/>
    <d v="2001-12-18T00:00:00"/>
    <x v="16"/>
    <x v="374"/>
    <x v="1"/>
    <x v="1"/>
    <x v="0"/>
    <x v="0"/>
    <x v="0"/>
    <x v="0"/>
    <x v="1"/>
    <x v="0"/>
    <x v="1"/>
    <x v="0"/>
    <x v="0"/>
    <x v="0"/>
    <x v="0"/>
    <x v="0"/>
    <x v="1"/>
    <x v="0"/>
    <x v="0"/>
    <x v="0"/>
    <x v="0"/>
  </r>
  <r>
    <s v="Fanny and Alexander"/>
    <n v="22"/>
    <n v="242"/>
    <s v="Stacker"/>
    <x v="68"/>
    <d v="1982-12-17T00:00:00"/>
    <x v="74"/>
    <x v="135"/>
    <x v="0"/>
    <x v="0"/>
    <x v="0"/>
    <x v="0"/>
    <x v="0"/>
    <x v="0"/>
    <x v="0"/>
    <x v="0"/>
    <x v="1"/>
    <x v="0"/>
    <x v="0"/>
    <x v="0"/>
    <x v="1"/>
    <x v="0"/>
    <x v="1"/>
    <x v="0"/>
    <x v="0"/>
    <x v="0"/>
    <x v="0"/>
  </r>
  <r>
    <s v="Three Colors: Red"/>
    <n v="21"/>
    <n v="243"/>
    <s v="Stacker"/>
    <x v="202"/>
    <d v="1994-05-12T00:00:00"/>
    <x v="71"/>
    <x v="459"/>
    <x v="0"/>
    <x v="0"/>
    <x v="0"/>
    <x v="0"/>
    <x v="0"/>
    <x v="0"/>
    <x v="0"/>
    <x v="0"/>
    <x v="0"/>
    <x v="0"/>
    <x v="0"/>
    <x v="0"/>
    <x v="1"/>
    <x v="1"/>
    <x v="1"/>
    <x v="0"/>
    <x v="0"/>
    <x v="0"/>
    <x v="0"/>
  </r>
  <r>
    <s v="Metropolis"/>
    <n v="20"/>
    <n v="244"/>
    <s v="Stacker"/>
    <x v="0"/>
    <d v="1927-02-06T00:00:00"/>
    <x v="87"/>
    <x v="194"/>
    <x v="0"/>
    <x v="0"/>
    <x v="0"/>
    <x v="0"/>
    <x v="0"/>
    <x v="0"/>
    <x v="0"/>
    <x v="0"/>
    <x v="0"/>
    <x v="0"/>
    <x v="0"/>
    <x v="0"/>
    <x v="0"/>
    <x v="0"/>
    <x v="0"/>
    <x v="0"/>
    <x v="0"/>
    <x v="0"/>
    <x v="0"/>
  </r>
  <r>
    <s v="Modern Times"/>
    <n v="19"/>
    <n v="245"/>
    <s v="Stacker"/>
    <x v="50"/>
    <d v="1936-02-05T00:00:00"/>
    <x v="32"/>
    <x v="182"/>
    <x v="0"/>
    <x v="0"/>
    <x v="0"/>
    <x v="1"/>
    <x v="0"/>
    <x v="0"/>
    <x v="0"/>
    <x v="0"/>
    <x v="0"/>
    <x v="0"/>
    <x v="0"/>
    <x v="0"/>
    <x v="0"/>
    <x v="0"/>
    <x v="1"/>
    <x v="0"/>
    <x v="0"/>
    <x v="0"/>
    <x v="0"/>
  </r>
  <r>
    <s v="North by Northwest"/>
    <n v="18"/>
    <n v="246"/>
    <s v="Stacker"/>
    <x v="98"/>
    <d v="1959-07-08T00:00:00"/>
    <x v="56"/>
    <x v="218"/>
    <x v="0"/>
    <x v="1"/>
    <x v="0"/>
    <x v="0"/>
    <x v="0"/>
    <x v="0"/>
    <x v="1"/>
    <x v="0"/>
    <x v="0"/>
    <x v="0"/>
    <x v="0"/>
    <x v="0"/>
    <x v="1"/>
    <x v="0"/>
    <x v="1"/>
    <x v="0"/>
    <x v="1"/>
    <x v="0"/>
    <x v="0"/>
  </r>
  <r>
    <s v="Dr. Strangelove or: How I Learned to Stop Worrying and Love the Bomb"/>
    <n v="17"/>
    <n v="247"/>
    <s v="Stacker"/>
    <x v="20"/>
    <d v="1964-01-29T00:00:00"/>
    <x v="43"/>
    <x v="59"/>
    <x v="0"/>
    <x v="0"/>
    <x v="0"/>
    <x v="1"/>
    <x v="0"/>
    <x v="0"/>
    <x v="1"/>
    <x v="0"/>
    <x v="0"/>
    <x v="0"/>
    <x v="0"/>
    <x v="0"/>
    <x v="0"/>
    <x v="0"/>
    <x v="1"/>
    <x v="0"/>
    <x v="0"/>
    <x v="1"/>
    <x v="0"/>
  </r>
  <r>
    <s v="Parasite"/>
    <n v="16"/>
    <n v="248"/>
    <s v="Stacker"/>
    <x v="57"/>
    <d v="1982-03-12T00:00:00"/>
    <x v="74"/>
    <x v="170"/>
    <x v="0"/>
    <x v="0"/>
    <x v="0"/>
    <x v="0"/>
    <x v="0"/>
    <x v="0"/>
    <x v="1"/>
    <x v="0"/>
    <x v="0"/>
    <x v="0"/>
    <x v="1"/>
    <x v="0"/>
    <x v="0"/>
    <x v="0"/>
    <x v="0"/>
    <x v="0"/>
    <x v="0"/>
    <x v="0"/>
    <x v="0"/>
  </r>
  <r>
    <s v="Singin' in the Rain"/>
    <n v="15"/>
    <n v="249"/>
    <s v="Stacker"/>
    <x v="67"/>
    <d v="1952-04-09T00:00:00"/>
    <x v="22"/>
    <x v="254"/>
    <x v="0"/>
    <x v="0"/>
    <x v="0"/>
    <x v="1"/>
    <x v="0"/>
    <x v="0"/>
    <x v="1"/>
    <x v="0"/>
    <x v="0"/>
    <x v="0"/>
    <x v="0"/>
    <x v="0"/>
    <x v="0"/>
    <x v="1"/>
    <x v="1"/>
    <x v="0"/>
    <x v="0"/>
    <x v="0"/>
    <x v="0"/>
  </r>
  <r>
    <s v="Psycho"/>
    <n v="14"/>
    <n v="250"/>
    <s v="Stacker"/>
    <x v="103"/>
    <d v="1960-06-22T00:00:00"/>
    <x v="86"/>
    <x v="232"/>
    <x v="0"/>
    <x v="0"/>
    <x v="0"/>
    <x v="0"/>
    <x v="0"/>
    <x v="0"/>
    <x v="0"/>
    <x v="0"/>
    <x v="0"/>
    <x v="0"/>
    <x v="1"/>
    <x v="0"/>
    <x v="0"/>
    <x v="0"/>
    <x v="1"/>
    <x v="0"/>
    <x v="1"/>
    <x v="0"/>
    <x v="0"/>
  </r>
  <r>
    <s v="Spirited Away"/>
    <n v="13"/>
    <n v="251"/>
    <s v="Stacker"/>
    <x v="90"/>
    <d v="2001-07-20T00:00:00"/>
    <x v="16"/>
    <x v="187"/>
    <x v="0"/>
    <x v="0"/>
    <x v="1"/>
    <x v="0"/>
    <x v="0"/>
    <x v="0"/>
    <x v="1"/>
    <x v="1"/>
    <x v="1"/>
    <x v="0"/>
    <x v="0"/>
    <x v="0"/>
    <x v="0"/>
    <x v="0"/>
    <x v="1"/>
    <x v="0"/>
    <x v="0"/>
    <x v="0"/>
    <x v="0"/>
  </r>
  <r>
    <s v="Lawrence of Arabia"/>
    <n v="12"/>
    <n v="252"/>
    <s v="Stacker"/>
    <x v="65"/>
    <d v="1962-12-11T00:00:00"/>
    <x v="42"/>
    <x v="131"/>
    <x v="0"/>
    <x v="1"/>
    <x v="0"/>
    <x v="0"/>
    <x v="0"/>
    <x v="0"/>
    <x v="0"/>
    <x v="0"/>
    <x v="0"/>
    <x v="1"/>
    <x v="0"/>
    <x v="0"/>
    <x v="0"/>
    <x v="0"/>
    <x v="1"/>
    <x v="0"/>
    <x v="0"/>
    <x v="1"/>
    <x v="0"/>
  </r>
  <r>
    <s v="Vertigo"/>
    <n v="11"/>
    <n v="253"/>
    <s v="Stacker"/>
    <x v="111"/>
    <d v="1958-05-28T00:00:00"/>
    <x v="78"/>
    <x v="262"/>
    <x v="0"/>
    <x v="0"/>
    <x v="0"/>
    <x v="0"/>
    <x v="0"/>
    <x v="0"/>
    <x v="1"/>
    <x v="0"/>
    <x v="0"/>
    <x v="0"/>
    <x v="0"/>
    <x v="0"/>
    <x v="1"/>
    <x v="1"/>
    <x v="1"/>
    <x v="0"/>
    <x v="1"/>
    <x v="0"/>
    <x v="0"/>
  </r>
  <r>
    <s v="Citizen Kane"/>
    <n v="10"/>
    <n v="254"/>
    <s v="Stacker"/>
    <x v="46"/>
    <d v="1941-04-17T00:00:00"/>
    <x v="2"/>
    <x v="261"/>
    <x v="0"/>
    <x v="0"/>
    <x v="0"/>
    <x v="0"/>
    <x v="0"/>
    <x v="0"/>
    <x v="0"/>
    <x v="0"/>
    <x v="0"/>
    <x v="0"/>
    <x v="0"/>
    <x v="0"/>
    <x v="1"/>
    <x v="0"/>
    <x v="1"/>
    <x v="0"/>
    <x v="0"/>
    <x v="0"/>
    <x v="0"/>
  </r>
  <r>
    <s v="Pulp Fiction"/>
    <n v="9"/>
    <n v="255"/>
    <s v="Stacker"/>
    <x v="66"/>
    <d v="1994-09-10T00:00:00"/>
    <x v="71"/>
    <x v="132"/>
    <x v="0"/>
    <x v="0"/>
    <x v="0"/>
    <x v="0"/>
    <x v="1"/>
    <x v="0"/>
    <x v="1"/>
    <x v="0"/>
    <x v="0"/>
    <x v="0"/>
    <x v="0"/>
    <x v="0"/>
    <x v="0"/>
    <x v="0"/>
    <x v="1"/>
    <x v="0"/>
    <x v="1"/>
    <x v="0"/>
    <x v="0"/>
  </r>
  <r>
    <s v="City Lights"/>
    <n v="8"/>
    <n v="256"/>
    <s v="Stacker"/>
    <x v="102"/>
    <d v="1931-02-01T00:00:00"/>
    <x v="40"/>
    <x v="228"/>
    <x v="0"/>
    <x v="0"/>
    <x v="0"/>
    <x v="1"/>
    <x v="0"/>
    <x v="0"/>
    <x v="0"/>
    <x v="0"/>
    <x v="0"/>
    <x v="0"/>
    <x v="0"/>
    <x v="0"/>
    <x v="0"/>
    <x v="1"/>
    <x v="1"/>
    <x v="0"/>
    <x v="0"/>
    <x v="0"/>
    <x v="0"/>
  </r>
  <r>
    <s v="Seven Samurai"/>
    <n v="7"/>
    <n v="257"/>
    <s v="Stacker"/>
    <x v="107"/>
    <d v="1954-04-26T00:00:00"/>
    <x v="76"/>
    <x v="244"/>
    <x v="1"/>
    <x v="0"/>
    <x v="0"/>
    <x v="0"/>
    <x v="0"/>
    <x v="0"/>
    <x v="0"/>
    <x v="0"/>
    <x v="0"/>
    <x v="0"/>
    <x v="0"/>
    <x v="0"/>
    <x v="0"/>
    <x v="0"/>
    <x v="1"/>
    <x v="0"/>
    <x v="0"/>
    <x v="0"/>
    <x v="0"/>
  </r>
  <r>
    <s v="Schindler's List"/>
    <n v="6"/>
    <n v="258"/>
    <s v="Stacker"/>
    <x v="56"/>
    <d v="1993-12-15T00:00:00"/>
    <x v="29"/>
    <x v="353"/>
    <x v="0"/>
    <x v="0"/>
    <x v="0"/>
    <x v="0"/>
    <x v="0"/>
    <x v="0"/>
    <x v="0"/>
    <x v="0"/>
    <x v="0"/>
    <x v="1"/>
    <x v="0"/>
    <x v="0"/>
    <x v="0"/>
    <x v="0"/>
    <x v="1"/>
    <x v="0"/>
    <x v="0"/>
    <x v="1"/>
    <x v="0"/>
  </r>
  <r>
    <s v="The Lord of the Rings: The Return of the King"/>
    <n v="5"/>
    <n v="259"/>
    <s v="Stacker"/>
    <x v="157"/>
    <d v="2003-12-01T00:00:00"/>
    <x v="79"/>
    <x v="361"/>
    <x v="1"/>
    <x v="1"/>
    <x v="0"/>
    <x v="0"/>
    <x v="0"/>
    <x v="0"/>
    <x v="1"/>
    <x v="0"/>
    <x v="1"/>
    <x v="0"/>
    <x v="0"/>
    <x v="0"/>
    <x v="0"/>
    <x v="0"/>
    <x v="1"/>
    <x v="0"/>
    <x v="0"/>
    <x v="0"/>
    <x v="0"/>
  </r>
  <r>
    <s v="Rear Window"/>
    <n v="4"/>
    <n v="260"/>
    <s v="Stacker"/>
    <x v="94"/>
    <d v="1954-08-01T00:00:00"/>
    <x v="76"/>
    <x v="224"/>
    <x v="0"/>
    <x v="0"/>
    <x v="0"/>
    <x v="0"/>
    <x v="0"/>
    <x v="0"/>
    <x v="1"/>
    <x v="0"/>
    <x v="0"/>
    <x v="0"/>
    <x v="0"/>
    <x v="0"/>
    <x v="1"/>
    <x v="0"/>
    <x v="1"/>
    <x v="0"/>
    <x v="1"/>
    <x v="0"/>
    <x v="0"/>
  </r>
  <r>
    <s v="Casablanca"/>
    <n v="3"/>
    <n v="261"/>
    <s v="Stacker"/>
    <x v="12"/>
    <d v="1943-01-15T00:00:00"/>
    <x v="41"/>
    <x v="201"/>
    <x v="0"/>
    <x v="0"/>
    <x v="0"/>
    <x v="0"/>
    <x v="0"/>
    <x v="0"/>
    <x v="0"/>
    <x v="0"/>
    <x v="0"/>
    <x v="0"/>
    <x v="0"/>
    <x v="0"/>
    <x v="0"/>
    <x v="1"/>
    <x v="1"/>
    <x v="0"/>
    <x v="0"/>
    <x v="0"/>
    <x v="0"/>
  </r>
  <r>
    <s v="12 Angry Men"/>
    <n v="2"/>
    <n v="262"/>
    <s v="Stacker"/>
    <x v="6"/>
    <d v="1957-04-10T00:00:00"/>
    <x v="52"/>
    <x v="276"/>
    <x v="0"/>
    <x v="0"/>
    <x v="0"/>
    <x v="0"/>
    <x v="0"/>
    <x v="0"/>
    <x v="0"/>
    <x v="0"/>
    <x v="0"/>
    <x v="0"/>
    <x v="0"/>
    <x v="0"/>
    <x v="0"/>
    <x v="0"/>
    <x v="1"/>
    <x v="0"/>
    <x v="0"/>
    <x v="0"/>
    <x v="0"/>
  </r>
  <r>
    <s v="The Godfather"/>
    <n v="1"/>
    <n v="263"/>
    <s v="Stacker"/>
    <x v="51"/>
    <d v="1972-03-14T00:00:00"/>
    <x v="19"/>
    <x v="252"/>
    <x v="0"/>
    <x v="0"/>
    <x v="0"/>
    <x v="0"/>
    <x v="1"/>
    <x v="0"/>
    <x v="0"/>
    <x v="0"/>
    <x v="0"/>
    <x v="0"/>
    <x v="0"/>
    <x v="0"/>
    <x v="0"/>
    <x v="0"/>
    <x v="1"/>
    <x v="0"/>
    <x v="0"/>
    <x v="0"/>
    <x v="0"/>
  </r>
  <r>
    <s v="2001: A Space Odyssey "/>
    <n v="1"/>
    <n v="263"/>
    <s v="Timeout"/>
    <x v="110"/>
    <d v="1968-04-02T00:00:00"/>
    <x v="21"/>
    <x v="258"/>
    <x v="0"/>
    <x v="1"/>
    <x v="0"/>
    <x v="0"/>
    <x v="0"/>
    <x v="0"/>
    <x v="1"/>
    <x v="0"/>
    <x v="0"/>
    <x v="0"/>
    <x v="0"/>
    <x v="0"/>
    <x v="1"/>
    <x v="0"/>
    <x v="0"/>
    <x v="0"/>
    <x v="0"/>
    <x v="0"/>
    <x v="0"/>
  </r>
  <r>
    <s v="The Godfather "/>
    <n v="2"/>
    <n v="262"/>
    <s v="Timeout"/>
    <x v="51"/>
    <d v="1972-03-14T00:00:00"/>
    <x v="19"/>
    <x v="252"/>
    <x v="0"/>
    <x v="0"/>
    <x v="0"/>
    <x v="0"/>
    <x v="1"/>
    <x v="0"/>
    <x v="0"/>
    <x v="0"/>
    <x v="0"/>
    <x v="0"/>
    <x v="0"/>
    <x v="0"/>
    <x v="0"/>
    <x v="0"/>
    <x v="1"/>
    <x v="0"/>
    <x v="0"/>
    <x v="0"/>
    <x v="0"/>
  </r>
  <r>
    <s v="Citizen Kane "/>
    <n v="3"/>
    <n v="261"/>
    <s v="Timeout"/>
    <x v="46"/>
    <d v="1941-04-17T00:00:00"/>
    <x v="2"/>
    <x v="261"/>
    <x v="0"/>
    <x v="0"/>
    <x v="0"/>
    <x v="0"/>
    <x v="0"/>
    <x v="0"/>
    <x v="0"/>
    <x v="0"/>
    <x v="0"/>
    <x v="0"/>
    <x v="0"/>
    <x v="0"/>
    <x v="1"/>
    <x v="0"/>
    <x v="1"/>
    <x v="0"/>
    <x v="0"/>
    <x v="0"/>
    <x v="0"/>
  </r>
  <r>
    <s v="Jeanne Dielman, 23, Quai du Commerce, 1080 Bruxelles "/>
    <n v="4"/>
    <n v="260"/>
    <s v="Timeout"/>
    <x v="6"/>
    <d v="1976-01-21T00:00:00"/>
    <x v="44"/>
    <x v="263"/>
    <x v="0"/>
    <x v="0"/>
    <x v="0"/>
    <x v="0"/>
    <x v="0"/>
    <x v="0"/>
    <x v="0"/>
    <x v="0"/>
    <x v="0"/>
    <x v="0"/>
    <x v="0"/>
    <x v="0"/>
    <x v="0"/>
    <x v="0"/>
    <x v="1"/>
    <x v="0"/>
    <x v="0"/>
    <x v="0"/>
    <x v="0"/>
  </r>
  <r>
    <s v="Raiders of the Lost Ark "/>
    <n v="5"/>
    <n v="259"/>
    <s v="Timeout"/>
    <x v="26"/>
    <d v="1981-06-12T00:00:00"/>
    <x v="9"/>
    <x v="52"/>
    <x v="1"/>
    <x v="1"/>
    <x v="0"/>
    <x v="0"/>
    <x v="0"/>
    <x v="0"/>
    <x v="1"/>
    <x v="0"/>
    <x v="0"/>
    <x v="0"/>
    <x v="0"/>
    <x v="0"/>
    <x v="0"/>
    <x v="0"/>
    <x v="1"/>
    <x v="0"/>
    <x v="0"/>
    <x v="0"/>
    <x v="0"/>
  </r>
  <r>
    <s v="La Dolce Vita "/>
    <n v="6"/>
    <n v="258"/>
    <s v="Timeout"/>
    <x v="50"/>
    <d v="1960-02-05T00:00:00"/>
    <x v="86"/>
    <x v="203"/>
    <x v="0"/>
    <x v="0"/>
    <x v="0"/>
    <x v="1"/>
    <x v="0"/>
    <x v="0"/>
    <x v="0"/>
    <x v="0"/>
    <x v="0"/>
    <x v="0"/>
    <x v="0"/>
    <x v="0"/>
    <x v="0"/>
    <x v="0"/>
    <x v="1"/>
    <x v="0"/>
    <x v="0"/>
    <x v="0"/>
    <x v="0"/>
  </r>
  <r>
    <s v="Seven Samurai "/>
    <n v="7"/>
    <n v="257"/>
    <s v="Timeout"/>
    <x v="107"/>
    <d v="1954-04-26T00:00:00"/>
    <x v="76"/>
    <x v="244"/>
    <x v="1"/>
    <x v="0"/>
    <x v="0"/>
    <x v="0"/>
    <x v="0"/>
    <x v="0"/>
    <x v="0"/>
    <x v="0"/>
    <x v="0"/>
    <x v="0"/>
    <x v="0"/>
    <x v="0"/>
    <x v="0"/>
    <x v="0"/>
    <x v="1"/>
    <x v="0"/>
    <x v="0"/>
    <x v="0"/>
    <x v="0"/>
  </r>
  <r>
    <s v="In the Mood for Love "/>
    <n v="8"/>
    <n v="256"/>
    <s v="Timeout"/>
    <x v="12"/>
    <d v="2000-09-29T00:00:00"/>
    <x v="27"/>
    <x v="259"/>
    <x v="0"/>
    <x v="0"/>
    <x v="0"/>
    <x v="0"/>
    <x v="0"/>
    <x v="0"/>
    <x v="0"/>
    <x v="0"/>
    <x v="0"/>
    <x v="0"/>
    <x v="0"/>
    <x v="0"/>
    <x v="0"/>
    <x v="1"/>
    <x v="1"/>
    <x v="0"/>
    <x v="0"/>
    <x v="0"/>
    <x v="0"/>
  </r>
  <r>
    <s v="There Will Be Blood "/>
    <n v="9"/>
    <n v="255"/>
    <s v="Timeout"/>
    <x v="6"/>
    <d v="2007-12-26T00:00:00"/>
    <x v="4"/>
    <x v="142"/>
    <x v="0"/>
    <x v="0"/>
    <x v="0"/>
    <x v="0"/>
    <x v="0"/>
    <x v="0"/>
    <x v="0"/>
    <x v="0"/>
    <x v="0"/>
    <x v="0"/>
    <x v="0"/>
    <x v="0"/>
    <x v="0"/>
    <x v="0"/>
    <x v="1"/>
    <x v="0"/>
    <x v="0"/>
    <x v="0"/>
    <x v="0"/>
  </r>
  <r>
    <s v="Singinâ€™ in the Rain "/>
    <n v="10"/>
    <n v="254"/>
    <s v="Timeout"/>
    <x v="67"/>
    <d v="1952-04-09T00:00:00"/>
    <x v="22"/>
    <x v="254"/>
    <x v="0"/>
    <x v="0"/>
    <x v="0"/>
    <x v="1"/>
    <x v="0"/>
    <x v="0"/>
    <x v="1"/>
    <x v="0"/>
    <x v="0"/>
    <x v="0"/>
    <x v="0"/>
    <x v="0"/>
    <x v="0"/>
    <x v="1"/>
    <x v="1"/>
    <x v="0"/>
    <x v="0"/>
    <x v="0"/>
    <x v="0"/>
  </r>
  <r>
    <s v="Goodfellas "/>
    <n v="11"/>
    <n v="253"/>
    <s v="Timeout"/>
    <x v="51"/>
    <d v="1990-09-12T00:00:00"/>
    <x v="89"/>
    <x v="200"/>
    <x v="0"/>
    <x v="0"/>
    <x v="0"/>
    <x v="0"/>
    <x v="1"/>
    <x v="0"/>
    <x v="0"/>
    <x v="0"/>
    <x v="0"/>
    <x v="0"/>
    <x v="0"/>
    <x v="0"/>
    <x v="0"/>
    <x v="0"/>
    <x v="1"/>
    <x v="0"/>
    <x v="0"/>
    <x v="0"/>
    <x v="0"/>
  </r>
  <r>
    <s v="North by Northwest "/>
    <n v="12"/>
    <n v="252"/>
    <s v="Timeout"/>
    <x v="98"/>
    <d v="1959-07-08T00:00:00"/>
    <x v="56"/>
    <x v="218"/>
    <x v="0"/>
    <x v="1"/>
    <x v="0"/>
    <x v="0"/>
    <x v="0"/>
    <x v="0"/>
    <x v="1"/>
    <x v="0"/>
    <x v="0"/>
    <x v="0"/>
    <x v="0"/>
    <x v="0"/>
    <x v="1"/>
    <x v="0"/>
    <x v="1"/>
    <x v="0"/>
    <x v="1"/>
    <x v="0"/>
    <x v="0"/>
  </r>
  <r>
    <s v="Mulholland Drive "/>
    <n v="13"/>
    <n v="251"/>
    <s v="Timeout"/>
    <x v="144"/>
    <d v="2001-06-06T00:00:00"/>
    <x v="16"/>
    <x v="337"/>
    <x v="0"/>
    <x v="0"/>
    <x v="0"/>
    <x v="0"/>
    <x v="0"/>
    <x v="0"/>
    <x v="0"/>
    <x v="0"/>
    <x v="0"/>
    <x v="0"/>
    <x v="0"/>
    <x v="0"/>
    <x v="1"/>
    <x v="0"/>
    <x v="1"/>
    <x v="0"/>
    <x v="1"/>
    <x v="0"/>
    <x v="0"/>
  </r>
  <r>
    <s v="Bicycle Thieves "/>
    <n v="14"/>
    <n v="250"/>
    <s v="Timeout"/>
    <x v="6"/>
    <d v="1948-11-24T00:00:00"/>
    <x v="57"/>
    <x v="223"/>
    <x v="0"/>
    <x v="0"/>
    <x v="0"/>
    <x v="0"/>
    <x v="0"/>
    <x v="0"/>
    <x v="0"/>
    <x v="0"/>
    <x v="0"/>
    <x v="0"/>
    <x v="0"/>
    <x v="0"/>
    <x v="0"/>
    <x v="0"/>
    <x v="1"/>
    <x v="0"/>
    <x v="0"/>
    <x v="0"/>
    <x v="0"/>
  </r>
  <r>
    <s v="The Dark Knight "/>
    <n v="15"/>
    <n v="249"/>
    <s v="Timeout"/>
    <x v="123"/>
    <d v="2008-07-16T00:00:00"/>
    <x v="48"/>
    <x v="289"/>
    <x v="1"/>
    <x v="0"/>
    <x v="0"/>
    <x v="0"/>
    <x v="1"/>
    <x v="0"/>
    <x v="0"/>
    <x v="0"/>
    <x v="0"/>
    <x v="0"/>
    <x v="0"/>
    <x v="0"/>
    <x v="0"/>
    <x v="0"/>
    <x v="1"/>
    <x v="0"/>
    <x v="1"/>
    <x v="0"/>
    <x v="0"/>
  </r>
  <r>
    <s v="City Lights "/>
    <n v="16"/>
    <n v="248"/>
    <s v="Timeout"/>
    <x v="102"/>
    <d v="1931-02-01T00:00:00"/>
    <x v="40"/>
    <x v="228"/>
    <x v="0"/>
    <x v="0"/>
    <x v="0"/>
    <x v="1"/>
    <x v="0"/>
    <x v="0"/>
    <x v="0"/>
    <x v="0"/>
    <x v="0"/>
    <x v="0"/>
    <x v="0"/>
    <x v="0"/>
    <x v="0"/>
    <x v="1"/>
    <x v="1"/>
    <x v="0"/>
    <x v="0"/>
    <x v="0"/>
    <x v="0"/>
  </r>
  <r>
    <s v="Grand Illusion "/>
    <n v="17"/>
    <n v="247"/>
    <s v="Timeout"/>
    <x v="56"/>
    <d v="1937-06-04T00:00:00"/>
    <x v="65"/>
    <x v="114"/>
    <x v="0"/>
    <x v="0"/>
    <x v="0"/>
    <x v="0"/>
    <x v="0"/>
    <x v="0"/>
    <x v="0"/>
    <x v="0"/>
    <x v="0"/>
    <x v="1"/>
    <x v="0"/>
    <x v="0"/>
    <x v="0"/>
    <x v="0"/>
    <x v="1"/>
    <x v="0"/>
    <x v="0"/>
    <x v="1"/>
    <x v="0"/>
  </r>
  <r>
    <s v="His Girl Friday "/>
    <n v="18"/>
    <n v="246"/>
    <s v="Timeout"/>
    <x v="67"/>
    <d v="1940-01-18T00:00:00"/>
    <x v="73"/>
    <x v="134"/>
    <x v="0"/>
    <x v="0"/>
    <x v="0"/>
    <x v="1"/>
    <x v="0"/>
    <x v="0"/>
    <x v="1"/>
    <x v="0"/>
    <x v="0"/>
    <x v="0"/>
    <x v="0"/>
    <x v="0"/>
    <x v="0"/>
    <x v="1"/>
    <x v="1"/>
    <x v="0"/>
    <x v="0"/>
    <x v="0"/>
    <x v="0"/>
  </r>
  <r>
    <s v="The Red Shoes "/>
    <n v="19"/>
    <n v="245"/>
    <s v="Timeout"/>
    <x v="245"/>
    <d v="2019-07-25T00:00:00"/>
    <x v="14"/>
    <x v="592"/>
    <x v="0"/>
    <x v="0"/>
    <x v="1"/>
    <x v="1"/>
    <x v="0"/>
    <x v="0"/>
    <x v="1"/>
    <x v="1"/>
    <x v="1"/>
    <x v="0"/>
    <x v="0"/>
    <x v="0"/>
    <x v="0"/>
    <x v="1"/>
    <x v="1"/>
    <x v="0"/>
    <x v="0"/>
    <x v="0"/>
    <x v="0"/>
  </r>
  <r>
    <s v="Vertigo "/>
    <n v="20"/>
    <n v="244"/>
    <s v="Timeout"/>
    <x v="4"/>
    <d v="2021-09-09T00:00:00"/>
    <x v="26"/>
    <x v="262"/>
    <x v="0"/>
    <x v="0"/>
    <x v="0"/>
    <x v="0"/>
    <x v="0"/>
    <x v="1"/>
    <x v="1"/>
    <x v="0"/>
    <x v="0"/>
    <x v="0"/>
    <x v="0"/>
    <x v="0"/>
    <x v="0"/>
    <x v="0"/>
    <x v="1"/>
    <x v="0"/>
    <x v="0"/>
    <x v="0"/>
    <x v="0"/>
  </r>
  <r>
    <s v="Beau Travail "/>
    <n v="21"/>
    <n v="243"/>
    <s v="Timeout"/>
    <x v="6"/>
    <d v="2000-05-03T00:00:00"/>
    <x v="27"/>
    <x v="257"/>
    <x v="0"/>
    <x v="0"/>
    <x v="0"/>
    <x v="0"/>
    <x v="0"/>
    <x v="0"/>
    <x v="0"/>
    <x v="0"/>
    <x v="0"/>
    <x v="0"/>
    <x v="0"/>
    <x v="0"/>
    <x v="0"/>
    <x v="0"/>
    <x v="1"/>
    <x v="0"/>
    <x v="0"/>
    <x v="0"/>
    <x v="0"/>
  </r>
  <r>
    <s v="The Searchers "/>
    <n v="22"/>
    <n v="242"/>
    <s v="Timeout"/>
    <x v="43"/>
    <d v="1956-05-16T00:00:00"/>
    <x v="81"/>
    <x v="249"/>
    <x v="0"/>
    <x v="0"/>
    <x v="0"/>
    <x v="0"/>
    <x v="0"/>
    <x v="0"/>
    <x v="1"/>
    <x v="0"/>
    <x v="0"/>
    <x v="0"/>
    <x v="0"/>
    <x v="0"/>
    <x v="0"/>
    <x v="0"/>
    <x v="1"/>
    <x v="0"/>
    <x v="0"/>
    <x v="0"/>
    <x v="1"/>
  </r>
  <r>
    <s v="Persona "/>
    <n v="23"/>
    <n v="241"/>
    <s v="Timeout"/>
    <x v="6"/>
    <d v="1966-10-18T00:00:00"/>
    <x v="49"/>
    <x v="246"/>
    <x v="0"/>
    <x v="0"/>
    <x v="0"/>
    <x v="0"/>
    <x v="0"/>
    <x v="0"/>
    <x v="0"/>
    <x v="0"/>
    <x v="0"/>
    <x v="0"/>
    <x v="0"/>
    <x v="0"/>
    <x v="0"/>
    <x v="0"/>
    <x v="1"/>
    <x v="0"/>
    <x v="0"/>
    <x v="0"/>
    <x v="0"/>
  </r>
  <r>
    <s v="Do the Right Thing "/>
    <n v="24"/>
    <n v="240"/>
    <s v="Timeout"/>
    <x v="6"/>
    <d v="1989-06-14T00:00:00"/>
    <x v="61"/>
    <x v="240"/>
    <x v="0"/>
    <x v="0"/>
    <x v="0"/>
    <x v="0"/>
    <x v="0"/>
    <x v="0"/>
    <x v="0"/>
    <x v="0"/>
    <x v="0"/>
    <x v="0"/>
    <x v="0"/>
    <x v="0"/>
    <x v="0"/>
    <x v="0"/>
    <x v="1"/>
    <x v="0"/>
    <x v="0"/>
    <x v="0"/>
    <x v="0"/>
  </r>
  <r>
    <s v="Rashomon "/>
    <n v="25"/>
    <n v="239"/>
    <s v="Timeout"/>
    <x v="100"/>
    <d v="1950-08-26T00:00:00"/>
    <x v="34"/>
    <x v="222"/>
    <x v="0"/>
    <x v="0"/>
    <x v="0"/>
    <x v="0"/>
    <x v="1"/>
    <x v="0"/>
    <x v="0"/>
    <x v="0"/>
    <x v="0"/>
    <x v="0"/>
    <x v="0"/>
    <x v="0"/>
    <x v="1"/>
    <x v="0"/>
    <x v="1"/>
    <x v="0"/>
    <x v="0"/>
    <x v="0"/>
    <x v="0"/>
  </r>
  <r>
    <s v="The Rules of the Game "/>
    <n v="26"/>
    <n v="238"/>
    <s v="Timeout"/>
    <x v="59"/>
    <d v="1939-07-09T00:00:00"/>
    <x v="75"/>
    <x v="251"/>
    <x v="0"/>
    <x v="0"/>
    <x v="0"/>
    <x v="1"/>
    <x v="0"/>
    <x v="0"/>
    <x v="0"/>
    <x v="0"/>
    <x v="0"/>
    <x v="0"/>
    <x v="0"/>
    <x v="0"/>
    <x v="0"/>
    <x v="1"/>
    <x v="1"/>
    <x v="0"/>
    <x v="0"/>
    <x v="0"/>
    <x v="0"/>
  </r>
  <r>
    <s v="Jaws "/>
    <n v="27"/>
    <n v="237"/>
    <s v="Timeout"/>
    <x v="80"/>
    <d v="1975-06-20T00:00:00"/>
    <x v="66"/>
    <x v="158"/>
    <x v="0"/>
    <x v="1"/>
    <x v="0"/>
    <x v="0"/>
    <x v="0"/>
    <x v="0"/>
    <x v="1"/>
    <x v="0"/>
    <x v="0"/>
    <x v="0"/>
    <x v="1"/>
    <x v="0"/>
    <x v="0"/>
    <x v="0"/>
    <x v="1"/>
    <x v="0"/>
    <x v="1"/>
    <x v="0"/>
    <x v="0"/>
  </r>
  <r>
    <s v="Double Indemnity "/>
    <n v="28"/>
    <n v="236"/>
    <s v="Timeout"/>
    <x v="30"/>
    <d v="1944-06-14T00:00:00"/>
    <x v="8"/>
    <x v="58"/>
    <x v="0"/>
    <x v="0"/>
    <x v="0"/>
    <x v="0"/>
    <x v="1"/>
    <x v="0"/>
    <x v="1"/>
    <x v="0"/>
    <x v="0"/>
    <x v="0"/>
    <x v="0"/>
    <x v="0"/>
    <x v="0"/>
    <x v="0"/>
    <x v="1"/>
    <x v="0"/>
    <x v="1"/>
    <x v="0"/>
    <x v="0"/>
  </r>
  <r>
    <s v="The 400 Blows "/>
    <n v="29"/>
    <n v="235"/>
    <s v="Timeout"/>
    <x v="6"/>
    <d v="1959-06-03T00:00:00"/>
    <x v="56"/>
    <x v="214"/>
    <x v="0"/>
    <x v="0"/>
    <x v="0"/>
    <x v="0"/>
    <x v="0"/>
    <x v="0"/>
    <x v="0"/>
    <x v="0"/>
    <x v="0"/>
    <x v="0"/>
    <x v="0"/>
    <x v="0"/>
    <x v="0"/>
    <x v="0"/>
    <x v="1"/>
    <x v="0"/>
    <x v="0"/>
    <x v="0"/>
    <x v="0"/>
  </r>
  <r>
    <s v="Star Wars "/>
    <n v="30"/>
    <n v="234"/>
    <s v="Timeout"/>
    <x v="15"/>
    <d v="1977-05-25T00:00:00"/>
    <x v="3"/>
    <x v="24"/>
    <x v="1"/>
    <x v="1"/>
    <x v="0"/>
    <x v="0"/>
    <x v="0"/>
    <x v="0"/>
    <x v="1"/>
    <x v="0"/>
    <x v="0"/>
    <x v="0"/>
    <x v="0"/>
    <x v="0"/>
    <x v="0"/>
    <x v="0"/>
    <x v="0"/>
    <x v="0"/>
    <x v="0"/>
    <x v="0"/>
    <x v="0"/>
  </r>
  <r>
    <s v="The Passion of Joan of Arc "/>
    <n v="31"/>
    <n v="233"/>
    <s v="Timeout"/>
    <x v="32"/>
    <d v="1928-04-21T00:00:00"/>
    <x v="24"/>
    <x v="243"/>
    <x v="0"/>
    <x v="0"/>
    <x v="0"/>
    <x v="0"/>
    <x v="0"/>
    <x v="0"/>
    <x v="0"/>
    <x v="0"/>
    <x v="0"/>
    <x v="1"/>
    <x v="0"/>
    <x v="0"/>
    <x v="0"/>
    <x v="0"/>
    <x v="1"/>
    <x v="0"/>
    <x v="0"/>
    <x v="0"/>
    <x v="0"/>
  </r>
  <r>
    <s v="Once Upon a Time in the West "/>
    <n v="32"/>
    <n v="232"/>
    <s v="Timeout"/>
    <x v="81"/>
    <d v="1968-12-21T00:00:00"/>
    <x v="21"/>
    <x v="164"/>
    <x v="0"/>
    <x v="0"/>
    <x v="0"/>
    <x v="0"/>
    <x v="0"/>
    <x v="0"/>
    <x v="0"/>
    <x v="0"/>
    <x v="0"/>
    <x v="0"/>
    <x v="0"/>
    <x v="0"/>
    <x v="0"/>
    <x v="0"/>
    <x v="1"/>
    <x v="0"/>
    <x v="0"/>
    <x v="0"/>
    <x v="1"/>
  </r>
  <r>
    <s v="Alien "/>
    <n v="33"/>
    <n v="231"/>
    <s v="Timeout"/>
    <x v="57"/>
    <d v="1979-05-25T00:00:00"/>
    <x v="67"/>
    <x v="116"/>
    <x v="0"/>
    <x v="0"/>
    <x v="0"/>
    <x v="0"/>
    <x v="0"/>
    <x v="0"/>
    <x v="1"/>
    <x v="0"/>
    <x v="0"/>
    <x v="0"/>
    <x v="1"/>
    <x v="0"/>
    <x v="0"/>
    <x v="0"/>
    <x v="0"/>
    <x v="0"/>
    <x v="0"/>
    <x v="0"/>
    <x v="0"/>
  </r>
  <r>
    <s v="Tokyo Story "/>
    <n v="34"/>
    <n v="230"/>
    <s v="Timeout"/>
    <x v="6"/>
    <d v="1953-11-03T00:00:00"/>
    <x v="84"/>
    <x v="260"/>
    <x v="0"/>
    <x v="0"/>
    <x v="0"/>
    <x v="0"/>
    <x v="0"/>
    <x v="0"/>
    <x v="0"/>
    <x v="0"/>
    <x v="0"/>
    <x v="0"/>
    <x v="0"/>
    <x v="0"/>
    <x v="0"/>
    <x v="0"/>
    <x v="1"/>
    <x v="0"/>
    <x v="0"/>
    <x v="0"/>
    <x v="0"/>
  </r>
  <r>
    <s v="Pulp Fiction "/>
    <n v="35"/>
    <n v="229"/>
    <s v="Timeout"/>
    <x v="66"/>
    <d v="1994-09-10T00:00:00"/>
    <x v="71"/>
    <x v="132"/>
    <x v="0"/>
    <x v="0"/>
    <x v="0"/>
    <x v="0"/>
    <x v="1"/>
    <x v="0"/>
    <x v="1"/>
    <x v="0"/>
    <x v="0"/>
    <x v="0"/>
    <x v="0"/>
    <x v="0"/>
    <x v="0"/>
    <x v="0"/>
    <x v="1"/>
    <x v="0"/>
    <x v="1"/>
    <x v="0"/>
    <x v="0"/>
  </r>
  <r>
    <s v="The Truman Show "/>
    <n v="36"/>
    <n v="228"/>
    <s v="Timeout"/>
    <x v="50"/>
    <d v="1998-06-04T00:00:00"/>
    <x v="28"/>
    <x v="545"/>
    <x v="0"/>
    <x v="0"/>
    <x v="0"/>
    <x v="1"/>
    <x v="0"/>
    <x v="0"/>
    <x v="0"/>
    <x v="0"/>
    <x v="0"/>
    <x v="0"/>
    <x v="0"/>
    <x v="0"/>
    <x v="0"/>
    <x v="0"/>
    <x v="1"/>
    <x v="0"/>
    <x v="0"/>
    <x v="0"/>
    <x v="0"/>
  </r>
  <r>
    <s v="Lawrence of Arabia "/>
    <n v="37"/>
    <n v="227"/>
    <s v="Timeout"/>
    <x v="65"/>
    <d v="1962-12-11T00:00:00"/>
    <x v="42"/>
    <x v="131"/>
    <x v="0"/>
    <x v="1"/>
    <x v="0"/>
    <x v="0"/>
    <x v="0"/>
    <x v="0"/>
    <x v="0"/>
    <x v="0"/>
    <x v="0"/>
    <x v="1"/>
    <x v="0"/>
    <x v="0"/>
    <x v="0"/>
    <x v="0"/>
    <x v="1"/>
    <x v="0"/>
    <x v="0"/>
    <x v="1"/>
    <x v="0"/>
  </r>
  <r>
    <s v="Psycho "/>
    <n v="38"/>
    <n v="226"/>
    <s v="Timeout"/>
    <x v="103"/>
    <d v="1960-06-22T00:00:00"/>
    <x v="86"/>
    <x v="232"/>
    <x v="0"/>
    <x v="0"/>
    <x v="0"/>
    <x v="0"/>
    <x v="0"/>
    <x v="0"/>
    <x v="0"/>
    <x v="0"/>
    <x v="0"/>
    <x v="0"/>
    <x v="1"/>
    <x v="0"/>
    <x v="0"/>
    <x v="0"/>
    <x v="1"/>
    <x v="0"/>
    <x v="1"/>
    <x v="0"/>
    <x v="0"/>
  </r>
  <r>
    <s v="Sansho the Bailiff "/>
    <n v="39"/>
    <n v="225"/>
    <s v="Timeout"/>
    <x v="6"/>
    <d v="1954-03-31T00:00:00"/>
    <x v="76"/>
    <x v="188"/>
    <x v="0"/>
    <x v="0"/>
    <x v="0"/>
    <x v="0"/>
    <x v="0"/>
    <x v="0"/>
    <x v="0"/>
    <x v="0"/>
    <x v="0"/>
    <x v="0"/>
    <x v="0"/>
    <x v="0"/>
    <x v="0"/>
    <x v="0"/>
    <x v="1"/>
    <x v="0"/>
    <x v="0"/>
    <x v="0"/>
    <x v="0"/>
  </r>
  <r>
    <s v="Andrei Rublev "/>
    <n v="40"/>
    <n v="224"/>
    <s v="Timeout"/>
    <x v="32"/>
    <d v="1966-12-16T00:00:00"/>
    <x v="49"/>
    <x v="195"/>
    <x v="0"/>
    <x v="0"/>
    <x v="0"/>
    <x v="0"/>
    <x v="0"/>
    <x v="0"/>
    <x v="0"/>
    <x v="0"/>
    <x v="0"/>
    <x v="1"/>
    <x v="0"/>
    <x v="0"/>
    <x v="0"/>
    <x v="0"/>
    <x v="1"/>
    <x v="0"/>
    <x v="0"/>
    <x v="0"/>
    <x v="0"/>
  </r>
  <r>
    <s v="The Umbrellas of Cherbourg "/>
    <n v="41"/>
    <n v="223"/>
    <s v="Timeout"/>
    <x v="12"/>
    <d v="1964-02-19T00:00:00"/>
    <x v="43"/>
    <x v="138"/>
    <x v="0"/>
    <x v="0"/>
    <x v="0"/>
    <x v="0"/>
    <x v="0"/>
    <x v="0"/>
    <x v="0"/>
    <x v="0"/>
    <x v="0"/>
    <x v="0"/>
    <x v="0"/>
    <x v="0"/>
    <x v="0"/>
    <x v="1"/>
    <x v="1"/>
    <x v="0"/>
    <x v="0"/>
    <x v="0"/>
    <x v="0"/>
  </r>
  <r>
    <s v="Chinatown "/>
    <n v="42"/>
    <n v="222"/>
    <s v="Timeout"/>
    <x v="246"/>
    <d v="2015-12-31T00:00:00"/>
    <x v="47"/>
    <x v="593"/>
    <x v="1"/>
    <x v="0"/>
    <x v="0"/>
    <x v="1"/>
    <x v="0"/>
    <x v="0"/>
    <x v="1"/>
    <x v="0"/>
    <x v="0"/>
    <x v="0"/>
    <x v="0"/>
    <x v="0"/>
    <x v="1"/>
    <x v="0"/>
    <x v="1"/>
    <x v="0"/>
    <x v="0"/>
    <x v="0"/>
    <x v="0"/>
  </r>
  <r>
    <s v="The Seventh Seal "/>
    <n v="43"/>
    <n v="221"/>
    <s v="Timeout"/>
    <x v="61"/>
    <d v="1957-02-16T00:00:00"/>
    <x v="52"/>
    <x v="123"/>
    <x v="0"/>
    <x v="0"/>
    <x v="0"/>
    <x v="0"/>
    <x v="0"/>
    <x v="0"/>
    <x v="0"/>
    <x v="0"/>
    <x v="1"/>
    <x v="0"/>
    <x v="0"/>
    <x v="0"/>
    <x v="0"/>
    <x v="0"/>
    <x v="1"/>
    <x v="0"/>
    <x v="0"/>
    <x v="0"/>
    <x v="0"/>
  </r>
  <r>
    <s v="Lost in Translation "/>
    <n v="44"/>
    <n v="220"/>
    <s v="Timeout"/>
    <x v="12"/>
    <d v="2003-09-18T00:00:00"/>
    <x v="79"/>
    <x v="329"/>
    <x v="0"/>
    <x v="0"/>
    <x v="0"/>
    <x v="0"/>
    <x v="0"/>
    <x v="0"/>
    <x v="0"/>
    <x v="0"/>
    <x v="0"/>
    <x v="0"/>
    <x v="0"/>
    <x v="0"/>
    <x v="0"/>
    <x v="1"/>
    <x v="1"/>
    <x v="0"/>
    <x v="0"/>
    <x v="0"/>
    <x v="0"/>
  </r>
  <r>
    <s v="Taxi Driver "/>
    <n v="45"/>
    <n v="219"/>
    <s v="Timeout"/>
    <x v="48"/>
    <d v="1976-02-09T00:00:00"/>
    <x v="44"/>
    <x v="348"/>
    <x v="0"/>
    <x v="0"/>
    <x v="0"/>
    <x v="0"/>
    <x v="1"/>
    <x v="0"/>
    <x v="0"/>
    <x v="0"/>
    <x v="0"/>
    <x v="0"/>
    <x v="0"/>
    <x v="0"/>
    <x v="0"/>
    <x v="0"/>
    <x v="1"/>
    <x v="0"/>
    <x v="0"/>
    <x v="0"/>
    <x v="0"/>
  </r>
  <r>
    <s v="Spirited Away "/>
    <n v="46"/>
    <n v="218"/>
    <s v="Timeout"/>
    <x v="90"/>
    <d v="2001-07-20T00:00:00"/>
    <x v="16"/>
    <x v="187"/>
    <x v="0"/>
    <x v="0"/>
    <x v="1"/>
    <x v="0"/>
    <x v="0"/>
    <x v="0"/>
    <x v="1"/>
    <x v="1"/>
    <x v="1"/>
    <x v="0"/>
    <x v="0"/>
    <x v="0"/>
    <x v="0"/>
    <x v="0"/>
    <x v="1"/>
    <x v="0"/>
    <x v="0"/>
    <x v="0"/>
    <x v="0"/>
  </r>
  <r>
    <s v="Night of the Living Dead "/>
    <n v="47"/>
    <n v="217"/>
    <s v="Timeout"/>
    <x v="10"/>
    <d v="2012-10-16T00:00:00"/>
    <x v="98"/>
    <x v="594"/>
    <x v="0"/>
    <x v="0"/>
    <x v="0"/>
    <x v="0"/>
    <x v="0"/>
    <x v="0"/>
    <x v="1"/>
    <x v="0"/>
    <x v="0"/>
    <x v="0"/>
    <x v="1"/>
    <x v="0"/>
    <x v="0"/>
    <x v="0"/>
    <x v="1"/>
    <x v="0"/>
    <x v="0"/>
    <x v="0"/>
    <x v="0"/>
  </r>
  <r>
    <s v="Battleship Potemkin "/>
    <n v="48"/>
    <n v="216"/>
    <s v="Timeout"/>
    <x v="56"/>
    <d v="1925-12-24T00:00:00"/>
    <x v="92"/>
    <x v="209"/>
    <x v="0"/>
    <x v="0"/>
    <x v="0"/>
    <x v="0"/>
    <x v="0"/>
    <x v="0"/>
    <x v="0"/>
    <x v="0"/>
    <x v="0"/>
    <x v="1"/>
    <x v="0"/>
    <x v="0"/>
    <x v="0"/>
    <x v="0"/>
    <x v="1"/>
    <x v="0"/>
    <x v="0"/>
    <x v="1"/>
    <x v="0"/>
  </r>
  <r>
    <s v="Modern Times "/>
    <n v="49"/>
    <n v="215"/>
    <s v="Timeout"/>
    <x v="50"/>
    <d v="1936-02-05T00:00:00"/>
    <x v="32"/>
    <x v="182"/>
    <x v="0"/>
    <x v="0"/>
    <x v="0"/>
    <x v="1"/>
    <x v="0"/>
    <x v="0"/>
    <x v="0"/>
    <x v="0"/>
    <x v="0"/>
    <x v="0"/>
    <x v="0"/>
    <x v="0"/>
    <x v="0"/>
    <x v="0"/>
    <x v="1"/>
    <x v="0"/>
    <x v="0"/>
    <x v="0"/>
    <x v="0"/>
  </r>
  <r>
    <s v="Breathless "/>
    <n v="50"/>
    <n v="214"/>
    <s v="Timeout"/>
    <x v="51"/>
    <d v="1960-03-16T00:00:00"/>
    <x v="86"/>
    <x v="225"/>
    <x v="0"/>
    <x v="0"/>
    <x v="0"/>
    <x v="0"/>
    <x v="1"/>
    <x v="0"/>
    <x v="0"/>
    <x v="0"/>
    <x v="0"/>
    <x v="0"/>
    <x v="0"/>
    <x v="0"/>
    <x v="0"/>
    <x v="0"/>
    <x v="1"/>
    <x v="0"/>
    <x v="0"/>
    <x v="0"/>
    <x v="0"/>
  </r>
  <r>
    <s v="Dr. Strangelove or: How I Learned to Stop Worrying and Love the Bomb "/>
    <n v="51"/>
    <n v="213"/>
    <s v="Timeout"/>
    <x v="20"/>
    <d v="1964-01-29T00:00:00"/>
    <x v="43"/>
    <x v="59"/>
    <x v="0"/>
    <x v="0"/>
    <x v="0"/>
    <x v="1"/>
    <x v="0"/>
    <x v="0"/>
    <x v="1"/>
    <x v="0"/>
    <x v="0"/>
    <x v="0"/>
    <x v="0"/>
    <x v="0"/>
    <x v="0"/>
    <x v="0"/>
    <x v="1"/>
    <x v="0"/>
    <x v="0"/>
    <x v="1"/>
    <x v="0"/>
  </r>
  <r>
    <s v="M "/>
    <n v="52"/>
    <n v="212"/>
    <s v="Timeout"/>
    <x v="169"/>
    <d v="1931-05-11T00:00:00"/>
    <x v="40"/>
    <x v="595"/>
    <x v="0"/>
    <x v="0"/>
    <x v="0"/>
    <x v="0"/>
    <x v="1"/>
    <x v="0"/>
    <x v="0"/>
    <x v="0"/>
    <x v="0"/>
    <x v="0"/>
    <x v="0"/>
    <x v="0"/>
    <x v="0"/>
    <x v="0"/>
    <x v="1"/>
    <x v="0"/>
    <x v="1"/>
    <x v="0"/>
    <x v="0"/>
  </r>
  <r>
    <s v="Blade Runner "/>
    <n v="53"/>
    <n v="211"/>
    <s v="Timeout"/>
    <x v="96"/>
    <d v="1982-06-25T00:00:00"/>
    <x v="74"/>
    <x v="210"/>
    <x v="0"/>
    <x v="0"/>
    <x v="0"/>
    <x v="0"/>
    <x v="0"/>
    <x v="0"/>
    <x v="0"/>
    <x v="0"/>
    <x v="0"/>
    <x v="0"/>
    <x v="0"/>
    <x v="0"/>
    <x v="0"/>
    <x v="0"/>
    <x v="0"/>
    <x v="0"/>
    <x v="1"/>
    <x v="0"/>
    <x v="0"/>
  </r>
  <r>
    <s v="The Bitter Tears of Petra von Kant "/>
    <n v="54"/>
    <n v="210"/>
    <s v="Timeout"/>
    <x v="12"/>
    <d v="1972-10-05T00:00:00"/>
    <x v="19"/>
    <x v="596"/>
    <x v="0"/>
    <x v="0"/>
    <x v="0"/>
    <x v="0"/>
    <x v="0"/>
    <x v="0"/>
    <x v="0"/>
    <x v="0"/>
    <x v="0"/>
    <x v="0"/>
    <x v="0"/>
    <x v="0"/>
    <x v="0"/>
    <x v="1"/>
    <x v="1"/>
    <x v="0"/>
    <x v="0"/>
    <x v="0"/>
    <x v="0"/>
  </r>
  <r>
    <s v="Rome, Open City "/>
    <n v="55"/>
    <n v="209"/>
    <s v="Timeout"/>
    <x v="56"/>
    <d v="1945-10-08T00:00:00"/>
    <x v="35"/>
    <x v="597"/>
    <x v="0"/>
    <x v="0"/>
    <x v="0"/>
    <x v="0"/>
    <x v="0"/>
    <x v="0"/>
    <x v="0"/>
    <x v="0"/>
    <x v="0"/>
    <x v="1"/>
    <x v="0"/>
    <x v="0"/>
    <x v="0"/>
    <x v="0"/>
    <x v="1"/>
    <x v="0"/>
    <x v="0"/>
    <x v="1"/>
    <x v="0"/>
  </r>
  <r>
    <s v="Nosferatu "/>
    <n v="56"/>
    <n v="208"/>
    <s v="Timeout"/>
    <x v="47"/>
    <d v="1922-02-16T00:00:00"/>
    <x v="103"/>
    <x v="61"/>
    <x v="0"/>
    <x v="0"/>
    <x v="0"/>
    <x v="0"/>
    <x v="0"/>
    <x v="0"/>
    <x v="1"/>
    <x v="0"/>
    <x v="1"/>
    <x v="0"/>
    <x v="1"/>
    <x v="0"/>
    <x v="0"/>
    <x v="0"/>
    <x v="1"/>
    <x v="0"/>
    <x v="0"/>
    <x v="0"/>
    <x v="0"/>
  </r>
  <r>
    <s v="Airplane! "/>
    <n v="57"/>
    <n v="207"/>
    <s v="Timeout"/>
    <x v="14"/>
    <d v="1980-07-02T00:00:00"/>
    <x v="72"/>
    <x v="412"/>
    <x v="0"/>
    <x v="0"/>
    <x v="0"/>
    <x v="1"/>
    <x v="0"/>
    <x v="0"/>
    <x v="1"/>
    <x v="0"/>
    <x v="0"/>
    <x v="0"/>
    <x v="0"/>
    <x v="0"/>
    <x v="0"/>
    <x v="0"/>
    <x v="1"/>
    <x v="0"/>
    <x v="0"/>
    <x v="0"/>
    <x v="0"/>
  </r>
  <r>
    <s v="Under the Skin "/>
    <n v="58"/>
    <n v="206"/>
    <s v="Timeout"/>
    <x v="44"/>
    <d v="2014-03-14T00:00:00"/>
    <x v="59"/>
    <x v="89"/>
    <x v="0"/>
    <x v="0"/>
    <x v="0"/>
    <x v="0"/>
    <x v="0"/>
    <x v="0"/>
    <x v="0"/>
    <x v="0"/>
    <x v="0"/>
    <x v="0"/>
    <x v="0"/>
    <x v="0"/>
    <x v="0"/>
    <x v="0"/>
    <x v="0"/>
    <x v="0"/>
    <x v="1"/>
    <x v="0"/>
    <x v="0"/>
  </r>
  <r>
    <s v="Mad Max: Fury Road "/>
    <n v="59"/>
    <n v="205"/>
    <s v="Timeout"/>
    <x v="33"/>
    <d v="2015-05-13T00:00:00"/>
    <x v="47"/>
    <x v="64"/>
    <x v="1"/>
    <x v="1"/>
    <x v="0"/>
    <x v="0"/>
    <x v="0"/>
    <x v="0"/>
    <x v="1"/>
    <x v="0"/>
    <x v="0"/>
    <x v="0"/>
    <x v="0"/>
    <x v="0"/>
    <x v="0"/>
    <x v="0"/>
    <x v="0"/>
    <x v="0"/>
    <x v="0"/>
    <x v="0"/>
    <x v="0"/>
  </r>
  <r>
    <s v="Apocalypse Now "/>
    <n v="60"/>
    <n v="204"/>
    <s v="Timeout"/>
    <x v="22"/>
    <d v="1979-08-15T00:00:00"/>
    <x v="67"/>
    <x v="245"/>
    <x v="0"/>
    <x v="0"/>
    <x v="0"/>
    <x v="0"/>
    <x v="0"/>
    <x v="0"/>
    <x v="0"/>
    <x v="0"/>
    <x v="0"/>
    <x v="0"/>
    <x v="0"/>
    <x v="0"/>
    <x v="0"/>
    <x v="0"/>
    <x v="1"/>
    <x v="0"/>
    <x v="0"/>
    <x v="1"/>
    <x v="0"/>
  </r>
  <r>
    <s v="Brokeback Mountain "/>
    <n v="61"/>
    <n v="203"/>
    <s v="Timeout"/>
    <x v="12"/>
    <d v="2005-09-10T00:00:00"/>
    <x v="30"/>
    <x v="302"/>
    <x v="0"/>
    <x v="0"/>
    <x v="0"/>
    <x v="0"/>
    <x v="0"/>
    <x v="0"/>
    <x v="0"/>
    <x v="0"/>
    <x v="0"/>
    <x v="0"/>
    <x v="0"/>
    <x v="0"/>
    <x v="0"/>
    <x v="1"/>
    <x v="1"/>
    <x v="0"/>
    <x v="0"/>
    <x v="0"/>
    <x v="0"/>
  </r>
  <r>
    <s v="Duck Soup "/>
    <n v="62"/>
    <n v="202"/>
    <s v="Timeout"/>
    <x v="20"/>
    <d v="1933-11-12T00:00:00"/>
    <x v="33"/>
    <x v="41"/>
    <x v="0"/>
    <x v="0"/>
    <x v="0"/>
    <x v="1"/>
    <x v="0"/>
    <x v="0"/>
    <x v="1"/>
    <x v="0"/>
    <x v="0"/>
    <x v="0"/>
    <x v="0"/>
    <x v="0"/>
    <x v="0"/>
    <x v="0"/>
    <x v="1"/>
    <x v="0"/>
    <x v="0"/>
    <x v="1"/>
    <x v="0"/>
  </r>
  <r>
    <s v="The Blair Witch Project "/>
    <n v="63"/>
    <n v="201"/>
    <s v="Timeout"/>
    <x v="247"/>
    <d v="1999-07-14T00:00:00"/>
    <x v="54"/>
    <x v="598"/>
    <x v="0"/>
    <x v="0"/>
    <x v="0"/>
    <x v="0"/>
    <x v="0"/>
    <x v="0"/>
    <x v="1"/>
    <x v="0"/>
    <x v="0"/>
    <x v="0"/>
    <x v="1"/>
    <x v="0"/>
    <x v="1"/>
    <x v="0"/>
    <x v="1"/>
    <x v="0"/>
    <x v="0"/>
    <x v="0"/>
    <x v="0"/>
  </r>
  <r>
    <s v="All the Presidentâ€™s Men "/>
    <n v="64"/>
    <n v="200"/>
    <s v="Timeout"/>
    <x v="190"/>
    <d v="1976-04-09T00:00:00"/>
    <x v="44"/>
    <x v="422"/>
    <x v="0"/>
    <x v="0"/>
    <x v="0"/>
    <x v="0"/>
    <x v="0"/>
    <x v="0"/>
    <x v="0"/>
    <x v="0"/>
    <x v="0"/>
    <x v="1"/>
    <x v="0"/>
    <x v="0"/>
    <x v="1"/>
    <x v="0"/>
    <x v="1"/>
    <x v="0"/>
    <x v="1"/>
    <x v="0"/>
    <x v="0"/>
  </r>
  <r>
    <s v="The Apu trilogy (1955, 1956,"/>
    <n v="65"/>
    <n v="199"/>
    <s v="Timeout"/>
    <x v="54"/>
    <s v="Error"/>
    <x v="64"/>
    <x v="111"/>
    <x v="0"/>
    <x v="0"/>
    <x v="0"/>
    <x v="0"/>
    <x v="0"/>
    <x v="0"/>
    <x v="1"/>
    <x v="0"/>
    <x v="0"/>
    <x v="0"/>
    <x v="0"/>
    <x v="0"/>
    <x v="0"/>
    <x v="0"/>
    <x v="1"/>
    <x v="0"/>
    <x v="0"/>
    <x v="0"/>
    <x v="0"/>
  </r>
  <r>
    <s v="The General "/>
    <n v="66"/>
    <n v="198"/>
    <s v="Timeout"/>
    <x v="43"/>
    <d v="1967-01-13T00:00:00"/>
    <x v="6"/>
    <x v="599"/>
    <x v="0"/>
    <x v="0"/>
    <x v="0"/>
    <x v="0"/>
    <x v="0"/>
    <x v="0"/>
    <x v="1"/>
    <x v="0"/>
    <x v="0"/>
    <x v="0"/>
    <x v="0"/>
    <x v="0"/>
    <x v="0"/>
    <x v="0"/>
    <x v="1"/>
    <x v="0"/>
    <x v="0"/>
    <x v="0"/>
    <x v="1"/>
  </r>
  <r>
    <s v="Eternal Sunshine of the Spotless Mind "/>
    <n v="67"/>
    <n v="197"/>
    <s v="Timeout"/>
    <x v="104"/>
    <d v="2004-03-19T00:00:00"/>
    <x v="83"/>
    <x v="357"/>
    <x v="0"/>
    <x v="0"/>
    <x v="0"/>
    <x v="0"/>
    <x v="0"/>
    <x v="0"/>
    <x v="0"/>
    <x v="0"/>
    <x v="0"/>
    <x v="0"/>
    <x v="0"/>
    <x v="0"/>
    <x v="0"/>
    <x v="1"/>
    <x v="0"/>
    <x v="0"/>
    <x v="0"/>
    <x v="0"/>
    <x v="0"/>
  </r>
  <r>
    <s v="The Texas Chain Saw Massacre "/>
    <n v="68"/>
    <n v="196"/>
    <s v="Timeout"/>
    <x v="10"/>
    <d v="1974-10-01T00:00:00"/>
    <x v="25"/>
    <x v="144"/>
    <x v="0"/>
    <x v="0"/>
    <x v="0"/>
    <x v="0"/>
    <x v="0"/>
    <x v="0"/>
    <x v="1"/>
    <x v="0"/>
    <x v="0"/>
    <x v="0"/>
    <x v="1"/>
    <x v="0"/>
    <x v="0"/>
    <x v="0"/>
    <x v="1"/>
    <x v="0"/>
    <x v="0"/>
    <x v="0"/>
    <x v="0"/>
  </r>
  <r>
    <s v="Come and See "/>
    <n v="69"/>
    <n v="195"/>
    <s v="Timeout"/>
    <x v="22"/>
    <d v="1985-07-09T00:00:00"/>
    <x v="80"/>
    <x v="159"/>
    <x v="0"/>
    <x v="0"/>
    <x v="0"/>
    <x v="0"/>
    <x v="0"/>
    <x v="0"/>
    <x v="0"/>
    <x v="0"/>
    <x v="0"/>
    <x v="0"/>
    <x v="0"/>
    <x v="0"/>
    <x v="0"/>
    <x v="0"/>
    <x v="1"/>
    <x v="0"/>
    <x v="0"/>
    <x v="1"/>
    <x v="0"/>
  </r>
  <r>
    <s v="Heat "/>
    <n v="70"/>
    <n v="194"/>
    <s v="Timeout"/>
    <x v="45"/>
    <d v="1987-12-05T00:00:00"/>
    <x v="53"/>
    <x v="90"/>
    <x v="1"/>
    <x v="0"/>
    <x v="0"/>
    <x v="0"/>
    <x v="1"/>
    <x v="0"/>
    <x v="1"/>
    <x v="0"/>
    <x v="0"/>
    <x v="0"/>
    <x v="0"/>
    <x v="0"/>
    <x v="0"/>
    <x v="0"/>
    <x v="1"/>
    <x v="0"/>
    <x v="1"/>
    <x v="0"/>
    <x v="0"/>
  </r>
  <r>
    <s v="The Shining "/>
    <n v="71"/>
    <n v="193"/>
    <s v="Timeout"/>
    <x v="85"/>
    <d v="1980-05-23T00:00:00"/>
    <x v="72"/>
    <x v="175"/>
    <x v="0"/>
    <x v="0"/>
    <x v="0"/>
    <x v="0"/>
    <x v="0"/>
    <x v="0"/>
    <x v="1"/>
    <x v="0"/>
    <x v="0"/>
    <x v="0"/>
    <x v="1"/>
    <x v="0"/>
    <x v="0"/>
    <x v="0"/>
    <x v="1"/>
    <x v="0"/>
    <x v="1"/>
    <x v="0"/>
    <x v="0"/>
  </r>
  <r>
    <s v="Toy Story "/>
    <n v="72"/>
    <n v="192"/>
    <s v="Timeout"/>
    <x v="119"/>
    <d v="1995-10-30T00:00:00"/>
    <x v="96"/>
    <x v="279"/>
    <x v="0"/>
    <x v="1"/>
    <x v="1"/>
    <x v="1"/>
    <x v="0"/>
    <x v="0"/>
    <x v="1"/>
    <x v="1"/>
    <x v="0"/>
    <x v="0"/>
    <x v="0"/>
    <x v="0"/>
    <x v="0"/>
    <x v="0"/>
    <x v="1"/>
    <x v="0"/>
    <x v="0"/>
    <x v="0"/>
    <x v="0"/>
  </r>
  <r>
    <s v="Killer of Sheep "/>
    <n v="73"/>
    <n v="191"/>
    <s v="Timeout"/>
    <x v="6"/>
    <d v="1978-11-14T00:00:00"/>
    <x v="36"/>
    <x v="221"/>
    <x v="0"/>
    <x v="0"/>
    <x v="0"/>
    <x v="0"/>
    <x v="0"/>
    <x v="0"/>
    <x v="0"/>
    <x v="0"/>
    <x v="0"/>
    <x v="0"/>
    <x v="0"/>
    <x v="0"/>
    <x v="0"/>
    <x v="0"/>
    <x v="1"/>
    <x v="0"/>
    <x v="0"/>
    <x v="0"/>
    <x v="0"/>
  </r>
  <r>
    <s v="A Woman Under the Influence "/>
    <n v="74"/>
    <n v="190"/>
    <s v="Timeout"/>
    <x v="6"/>
    <d v="1974-11-18T00:00:00"/>
    <x v="25"/>
    <x v="149"/>
    <x v="0"/>
    <x v="0"/>
    <x v="0"/>
    <x v="0"/>
    <x v="0"/>
    <x v="0"/>
    <x v="0"/>
    <x v="0"/>
    <x v="0"/>
    <x v="0"/>
    <x v="0"/>
    <x v="0"/>
    <x v="0"/>
    <x v="0"/>
    <x v="1"/>
    <x v="0"/>
    <x v="0"/>
    <x v="0"/>
    <x v="0"/>
  </r>
  <r>
    <s v="Annie Hall "/>
    <n v="75"/>
    <n v="189"/>
    <s v="Timeout"/>
    <x v="3"/>
    <d v="1977-04-19T00:00:00"/>
    <x v="3"/>
    <x v="3"/>
    <x v="0"/>
    <x v="0"/>
    <x v="0"/>
    <x v="1"/>
    <x v="0"/>
    <x v="0"/>
    <x v="0"/>
    <x v="0"/>
    <x v="0"/>
    <x v="0"/>
    <x v="0"/>
    <x v="0"/>
    <x v="0"/>
    <x v="1"/>
    <x v="1"/>
    <x v="0"/>
    <x v="0"/>
    <x v="0"/>
    <x v="0"/>
  </r>
  <r>
    <s v="Some Like It Hot "/>
    <n v="76"/>
    <n v="188"/>
    <s v="Timeout"/>
    <x v="101"/>
    <d v="1959-03-19T00:00:00"/>
    <x v="56"/>
    <x v="226"/>
    <x v="0"/>
    <x v="0"/>
    <x v="0"/>
    <x v="1"/>
    <x v="1"/>
    <x v="0"/>
    <x v="1"/>
    <x v="0"/>
    <x v="0"/>
    <x v="0"/>
    <x v="0"/>
    <x v="0"/>
    <x v="0"/>
    <x v="1"/>
    <x v="1"/>
    <x v="0"/>
    <x v="0"/>
    <x v="0"/>
    <x v="0"/>
  </r>
  <r>
    <s v="Metropolis "/>
    <n v="77"/>
    <n v="187"/>
    <s v="Timeout"/>
    <x v="248"/>
    <d v="2001-05-26T00:00:00"/>
    <x v="16"/>
    <x v="194"/>
    <x v="0"/>
    <x v="0"/>
    <x v="1"/>
    <x v="0"/>
    <x v="0"/>
    <x v="0"/>
    <x v="1"/>
    <x v="0"/>
    <x v="0"/>
    <x v="0"/>
    <x v="0"/>
    <x v="0"/>
    <x v="0"/>
    <x v="0"/>
    <x v="0"/>
    <x v="0"/>
    <x v="0"/>
    <x v="0"/>
    <x v="0"/>
  </r>
  <r>
    <s v="The Maltese Falcon "/>
    <n v="78"/>
    <n v="186"/>
    <s v="Timeout"/>
    <x v="242"/>
    <d v="1941-10-18T00:00:00"/>
    <x v="2"/>
    <x v="588"/>
    <x v="0"/>
    <x v="0"/>
    <x v="0"/>
    <x v="0"/>
    <x v="1"/>
    <x v="0"/>
    <x v="1"/>
    <x v="0"/>
    <x v="0"/>
    <x v="0"/>
    <x v="0"/>
    <x v="0"/>
    <x v="1"/>
    <x v="0"/>
    <x v="1"/>
    <x v="0"/>
    <x v="1"/>
    <x v="0"/>
    <x v="0"/>
  </r>
  <r>
    <s v="This Is Spinal Tap "/>
    <n v="79"/>
    <n v="185"/>
    <s v="Timeout"/>
    <x v="118"/>
    <d v="1984-03-02T00:00:00"/>
    <x v="39"/>
    <x v="600"/>
    <x v="0"/>
    <x v="0"/>
    <x v="0"/>
    <x v="1"/>
    <x v="0"/>
    <x v="0"/>
    <x v="1"/>
    <x v="0"/>
    <x v="0"/>
    <x v="0"/>
    <x v="0"/>
    <x v="1"/>
    <x v="0"/>
    <x v="0"/>
    <x v="1"/>
    <x v="0"/>
    <x v="0"/>
    <x v="0"/>
    <x v="0"/>
  </r>
  <r>
    <s v="It Happened One Night "/>
    <n v="80"/>
    <n v="184"/>
    <s v="Timeout"/>
    <x v="67"/>
    <d v="1934-02-22T00:00:00"/>
    <x v="94"/>
    <x v="268"/>
    <x v="0"/>
    <x v="0"/>
    <x v="0"/>
    <x v="1"/>
    <x v="0"/>
    <x v="0"/>
    <x v="1"/>
    <x v="0"/>
    <x v="0"/>
    <x v="0"/>
    <x v="0"/>
    <x v="0"/>
    <x v="0"/>
    <x v="1"/>
    <x v="1"/>
    <x v="0"/>
    <x v="0"/>
    <x v="0"/>
    <x v="0"/>
  </r>
  <r>
    <s v="Die Hard "/>
    <n v="81"/>
    <n v="183"/>
    <s v="Timeout"/>
    <x v="159"/>
    <d v="2013-02-06T00:00:00"/>
    <x v="63"/>
    <x v="362"/>
    <x v="1"/>
    <x v="0"/>
    <x v="0"/>
    <x v="0"/>
    <x v="0"/>
    <x v="0"/>
    <x v="1"/>
    <x v="0"/>
    <x v="0"/>
    <x v="0"/>
    <x v="0"/>
    <x v="0"/>
    <x v="0"/>
    <x v="0"/>
    <x v="1"/>
    <x v="0"/>
    <x v="1"/>
    <x v="0"/>
    <x v="0"/>
  </r>
  <r>
    <s v="The Conformist "/>
    <n v="82"/>
    <n v="182"/>
    <s v="Timeout"/>
    <x v="6"/>
    <d v="1971-01-29T00:00:00"/>
    <x v="7"/>
    <x v="145"/>
    <x v="0"/>
    <x v="0"/>
    <x v="0"/>
    <x v="0"/>
    <x v="0"/>
    <x v="0"/>
    <x v="0"/>
    <x v="0"/>
    <x v="0"/>
    <x v="0"/>
    <x v="0"/>
    <x v="0"/>
    <x v="0"/>
    <x v="0"/>
    <x v="1"/>
    <x v="0"/>
    <x v="0"/>
    <x v="0"/>
    <x v="0"/>
  </r>
  <r>
    <s v="The Thing "/>
    <n v="83"/>
    <n v="181"/>
    <s v="Timeout"/>
    <x v="73"/>
    <d v="1982-06-25T00:00:00"/>
    <x v="74"/>
    <x v="143"/>
    <x v="0"/>
    <x v="0"/>
    <x v="0"/>
    <x v="0"/>
    <x v="0"/>
    <x v="0"/>
    <x v="1"/>
    <x v="0"/>
    <x v="0"/>
    <x v="0"/>
    <x v="1"/>
    <x v="0"/>
    <x v="1"/>
    <x v="0"/>
    <x v="0"/>
    <x v="0"/>
    <x v="0"/>
    <x v="0"/>
    <x v="0"/>
  </r>
  <r>
    <s v="Daughters of the Dust "/>
    <n v="84"/>
    <n v="180"/>
    <s v="Timeout"/>
    <x v="12"/>
    <d v="1991-01-24T00:00:00"/>
    <x v="85"/>
    <x v="202"/>
    <x v="0"/>
    <x v="0"/>
    <x v="0"/>
    <x v="0"/>
    <x v="0"/>
    <x v="0"/>
    <x v="0"/>
    <x v="0"/>
    <x v="0"/>
    <x v="0"/>
    <x v="0"/>
    <x v="0"/>
    <x v="0"/>
    <x v="1"/>
    <x v="1"/>
    <x v="0"/>
    <x v="0"/>
    <x v="0"/>
    <x v="0"/>
  </r>
  <r>
    <s v="Barry Lyndon "/>
    <n v="85"/>
    <n v="179"/>
    <s v="Timeout"/>
    <x v="97"/>
    <d v="1975-12-18T00:00:00"/>
    <x v="66"/>
    <x v="217"/>
    <x v="0"/>
    <x v="0"/>
    <x v="0"/>
    <x v="0"/>
    <x v="0"/>
    <x v="0"/>
    <x v="0"/>
    <x v="0"/>
    <x v="0"/>
    <x v="0"/>
    <x v="0"/>
    <x v="0"/>
    <x v="0"/>
    <x v="1"/>
    <x v="1"/>
    <x v="0"/>
    <x v="0"/>
    <x v="1"/>
    <x v="0"/>
  </r>
  <r>
    <s v="Raging Bull "/>
    <n v="86"/>
    <n v="178"/>
    <s v="Timeout"/>
    <x v="6"/>
    <d v="1980-11-14T00:00:00"/>
    <x v="72"/>
    <x v="133"/>
    <x v="0"/>
    <x v="0"/>
    <x v="0"/>
    <x v="0"/>
    <x v="0"/>
    <x v="0"/>
    <x v="0"/>
    <x v="0"/>
    <x v="0"/>
    <x v="0"/>
    <x v="0"/>
    <x v="0"/>
    <x v="0"/>
    <x v="0"/>
    <x v="1"/>
    <x v="0"/>
    <x v="0"/>
    <x v="0"/>
    <x v="0"/>
  </r>
  <r>
    <s v="Seven "/>
    <n v="87"/>
    <n v="177"/>
    <s v="Timeout"/>
    <x v="186"/>
    <d v="2023-08-08T00:00:00"/>
    <x v="23"/>
    <x v="601"/>
    <x v="1"/>
    <x v="1"/>
    <x v="1"/>
    <x v="0"/>
    <x v="0"/>
    <x v="0"/>
    <x v="1"/>
    <x v="0"/>
    <x v="1"/>
    <x v="0"/>
    <x v="0"/>
    <x v="0"/>
    <x v="0"/>
    <x v="0"/>
    <x v="1"/>
    <x v="0"/>
    <x v="0"/>
    <x v="0"/>
    <x v="0"/>
  </r>
  <r>
    <s v="Aguirre, the Wrath of God "/>
    <n v="88"/>
    <n v="176"/>
    <s v="Timeout"/>
    <x v="74"/>
    <d v="1972-12-29T00:00:00"/>
    <x v="19"/>
    <x v="146"/>
    <x v="0"/>
    <x v="1"/>
    <x v="0"/>
    <x v="0"/>
    <x v="0"/>
    <x v="0"/>
    <x v="0"/>
    <x v="0"/>
    <x v="0"/>
    <x v="1"/>
    <x v="0"/>
    <x v="0"/>
    <x v="0"/>
    <x v="0"/>
    <x v="1"/>
    <x v="0"/>
    <x v="0"/>
    <x v="0"/>
    <x v="0"/>
  </r>
  <r>
    <s v="The Battle of Algiers "/>
    <n v="89"/>
    <n v="175"/>
    <s v="Timeout"/>
    <x v="99"/>
    <d v="1966-09-08T00:00:00"/>
    <x v="49"/>
    <x v="219"/>
    <x v="0"/>
    <x v="0"/>
    <x v="0"/>
    <x v="0"/>
    <x v="0"/>
    <x v="0"/>
    <x v="0"/>
    <x v="0"/>
    <x v="0"/>
    <x v="1"/>
    <x v="0"/>
    <x v="0"/>
    <x v="0"/>
    <x v="0"/>
    <x v="1"/>
    <x v="0"/>
    <x v="0"/>
    <x v="1"/>
    <x v="0"/>
  </r>
  <r>
    <s v="No Country for Old Men "/>
    <n v="90"/>
    <n v="174"/>
    <s v="Timeout"/>
    <x v="106"/>
    <d v="2007-06-13T00:00:00"/>
    <x v="4"/>
    <x v="325"/>
    <x v="0"/>
    <x v="0"/>
    <x v="0"/>
    <x v="0"/>
    <x v="1"/>
    <x v="0"/>
    <x v="0"/>
    <x v="0"/>
    <x v="0"/>
    <x v="0"/>
    <x v="0"/>
    <x v="0"/>
    <x v="0"/>
    <x v="0"/>
    <x v="1"/>
    <x v="0"/>
    <x v="1"/>
    <x v="0"/>
    <x v="0"/>
  </r>
  <r>
    <s v="Women on the Verge of a Nervous Breakdown "/>
    <n v="91"/>
    <n v="173"/>
    <s v="Timeout"/>
    <x v="50"/>
    <d v="1988-03-25T00:00:00"/>
    <x v="11"/>
    <x v="277"/>
    <x v="0"/>
    <x v="0"/>
    <x v="0"/>
    <x v="1"/>
    <x v="0"/>
    <x v="0"/>
    <x v="0"/>
    <x v="0"/>
    <x v="0"/>
    <x v="0"/>
    <x v="0"/>
    <x v="0"/>
    <x v="0"/>
    <x v="0"/>
    <x v="1"/>
    <x v="0"/>
    <x v="0"/>
    <x v="0"/>
    <x v="0"/>
  </r>
  <r>
    <s v="The Discreet Charm of the Bourgeoisie "/>
    <n v="92"/>
    <n v="172"/>
    <s v="Timeout"/>
    <x v="14"/>
    <d v="1972-09-15T00:00:00"/>
    <x v="19"/>
    <x v="602"/>
    <x v="0"/>
    <x v="0"/>
    <x v="0"/>
    <x v="1"/>
    <x v="0"/>
    <x v="0"/>
    <x v="1"/>
    <x v="0"/>
    <x v="0"/>
    <x v="0"/>
    <x v="0"/>
    <x v="0"/>
    <x v="0"/>
    <x v="0"/>
    <x v="1"/>
    <x v="0"/>
    <x v="0"/>
    <x v="0"/>
    <x v="0"/>
  </r>
  <r>
    <s v="Paths of Glory "/>
    <n v="93"/>
    <n v="171"/>
    <s v="Timeout"/>
    <x v="22"/>
    <d v="1957-10-25T00:00:00"/>
    <x v="52"/>
    <x v="439"/>
    <x v="0"/>
    <x v="0"/>
    <x v="0"/>
    <x v="0"/>
    <x v="0"/>
    <x v="0"/>
    <x v="0"/>
    <x v="0"/>
    <x v="0"/>
    <x v="0"/>
    <x v="0"/>
    <x v="0"/>
    <x v="0"/>
    <x v="0"/>
    <x v="1"/>
    <x v="0"/>
    <x v="0"/>
    <x v="1"/>
    <x v="0"/>
  </r>
  <r>
    <s v="Secrets &amp; Lies "/>
    <n v="94"/>
    <n v="170"/>
    <s v="Timeout"/>
    <x v="6"/>
    <d v="1996-05-24T00:00:00"/>
    <x v="20"/>
    <x v="531"/>
    <x v="0"/>
    <x v="0"/>
    <x v="0"/>
    <x v="0"/>
    <x v="0"/>
    <x v="0"/>
    <x v="0"/>
    <x v="0"/>
    <x v="0"/>
    <x v="0"/>
    <x v="0"/>
    <x v="0"/>
    <x v="0"/>
    <x v="0"/>
    <x v="1"/>
    <x v="0"/>
    <x v="0"/>
    <x v="0"/>
    <x v="0"/>
  </r>
  <r>
    <s v="Sweet Smell of Success "/>
    <n v="95"/>
    <n v="169"/>
    <s v="Timeout"/>
    <x v="6"/>
    <d v="1957-07-04T00:00:00"/>
    <x v="52"/>
    <x v="521"/>
    <x v="0"/>
    <x v="0"/>
    <x v="0"/>
    <x v="0"/>
    <x v="0"/>
    <x v="0"/>
    <x v="0"/>
    <x v="0"/>
    <x v="0"/>
    <x v="0"/>
    <x v="0"/>
    <x v="0"/>
    <x v="0"/>
    <x v="0"/>
    <x v="1"/>
    <x v="0"/>
    <x v="0"/>
    <x v="0"/>
    <x v="0"/>
  </r>
  <r>
    <s v="The Cabinet of Dr. Caligari "/>
    <n v="96"/>
    <n v="168"/>
    <s v="Timeout"/>
    <x v="115"/>
    <d v="1920-02-27T00:00:00"/>
    <x v="95"/>
    <x v="267"/>
    <x v="0"/>
    <x v="0"/>
    <x v="0"/>
    <x v="0"/>
    <x v="1"/>
    <x v="0"/>
    <x v="0"/>
    <x v="0"/>
    <x v="0"/>
    <x v="0"/>
    <x v="1"/>
    <x v="0"/>
    <x v="0"/>
    <x v="0"/>
    <x v="1"/>
    <x v="0"/>
    <x v="1"/>
    <x v="0"/>
    <x v="0"/>
  </r>
  <r>
    <s v="Nashville "/>
    <n v="97"/>
    <n v="167"/>
    <s v="Timeout"/>
    <x v="11"/>
    <d v="1976-03-01T00:00:00"/>
    <x v="44"/>
    <x v="603"/>
    <x v="0"/>
    <x v="0"/>
    <x v="0"/>
    <x v="0"/>
    <x v="0"/>
    <x v="0"/>
    <x v="0"/>
    <x v="0"/>
    <x v="0"/>
    <x v="0"/>
    <x v="0"/>
    <x v="1"/>
    <x v="0"/>
    <x v="0"/>
    <x v="1"/>
    <x v="0"/>
    <x v="0"/>
    <x v="0"/>
    <x v="0"/>
  </r>
  <r>
    <s v="Donâ€™t Look Now "/>
    <n v="98"/>
    <n v="166"/>
    <s v="Timeout"/>
    <x v="75"/>
    <d v="1973-01-18T00:00:00"/>
    <x v="10"/>
    <x v="147"/>
    <x v="0"/>
    <x v="0"/>
    <x v="0"/>
    <x v="0"/>
    <x v="0"/>
    <x v="0"/>
    <x v="0"/>
    <x v="0"/>
    <x v="0"/>
    <x v="0"/>
    <x v="1"/>
    <x v="0"/>
    <x v="0"/>
    <x v="0"/>
    <x v="1"/>
    <x v="0"/>
    <x v="1"/>
    <x v="0"/>
    <x v="0"/>
  </r>
  <r>
    <s v="Bonnie and Clyde "/>
    <n v="99"/>
    <n v="165"/>
    <s v="Timeout"/>
    <x v="48"/>
    <d v="1967-08-14T00:00:00"/>
    <x v="6"/>
    <x v="313"/>
    <x v="0"/>
    <x v="0"/>
    <x v="0"/>
    <x v="0"/>
    <x v="1"/>
    <x v="0"/>
    <x v="0"/>
    <x v="0"/>
    <x v="0"/>
    <x v="0"/>
    <x v="0"/>
    <x v="0"/>
    <x v="0"/>
    <x v="0"/>
    <x v="1"/>
    <x v="0"/>
    <x v="0"/>
    <x v="0"/>
    <x v="0"/>
  </r>
  <r>
    <s v="Get Out "/>
    <n v="100"/>
    <n v="164"/>
    <s v="Timeout"/>
    <x v="84"/>
    <d v="2017-02-24T00:00:00"/>
    <x v="46"/>
    <x v="169"/>
    <x v="0"/>
    <x v="0"/>
    <x v="0"/>
    <x v="0"/>
    <x v="0"/>
    <x v="0"/>
    <x v="1"/>
    <x v="0"/>
    <x v="0"/>
    <x v="0"/>
    <x v="1"/>
    <x v="0"/>
    <x v="1"/>
    <x v="0"/>
    <x v="1"/>
    <x v="0"/>
    <x v="1"/>
    <x v="0"/>
    <x v="0"/>
  </r>
  <r>
    <s v="Once Upon a Time in Hollywood"/>
    <n v="100"/>
    <n v="164"/>
    <s v="The Guardian"/>
    <x v="249"/>
    <d v="2019-07-24T00:00:00"/>
    <x v="14"/>
    <x v="604"/>
    <x v="0"/>
    <x v="0"/>
    <x v="0"/>
    <x v="1"/>
    <x v="0"/>
    <x v="0"/>
    <x v="0"/>
    <x v="0"/>
    <x v="0"/>
    <x v="0"/>
    <x v="0"/>
    <x v="0"/>
    <x v="0"/>
    <x v="0"/>
    <x v="1"/>
    <x v="0"/>
    <x v="1"/>
    <x v="0"/>
    <x v="0"/>
  </r>
  <r>
    <s v="Bright Star"/>
    <n v="99"/>
    <n v="165"/>
    <s v="The Guardian"/>
    <x v="12"/>
    <d v="2009-11-05T00:00:00"/>
    <x v="70"/>
    <x v="605"/>
    <x v="0"/>
    <x v="0"/>
    <x v="0"/>
    <x v="0"/>
    <x v="0"/>
    <x v="0"/>
    <x v="0"/>
    <x v="0"/>
    <x v="0"/>
    <x v="0"/>
    <x v="0"/>
    <x v="0"/>
    <x v="0"/>
    <x v="1"/>
    <x v="1"/>
    <x v="0"/>
    <x v="0"/>
    <x v="0"/>
    <x v="0"/>
  </r>
  <r>
    <s v="The Dark Knight"/>
    <n v="98"/>
    <n v="166"/>
    <s v="The Guardian"/>
    <x v="123"/>
    <d v="2008-07-16T00:00:00"/>
    <x v="48"/>
    <x v="289"/>
    <x v="1"/>
    <x v="0"/>
    <x v="0"/>
    <x v="0"/>
    <x v="1"/>
    <x v="0"/>
    <x v="0"/>
    <x v="0"/>
    <x v="0"/>
    <x v="0"/>
    <x v="0"/>
    <x v="0"/>
    <x v="0"/>
    <x v="0"/>
    <x v="1"/>
    <x v="0"/>
    <x v="1"/>
    <x v="0"/>
    <x v="0"/>
  </r>
  <r>
    <s v="Fahrenheit 9/11"/>
    <n v="97"/>
    <n v="167"/>
    <s v="The Guardian"/>
    <x v="4"/>
    <d v="2004-06-25T00:00:00"/>
    <x v="83"/>
    <x v="606"/>
    <x v="0"/>
    <x v="0"/>
    <x v="0"/>
    <x v="0"/>
    <x v="0"/>
    <x v="1"/>
    <x v="1"/>
    <x v="0"/>
    <x v="0"/>
    <x v="0"/>
    <x v="0"/>
    <x v="0"/>
    <x v="0"/>
    <x v="0"/>
    <x v="1"/>
    <x v="0"/>
    <x v="0"/>
    <x v="0"/>
    <x v="0"/>
  </r>
  <r>
    <s v="Private Life"/>
    <n v="96"/>
    <n v="168"/>
    <s v="The Guardian"/>
    <x v="79"/>
    <d v="2018-10-05T00:00:00"/>
    <x v="51"/>
    <x v="607"/>
    <x v="0"/>
    <x v="0"/>
    <x v="0"/>
    <x v="1"/>
    <x v="0"/>
    <x v="0"/>
    <x v="0"/>
    <x v="0"/>
    <x v="0"/>
    <x v="0"/>
    <x v="0"/>
    <x v="0"/>
    <x v="0"/>
    <x v="0"/>
    <x v="1"/>
    <x v="0"/>
    <x v="0"/>
    <x v="0"/>
    <x v="0"/>
  </r>
  <r>
    <s v="Call Me By Your Name"/>
    <n v="95"/>
    <n v="169"/>
    <s v="The Guardian"/>
    <x v="29"/>
    <d v="2017-09-01T00:00:00"/>
    <x v="46"/>
    <x v="608"/>
    <x v="0"/>
    <x v="0"/>
    <x v="0"/>
    <x v="0"/>
    <x v="0"/>
    <x v="0"/>
    <x v="0"/>
    <x v="0"/>
    <x v="0"/>
    <x v="0"/>
    <x v="0"/>
    <x v="0"/>
    <x v="0"/>
    <x v="1"/>
    <x v="1"/>
    <x v="0"/>
    <x v="0"/>
    <x v="0"/>
    <x v="0"/>
  </r>
  <r>
    <s v="Gladiator"/>
    <n v="94"/>
    <n v="170"/>
    <s v="The Guardian"/>
    <x v="167"/>
    <d v="2000-05-04T00:00:00"/>
    <x v="27"/>
    <x v="375"/>
    <x v="1"/>
    <x v="1"/>
    <x v="0"/>
    <x v="0"/>
    <x v="0"/>
    <x v="0"/>
    <x v="0"/>
    <x v="0"/>
    <x v="0"/>
    <x v="0"/>
    <x v="0"/>
    <x v="0"/>
    <x v="0"/>
    <x v="0"/>
    <x v="1"/>
    <x v="0"/>
    <x v="0"/>
    <x v="0"/>
    <x v="0"/>
  </r>
  <r>
    <s v="You, the Living"/>
    <n v="93"/>
    <n v="171"/>
    <s v="The Guardian"/>
    <x v="250"/>
    <d v="2007-09-21T00:00:00"/>
    <x v="4"/>
    <x v="609"/>
    <x v="0"/>
    <x v="0"/>
    <x v="0"/>
    <x v="1"/>
    <x v="0"/>
    <x v="0"/>
    <x v="0"/>
    <x v="0"/>
    <x v="0"/>
    <x v="0"/>
    <x v="0"/>
    <x v="1"/>
    <x v="0"/>
    <x v="0"/>
    <x v="1"/>
    <x v="0"/>
    <x v="0"/>
    <x v="0"/>
    <x v="0"/>
  </r>
  <r>
    <s v="The Hurt Locker"/>
    <n v="92"/>
    <n v="172"/>
    <s v="The Guardian"/>
    <x v="147"/>
    <d v="2008-10-10T00:00:00"/>
    <x v="48"/>
    <x v="610"/>
    <x v="0"/>
    <x v="0"/>
    <x v="0"/>
    <x v="0"/>
    <x v="0"/>
    <x v="0"/>
    <x v="0"/>
    <x v="0"/>
    <x v="0"/>
    <x v="0"/>
    <x v="0"/>
    <x v="0"/>
    <x v="0"/>
    <x v="0"/>
    <x v="1"/>
    <x v="0"/>
    <x v="1"/>
    <x v="1"/>
    <x v="0"/>
  </r>
  <r>
    <s v="Etre et Avoir"/>
    <n v="91"/>
    <n v="173"/>
    <s v="The Guardian"/>
    <x v="4"/>
    <d v="2002-08-28T00:00:00"/>
    <x v="15"/>
    <x v="611"/>
    <x v="0"/>
    <x v="0"/>
    <x v="0"/>
    <x v="0"/>
    <x v="0"/>
    <x v="1"/>
    <x v="1"/>
    <x v="0"/>
    <x v="0"/>
    <x v="0"/>
    <x v="0"/>
    <x v="0"/>
    <x v="0"/>
    <x v="0"/>
    <x v="1"/>
    <x v="0"/>
    <x v="0"/>
    <x v="0"/>
    <x v="0"/>
  </r>
  <r>
    <s v="Eden"/>
    <n v="90"/>
    <n v="174"/>
    <s v="The Guardian"/>
    <x v="6"/>
    <d v="2022-10-28T00:00:00"/>
    <x v="97"/>
    <x v="612"/>
    <x v="0"/>
    <x v="0"/>
    <x v="0"/>
    <x v="0"/>
    <x v="0"/>
    <x v="0"/>
    <x v="0"/>
    <x v="0"/>
    <x v="0"/>
    <x v="0"/>
    <x v="0"/>
    <x v="0"/>
    <x v="0"/>
    <x v="0"/>
    <x v="1"/>
    <x v="0"/>
    <x v="0"/>
    <x v="0"/>
    <x v="0"/>
  </r>
  <r>
    <s v="The Selfish Giant"/>
    <n v="89"/>
    <n v="175"/>
    <s v="The Guardian"/>
    <x v="6"/>
    <d v="2013-10-25T00:00:00"/>
    <x v="63"/>
    <x v="613"/>
    <x v="0"/>
    <x v="0"/>
    <x v="0"/>
    <x v="0"/>
    <x v="0"/>
    <x v="0"/>
    <x v="0"/>
    <x v="0"/>
    <x v="0"/>
    <x v="0"/>
    <x v="0"/>
    <x v="0"/>
    <x v="0"/>
    <x v="0"/>
    <x v="1"/>
    <x v="0"/>
    <x v="0"/>
    <x v="0"/>
    <x v="0"/>
  </r>
  <r>
    <s v="Gomorrah"/>
    <n v="88"/>
    <n v="176"/>
    <s v="The Guardian"/>
    <x v="39"/>
    <m/>
    <x v="45"/>
    <x v="614"/>
    <x v="0"/>
    <x v="0"/>
    <x v="0"/>
    <x v="0"/>
    <x v="0"/>
    <x v="0"/>
    <x v="1"/>
    <x v="0"/>
    <x v="0"/>
    <x v="0"/>
    <x v="0"/>
    <x v="0"/>
    <x v="0"/>
    <x v="0"/>
    <x v="1"/>
    <x v="0"/>
    <x v="0"/>
    <x v="0"/>
    <x v="0"/>
  </r>
  <r>
    <s v="The Wind that Shakes the Barley"/>
    <n v="87"/>
    <n v="177"/>
    <s v="The Guardian"/>
    <x v="22"/>
    <d v="2006-06-23T00:00:00"/>
    <x v="13"/>
    <x v="615"/>
    <x v="0"/>
    <x v="0"/>
    <x v="0"/>
    <x v="0"/>
    <x v="0"/>
    <x v="0"/>
    <x v="0"/>
    <x v="0"/>
    <x v="0"/>
    <x v="0"/>
    <x v="0"/>
    <x v="0"/>
    <x v="0"/>
    <x v="0"/>
    <x v="1"/>
    <x v="0"/>
    <x v="0"/>
    <x v="1"/>
    <x v="0"/>
  </r>
  <r>
    <s v="No Country for Old Men"/>
    <n v="86"/>
    <n v="178"/>
    <s v="The Guardian"/>
    <x v="106"/>
    <d v="2007-06-13T00:00:00"/>
    <x v="4"/>
    <x v="325"/>
    <x v="0"/>
    <x v="0"/>
    <x v="0"/>
    <x v="0"/>
    <x v="1"/>
    <x v="0"/>
    <x v="0"/>
    <x v="0"/>
    <x v="0"/>
    <x v="0"/>
    <x v="0"/>
    <x v="0"/>
    <x v="0"/>
    <x v="0"/>
    <x v="1"/>
    <x v="0"/>
    <x v="1"/>
    <x v="0"/>
    <x v="0"/>
  </r>
  <r>
    <s v="Burning"/>
    <n v="85"/>
    <n v="179"/>
    <s v="The Guardian"/>
    <x v="4"/>
    <d v="2021-09-09T00:00:00"/>
    <x v="26"/>
    <x v="616"/>
    <x v="0"/>
    <x v="0"/>
    <x v="0"/>
    <x v="0"/>
    <x v="0"/>
    <x v="1"/>
    <x v="1"/>
    <x v="0"/>
    <x v="0"/>
    <x v="0"/>
    <x v="0"/>
    <x v="0"/>
    <x v="0"/>
    <x v="0"/>
    <x v="1"/>
    <x v="0"/>
    <x v="0"/>
    <x v="0"/>
    <x v="0"/>
  </r>
  <r>
    <s v="Tropical Malady"/>
    <n v="84"/>
    <n v="180"/>
    <s v="The Guardian"/>
    <x v="83"/>
    <d v="2004-06-24T00:00:00"/>
    <x v="83"/>
    <x v="168"/>
    <x v="0"/>
    <x v="0"/>
    <x v="0"/>
    <x v="0"/>
    <x v="0"/>
    <x v="0"/>
    <x v="0"/>
    <x v="0"/>
    <x v="1"/>
    <x v="0"/>
    <x v="0"/>
    <x v="0"/>
    <x v="0"/>
    <x v="1"/>
    <x v="1"/>
    <x v="0"/>
    <x v="0"/>
    <x v="0"/>
    <x v="0"/>
  </r>
  <r>
    <s v="The Sonâ€™s Room"/>
    <n v="83"/>
    <n v="181"/>
    <s v="The Guardian"/>
    <x v="6"/>
    <d v="2001-03-09T00:00:00"/>
    <x v="16"/>
    <x v="617"/>
    <x v="0"/>
    <x v="0"/>
    <x v="0"/>
    <x v="0"/>
    <x v="0"/>
    <x v="0"/>
    <x v="0"/>
    <x v="0"/>
    <x v="0"/>
    <x v="0"/>
    <x v="0"/>
    <x v="0"/>
    <x v="0"/>
    <x v="0"/>
    <x v="1"/>
    <x v="0"/>
    <x v="0"/>
    <x v="0"/>
    <x v="0"/>
  </r>
  <r>
    <s v="Stories We Tell"/>
    <n v="82"/>
    <n v="182"/>
    <s v="The Guardian"/>
    <x v="4"/>
    <d v="2012-10-12T00:00:00"/>
    <x v="98"/>
    <x v="618"/>
    <x v="0"/>
    <x v="0"/>
    <x v="0"/>
    <x v="0"/>
    <x v="0"/>
    <x v="1"/>
    <x v="1"/>
    <x v="0"/>
    <x v="0"/>
    <x v="0"/>
    <x v="0"/>
    <x v="0"/>
    <x v="0"/>
    <x v="0"/>
    <x v="1"/>
    <x v="0"/>
    <x v="0"/>
    <x v="0"/>
    <x v="0"/>
  </r>
  <r>
    <s v="Fish Tank"/>
    <n v="81"/>
    <n v="183"/>
    <s v="The Guardian"/>
    <x v="6"/>
    <d v="2009-09-11T00:00:00"/>
    <x v="70"/>
    <x v="619"/>
    <x v="0"/>
    <x v="0"/>
    <x v="0"/>
    <x v="0"/>
    <x v="0"/>
    <x v="0"/>
    <x v="0"/>
    <x v="0"/>
    <x v="0"/>
    <x v="0"/>
    <x v="0"/>
    <x v="0"/>
    <x v="0"/>
    <x v="0"/>
    <x v="1"/>
    <x v="0"/>
    <x v="0"/>
    <x v="0"/>
    <x v="0"/>
  </r>
  <r>
    <s v="Requiem for a Dream"/>
    <n v="80"/>
    <n v="184"/>
    <s v="The Guardian"/>
    <x v="48"/>
    <d v="2000-10-06T00:00:00"/>
    <x v="27"/>
    <x v="620"/>
    <x v="0"/>
    <x v="0"/>
    <x v="0"/>
    <x v="0"/>
    <x v="1"/>
    <x v="0"/>
    <x v="0"/>
    <x v="0"/>
    <x v="0"/>
    <x v="0"/>
    <x v="0"/>
    <x v="0"/>
    <x v="0"/>
    <x v="0"/>
    <x v="1"/>
    <x v="0"/>
    <x v="0"/>
    <x v="0"/>
    <x v="0"/>
  </r>
  <r>
    <s v="Persepolis "/>
    <n v="79"/>
    <n v="185"/>
    <s v="The Guardian"/>
    <x v="251"/>
    <d v="2007-06-27T00:00:00"/>
    <x v="4"/>
    <x v="621"/>
    <x v="0"/>
    <x v="0"/>
    <x v="1"/>
    <x v="0"/>
    <x v="0"/>
    <x v="0"/>
    <x v="0"/>
    <x v="0"/>
    <x v="0"/>
    <x v="0"/>
    <x v="0"/>
    <x v="0"/>
    <x v="0"/>
    <x v="0"/>
    <x v="1"/>
    <x v="0"/>
    <x v="0"/>
    <x v="0"/>
    <x v="0"/>
  </r>
  <r>
    <s v="Oceanâ€™s Eleven"/>
    <n v="78"/>
    <n v="186"/>
    <s v="The Guardian"/>
    <x v="66"/>
    <d v="2001-12-07T00:00:00"/>
    <x v="16"/>
    <x v="622"/>
    <x v="0"/>
    <x v="0"/>
    <x v="0"/>
    <x v="0"/>
    <x v="1"/>
    <x v="0"/>
    <x v="1"/>
    <x v="0"/>
    <x v="0"/>
    <x v="0"/>
    <x v="0"/>
    <x v="0"/>
    <x v="0"/>
    <x v="0"/>
    <x v="1"/>
    <x v="0"/>
    <x v="1"/>
    <x v="0"/>
    <x v="0"/>
  </r>
  <r>
    <s v="Lost in Translation"/>
    <n v="77"/>
    <n v="187"/>
    <s v="The Guardian"/>
    <x v="12"/>
    <d v="2003-09-18T00:00:00"/>
    <x v="79"/>
    <x v="329"/>
    <x v="0"/>
    <x v="0"/>
    <x v="0"/>
    <x v="0"/>
    <x v="0"/>
    <x v="0"/>
    <x v="0"/>
    <x v="0"/>
    <x v="0"/>
    <x v="0"/>
    <x v="0"/>
    <x v="0"/>
    <x v="0"/>
    <x v="1"/>
    <x v="1"/>
    <x v="0"/>
    <x v="0"/>
    <x v="0"/>
    <x v="0"/>
  </r>
  <r>
    <s v="Ten "/>
    <n v="76"/>
    <n v="188"/>
    <s v="The Guardian"/>
    <x v="29"/>
    <d v="2022-04-27T00:00:00"/>
    <x v="97"/>
    <x v="623"/>
    <x v="0"/>
    <x v="0"/>
    <x v="0"/>
    <x v="0"/>
    <x v="0"/>
    <x v="0"/>
    <x v="0"/>
    <x v="0"/>
    <x v="0"/>
    <x v="0"/>
    <x v="0"/>
    <x v="0"/>
    <x v="0"/>
    <x v="1"/>
    <x v="1"/>
    <x v="0"/>
    <x v="0"/>
    <x v="0"/>
    <x v="0"/>
  </r>
  <r>
    <s v="Philomena"/>
    <n v="75"/>
    <n v="189"/>
    <s v="The Guardian"/>
    <x v="6"/>
    <d v="2013-11-01T00:00:00"/>
    <x v="63"/>
    <x v="624"/>
    <x v="0"/>
    <x v="0"/>
    <x v="0"/>
    <x v="0"/>
    <x v="0"/>
    <x v="0"/>
    <x v="0"/>
    <x v="0"/>
    <x v="0"/>
    <x v="0"/>
    <x v="0"/>
    <x v="0"/>
    <x v="0"/>
    <x v="0"/>
    <x v="1"/>
    <x v="0"/>
    <x v="0"/>
    <x v="0"/>
    <x v="0"/>
  </r>
  <r>
    <s v="A Prophet"/>
    <n v="74"/>
    <n v="190"/>
    <s v="The Guardian"/>
    <x v="48"/>
    <d v="2009-08-26T00:00:00"/>
    <x v="70"/>
    <x v="625"/>
    <x v="0"/>
    <x v="0"/>
    <x v="0"/>
    <x v="0"/>
    <x v="1"/>
    <x v="0"/>
    <x v="0"/>
    <x v="0"/>
    <x v="0"/>
    <x v="0"/>
    <x v="0"/>
    <x v="0"/>
    <x v="0"/>
    <x v="0"/>
    <x v="1"/>
    <x v="0"/>
    <x v="0"/>
    <x v="0"/>
    <x v="0"/>
  </r>
  <r>
    <s v="Love &amp; Friendship"/>
    <n v="73"/>
    <n v="191"/>
    <s v="The Guardian"/>
    <x v="60"/>
    <d v="2016-05-26T00:00:00"/>
    <x v="90"/>
    <x v="626"/>
    <x v="0"/>
    <x v="0"/>
    <x v="0"/>
    <x v="1"/>
    <x v="0"/>
    <x v="0"/>
    <x v="0"/>
    <x v="0"/>
    <x v="0"/>
    <x v="0"/>
    <x v="0"/>
    <x v="0"/>
    <x v="0"/>
    <x v="1"/>
    <x v="1"/>
    <x v="0"/>
    <x v="0"/>
    <x v="0"/>
    <x v="0"/>
  </r>
  <r>
    <s v="Waltz With Bashir"/>
    <n v="72"/>
    <n v="192"/>
    <s v="The Guardian"/>
    <x v="252"/>
    <d v="2008-06-12T00:00:00"/>
    <x v="48"/>
    <x v="627"/>
    <x v="0"/>
    <x v="0"/>
    <x v="1"/>
    <x v="0"/>
    <x v="0"/>
    <x v="1"/>
    <x v="0"/>
    <x v="0"/>
    <x v="0"/>
    <x v="0"/>
    <x v="0"/>
    <x v="0"/>
    <x v="0"/>
    <x v="0"/>
    <x v="1"/>
    <x v="0"/>
    <x v="0"/>
    <x v="1"/>
    <x v="0"/>
  </r>
  <r>
    <s v="Capernaum (2018)"/>
    <n v="71"/>
    <n v="193"/>
    <s v="The Guardian"/>
    <x v="54"/>
    <s v="Error"/>
    <x v="64"/>
    <x v="111"/>
    <x v="0"/>
    <x v="0"/>
    <x v="0"/>
    <x v="0"/>
    <x v="0"/>
    <x v="0"/>
    <x v="1"/>
    <x v="0"/>
    <x v="0"/>
    <x v="0"/>
    <x v="0"/>
    <x v="0"/>
    <x v="0"/>
    <x v="0"/>
    <x v="1"/>
    <x v="0"/>
    <x v="0"/>
    <x v="0"/>
    <x v="0"/>
  </r>
  <r>
    <s v="Anchorman: The Legend of Ron Burgundy"/>
    <n v="70"/>
    <n v="194"/>
    <s v="The Guardian"/>
    <x v="14"/>
    <d v="2004-06-28T00:00:00"/>
    <x v="83"/>
    <x v="628"/>
    <x v="0"/>
    <x v="0"/>
    <x v="0"/>
    <x v="1"/>
    <x v="0"/>
    <x v="0"/>
    <x v="1"/>
    <x v="0"/>
    <x v="0"/>
    <x v="0"/>
    <x v="0"/>
    <x v="0"/>
    <x v="0"/>
    <x v="0"/>
    <x v="1"/>
    <x v="0"/>
    <x v="0"/>
    <x v="0"/>
    <x v="0"/>
  </r>
  <r>
    <s v="Paddington 2"/>
    <n v="69"/>
    <n v="195"/>
    <s v="The Guardian"/>
    <x v="134"/>
    <d v="2017-11-09T00:00:00"/>
    <x v="46"/>
    <x v="318"/>
    <x v="0"/>
    <x v="1"/>
    <x v="0"/>
    <x v="1"/>
    <x v="0"/>
    <x v="0"/>
    <x v="1"/>
    <x v="1"/>
    <x v="0"/>
    <x v="0"/>
    <x v="0"/>
    <x v="0"/>
    <x v="0"/>
    <x v="0"/>
    <x v="1"/>
    <x v="0"/>
    <x v="0"/>
    <x v="0"/>
    <x v="0"/>
  </r>
  <r>
    <s v="Mr Turner"/>
    <n v="68"/>
    <n v="196"/>
    <s v="The Guardian"/>
    <x v="253"/>
    <d v="2014-10-31T00:00:00"/>
    <x v="59"/>
    <x v="629"/>
    <x v="0"/>
    <x v="0"/>
    <x v="0"/>
    <x v="0"/>
    <x v="0"/>
    <x v="0"/>
    <x v="0"/>
    <x v="0"/>
    <x v="0"/>
    <x v="1"/>
    <x v="0"/>
    <x v="0"/>
    <x v="0"/>
    <x v="0"/>
    <x v="1"/>
    <x v="0"/>
    <x v="0"/>
    <x v="0"/>
    <x v="0"/>
  </r>
  <r>
    <s v="Dogtooth"/>
    <n v="67"/>
    <n v="197"/>
    <s v="The Guardian"/>
    <x v="6"/>
    <d v="2009-06-01T00:00:00"/>
    <x v="70"/>
    <x v="630"/>
    <x v="0"/>
    <x v="0"/>
    <x v="0"/>
    <x v="0"/>
    <x v="0"/>
    <x v="0"/>
    <x v="0"/>
    <x v="0"/>
    <x v="0"/>
    <x v="0"/>
    <x v="0"/>
    <x v="0"/>
    <x v="0"/>
    <x v="0"/>
    <x v="1"/>
    <x v="0"/>
    <x v="0"/>
    <x v="0"/>
    <x v="0"/>
  </r>
  <r>
    <s v="Brokeback Mountain "/>
    <n v="66"/>
    <n v="198"/>
    <s v="The Guardian"/>
    <x v="12"/>
    <d v="2005-09-10T00:00:00"/>
    <x v="30"/>
    <x v="302"/>
    <x v="0"/>
    <x v="0"/>
    <x v="0"/>
    <x v="0"/>
    <x v="0"/>
    <x v="0"/>
    <x v="0"/>
    <x v="0"/>
    <x v="0"/>
    <x v="0"/>
    <x v="0"/>
    <x v="0"/>
    <x v="0"/>
    <x v="1"/>
    <x v="1"/>
    <x v="0"/>
    <x v="0"/>
    <x v="0"/>
    <x v="0"/>
  </r>
  <r>
    <s v="Happy as Lazzaro"/>
    <n v="65"/>
    <n v="199"/>
    <s v="The Guardian"/>
    <x v="34"/>
    <d v="2018-05-31T00:00:00"/>
    <x v="51"/>
    <x v="631"/>
    <x v="0"/>
    <x v="0"/>
    <x v="0"/>
    <x v="0"/>
    <x v="0"/>
    <x v="0"/>
    <x v="0"/>
    <x v="0"/>
    <x v="1"/>
    <x v="0"/>
    <x v="0"/>
    <x v="0"/>
    <x v="0"/>
    <x v="0"/>
    <x v="1"/>
    <x v="0"/>
    <x v="0"/>
    <x v="0"/>
    <x v="0"/>
  </r>
  <r>
    <s v="The Incredibles"/>
    <n v="64"/>
    <n v="200"/>
    <s v="The Guardian"/>
    <x v="254"/>
    <d v="2004-10-27T00:00:00"/>
    <x v="83"/>
    <x v="632"/>
    <x v="1"/>
    <x v="1"/>
    <x v="1"/>
    <x v="0"/>
    <x v="0"/>
    <x v="0"/>
    <x v="1"/>
    <x v="1"/>
    <x v="0"/>
    <x v="0"/>
    <x v="0"/>
    <x v="0"/>
    <x v="0"/>
    <x v="0"/>
    <x v="1"/>
    <x v="0"/>
    <x v="0"/>
    <x v="0"/>
    <x v="0"/>
  </r>
  <r>
    <s v="We Need to Talk about Kevin"/>
    <n v="63"/>
    <n v="201"/>
    <s v="The Guardian"/>
    <x v="31"/>
    <d v="2011-09-28T00:00:00"/>
    <x v="38"/>
    <x v="633"/>
    <x v="0"/>
    <x v="0"/>
    <x v="0"/>
    <x v="0"/>
    <x v="0"/>
    <x v="0"/>
    <x v="0"/>
    <x v="0"/>
    <x v="0"/>
    <x v="0"/>
    <x v="0"/>
    <x v="0"/>
    <x v="0"/>
    <x v="0"/>
    <x v="1"/>
    <x v="0"/>
    <x v="1"/>
    <x v="0"/>
    <x v="0"/>
  </r>
  <r>
    <s v="Waiting for Happiness"/>
    <n v="62"/>
    <n v="202"/>
    <s v="The Guardian"/>
    <x v="6"/>
    <d v="2002-05-19T00:00:00"/>
    <x v="15"/>
    <x v="634"/>
    <x v="0"/>
    <x v="0"/>
    <x v="0"/>
    <x v="0"/>
    <x v="0"/>
    <x v="0"/>
    <x v="0"/>
    <x v="0"/>
    <x v="0"/>
    <x v="0"/>
    <x v="0"/>
    <x v="0"/>
    <x v="0"/>
    <x v="0"/>
    <x v="1"/>
    <x v="0"/>
    <x v="0"/>
    <x v="0"/>
    <x v="0"/>
  </r>
  <r>
    <s v="The Souvenir"/>
    <n v="61"/>
    <n v="203"/>
    <s v="The Guardian"/>
    <x v="29"/>
    <d v="2019-05-17T00:00:00"/>
    <x v="14"/>
    <x v="635"/>
    <x v="0"/>
    <x v="0"/>
    <x v="0"/>
    <x v="0"/>
    <x v="0"/>
    <x v="0"/>
    <x v="0"/>
    <x v="0"/>
    <x v="0"/>
    <x v="0"/>
    <x v="0"/>
    <x v="0"/>
    <x v="0"/>
    <x v="1"/>
    <x v="1"/>
    <x v="0"/>
    <x v="0"/>
    <x v="0"/>
    <x v="0"/>
  </r>
  <r>
    <s v="Ted"/>
    <n v="60"/>
    <n v="204"/>
    <s v="The Guardian"/>
    <x v="255"/>
    <d v="2012-06-29T00:00:00"/>
    <x v="98"/>
    <x v="636"/>
    <x v="0"/>
    <x v="0"/>
    <x v="0"/>
    <x v="1"/>
    <x v="0"/>
    <x v="0"/>
    <x v="1"/>
    <x v="0"/>
    <x v="1"/>
    <x v="0"/>
    <x v="0"/>
    <x v="0"/>
    <x v="0"/>
    <x v="0"/>
    <x v="1"/>
    <x v="0"/>
    <x v="0"/>
    <x v="0"/>
    <x v="0"/>
  </r>
  <r>
    <s v="Gangs of Wasseypur"/>
    <n v="59"/>
    <n v="205"/>
    <s v="The Guardian"/>
    <x v="153"/>
    <d v="2012-06-22T00:00:00"/>
    <x v="98"/>
    <x v="637"/>
    <x v="1"/>
    <x v="0"/>
    <x v="0"/>
    <x v="0"/>
    <x v="1"/>
    <x v="0"/>
    <x v="1"/>
    <x v="0"/>
    <x v="0"/>
    <x v="0"/>
    <x v="0"/>
    <x v="0"/>
    <x v="0"/>
    <x v="0"/>
    <x v="1"/>
    <x v="0"/>
    <x v="1"/>
    <x v="0"/>
    <x v="0"/>
  </r>
  <r>
    <s v="Wuthering Heights"/>
    <n v="58"/>
    <n v="206"/>
    <s v="The Guardian"/>
    <x v="12"/>
    <d v="1939-04-07T00:00:00"/>
    <x v="75"/>
    <x v="638"/>
    <x v="0"/>
    <x v="0"/>
    <x v="0"/>
    <x v="0"/>
    <x v="0"/>
    <x v="0"/>
    <x v="0"/>
    <x v="0"/>
    <x v="0"/>
    <x v="0"/>
    <x v="0"/>
    <x v="0"/>
    <x v="0"/>
    <x v="1"/>
    <x v="1"/>
    <x v="0"/>
    <x v="0"/>
    <x v="0"/>
    <x v="0"/>
  </r>
  <r>
    <s v="Leave No Trace"/>
    <n v="57"/>
    <n v="207"/>
    <s v="The Guardian"/>
    <x v="6"/>
    <d v="2018-06-29T00:00:00"/>
    <x v="51"/>
    <x v="639"/>
    <x v="0"/>
    <x v="0"/>
    <x v="0"/>
    <x v="0"/>
    <x v="0"/>
    <x v="0"/>
    <x v="0"/>
    <x v="0"/>
    <x v="0"/>
    <x v="0"/>
    <x v="0"/>
    <x v="0"/>
    <x v="0"/>
    <x v="0"/>
    <x v="1"/>
    <x v="0"/>
    <x v="0"/>
    <x v="0"/>
    <x v="0"/>
  </r>
  <r>
    <s v="Behind the Candelabra"/>
    <n v="56"/>
    <n v="208"/>
    <s v="The Guardian"/>
    <x v="12"/>
    <d v="2013-05-26T00:00:00"/>
    <x v="63"/>
    <x v="640"/>
    <x v="0"/>
    <x v="0"/>
    <x v="0"/>
    <x v="0"/>
    <x v="0"/>
    <x v="0"/>
    <x v="0"/>
    <x v="0"/>
    <x v="0"/>
    <x v="0"/>
    <x v="0"/>
    <x v="0"/>
    <x v="0"/>
    <x v="1"/>
    <x v="1"/>
    <x v="0"/>
    <x v="0"/>
    <x v="0"/>
    <x v="0"/>
  </r>
  <r>
    <s v="Russian Ark"/>
    <n v="55"/>
    <n v="209"/>
    <s v="The Guardian"/>
    <x v="256"/>
    <d v="2002-05-22T00:00:00"/>
    <x v="15"/>
    <x v="641"/>
    <x v="0"/>
    <x v="0"/>
    <x v="0"/>
    <x v="0"/>
    <x v="0"/>
    <x v="0"/>
    <x v="0"/>
    <x v="0"/>
    <x v="1"/>
    <x v="1"/>
    <x v="0"/>
    <x v="0"/>
    <x v="0"/>
    <x v="0"/>
    <x v="1"/>
    <x v="0"/>
    <x v="0"/>
    <x v="0"/>
    <x v="0"/>
  </r>
  <r>
    <s v="The Social Network"/>
    <n v="54"/>
    <n v="210"/>
    <s v="The Guardian"/>
    <x v="6"/>
    <d v="2010-10-01T00:00:00"/>
    <x v="12"/>
    <x v="347"/>
    <x v="0"/>
    <x v="0"/>
    <x v="0"/>
    <x v="0"/>
    <x v="0"/>
    <x v="0"/>
    <x v="0"/>
    <x v="0"/>
    <x v="0"/>
    <x v="0"/>
    <x v="0"/>
    <x v="0"/>
    <x v="0"/>
    <x v="0"/>
    <x v="1"/>
    <x v="0"/>
    <x v="0"/>
    <x v="0"/>
    <x v="0"/>
  </r>
  <r>
    <s v="Fire at Sea"/>
    <n v="53"/>
    <n v="211"/>
    <s v="The Guardian"/>
    <x v="4"/>
    <d v="2016-02-18T00:00:00"/>
    <x v="90"/>
    <x v="642"/>
    <x v="0"/>
    <x v="0"/>
    <x v="0"/>
    <x v="0"/>
    <x v="0"/>
    <x v="1"/>
    <x v="1"/>
    <x v="0"/>
    <x v="0"/>
    <x v="0"/>
    <x v="0"/>
    <x v="0"/>
    <x v="0"/>
    <x v="0"/>
    <x v="1"/>
    <x v="0"/>
    <x v="0"/>
    <x v="0"/>
    <x v="0"/>
  </r>
  <r>
    <s v="Amores Perros"/>
    <n v="52"/>
    <n v="212"/>
    <s v="The Guardian"/>
    <x v="31"/>
    <d v="2000-06-16T00:00:00"/>
    <x v="27"/>
    <x v="643"/>
    <x v="0"/>
    <x v="0"/>
    <x v="0"/>
    <x v="0"/>
    <x v="0"/>
    <x v="0"/>
    <x v="0"/>
    <x v="0"/>
    <x v="0"/>
    <x v="0"/>
    <x v="0"/>
    <x v="0"/>
    <x v="0"/>
    <x v="0"/>
    <x v="1"/>
    <x v="0"/>
    <x v="1"/>
    <x v="0"/>
    <x v="0"/>
  </r>
  <r>
    <s v="Crouching Tiger, Hidden Dragon"/>
    <n v="51"/>
    <n v="213"/>
    <s v="The Guardian"/>
    <x v="257"/>
    <d v="2000-07-06T00:00:00"/>
    <x v="27"/>
    <x v="644"/>
    <x v="1"/>
    <x v="1"/>
    <x v="0"/>
    <x v="0"/>
    <x v="0"/>
    <x v="0"/>
    <x v="0"/>
    <x v="0"/>
    <x v="0"/>
    <x v="0"/>
    <x v="0"/>
    <x v="0"/>
    <x v="0"/>
    <x v="1"/>
    <x v="1"/>
    <x v="0"/>
    <x v="0"/>
    <x v="0"/>
    <x v="0"/>
  </r>
  <r>
    <s v="Before Sunset"/>
    <n v="50"/>
    <n v="214"/>
    <s v="The Guardian"/>
    <x v="12"/>
    <d v="2004-06-16T00:00:00"/>
    <x v="83"/>
    <x v="455"/>
    <x v="0"/>
    <x v="0"/>
    <x v="0"/>
    <x v="0"/>
    <x v="0"/>
    <x v="0"/>
    <x v="0"/>
    <x v="0"/>
    <x v="0"/>
    <x v="0"/>
    <x v="0"/>
    <x v="0"/>
    <x v="0"/>
    <x v="1"/>
    <x v="1"/>
    <x v="0"/>
    <x v="0"/>
    <x v="0"/>
    <x v="0"/>
  </r>
  <r>
    <s v="24 Hour Party People"/>
    <n v="49"/>
    <n v="215"/>
    <s v="The Guardian"/>
    <x v="258"/>
    <d v="2002-02-13T00:00:00"/>
    <x v="15"/>
    <x v="645"/>
    <x v="0"/>
    <x v="0"/>
    <x v="0"/>
    <x v="1"/>
    <x v="0"/>
    <x v="0"/>
    <x v="0"/>
    <x v="0"/>
    <x v="0"/>
    <x v="0"/>
    <x v="0"/>
    <x v="1"/>
    <x v="0"/>
    <x v="0"/>
    <x v="1"/>
    <x v="0"/>
    <x v="0"/>
    <x v="0"/>
    <x v="0"/>
  </r>
  <r>
    <s v="The House of Mirth"/>
    <n v="48"/>
    <n v="216"/>
    <s v="The Guardian"/>
    <x v="12"/>
    <d v="2000-09-23T00:00:00"/>
    <x v="27"/>
    <x v="646"/>
    <x v="0"/>
    <x v="0"/>
    <x v="0"/>
    <x v="0"/>
    <x v="0"/>
    <x v="0"/>
    <x v="0"/>
    <x v="0"/>
    <x v="0"/>
    <x v="0"/>
    <x v="0"/>
    <x v="0"/>
    <x v="0"/>
    <x v="1"/>
    <x v="1"/>
    <x v="0"/>
    <x v="0"/>
    <x v="0"/>
    <x v="0"/>
  </r>
  <r>
    <s v="Margaret"/>
    <n v="47"/>
    <n v="217"/>
    <s v="The Guardian"/>
    <x v="6"/>
    <d v="2011-09-30T00:00:00"/>
    <x v="38"/>
    <x v="647"/>
    <x v="0"/>
    <x v="0"/>
    <x v="0"/>
    <x v="0"/>
    <x v="0"/>
    <x v="0"/>
    <x v="0"/>
    <x v="0"/>
    <x v="0"/>
    <x v="0"/>
    <x v="0"/>
    <x v="0"/>
    <x v="0"/>
    <x v="0"/>
    <x v="1"/>
    <x v="0"/>
    <x v="0"/>
    <x v="0"/>
    <x v="0"/>
  </r>
  <r>
    <s v="Volver"/>
    <n v="46"/>
    <n v="218"/>
    <s v="The Guardian"/>
    <x v="3"/>
    <d v="2006-03-17T00:00:00"/>
    <x v="13"/>
    <x v="648"/>
    <x v="0"/>
    <x v="0"/>
    <x v="0"/>
    <x v="1"/>
    <x v="0"/>
    <x v="0"/>
    <x v="0"/>
    <x v="0"/>
    <x v="0"/>
    <x v="0"/>
    <x v="0"/>
    <x v="0"/>
    <x v="0"/>
    <x v="1"/>
    <x v="1"/>
    <x v="0"/>
    <x v="0"/>
    <x v="0"/>
    <x v="0"/>
  </r>
  <r>
    <s v="13th (2016)"/>
    <n v="45"/>
    <n v="219"/>
    <s v="The Guardian"/>
    <x v="54"/>
    <s v="Error"/>
    <x v="64"/>
    <x v="111"/>
    <x v="0"/>
    <x v="0"/>
    <x v="0"/>
    <x v="0"/>
    <x v="0"/>
    <x v="0"/>
    <x v="1"/>
    <x v="0"/>
    <x v="0"/>
    <x v="0"/>
    <x v="0"/>
    <x v="0"/>
    <x v="0"/>
    <x v="0"/>
    <x v="1"/>
    <x v="0"/>
    <x v="0"/>
    <x v="0"/>
    <x v="0"/>
  </r>
  <r>
    <s v="Toni Erdmann"/>
    <n v="44"/>
    <n v="220"/>
    <s v="The Guardian"/>
    <x v="50"/>
    <d v="2016-07-14T00:00:00"/>
    <x v="90"/>
    <x v="649"/>
    <x v="0"/>
    <x v="0"/>
    <x v="0"/>
    <x v="1"/>
    <x v="0"/>
    <x v="0"/>
    <x v="0"/>
    <x v="0"/>
    <x v="0"/>
    <x v="0"/>
    <x v="0"/>
    <x v="0"/>
    <x v="0"/>
    <x v="0"/>
    <x v="1"/>
    <x v="0"/>
    <x v="0"/>
    <x v="0"/>
    <x v="0"/>
  </r>
  <r>
    <s v="The Wolf of Wall Street"/>
    <n v="43"/>
    <n v="221"/>
    <s v="The Guardian"/>
    <x v="259"/>
    <d v="2013-12-25T00:00:00"/>
    <x v="63"/>
    <x v="650"/>
    <x v="0"/>
    <x v="0"/>
    <x v="0"/>
    <x v="1"/>
    <x v="1"/>
    <x v="0"/>
    <x v="0"/>
    <x v="0"/>
    <x v="0"/>
    <x v="0"/>
    <x v="0"/>
    <x v="0"/>
    <x v="0"/>
    <x v="0"/>
    <x v="1"/>
    <x v="0"/>
    <x v="0"/>
    <x v="0"/>
    <x v="0"/>
  </r>
  <r>
    <s v="4 Months, 3 Weeks and 2 Days"/>
    <n v="42"/>
    <n v="222"/>
    <s v="The Guardian"/>
    <x v="6"/>
    <d v="2007-08-24T00:00:00"/>
    <x v="4"/>
    <x v="540"/>
    <x v="0"/>
    <x v="0"/>
    <x v="0"/>
    <x v="0"/>
    <x v="0"/>
    <x v="0"/>
    <x v="0"/>
    <x v="0"/>
    <x v="0"/>
    <x v="0"/>
    <x v="0"/>
    <x v="0"/>
    <x v="0"/>
    <x v="0"/>
    <x v="1"/>
    <x v="0"/>
    <x v="0"/>
    <x v="0"/>
    <x v="0"/>
  </r>
  <r>
    <s v="The Handmaiden"/>
    <n v="41"/>
    <n v="223"/>
    <s v="The Guardian"/>
    <x v="195"/>
    <d v="2016-06-01T00:00:00"/>
    <x v="90"/>
    <x v="443"/>
    <x v="0"/>
    <x v="0"/>
    <x v="0"/>
    <x v="0"/>
    <x v="0"/>
    <x v="0"/>
    <x v="0"/>
    <x v="0"/>
    <x v="0"/>
    <x v="0"/>
    <x v="0"/>
    <x v="0"/>
    <x v="0"/>
    <x v="1"/>
    <x v="1"/>
    <x v="0"/>
    <x v="1"/>
    <x v="0"/>
    <x v="0"/>
  </r>
  <r>
    <s v="Unrelated"/>
    <n v="40"/>
    <n v="224"/>
    <s v="The Guardian"/>
    <x v="6"/>
    <d v="2008-09-19T00:00:00"/>
    <x v="48"/>
    <x v="651"/>
    <x v="0"/>
    <x v="0"/>
    <x v="0"/>
    <x v="0"/>
    <x v="0"/>
    <x v="0"/>
    <x v="0"/>
    <x v="0"/>
    <x v="0"/>
    <x v="0"/>
    <x v="0"/>
    <x v="0"/>
    <x v="0"/>
    <x v="0"/>
    <x v="1"/>
    <x v="0"/>
    <x v="0"/>
    <x v="0"/>
    <x v="0"/>
  </r>
  <r>
    <s v="Meekâ€™s Cutoff"/>
    <n v="39"/>
    <n v="225"/>
    <s v="The Guardian"/>
    <x v="43"/>
    <d v="2011-04-08T00:00:00"/>
    <x v="38"/>
    <x v="652"/>
    <x v="0"/>
    <x v="0"/>
    <x v="0"/>
    <x v="0"/>
    <x v="0"/>
    <x v="0"/>
    <x v="1"/>
    <x v="0"/>
    <x v="0"/>
    <x v="0"/>
    <x v="0"/>
    <x v="0"/>
    <x v="0"/>
    <x v="0"/>
    <x v="1"/>
    <x v="0"/>
    <x v="0"/>
    <x v="0"/>
    <x v="1"/>
  </r>
  <r>
    <s v="Once Upon a Time in Anatolia"/>
    <n v="38"/>
    <n v="226"/>
    <s v="The Guardian"/>
    <x v="51"/>
    <d v="2011-09-23T00:00:00"/>
    <x v="38"/>
    <x v="653"/>
    <x v="0"/>
    <x v="0"/>
    <x v="0"/>
    <x v="0"/>
    <x v="1"/>
    <x v="0"/>
    <x v="0"/>
    <x v="0"/>
    <x v="0"/>
    <x v="0"/>
    <x v="0"/>
    <x v="0"/>
    <x v="0"/>
    <x v="0"/>
    <x v="1"/>
    <x v="0"/>
    <x v="0"/>
    <x v="0"/>
    <x v="0"/>
  </r>
  <r>
    <s v="Dogville"/>
    <n v="37"/>
    <n v="227"/>
    <s v="The Guardian"/>
    <x v="106"/>
    <d v="2003-05-19T00:00:00"/>
    <x v="79"/>
    <x v="654"/>
    <x v="0"/>
    <x v="0"/>
    <x v="0"/>
    <x v="0"/>
    <x v="1"/>
    <x v="0"/>
    <x v="0"/>
    <x v="0"/>
    <x v="0"/>
    <x v="0"/>
    <x v="0"/>
    <x v="0"/>
    <x v="0"/>
    <x v="0"/>
    <x v="1"/>
    <x v="0"/>
    <x v="1"/>
    <x v="0"/>
    <x v="0"/>
  </r>
  <r>
    <s v="A Separation"/>
    <n v="36"/>
    <n v="228"/>
    <s v="The Guardian"/>
    <x v="6"/>
    <d v="2019-08-03T00:00:00"/>
    <x v="14"/>
    <x v="454"/>
    <x v="0"/>
    <x v="0"/>
    <x v="0"/>
    <x v="0"/>
    <x v="0"/>
    <x v="0"/>
    <x v="0"/>
    <x v="0"/>
    <x v="0"/>
    <x v="0"/>
    <x v="0"/>
    <x v="0"/>
    <x v="0"/>
    <x v="0"/>
    <x v="1"/>
    <x v="0"/>
    <x v="0"/>
    <x v="0"/>
    <x v="0"/>
  </r>
  <r>
    <s v="45 Years"/>
    <n v="35"/>
    <n v="229"/>
    <s v="The Guardian"/>
    <x v="12"/>
    <d v="2015-08-04T00:00:00"/>
    <x v="47"/>
    <x v="655"/>
    <x v="0"/>
    <x v="0"/>
    <x v="0"/>
    <x v="0"/>
    <x v="0"/>
    <x v="0"/>
    <x v="0"/>
    <x v="0"/>
    <x v="0"/>
    <x v="0"/>
    <x v="0"/>
    <x v="0"/>
    <x v="0"/>
    <x v="1"/>
    <x v="1"/>
    <x v="0"/>
    <x v="0"/>
    <x v="0"/>
    <x v="0"/>
  </r>
  <r>
    <s v="The Child (Lâ€™Enfant"/>
    <n v="34"/>
    <n v="230"/>
    <s v="The Guardian"/>
    <x v="38"/>
    <d v="1986-12-12T00:00:00"/>
    <x v="31"/>
    <x v="656"/>
    <x v="1"/>
    <x v="1"/>
    <x v="0"/>
    <x v="1"/>
    <x v="0"/>
    <x v="0"/>
    <x v="1"/>
    <x v="0"/>
    <x v="0"/>
    <x v="0"/>
    <x v="0"/>
    <x v="0"/>
    <x v="0"/>
    <x v="0"/>
    <x v="1"/>
    <x v="0"/>
    <x v="0"/>
    <x v="0"/>
    <x v="0"/>
  </r>
  <r>
    <s v="The Royal Tenenbaums"/>
    <n v="33"/>
    <n v="231"/>
    <s v="The Guardian"/>
    <x v="50"/>
    <d v="2001-10-05T00:00:00"/>
    <x v="16"/>
    <x v="657"/>
    <x v="0"/>
    <x v="0"/>
    <x v="0"/>
    <x v="1"/>
    <x v="0"/>
    <x v="0"/>
    <x v="0"/>
    <x v="0"/>
    <x v="0"/>
    <x v="0"/>
    <x v="0"/>
    <x v="0"/>
    <x v="0"/>
    <x v="0"/>
    <x v="1"/>
    <x v="0"/>
    <x v="0"/>
    <x v="0"/>
    <x v="0"/>
  </r>
  <r>
    <s v="Gravity"/>
    <n v="32"/>
    <n v="232"/>
    <s v="The Guardian"/>
    <x v="260"/>
    <d v="2013-10-03T00:00:00"/>
    <x v="63"/>
    <x v="658"/>
    <x v="0"/>
    <x v="0"/>
    <x v="0"/>
    <x v="0"/>
    <x v="0"/>
    <x v="0"/>
    <x v="0"/>
    <x v="0"/>
    <x v="0"/>
    <x v="0"/>
    <x v="0"/>
    <x v="0"/>
    <x v="0"/>
    <x v="0"/>
    <x v="0"/>
    <x v="0"/>
    <x v="1"/>
    <x v="0"/>
    <x v="0"/>
  </r>
  <r>
    <s v="Anomalisa"/>
    <n v="31"/>
    <n v="233"/>
    <s v="The Guardian"/>
    <x v="261"/>
    <d v="2015-12-30T00:00:00"/>
    <x v="47"/>
    <x v="659"/>
    <x v="0"/>
    <x v="0"/>
    <x v="1"/>
    <x v="1"/>
    <x v="0"/>
    <x v="0"/>
    <x v="0"/>
    <x v="0"/>
    <x v="0"/>
    <x v="0"/>
    <x v="0"/>
    <x v="0"/>
    <x v="0"/>
    <x v="1"/>
    <x v="1"/>
    <x v="0"/>
    <x v="0"/>
    <x v="0"/>
    <x v="0"/>
  </r>
  <r>
    <s v="Leviathan"/>
    <n v="30"/>
    <n v="234"/>
    <s v="The Guardian"/>
    <x v="262"/>
    <d v="1989-03-17T00:00:00"/>
    <x v="61"/>
    <x v="660"/>
    <x v="1"/>
    <x v="1"/>
    <x v="0"/>
    <x v="0"/>
    <x v="0"/>
    <x v="0"/>
    <x v="1"/>
    <x v="0"/>
    <x v="0"/>
    <x v="0"/>
    <x v="1"/>
    <x v="0"/>
    <x v="0"/>
    <x v="0"/>
    <x v="0"/>
    <x v="0"/>
    <x v="1"/>
    <x v="0"/>
    <x v="0"/>
  </r>
  <r>
    <s v="Nebraska"/>
    <n v="29"/>
    <n v="235"/>
    <s v="The Guardian"/>
    <x v="27"/>
    <d v="2013-09-21T00:00:00"/>
    <x v="63"/>
    <x v="661"/>
    <x v="0"/>
    <x v="1"/>
    <x v="0"/>
    <x v="0"/>
    <x v="0"/>
    <x v="0"/>
    <x v="0"/>
    <x v="0"/>
    <x v="0"/>
    <x v="0"/>
    <x v="0"/>
    <x v="0"/>
    <x v="0"/>
    <x v="0"/>
    <x v="1"/>
    <x v="0"/>
    <x v="0"/>
    <x v="0"/>
    <x v="0"/>
  </r>
  <r>
    <s v="The Tree of Life"/>
    <n v="28"/>
    <n v="236"/>
    <s v="The Guardian"/>
    <x v="34"/>
    <d v="2011-05-17T00:00:00"/>
    <x v="38"/>
    <x v="65"/>
    <x v="0"/>
    <x v="0"/>
    <x v="0"/>
    <x v="0"/>
    <x v="0"/>
    <x v="0"/>
    <x v="0"/>
    <x v="0"/>
    <x v="1"/>
    <x v="0"/>
    <x v="0"/>
    <x v="0"/>
    <x v="0"/>
    <x v="0"/>
    <x v="1"/>
    <x v="0"/>
    <x v="0"/>
    <x v="0"/>
    <x v="0"/>
  </r>
  <r>
    <s v="The Grand Budapest Hotel"/>
    <n v="27"/>
    <n v="237"/>
    <s v="The Guardian"/>
    <x v="50"/>
    <d v="2014-02-26T00:00:00"/>
    <x v="59"/>
    <x v="504"/>
    <x v="0"/>
    <x v="0"/>
    <x v="0"/>
    <x v="1"/>
    <x v="0"/>
    <x v="0"/>
    <x v="0"/>
    <x v="0"/>
    <x v="0"/>
    <x v="0"/>
    <x v="0"/>
    <x v="0"/>
    <x v="0"/>
    <x v="0"/>
    <x v="1"/>
    <x v="0"/>
    <x v="0"/>
    <x v="0"/>
    <x v="0"/>
  </r>
  <r>
    <s v="A One and a Two (Yi Yi"/>
    <n v="26"/>
    <n v="238"/>
    <s v="The Guardian"/>
    <x v="6"/>
    <d v="2000-09-20T00:00:00"/>
    <x v="27"/>
    <x v="171"/>
    <x v="0"/>
    <x v="0"/>
    <x v="0"/>
    <x v="0"/>
    <x v="0"/>
    <x v="0"/>
    <x v="0"/>
    <x v="0"/>
    <x v="0"/>
    <x v="0"/>
    <x v="0"/>
    <x v="0"/>
    <x v="0"/>
    <x v="0"/>
    <x v="1"/>
    <x v="0"/>
    <x v="0"/>
    <x v="0"/>
    <x v="0"/>
  </r>
  <r>
    <s v="Get Out"/>
    <n v="25"/>
    <n v="239"/>
    <s v="The Guardian"/>
    <x v="84"/>
    <d v="2017-02-24T00:00:00"/>
    <x v="46"/>
    <x v="169"/>
    <x v="0"/>
    <x v="0"/>
    <x v="0"/>
    <x v="0"/>
    <x v="0"/>
    <x v="0"/>
    <x v="1"/>
    <x v="0"/>
    <x v="0"/>
    <x v="0"/>
    <x v="1"/>
    <x v="0"/>
    <x v="1"/>
    <x v="0"/>
    <x v="1"/>
    <x v="0"/>
    <x v="1"/>
    <x v="0"/>
    <x v="0"/>
  </r>
  <r>
    <s v="Ida"/>
    <n v="24"/>
    <n v="240"/>
    <s v="The Guardian"/>
    <x v="6"/>
    <d v="2013-10-25T00:00:00"/>
    <x v="63"/>
    <x v="662"/>
    <x v="0"/>
    <x v="0"/>
    <x v="0"/>
    <x v="0"/>
    <x v="0"/>
    <x v="0"/>
    <x v="0"/>
    <x v="0"/>
    <x v="0"/>
    <x v="0"/>
    <x v="0"/>
    <x v="0"/>
    <x v="0"/>
    <x v="0"/>
    <x v="1"/>
    <x v="0"/>
    <x v="0"/>
    <x v="0"/>
    <x v="0"/>
  </r>
  <r>
    <s v="Borat: Cultural Learnings of America for Make Benefit Glorious Nation of Kazakhstan"/>
    <n v="23"/>
    <n v="241"/>
    <s v="The Guardian"/>
    <x v="14"/>
    <d v="2006-11-01T00:00:00"/>
    <x v="13"/>
    <x v="663"/>
    <x v="0"/>
    <x v="0"/>
    <x v="0"/>
    <x v="1"/>
    <x v="0"/>
    <x v="0"/>
    <x v="1"/>
    <x v="0"/>
    <x v="0"/>
    <x v="0"/>
    <x v="0"/>
    <x v="0"/>
    <x v="0"/>
    <x v="0"/>
    <x v="1"/>
    <x v="0"/>
    <x v="0"/>
    <x v="0"/>
    <x v="0"/>
  </r>
  <r>
    <s v="Spirited Away"/>
    <n v="22"/>
    <n v="242"/>
    <s v="The Guardian"/>
    <x v="90"/>
    <d v="2001-07-20T00:00:00"/>
    <x v="16"/>
    <x v="187"/>
    <x v="0"/>
    <x v="0"/>
    <x v="1"/>
    <x v="0"/>
    <x v="0"/>
    <x v="0"/>
    <x v="1"/>
    <x v="1"/>
    <x v="1"/>
    <x v="0"/>
    <x v="0"/>
    <x v="0"/>
    <x v="0"/>
    <x v="0"/>
    <x v="1"/>
    <x v="0"/>
    <x v="0"/>
    <x v="0"/>
    <x v="0"/>
  </r>
  <r>
    <s v="The White Ribbon"/>
    <n v="21"/>
    <n v="243"/>
    <s v="The Guardian"/>
    <x v="91"/>
    <d v="2009-09-24T00:00:00"/>
    <x v="70"/>
    <x v="664"/>
    <x v="0"/>
    <x v="0"/>
    <x v="0"/>
    <x v="0"/>
    <x v="0"/>
    <x v="0"/>
    <x v="0"/>
    <x v="0"/>
    <x v="0"/>
    <x v="0"/>
    <x v="0"/>
    <x v="0"/>
    <x v="1"/>
    <x v="0"/>
    <x v="1"/>
    <x v="0"/>
    <x v="0"/>
    <x v="0"/>
    <x v="0"/>
  </r>
  <r>
    <s v="Roma"/>
    <n v="20"/>
    <n v="244"/>
    <s v="The Guardian"/>
    <x v="6"/>
    <d v="2018-08-25T00:00:00"/>
    <x v="51"/>
    <x v="665"/>
    <x v="0"/>
    <x v="0"/>
    <x v="0"/>
    <x v="0"/>
    <x v="0"/>
    <x v="0"/>
    <x v="0"/>
    <x v="0"/>
    <x v="0"/>
    <x v="0"/>
    <x v="0"/>
    <x v="0"/>
    <x v="0"/>
    <x v="0"/>
    <x v="1"/>
    <x v="0"/>
    <x v="0"/>
    <x v="0"/>
    <x v="0"/>
  </r>
  <r>
    <s v="Lincoln"/>
    <n v="19"/>
    <n v="245"/>
    <s v="The Guardian"/>
    <x v="253"/>
    <d v="2012-11-09T00:00:00"/>
    <x v="98"/>
    <x v="666"/>
    <x v="0"/>
    <x v="0"/>
    <x v="0"/>
    <x v="0"/>
    <x v="0"/>
    <x v="0"/>
    <x v="0"/>
    <x v="0"/>
    <x v="0"/>
    <x v="1"/>
    <x v="0"/>
    <x v="0"/>
    <x v="0"/>
    <x v="0"/>
    <x v="1"/>
    <x v="0"/>
    <x v="0"/>
    <x v="0"/>
    <x v="0"/>
  </r>
  <r>
    <s v="A Serious Man"/>
    <n v="18"/>
    <n v="246"/>
    <s v="The Guardian"/>
    <x v="50"/>
    <d v="2009-09-30T00:00:00"/>
    <x v="70"/>
    <x v="667"/>
    <x v="0"/>
    <x v="0"/>
    <x v="0"/>
    <x v="1"/>
    <x v="0"/>
    <x v="0"/>
    <x v="0"/>
    <x v="0"/>
    <x v="0"/>
    <x v="0"/>
    <x v="0"/>
    <x v="0"/>
    <x v="0"/>
    <x v="0"/>
    <x v="1"/>
    <x v="0"/>
    <x v="0"/>
    <x v="0"/>
    <x v="0"/>
  </r>
  <r>
    <s v="The Great Beauty"/>
    <n v="17"/>
    <n v="247"/>
    <s v="The Guardian"/>
    <x v="6"/>
    <d v="2013-05-21T00:00:00"/>
    <x v="63"/>
    <x v="668"/>
    <x v="0"/>
    <x v="0"/>
    <x v="0"/>
    <x v="0"/>
    <x v="0"/>
    <x v="0"/>
    <x v="0"/>
    <x v="0"/>
    <x v="0"/>
    <x v="0"/>
    <x v="0"/>
    <x v="0"/>
    <x v="0"/>
    <x v="0"/>
    <x v="1"/>
    <x v="0"/>
    <x v="0"/>
    <x v="0"/>
    <x v="0"/>
  </r>
  <r>
    <s v="The Act of Killing"/>
    <n v="16"/>
    <n v="248"/>
    <s v="The Guardian"/>
    <x v="4"/>
    <d v="2012-11-01T00:00:00"/>
    <x v="98"/>
    <x v="669"/>
    <x v="0"/>
    <x v="0"/>
    <x v="0"/>
    <x v="0"/>
    <x v="0"/>
    <x v="1"/>
    <x v="1"/>
    <x v="0"/>
    <x v="0"/>
    <x v="0"/>
    <x v="0"/>
    <x v="0"/>
    <x v="0"/>
    <x v="0"/>
    <x v="1"/>
    <x v="0"/>
    <x v="0"/>
    <x v="0"/>
    <x v="0"/>
  </r>
  <r>
    <s v="Shoplifters"/>
    <n v="15"/>
    <n v="249"/>
    <s v="The Guardian"/>
    <x v="140"/>
    <d v="2018-06-02T00:00:00"/>
    <x v="51"/>
    <x v="479"/>
    <x v="0"/>
    <x v="0"/>
    <x v="0"/>
    <x v="0"/>
    <x v="1"/>
    <x v="0"/>
    <x v="0"/>
    <x v="0"/>
    <x v="0"/>
    <x v="0"/>
    <x v="0"/>
    <x v="0"/>
    <x v="0"/>
    <x v="0"/>
    <x v="1"/>
    <x v="0"/>
    <x v="1"/>
    <x v="0"/>
    <x v="0"/>
  </r>
  <r>
    <s v="White Material"/>
    <n v="14"/>
    <n v="250"/>
    <s v="The Guardian"/>
    <x v="6"/>
    <d v="2010-03-24T00:00:00"/>
    <x v="12"/>
    <x v="670"/>
    <x v="0"/>
    <x v="0"/>
    <x v="0"/>
    <x v="0"/>
    <x v="0"/>
    <x v="0"/>
    <x v="0"/>
    <x v="0"/>
    <x v="0"/>
    <x v="0"/>
    <x v="0"/>
    <x v="0"/>
    <x v="0"/>
    <x v="0"/>
    <x v="1"/>
    <x v="0"/>
    <x v="0"/>
    <x v="0"/>
    <x v="0"/>
  </r>
  <r>
    <s v="Far From Heaven"/>
    <n v="13"/>
    <n v="251"/>
    <s v="The Guardian"/>
    <x v="12"/>
    <d v="2002-09-02T00:00:00"/>
    <x v="15"/>
    <x v="671"/>
    <x v="0"/>
    <x v="0"/>
    <x v="0"/>
    <x v="0"/>
    <x v="0"/>
    <x v="0"/>
    <x v="0"/>
    <x v="0"/>
    <x v="0"/>
    <x v="0"/>
    <x v="0"/>
    <x v="0"/>
    <x v="0"/>
    <x v="1"/>
    <x v="1"/>
    <x v="0"/>
    <x v="0"/>
    <x v="0"/>
    <x v="0"/>
  </r>
  <r>
    <s v="Son of Saul"/>
    <n v="12"/>
    <n v="252"/>
    <s v="The Guardian"/>
    <x v="23"/>
    <d v="2015-06-11T00:00:00"/>
    <x v="47"/>
    <x v="672"/>
    <x v="0"/>
    <x v="0"/>
    <x v="0"/>
    <x v="0"/>
    <x v="0"/>
    <x v="0"/>
    <x v="0"/>
    <x v="0"/>
    <x v="0"/>
    <x v="0"/>
    <x v="0"/>
    <x v="0"/>
    <x v="0"/>
    <x v="0"/>
    <x v="1"/>
    <x v="0"/>
    <x v="1"/>
    <x v="1"/>
    <x v="0"/>
  </r>
  <r>
    <s v="Mulholland Drive"/>
    <n v="11"/>
    <n v="253"/>
    <s v="The Guardian"/>
    <x v="144"/>
    <d v="2001-06-06T00:00:00"/>
    <x v="16"/>
    <x v="337"/>
    <x v="0"/>
    <x v="0"/>
    <x v="0"/>
    <x v="0"/>
    <x v="0"/>
    <x v="0"/>
    <x v="0"/>
    <x v="0"/>
    <x v="0"/>
    <x v="0"/>
    <x v="0"/>
    <x v="0"/>
    <x v="1"/>
    <x v="0"/>
    <x v="1"/>
    <x v="0"/>
    <x v="1"/>
    <x v="0"/>
    <x v="0"/>
  </r>
  <r>
    <s v="Team America: World Police"/>
    <n v="10"/>
    <n v="254"/>
    <s v="The Guardian"/>
    <x v="263"/>
    <d v="2004-10-10T00:00:00"/>
    <x v="83"/>
    <x v="673"/>
    <x v="1"/>
    <x v="1"/>
    <x v="0"/>
    <x v="1"/>
    <x v="0"/>
    <x v="0"/>
    <x v="1"/>
    <x v="0"/>
    <x v="0"/>
    <x v="0"/>
    <x v="0"/>
    <x v="0"/>
    <x v="0"/>
    <x v="0"/>
    <x v="1"/>
    <x v="0"/>
    <x v="0"/>
    <x v="0"/>
    <x v="0"/>
  </r>
  <r>
    <s v="Zama"/>
    <n v="9"/>
    <n v="255"/>
    <s v="The Guardian"/>
    <x v="32"/>
    <d v="2017-09-28T00:00:00"/>
    <x v="46"/>
    <x v="63"/>
    <x v="0"/>
    <x v="0"/>
    <x v="0"/>
    <x v="0"/>
    <x v="0"/>
    <x v="0"/>
    <x v="0"/>
    <x v="0"/>
    <x v="0"/>
    <x v="1"/>
    <x v="0"/>
    <x v="0"/>
    <x v="0"/>
    <x v="0"/>
    <x v="1"/>
    <x v="0"/>
    <x v="0"/>
    <x v="0"/>
    <x v="0"/>
  </r>
  <r>
    <s v="Moonlight"/>
    <n v="8"/>
    <n v="256"/>
    <s v="The Guardian"/>
    <x v="6"/>
    <d v="2016-10-21T00:00:00"/>
    <x v="90"/>
    <x v="204"/>
    <x v="0"/>
    <x v="0"/>
    <x v="0"/>
    <x v="0"/>
    <x v="0"/>
    <x v="0"/>
    <x v="0"/>
    <x v="0"/>
    <x v="0"/>
    <x v="0"/>
    <x v="0"/>
    <x v="0"/>
    <x v="0"/>
    <x v="0"/>
    <x v="1"/>
    <x v="0"/>
    <x v="0"/>
    <x v="0"/>
    <x v="0"/>
  </r>
  <r>
    <s v="Synecdoche, New York"/>
    <n v="7"/>
    <n v="257"/>
    <s v="The Guardian"/>
    <x v="6"/>
    <d v="2008-10-24T00:00:00"/>
    <x v="48"/>
    <x v="674"/>
    <x v="0"/>
    <x v="0"/>
    <x v="0"/>
    <x v="0"/>
    <x v="0"/>
    <x v="0"/>
    <x v="0"/>
    <x v="0"/>
    <x v="0"/>
    <x v="0"/>
    <x v="0"/>
    <x v="0"/>
    <x v="0"/>
    <x v="0"/>
    <x v="1"/>
    <x v="0"/>
    <x v="0"/>
    <x v="0"/>
    <x v="0"/>
  </r>
  <r>
    <s v="Hidden"/>
    <n v="6"/>
    <n v="258"/>
    <s v="The Guardian"/>
    <x v="264"/>
    <d v="2015-09-15T00:00:00"/>
    <x v="47"/>
    <x v="675"/>
    <x v="0"/>
    <x v="0"/>
    <x v="0"/>
    <x v="0"/>
    <x v="0"/>
    <x v="0"/>
    <x v="1"/>
    <x v="0"/>
    <x v="0"/>
    <x v="0"/>
    <x v="1"/>
    <x v="0"/>
    <x v="0"/>
    <x v="0"/>
    <x v="1"/>
    <x v="0"/>
    <x v="1"/>
    <x v="0"/>
    <x v="0"/>
  </r>
  <r>
    <s v="In the Mood for Love"/>
    <n v="5"/>
    <n v="259"/>
    <s v="The Guardian"/>
    <x v="12"/>
    <d v="2000-09-29T00:00:00"/>
    <x v="27"/>
    <x v="259"/>
    <x v="0"/>
    <x v="0"/>
    <x v="0"/>
    <x v="0"/>
    <x v="0"/>
    <x v="0"/>
    <x v="0"/>
    <x v="0"/>
    <x v="0"/>
    <x v="0"/>
    <x v="0"/>
    <x v="0"/>
    <x v="0"/>
    <x v="1"/>
    <x v="1"/>
    <x v="0"/>
    <x v="0"/>
    <x v="0"/>
    <x v="0"/>
  </r>
  <r>
    <s v="Under the Skin"/>
    <n v="4"/>
    <n v="260"/>
    <s v="The Guardian"/>
    <x v="44"/>
    <d v="2014-03-14T00:00:00"/>
    <x v="59"/>
    <x v="89"/>
    <x v="0"/>
    <x v="0"/>
    <x v="0"/>
    <x v="0"/>
    <x v="0"/>
    <x v="0"/>
    <x v="0"/>
    <x v="0"/>
    <x v="0"/>
    <x v="0"/>
    <x v="0"/>
    <x v="0"/>
    <x v="0"/>
    <x v="0"/>
    <x v="0"/>
    <x v="0"/>
    <x v="1"/>
    <x v="0"/>
    <x v="0"/>
  </r>
  <r>
    <s v="Boyhood"/>
    <n v="3"/>
    <n v="261"/>
    <s v="The Guardian"/>
    <x v="6"/>
    <d v="2014-06-05T00:00:00"/>
    <x v="59"/>
    <x v="590"/>
    <x v="0"/>
    <x v="0"/>
    <x v="0"/>
    <x v="0"/>
    <x v="0"/>
    <x v="0"/>
    <x v="0"/>
    <x v="0"/>
    <x v="0"/>
    <x v="0"/>
    <x v="0"/>
    <x v="0"/>
    <x v="0"/>
    <x v="0"/>
    <x v="1"/>
    <x v="0"/>
    <x v="0"/>
    <x v="0"/>
    <x v="0"/>
  </r>
  <r>
    <s v="12 Years a Slave"/>
    <n v="2"/>
    <n v="262"/>
    <s v="The Guardian"/>
    <x v="32"/>
    <d v="2013-10-18T00:00:00"/>
    <x v="63"/>
    <x v="296"/>
    <x v="0"/>
    <x v="0"/>
    <x v="0"/>
    <x v="0"/>
    <x v="0"/>
    <x v="0"/>
    <x v="0"/>
    <x v="0"/>
    <x v="0"/>
    <x v="1"/>
    <x v="0"/>
    <x v="0"/>
    <x v="0"/>
    <x v="0"/>
    <x v="1"/>
    <x v="0"/>
    <x v="0"/>
    <x v="0"/>
    <x v="0"/>
  </r>
  <r>
    <s v="There Will Be Blood"/>
    <n v="1"/>
    <n v="263"/>
    <s v="The Guardian"/>
    <x v="6"/>
    <d v="2007-12-26T00:00:00"/>
    <x v="4"/>
    <x v="142"/>
    <x v="0"/>
    <x v="0"/>
    <x v="0"/>
    <x v="0"/>
    <x v="0"/>
    <x v="0"/>
    <x v="0"/>
    <x v="0"/>
    <x v="0"/>
    <x v="0"/>
    <x v="0"/>
    <x v="0"/>
    <x v="0"/>
    <x v="0"/>
    <x v="1"/>
    <x v="0"/>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E8B793B-80BE-4E0B-9728-C7002534038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22:B33" firstHeaderRow="1" firstDataRow="1" firstDataCol="1" rowPageCount="20" colPageCount="1"/>
  <pivotFields count="27">
    <pivotField showAll="0"/>
    <pivotField showAll="0"/>
    <pivotField dataField="1" showAll="0"/>
    <pivotField showAll="0"/>
    <pivotField axis="axisPage" showAll="0">
      <items count="267">
        <item x="39"/>
        <item x="254"/>
        <item x="146"/>
        <item x="38"/>
        <item x="149"/>
        <item x="228"/>
        <item x="186"/>
        <item x="180"/>
        <item x="17"/>
        <item x="33"/>
        <item x="166"/>
        <item x="201"/>
        <item x="95"/>
        <item x="135"/>
        <item x="179"/>
        <item x="173"/>
        <item x="45"/>
        <item x="184"/>
        <item x="167"/>
        <item x="168"/>
        <item x="152"/>
        <item x="181"/>
        <item x="137"/>
        <item x="107"/>
        <item x="188"/>
        <item x="227"/>
        <item x="162"/>
        <item x="72"/>
        <item x="153"/>
        <item x="207"/>
        <item x="138"/>
        <item x="159"/>
        <item x="263"/>
        <item x="15"/>
        <item x="233"/>
        <item x="125"/>
        <item x="26"/>
        <item x="213"/>
        <item x="235"/>
        <item x="134"/>
        <item x="183"/>
        <item x="2"/>
        <item x="165"/>
        <item x="257"/>
        <item x="126"/>
        <item x="170"/>
        <item x="65"/>
        <item x="74"/>
        <item x="158"/>
        <item x="211"/>
        <item x="177"/>
        <item x="229"/>
        <item x="157"/>
        <item x="200"/>
        <item x="78"/>
        <item x="262"/>
        <item x="240"/>
        <item x="160"/>
        <item x="164"/>
        <item x="193"/>
        <item x="214"/>
        <item x="119"/>
        <item x="218"/>
        <item x="223"/>
        <item x="176"/>
        <item x="243"/>
        <item x="127"/>
        <item x="219"/>
        <item x="261"/>
        <item x="224"/>
        <item x="251"/>
        <item x="116"/>
        <item x="232"/>
        <item x="178"/>
        <item x="90"/>
        <item x="182"/>
        <item x="244"/>
        <item x="156"/>
        <item x="245"/>
        <item x="194"/>
        <item x="212"/>
        <item x="248"/>
        <item x="197"/>
        <item x="117"/>
        <item x="25"/>
        <item x="62"/>
        <item x="155"/>
        <item x="88"/>
        <item x="258"/>
        <item x="8"/>
        <item x="230"/>
        <item x="3"/>
        <item x="249"/>
        <item x="50"/>
        <item x="191"/>
        <item x="52"/>
        <item x="87"/>
        <item x="255"/>
        <item x="217"/>
        <item x="124"/>
        <item x="246"/>
        <item x="101"/>
        <item x="102"/>
        <item x="67"/>
        <item x="231"/>
        <item x="225"/>
        <item x="163"/>
        <item x="82"/>
        <item x="20"/>
        <item x="14"/>
        <item x="148"/>
        <item x="136"/>
        <item x="259"/>
        <item x="216"/>
        <item x="55"/>
        <item x="100"/>
        <item x="49"/>
        <item x="89"/>
        <item x="106"/>
        <item x="48"/>
        <item x="86"/>
        <item x="141"/>
        <item x="121"/>
        <item x="77"/>
        <item x="30"/>
        <item x="105"/>
        <item x="4"/>
        <item x="123"/>
        <item x="206"/>
        <item x="27"/>
        <item x="199"/>
        <item x="252"/>
        <item x="250"/>
        <item x="59"/>
        <item x="79"/>
        <item x="140"/>
        <item x="51"/>
        <item x="63"/>
        <item x="120"/>
        <item x="53"/>
        <item x="18"/>
        <item x="256"/>
        <item x="40"/>
        <item x="34"/>
        <item x="222"/>
        <item x="190"/>
        <item x="42"/>
        <item x="56"/>
        <item x="32"/>
        <item x="115"/>
        <item x="129"/>
        <item x="76"/>
        <item x="239"/>
        <item x="11"/>
        <item x="203"/>
        <item x="24"/>
        <item x="202"/>
        <item x="221"/>
        <item x="35"/>
        <item x="91"/>
        <item x="60"/>
        <item x="1"/>
        <item x="83"/>
        <item x="41"/>
        <item x="128"/>
        <item x="21"/>
        <item x="28"/>
        <item x="97"/>
        <item x="12"/>
        <item x="142"/>
        <item x="0"/>
        <item x="205"/>
        <item x="192"/>
        <item x="169"/>
        <item x="196"/>
        <item x="147"/>
        <item x="31"/>
        <item x="99"/>
        <item x="198"/>
        <item x="210"/>
        <item x="132"/>
        <item x="22"/>
        <item x="71"/>
        <item x="81"/>
        <item x="6"/>
        <item x="145"/>
        <item x="114"/>
        <item x="215"/>
        <item x="204"/>
        <item x="92"/>
        <item x="154"/>
        <item x="172"/>
        <item x="68"/>
        <item x="234"/>
        <item x="122"/>
        <item x="61"/>
        <item x="47"/>
        <item x="236"/>
        <item x="16"/>
        <item x="253"/>
        <item x="187"/>
        <item x="69"/>
        <item x="139"/>
        <item x="143"/>
        <item x="103"/>
        <item x="73"/>
        <item x="58"/>
        <item x="247"/>
        <item x="9"/>
        <item x="57"/>
        <item x="80"/>
        <item x="85"/>
        <item x="10"/>
        <item x="237"/>
        <item x="118"/>
        <item x="64"/>
        <item x="242"/>
        <item x="46"/>
        <item x="108"/>
        <item x="111"/>
        <item x="98"/>
        <item x="241"/>
        <item x="174"/>
        <item x="84"/>
        <item x="171"/>
        <item x="70"/>
        <item x="226"/>
        <item x="37"/>
        <item x="238"/>
        <item x="130"/>
        <item x="19"/>
        <item x="29"/>
        <item x="185"/>
        <item x="133"/>
        <item x="93"/>
        <item x="175"/>
        <item m="1" x="265"/>
        <item x="161"/>
        <item x="150"/>
        <item x="113"/>
        <item x="7"/>
        <item x="104"/>
        <item x="96"/>
        <item x="151"/>
        <item x="110"/>
        <item x="208"/>
        <item x="260"/>
        <item x="220"/>
        <item x="209"/>
        <item x="66"/>
        <item x="75"/>
        <item x="144"/>
        <item x="195"/>
        <item x="264"/>
        <item x="94"/>
        <item x="44"/>
        <item x="109"/>
        <item x="13"/>
        <item x="112"/>
        <item x="36"/>
        <item x="23"/>
        <item x="131"/>
        <item x="189"/>
        <item x="5"/>
        <item x="43"/>
        <item x="54"/>
        <item t="default"/>
      </items>
    </pivotField>
    <pivotField showAll="0"/>
    <pivotField showAll="0"/>
    <pivotField axis="axisRow" showAll="0" measureFilter="1" sortType="ascending">
      <items count="677">
        <item x="568"/>
        <item x="276"/>
        <item x="296"/>
        <item x="258"/>
        <item x="645"/>
        <item x="556"/>
        <item x="655"/>
        <item x="231"/>
        <item x="8"/>
        <item x="7"/>
        <item x="362"/>
        <item x="278"/>
        <item x="181"/>
        <item x="335"/>
        <item x="454"/>
        <item x="667"/>
        <item x="585"/>
        <item x="149"/>
        <item x="512"/>
        <item x="506"/>
        <item x="412"/>
        <item x="494"/>
        <item x="116"/>
        <item x="389"/>
        <item x="42"/>
        <item x="120"/>
        <item x="481"/>
        <item x="422"/>
        <item x="424"/>
        <item x="418"/>
        <item x="100"/>
        <item x="385"/>
        <item x="381"/>
        <item x="643"/>
        <item x="542"/>
        <item x="579"/>
        <item x="628"/>
        <item x="3"/>
        <item x="659"/>
        <item x="245"/>
        <item x="334"/>
        <item x="33"/>
        <item x="239"/>
        <item x="398"/>
        <item x="365"/>
        <item x="371"/>
        <item x="370"/>
        <item x="112"/>
        <item x="299"/>
        <item x="217"/>
        <item x="383"/>
        <item x="257"/>
        <item x="416"/>
        <item x="458"/>
        <item x="455"/>
        <item x="640"/>
        <item x="283"/>
        <item x="566"/>
        <item x="86"/>
        <item x="274"/>
        <item x="327"/>
        <item x="272"/>
        <item x="210"/>
        <item x="346"/>
        <item x="421"/>
        <item x="37"/>
        <item x="177"/>
        <item x="313"/>
        <item x="293"/>
        <item x="663"/>
        <item x="0"/>
        <item x="590"/>
        <item x="376"/>
        <item x="294"/>
        <item x="225"/>
        <item x="280"/>
        <item x="43"/>
        <item x="605"/>
        <item x="151"/>
        <item x="302"/>
        <item x="616"/>
        <item x="429"/>
        <item x="608"/>
        <item x="298"/>
        <item x="201"/>
        <item x="474"/>
        <item x="113"/>
        <item x="261"/>
        <item x="228"/>
        <item x="414"/>
        <item x="266"/>
        <item x="36"/>
        <item x="518"/>
        <item x="236"/>
        <item x="495"/>
        <item x="202"/>
        <item x="110"/>
        <item x="300"/>
        <item x="525"/>
        <item x="377"/>
        <item x="572"/>
        <item x="12"/>
        <item x="409"/>
        <item x="240"/>
        <item x="413"/>
        <item x="470"/>
        <item x="654"/>
        <item x="320"/>
        <item x="147"/>
        <item x="58"/>
        <item x="59"/>
        <item x="41"/>
        <item x="264"/>
        <item x="265"/>
        <item x="4"/>
        <item x="183"/>
        <item x="269"/>
        <item x="111"/>
        <item x="357"/>
        <item x="519"/>
        <item x="461"/>
        <item x="606"/>
        <item x="498"/>
        <item x="671"/>
        <item x="307"/>
        <item x="411"/>
        <item x="363"/>
        <item x="386"/>
        <item x="619"/>
        <item x="349"/>
        <item x="561"/>
        <item x="391"/>
        <item x="119"/>
        <item x="169"/>
        <item x="563"/>
        <item x="419"/>
        <item x="352"/>
        <item x="375"/>
        <item x="342"/>
        <item x="292"/>
        <item x="614"/>
        <item x="314"/>
        <item x="430"/>
        <item x="200"/>
        <item x="407"/>
        <item x="658"/>
        <item x="571"/>
        <item x="317"/>
        <item x="345"/>
        <item x="432"/>
        <item x="22"/>
        <item x="496"/>
        <item x="675"/>
        <item x="81"/>
        <item x="134"/>
        <item x="343"/>
        <item x="564"/>
        <item x="56"/>
        <item x="662"/>
        <item x="344"/>
        <item x="189"/>
        <item x="45"/>
        <item x="449"/>
        <item x="367"/>
        <item x="115"/>
        <item x="360"/>
        <item x="340"/>
        <item x="270"/>
        <item x="359"/>
        <item x="25"/>
        <item x="399"/>
        <item x="268"/>
        <item x="129"/>
        <item x="451"/>
        <item n="Jaws" x="158"/>
        <item x="263"/>
        <item x="139"/>
        <item x="555"/>
        <item x="543"/>
        <item x="369"/>
        <item x="408"/>
        <item x="221"/>
        <item x="517"/>
        <item x="297"/>
        <item x="288"/>
        <item x="332"/>
        <item x="128"/>
        <item x="203"/>
        <item x="435"/>
        <item x="196"/>
        <item x="554"/>
        <item x="509"/>
        <item x="322"/>
        <item x="273"/>
        <item x="94"/>
        <item x="230"/>
        <item x="190"/>
        <item x="131"/>
        <item x="281"/>
        <item x="444"/>
        <item x="639"/>
        <item x="57"/>
        <item x="82"/>
        <item x="660"/>
        <item x="552"/>
        <item x="53"/>
        <item x="666"/>
        <item x="323"/>
        <item x="329"/>
        <item x="626"/>
        <item x="573"/>
        <item x="74"/>
        <item x="562"/>
        <item x="64"/>
        <item x="79"/>
        <item x="538"/>
        <item x="284"/>
        <item x="577"/>
        <item x="523"/>
        <item x="647"/>
        <item x="535"/>
        <item x="425"/>
        <item x="305"/>
        <item x="652"/>
        <item x="48"/>
        <item x="380"/>
        <item x="248"/>
        <item x="194"/>
        <item x="233"/>
        <item x="446"/>
        <item x="182"/>
        <item x="465"/>
        <item x="402"/>
        <item x="204"/>
        <item x="16"/>
        <item x="6"/>
        <item x="301"/>
        <item x="629"/>
        <item x="256"/>
        <item x="337"/>
        <item x="5"/>
        <item x="584"/>
        <item x="28"/>
        <item x="148"/>
        <item x="603"/>
        <item x="286"/>
        <item x="661"/>
        <item x="311"/>
        <item x="211"/>
        <item x="594"/>
        <item x="325"/>
        <item x="218"/>
        <item x="61"/>
        <item x="511"/>
        <item x="130"/>
        <item x="622"/>
        <item x="447"/>
        <item x="308"/>
        <item x="338"/>
        <item x="101"/>
        <item x="604"/>
        <item x="341"/>
        <item x="137"/>
        <item x="522"/>
        <item x="482"/>
        <item x="215"/>
        <item x="106"/>
        <item x="92"/>
        <item x="98"/>
        <item x="318"/>
        <item x="469"/>
        <item x="170"/>
        <item x="69"/>
        <item x="501"/>
        <item x="439"/>
        <item x="448"/>
        <item x="621"/>
        <item x="246"/>
        <item x="32"/>
        <item x="624"/>
        <item x="122"/>
        <item x="179"/>
        <item x="51"/>
        <item x="576"/>
        <item x="397"/>
        <item x="241"/>
        <item x="350"/>
        <item x="487"/>
        <item x="10"/>
        <item x="569"/>
        <item x="488"/>
        <item x="607"/>
        <item x="232"/>
        <item x="132"/>
        <item x="586"/>
        <item x="133"/>
        <item x="52"/>
        <item x="76"/>
        <item x="589"/>
        <item x="224"/>
        <item x="620"/>
        <item x="316"/>
        <item x="333"/>
        <item x="163"/>
        <item x="537"/>
        <item x="558"/>
        <item x="405"/>
        <item x="665"/>
        <item x="303"/>
        <item x="125"/>
        <item x="205"/>
        <item x="315"/>
        <item x="353"/>
        <item x="321"/>
        <item x="356"/>
        <item x="531"/>
        <item x="328"/>
        <item x="207"/>
        <item x="237"/>
        <item x="254"/>
        <item x="415"/>
        <item x="505"/>
        <item x="226"/>
        <item x="532"/>
        <item x="436"/>
        <item x="550"/>
        <item x="339"/>
        <item x="578"/>
        <item x="310"/>
        <item x="220"/>
        <item x="24"/>
        <item x="549"/>
        <item x="618"/>
        <item x="2"/>
        <item x="253"/>
        <item x="428"/>
        <item x="44"/>
        <item x="521"/>
        <item x="91"/>
        <item x="674"/>
        <item x="235"/>
        <item x="673"/>
        <item x="636"/>
        <item x="364"/>
        <item x="582"/>
        <item x="206"/>
        <item x="136"/>
        <item x="387"/>
        <item x="575"/>
        <item x="354"/>
        <item x="71"/>
        <item x="598"/>
        <item x="567"/>
        <item x="401"/>
        <item x="404"/>
        <item x="403"/>
        <item x="420"/>
        <item x="557"/>
        <item x="499"/>
        <item x="528"/>
        <item x="29"/>
        <item x="289"/>
        <item x="396"/>
        <item x="46"/>
        <item x="378"/>
        <item x="520"/>
        <item x="312"/>
        <item x="326"/>
        <item x="483"/>
        <item x="551"/>
        <item x="166"/>
        <item x="252"/>
        <item x="157"/>
        <item x="656"/>
        <item x="553"/>
        <item x="275"/>
        <item x="504"/>
        <item x="587"/>
        <item x="477"/>
        <item x="559"/>
        <item x="382"/>
        <item x="646"/>
        <item x="480"/>
        <item x="610"/>
        <item x="632"/>
        <item x="15"/>
        <item x="514"/>
        <item x="513"/>
        <item x="583"/>
        <item x="21"/>
        <item x="54"/>
        <item x="379"/>
        <item x="374"/>
        <item x="361"/>
        <item x="358"/>
        <item x="80"/>
        <item x="588"/>
        <item x="152"/>
        <item x="141"/>
        <item x="238"/>
        <item x="565"/>
        <item x="580"/>
        <item x="410"/>
        <item x="213"/>
        <item x="533"/>
        <item x="390"/>
        <item x="193"/>
        <item x="72"/>
        <item x="304"/>
        <item x="560"/>
        <item x="657"/>
        <item x="485"/>
        <item x="249"/>
        <item x="613"/>
        <item x="373"/>
        <item x="175"/>
        <item x="581"/>
        <item x="309"/>
        <item x="384"/>
        <item x="347"/>
        <item x="285"/>
        <item x="635"/>
        <item x="324"/>
        <item x="144"/>
        <item x="143"/>
        <item x="199"/>
        <item x="493"/>
        <item x="65"/>
        <item x="545"/>
        <item x="331"/>
        <item x="118"/>
        <item x="126"/>
        <item x="615"/>
        <item x="155"/>
        <item x="650"/>
        <item x="140"/>
        <item x="427"/>
        <item x="142"/>
        <item x="600"/>
        <item x="330"/>
        <item x="306"/>
        <item x="150"/>
        <item x="395"/>
        <item x="649"/>
        <item x="570"/>
        <item x="153"/>
        <item x="279"/>
        <item x="394"/>
        <item x="336"/>
        <item x="124"/>
        <item x="50"/>
        <item x="530"/>
        <item x="93"/>
        <item x="89"/>
        <item x="526"/>
        <item x="393"/>
        <item x="651"/>
        <item x="388"/>
        <item x="161"/>
        <item x="117"/>
        <item x="262"/>
        <item x="9"/>
        <item x="648"/>
        <item x="291"/>
        <item x="591"/>
        <item x="216"/>
        <item x="492"/>
        <item x="55"/>
        <item x="633"/>
        <item x="426"/>
        <item x="431"/>
        <item x="351"/>
        <item x="670"/>
        <item x="515"/>
        <item x="463"/>
        <item x="271"/>
        <item x="638"/>
        <item x="423"/>
        <item x="490"/>
        <item x="63"/>
        <item x="1"/>
        <item x="11"/>
        <item x="13"/>
        <item x="14"/>
        <item x="17"/>
        <item x="18"/>
        <item x="19"/>
        <item x="20"/>
        <item x="23"/>
        <item x="26"/>
        <item x="27"/>
        <item x="30"/>
        <item x="31"/>
        <item x="34"/>
        <item x="35"/>
        <item x="38"/>
        <item x="39"/>
        <item x="40"/>
        <item x="47"/>
        <item x="49"/>
        <item x="60"/>
        <item x="62"/>
        <item x="66"/>
        <item x="67"/>
        <item x="68"/>
        <item x="70"/>
        <item x="73"/>
        <item x="75"/>
        <item x="77"/>
        <item x="78"/>
        <item x="83"/>
        <item x="84"/>
        <item x="85"/>
        <item x="87"/>
        <item x="88"/>
        <item x="90"/>
        <item x="95"/>
        <item x="96"/>
        <item x="97"/>
        <item x="99"/>
        <item x="102"/>
        <item x="103"/>
        <item x="104"/>
        <item x="105"/>
        <item x="107"/>
        <item x="108"/>
        <item x="109"/>
        <item x="114"/>
        <item x="121"/>
        <item x="123"/>
        <item x="127"/>
        <item x="135"/>
        <item x="138"/>
        <item x="145"/>
        <item x="146"/>
        <item x="154"/>
        <item x="156"/>
        <item x="159"/>
        <item x="160"/>
        <item x="162"/>
        <item x="164"/>
        <item x="165"/>
        <item x="167"/>
        <item x="168"/>
        <item x="171"/>
        <item x="172"/>
        <item x="173"/>
        <item x="174"/>
        <item x="176"/>
        <item x="178"/>
        <item x="180"/>
        <item x="184"/>
        <item x="185"/>
        <item x="186"/>
        <item x="187"/>
        <item x="188"/>
        <item x="191"/>
        <item x="192"/>
        <item x="195"/>
        <item x="197"/>
        <item x="198"/>
        <item x="208"/>
        <item x="209"/>
        <item x="212"/>
        <item x="214"/>
        <item x="219"/>
        <item x="222"/>
        <item x="223"/>
        <item x="227"/>
        <item x="229"/>
        <item x="234"/>
        <item x="242"/>
        <item x="243"/>
        <item x="244"/>
        <item x="247"/>
        <item x="250"/>
        <item x="251"/>
        <item x="255"/>
        <item x="259"/>
        <item x="260"/>
        <item x="267"/>
        <item x="277"/>
        <item x="282"/>
        <item x="287"/>
        <item x="290"/>
        <item x="295"/>
        <item x="348"/>
        <item x="355"/>
        <item x="366"/>
        <item x="368"/>
        <item x="372"/>
        <item x="392"/>
        <item x="400"/>
        <item x="406"/>
        <item x="417"/>
        <item x="433"/>
        <item x="434"/>
        <item x="437"/>
        <item x="438"/>
        <item x="440"/>
        <item x="441"/>
        <item x="442"/>
        <item x="443"/>
        <item x="445"/>
        <item x="450"/>
        <item x="452"/>
        <item x="453"/>
        <item x="456"/>
        <item x="457"/>
        <item x="459"/>
        <item x="460"/>
        <item x="462"/>
        <item x="464"/>
        <item x="466"/>
        <item x="467"/>
        <item x="468"/>
        <item x="471"/>
        <item x="472"/>
        <item x="473"/>
        <item x="475"/>
        <item x="476"/>
        <item x="478"/>
        <item x="479"/>
        <item x="484"/>
        <item x="486"/>
        <item x="489"/>
        <item x="491"/>
        <item x="497"/>
        <item x="500"/>
        <item x="502"/>
        <item x="503"/>
        <item x="507"/>
        <item x="508"/>
        <item x="510"/>
        <item x="516"/>
        <item x="524"/>
        <item x="527"/>
        <item x="529"/>
        <item x="534"/>
        <item x="536"/>
        <item x="539"/>
        <item x="540"/>
        <item x="541"/>
        <item x="544"/>
        <item x="546"/>
        <item x="547"/>
        <item x="548"/>
        <item x="574"/>
        <item x="592"/>
        <item x="593"/>
        <item x="595"/>
        <item x="596"/>
        <item x="597"/>
        <item x="599"/>
        <item x="601"/>
        <item x="602"/>
        <item x="609"/>
        <item x="611"/>
        <item x="612"/>
        <item x="617"/>
        <item x="623"/>
        <item x="625"/>
        <item x="627"/>
        <item x="630"/>
        <item x="631"/>
        <item x="634"/>
        <item x="637"/>
        <item x="641"/>
        <item x="642"/>
        <item x="644"/>
        <item x="653"/>
        <item x="664"/>
        <item x="668"/>
        <item x="669"/>
        <item x="672"/>
        <item x="319"/>
        <item t="default"/>
      </items>
      <autoSortScope>
        <pivotArea dataOnly="0" outline="0" fieldPosition="0">
          <references count="1">
            <reference field="4294967294" count="1" selected="0">
              <x v="0"/>
            </reference>
          </references>
        </pivotArea>
      </autoSortScope>
    </pivotField>
    <pivotField axis="axisPage" showAll="0">
      <items count="3">
        <item x="0"/>
        <item x="1"/>
        <item t="default"/>
      </items>
    </pivotField>
    <pivotField axis="axisPage" showAll="0">
      <items count="3">
        <item x="0"/>
        <item x="1"/>
        <item t="default"/>
      </items>
    </pivotField>
    <pivotField axis="axisPage" showAll="0">
      <items count="3">
        <item x="0"/>
        <item x="1"/>
        <item t="default"/>
      </items>
    </pivotField>
    <pivotField axis="axisPage" showAll="0">
      <items count="3">
        <item x="0"/>
        <item x="1"/>
        <item t="default"/>
      </items>
    </pivotField>
    <pivotField axis="axisPage" showAll="0">
      <items count="3">
        <item x="0"/>
        <item x="1"/>
        <item t="default"/>
      </items>
    </pivotField>
    <pivotField axis="axisPage" showAll="0">
      <items count="3">
        <item x="0"/>
        <item x="1"/>
        <item t="default"/>
      </items>
    </pivotField>
    <pivotField axis="axisPage" showAll="0">
      <items count="3">
        <item x="1"/>
        <item x="0"/>
        <item t="default"/>
      </items>
    </pivotField>
    <pivotField axis="axisPage" showAll="0">
      <items count="3">
        <item x="0"/>
        <item x="1"/>
        <item t="default"/>
      </items>
    </pivotField>
    <pivotField axis="axisPage" showAll="0">
      <items count="3">
        <item x="0"/>
        <item x="1"/>
        <item t="default"/>
      </items>
    </pivotField>
    <pivotField axis="axisPage" showAll="0">
      <items count="3">
        <item x="0"/>
        <item x="1"/>
        <item t="default"/>
      </items>
    </pivotField>
    <pivotField axis="axisPage" showAll="0">
      <items count="3">
        <item x="0"/>
        <item x="1"/>
        <item t="default"/>
      </items>
    </pivotField>
    <pivotField axis="axisPage" showAll="0">
      <items count="3">
        <item x="0"/>
        <item x="1"/>
        <item t="default"/>
      </items>
    </pivotField>
    <pivotField axis="axisPage" showAll="0">
      <items count="3">
        <item x="0"/>
        <item x="1"/>
        <item t="default"/>
      </items>
    </pivotField>
    <pivotField axis="axisPage" showAll="0">
      <items count="3">
        <item x="0"/>
        <item x="1"/>
        <item t="default"/>
      </items>
    </pivotField>
    <pivotField axis="axisPage" showAll="0">
      <items count="3">
        <item x="1"/>
        <item x="0"/>
        <item t="default"/>
      </items>
    </pivotField>
    <pivotField axis="axisPage" showAll="0">
      <items count="3">
        <item x="0"/>
        <item x="1"/>
        <item t="default"/>
      </items>
    </pivotField>
    <pivotField axis="axisPage" showAll="0">
      <items count="3">
        <item x="0"/>
        <item x="1"/>
        <item t="default"/>
      </items>
    </pivotField>
    <pivotField axis="axisPage" showAll="0">
      <items count="3">
        <item x="0"/>
        <item x="1"/>
        <item t="default"/>
      </items>
    </pivotField>
    <pivotField axis="axisPage" showAll="0">
      <items count="3">
        <item x="0"/>
        <item x="1"/>
        <item t="default"/>
      </items>
    </pivotField>
  </pivotFields>
  <rowFields count="1">
    <field x="7"/>
  </rowFields>
  <rowItems count="11">
    <i>
      <x v="213"/>
    </i>
    <i>
      <x v="394"/>
    </i>
    <i>
      <x v="398"/>
    </i>
    <i>
      <x v="296"/>
    </i>
    <i>
      <x v="392"/>
    </i>
    <i>
      <x v="393"/>
    </i>
    <i>
      <x v="366"/>
    </i>
    <i>
      <x v="330"/>
    </i>
    <i>
      <x v="573"/>
    </i>
    <i>
      <x v="361"/>
    </i>
    <i t="grand">
      <x/>
    </i>
  </rowItems>
  <colItems count="1">
    <i/>
  </colItems>
  <pageFields count="20">
    <pageField fld="9" hier="-1"/>
    <pageField fld="8" item="1" hier="-1"/>
    <pageField fld="10" hier="-1"/>
    <pageField fld="11" hier="-1"/>
    <pageField fld="12" hier="-1"/>
    <pageField fld="13" hier="-1"/>
    <pageField fld="14" hier="-1"/>
    <pageField fld="15" hier="-1"/>
    <pageField fld="16" hier="-1"/>
    <pageField fld="17" hier="-1"/>
    <pageField fld="18" hier="-1"/>
    <pageField fld="19" hier="-1"/>
    <pageField fld="20" hier="-1"/>
    <pageField fld="21" hier="-1"/>
    <pageField fld="22" hier="-1"/>
    <pageField fld="23" hier="-1"/>
    <pageField fld="24" hier="-1"/>
    <pageField fld="25" hier="-1"/>
    <pageField fld="26" hier="-1"/>
    <pageField fld="4" hier="-1"/>
  </pageFields>
  <dataFields count="1">
    <dataField name="Sum of Points" fld="2" baseField="7" baseItem="0">
      <extLst>
        <ext xmlns:x14="http://schemas.microsoft.com/office/spreadsheetml/2009/9/main" uri="{E15A36E0-9728-4e99-A89B-3F7291B0FE68}">
          <x14:dataField pivotShowAs="rankAscending"/>
        </ext>
      </extLst>
    </dataField>
  </dataFields>
  <chartFormats count="32">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4" format="3">
      <pivotArea type="data" outline="0" fieldPosition="0">
        <references count="2">
          <reference field="4294967294" count="1" selected="0">
            <x v="0"/>
          </reference>
          <reference field="7" count="1" selected="0">
            <x v="110"/>
          </reference>
        </references>
      </pivotArea>
    </chartFormat>
    <chartFormat chart="4" format="4">
      <pivotArea type="data" outline="0" fieldPosition="0">
        <references count="2">
          <reference field="4294967294" count="1" selected="0">
            <x v="0"/>
          </reference>
          <reference field="7" count="1" selected="0">
            <x v="393"/>
          </reference>
        </references>
      </pivotArea>
    </chartFormat>
    <chartFormat chart="4" format="5">
      <pivotArea type="data" outline="0" fieldPosition="0">
        <references count="2">
          <reference field="4294967294" count="1" selected="0">
            <x v="0"/>
          </reference>
          <reference field="7" count="1" selected="0">
            <x v="392"/>
          </reference>
        </references>
      </pivotArea>
    </chartFormat>
    <chartFormat chart="4" format="6">
      <pivotArea type="data" outline="0" fieldPosition="0">
        <references count="2">
          <reference field="4294967294" count="1" selected="0">
            <x v="0"/>
          </reference>
          <reference field="7" count="1" selected="0">
            <x v="394"/>
          </reference>
        </references>
      </pivotArea>
    </chartFormat>
    <chartFormat chart="4" format="7">
      <pivotArea type="data" outline="0" fieldPosition="0">
        <references count="2">
          <reference field="4294967294" count="1" selected="0">
            <x v="0"/>
          </reference>
          <reference field="7" count="1" selected="0">
            <x v="326"/>
          </reference>
        </references>
      </pivotArea>
    </chartFormat>
    <chartFormat chart="4" format="9">
      <pivotArea type="data" outline="0" fieldPosition="0">
        <references count="2">
          <reference field="4294967294" count="1" selected="0">
            <x v="0"/>
          </reference>
          <reference field="7" count="1" selected="0">
            <x v="557"/>
          </reference>
        </references>
      </pivotArea>
    </chartFormat>
    <chartFormat chart="4" format="10">
      <pivotArea type="data" outline="0" fieldPosition="0">
        <references count="2">
          <reference field="4294967294" count="1" selected="0">
            <x v="0"/>
          </reference>
          <reference field="7" count="1" selected="0">
            <x v="457"/>
          </reference>
        </references>
      </pivotArea>
    </chartFormat>
    <chartFormat chart="4" format="11">
      <pivotArea type="data" outline="0" fieldPosition="0">
        <references count="2">
          <reference field="4294967294" count="1" selected="0">
            <x v="0"/>
          </reference>
          <reference field="7" count="1" selected="0">
            <x v="447"/>
          </reference>
        </references>
      </pivotArea>
    </chartFormat>
    <chartFormat chart="4" format="13">
      <pivotArea type="data" outline="0" fieldPosition="0">
        <references count="2">
          <reference field="4294967294" count="1" selected="0">
            <x v="0"/>
          </reference>
          <reference field="7" count="1" selected="0">
            <x v="90"/>
          </reference>
        </references>
      </pivotArea>
    </chartFormat>
    <chartFormat chart="4" format="14">
      <pivotArea type="data" outline="0" fieldPosition="0">
        <references count="2">
          <reference field="4294967294" count="1" selected="0">
            <x v="0"/>
          </reference>
          <reference field="7" count="1" selected="0">
            <x v="167"/>
          </reference>
        </references>
      </pivotArea>
    </chartFormat>
    <chartFormat chart="4" format="15">
      <pivotArea type="data" outline="0" fieldPosition="0">
        <references count="2">
          <reference field="4294967294" count="1" selected="0">
            <x v="0"/>
          </reference>
          <reference field="7" count="1" selected="0">
            <x v="391"/>
          </reference>
        </references>
      </pivotArea>
    </chartFormat>
    <chartFormat chart="4" format="16">
      <pivotArea type="data" outline="0" fieldPosition="0">
        <references count="2">
          <reference field="4294967294" count="1" selected="0">
            <x v="0"/>
          </reference>
          <reference field="7" count="1" selected="0">
            <x v="446"/>
          </reference>
        </references>
      </pivotArea>
    </chartFormat>
    <chartFormat chart="4" format="17">
      <pivotArea type="data" outline="0" fieldPosition="0">
        <references count="2">
          <reference field="4294967294" count="1" selected="0">
            <x v="0"/>
          </reference>
          <reference field="7" count="1" selected="0">
            <x v="554"/>
          </reference>
        </references>
      </pivotArea>
    </chartFormat>
    <chartFormat chart="4" format="18">
      <pivotArea type="data" outline="0" fieldPosition="0">
        <references count="2">
          <reference field="4294967294" count="1" selected="0">
            <x v="0"/>
          </reference>
          <reference field="7" count="1" selected="0">
            <x v="414"/>
          </reference>
        </references>
      </pivotArea>
    </chartFormat>
    <chartFormat chart="4" format="19">
      <pivotArea type="data" outline="0" fieldPosition="0">
        <references count="2">
          <reference field="4294967294" count="1" selected="0">
            <x v="0"/>
          </reference>
          <reference field="7" count="1" selected="0">
            <x v="115"/>
          </reference>
        </references>
      </pivotArea>
    </chartFormat>
    <chartFormat chart="4" format="20">
      <pivotArea type="data" outline="0" fieldPosition="0">
        <references count="2">
          <reference field="4294967294" count="1" selected="0">
            <x v="0"/>
          </reference>
          <reference field="7" count="1" selected="0">
            <x v="577"/>
          </reference>
        </references>
      </pivotArea>
    </chartFormat>
    <chartFormat chart="4" format="21">
      <pivotArea type="data" outline="0" fieldPosition="0">
        <references count="2">
          <reference field="4294967294" count="1" selected="0">
            <x v="0"/>
          </reference>
          <reference field="7" count="1" selected="0">
            <x v="366"/>
          </reference>
        </references>
      </pivotArea>
    </chartFormat>
    <chartFormat chart="4" format="22">
      <pivotArea type="data" outline="0" fieldPosition="0">
        <references count="2">
          <reference field="4294967294" count="1" selected="0">
            <x v="0"/>
          </reference>
          <reference field="7" count="1" selected="0">
            <x v="296"/>
          </reference>
        </references>
      </pivotArea>
    </chartFormat>
    <chartFormat chart="4" format="23">
      <pivotArea type="data" outline="0" fieldPosition="0">
        <references count="2">
          <reference field="4294967294" count="1" selected="0">
            <x v="0"/>
          </reference>
          <reference field="7" count="1" selected="0">
            <x v="3"/>
          </reference>
        </references>
      </pivotArea>
    </chartFormat>
    <chartFormat chart="4" format="24">
      <pivotArea type="data" outline="0" fieldPosition="0">
        <references count="2">
          <reference field="4294967294" count="1" selected="0">
            <x v="0"/>
          </reference>
          <reference field="7" count="1" selected="0">
            <x v="340"/>
          </reference>
        </references>
      </pivotArea>
    </chartFormat>
    <chartFormat chart="4" format="25">
      <pivotArea type="data" outline="0" fieldPosition="0">
        <references count="2">
          <reference field="4294967294" count="1" selected="0">
            <x v="0"/>
          </reference>
          <reference field="7" count="1" selected="0">
            <x v="322"/>
          </reference>
        </references>
      </pivotArea>
    </chartFormat>
    <chartFormat chart="4" format="26">
      <pivotArea type="data" outline="0" fieldPosition="0">
        <references count="2">
          <reference field="4294967294" count="1" selected="0">
            <x v="0"/>
          </reference>
          <reference field="7" count="1" selected="0">
            <x v="250"/>
          </reference>
        </references>
      </pivotArea>
    </chartFormat>
    <chartFormat chart="4" format="27">
      <pivotArea type="data" outline="0" fieldPosition="0">
        <references count="2">
          <reference field="4294967294" count="1" selected="0">
            <x v="0"/>
          </reference>
          <reference field="7" count="1" selected="0">
            <x v="417"/>
          </reference>
        </references>
      </pivotArea>
    </chartFormat>
    <chartFormat chart="4" format="28">
      <pivotArea type="data" outline="0" fieldPosition="0">
        <references count="2">
          <reference field="4294967294" count="1" selected="0">
            <x v="0"/>
          </reference>
          <reference field="7" count="1" selected="0">
            <x v="372"/>
          </reference>
        </references>
      </pivotArea>
    </chartFormat>
    <chartFormat chart="4" format="29">
      <pivotArea type="data" outline="0" fieldPosition="0">
        <references count="2">
          <reference field="4294967294" count="1" selected="0">
            <x v="0"/>
          </reference>
          <reference field="7" count="1" selected="0">
            <x v="361"/>
          </reference>
        </references>
      </pivotArea>
    </chartFormat>
    <chartFormat chart="4" format="30">
      <pivotArea type="data" outline="0" fieldPosition="0">
        <references count="2">
          <reference field="4294967294" count="1" selected="0">
            <x v="0"/>
          </reference>
          <reference field="7" count="1" selected="0">
            <x v="293"/>
          </reference>
        </references>
      </pivotArea>
    </chartFormat>
    <chartFormat chart="4" format="31">
      <pivotArea type="data" outline="0" fieldPosition="0">
        <references count="2">
          <reference field="4294967294" count="1" selected="0">
            <x v="0"/>
          </reference>
          <reference field="7" count="1" selected="0">
            <x v="143"/>
          </reference>
        </references>
      </pivotArea>
    </chartFormat>
    <chartFormat chart="4" format="32">
      <pivotArea type="data" outline="0" fieldPosition="0">
        <references count="2">
          <reference field="4294967294" count="1" selected="0">
            <x v="0"/>
          </reference>
          <reference field="7" count="1" selected="0">
            <x v="371"/>
          </reference>
        </references>
      </pivotArea>
    </chartFormat>
  </chartFormats>
  <pivotTableStyleInfo name="PivotStyleLight16" showRowHeaders="1" showColHeaders="1" showRowStripes="0" showColStripes="0" showLastColumn="1"/>
  <filters count="1">
    <filter fld="7" type="count" evalOrder="-1" id="217"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2BB5488-DAEA-493C-84C3-7D4500872077}"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14" firstHeaderRow="1" firstDataRow="1" firstDataCol="1"/>
  <pivotFields count="27">
    <pivotField showAll="0"/>
    <pivotField showAll="0"/>
    <pivotField dataField="1" showAll="0"/>
    <pivotField showAll="0"/>
    <pivotField showAll="0"/>
    <pivotField showAll="0"/>
    <pivotField showAll="0"/>
    <pivotField axis="axisRow" showAll="0" measureFilter="1" sortType="ascending">
      <items count="677">
        <item x="568"/>
        <item x="276"/>
        <item x="296"/>
        <item x="258"/>
        <item x="645"/>
        <item x="556"/>
        <item x="623"/>
        <item x="540"/>
        <item x="655"/>
        <item x="231"/>
        <item x="185"/>
        <item x="599"/>
        <item x="8"/>
        <item x="105"/>
        <item x="7"/>
        <item x="121"/>
        <item x="362"/>
        <item x="278"/>
        <item x="165"/>
        <item x="181"/>
        <item x="625"/>
        <item x="335"/>
        <item x="454"/>
        <item x="667"/>
        <item x="508"/>
        <item x="585"/>
        <item x="348"/>
        <item x="30"/>
        <item x="149"/>
        <item x="512"/>
        <item x="506"/>
        <item x="146"/>
        <item x="412"/>
        <item x="494"/>
        <item x="212"/>
        <item x="116"/>
        <item x="366"/>
        <item x="389"/>
        <item x="42"/>
        <item x="104"/>
        <item x="120"/>
        <item x="481"/>
        <item x="422"/>
        <item x="424"/>
        <item x="418"/>
        <item x="100"/>
        <item x="319"/>
        <item x="385"/>
        <item x="381"/>
        <item x="643"/>
        <item x="542"/>
        <item x="73"/>
        <item x="466"/>
        <item x="579"/>
        <item x="628"/>
        <item x="195"/>
        <item x="3"/>
        <item x="659"/>
        <item x="547"/>
        <item x="245"/>
        <item x="468"/>
        <item x="47"/>
        <item x="334"/>
        <item x="33"/>
        <item x="239"/>
        <item x="440"/>
        <item x="398"/>
        <item x="365"/>
        <item x="371"/>
        <item x="370"/>
        <item x="112"/>
        <item x="299"/>
        <item x="217"/>
        <item x="383"/>
        <item x="209"/>
        <item x="257"/>
        <item x="416"/>
        <item x="458"/>
        <item x="455"/>
        <item x="640"/>
        <item x="283"/>
        <item x="566"/>
        <item x="223"/>
        <item x="167"/>
        <item x="86"/>
        <item x="274"/>
        <item x="327"/>
        <item x="272"/>
        <item x="210"/>
        <item x="346"/>
        <item x="421"/>
        <item x="37"/>
        <item x="177"/>
        <item x="313"/>
        <item x="293"/>
        <item x="663"/>
        <item x="0"/>
        <item x="590"/>
        <item x="376"/>
        <item x="294"/>
        <item x="225"/>
        <item x="280"/>
        <item x="43"/>
        <item x="605"/>
        <item x="151"/>
        <item x="302"/>
        <item x="616"/>
        <item x="429"/>
        <item x="40"/>
        <item x="184"/>
        <item x="608"/>
        <item x="298"/>
        <item x="201"/>
        <item x="83"/>
        <item x="474"/>
        <item x="127"/>
        <item x="113"/>
        <item x="176"/>
        <item x="442"/>
        <item x="261"/>
        <item x="228"/>
        <item x="406"/>
        <item x="250"/>
        <item x="414"/>
        <item x="247"/>
        <item x="266"/>
        <item x="159"/>
        <item x="208"/>
        <item x="36"/>
        <item x="23"/>
        <item x="644"/>
        <item x="518"/>
        <item x="236"/>
        <item x="495"/>
        <item x="202"/>
        <item x="110"/>
        <item x="300"/>
        <item x="525"/>
        <item x="548"/>
        <item x="593"/>
        <item x="377"/>
        <item x="572"/>
        <item x="12"/>
        <item x="409"/>
        <item x="240"/>
        <item x="413"/>
        <item x="470"/>
        <item x="630"/>
        <item x="654"/>
        <item x="320"/>
        <item x="147"/>
        <item x="58"/>
        <item x="59"/>
        <item x="41"/>
        <item x="264"/>
        <item x="265"/>
        <item x="4"/>
        <item x="183"/>
        <item x="612"/>
        <item x="269"/>
        <item x="111"/>
        <item x="357"/>
        <item x="462"/>
        <item x="519"/>
        <item x="27"/>
        <item x="510"/>
        <item x="461"/>
        <item x="606"/>
        <item x="544"/>
        <item x="135"/>
        <item x="498"/>
        <item x="671"/>
        <item x="507"/>
        <item x="307"/>
        <item x="411"/>
        <item x="363"/>
        <item x="386"/>
        <item x="642"/>
        <item x="619"/>
        <item x="34"/>
        <item x="349"/>
        <item x="561"/>
        <item x="391"/>
        <item x="486"/>
        <item x="637"/>
        <item x="119"/>
        <item x="169"/>
        <item x="563"/>
        <item x="419"/>
        <item x="352"/>
        <item x="375"/>
        <item x="355"/>
        <item x="102"/>
        <item x="342"/>
        <item x="292"/>
        <item x="614"/>
        <item x="314"/>
        <item x="430"/>
        <item x="156"/>
        <item x="200"/>
        <item x="407"/>
        <item x="114"/>
        <item x="38"/>
        <item x="658"/>
        <item x="571"/>
        <item x="75"/>
        <item x="317"/>
        <item x="345"/>
        <item x="108"/>
        <item x="631"/>
        <item x="35"/>
        <item x="432"/>
        <item x="22"/>
        <item x="496"/>
        <item x="675"/>
        <item x="433"/>
        <item x="81"/>
        <item x="134"/>
        <item x="180"/>
        <item x="343"/>
        <item x="472"/>
        <item x="564"/>
        <item x="460"/>
        <item x="56"/>
        <item x="662"/>
        <item x="97"/>
        <item x="344"/>
        <item x="189"/>
        <item x="45"/>
        <item x="259"/>
        <item x="17"/>
        <item x="449"/>
        <item x="367"/>
        <item x="115"/>
        <item x="360"/>
        <item x="340"/>
        <item x="270"/>
        <item x="359"/>
        <item x="25"/>
        <item x="399"/>
        <item x="68"/>
        <item x="268"/>
        <item x="129"/>
        <item x="451"/>
        <item x="372"/>
        <item x="158"/>
        <item x="31"/>
        <item x="263"/>
        <item x="139"/>
        <item x="555"/>
        <item x="191"/>
        <item x="543"/>
        <item x="574"/>
        <item x="369"/>
        <item x="408"/>
        <item x="221"/>
        <item x="517"/>
        <item x="297"/>
        <item x="288"/>
        <item x="332"/>
        <item x="128"/>
        <item x="203"/>
        <item x="435"/>
        <item x="196"/>
        <item x="554"/>
        <item x="509"/>
        <item x="322"/>
        <item x="273"/>
        <item x="476"/>
        <item x="94"/>
        <item x="95"/>
        <item x="230"/>
        <item x="242"/>
        <item x="190"/>
        <item x="131"/>
        <item x="281"/>
        <item x="444"/>
        <item x="639"/>
        <item x="57"/>
        <item x="82"/>
        <item x="660"/>
        <item x="464"/>
        <item x="552"/>
        <item x="529"/>
        <item x="53"/>
        <item x="666"/>
        <item x="323"/>
        <item x="329"/>
        <item x="626"/>
        <item x="573"/>
        <item x="456"/>
        <item x="74"/>
        <item x="368"/>
        <item x="595"/>
        <item x="562"/>
        <item x="64"/>
        <item x="79"/>
        <item x="538"/>
        <item x="284"/>
        <item x="255"/>
        <item x="577"/>
        <item x="523"/>
        <item x="647"/>
        <item x="535"/>
        <item x="425"/>
        <item x="305"/>
        <item x="652"/>
        <item x="109"/>
        <item x="48"/>
        <item x="380"/>
        <item x="445"/>
        <item x="87"/>
        <item x="248"/>
        <item x="194"/>
        <item x="536"/>
        <item x="233"/>
        <item x="446"/>
        <item x="182"/>
        <item x="465"/>
        <item x="402"/>
        <item x="204"/>
        <item x="16"/>
        <item x="6"/>
        <item x="301"/>
        <item x="629"/>
        <item x="256"/>
        <item x="337"/>
        <item x="295"/>
        <item x="5"/>
        <item x="227"/>
        <item x="584"/>
        <item x="192"/>
        <item x="28"/>
        <item x="148"/>
        <item x="603"/>
        <item x="286"/>
        <item x="661"/>
        <item x="438"/>
        <item x="311"/>
        <item x="211"/>
        <item x="594"/>
        <item x="457"/>
        <item x="325"/>
        <item x="467"/>
        <item x="218"/>
        <item x="61"/>
        <item x="511"/>
        <item x="13"/>
        <item x="130"/>
        <item x="622"/>
        <item x="11"/>
        <item x="447"/>
        <item x="308"/>
        <item x="338"/>
        <item x="101"/>
        <item x="653"/>
        <item x="164"/>
        <item x="604"/>
        <item x="341"/>
        <item x="60"/>
        <item x="137"/>
        <item x="522"/>
        <item x="482"/>
        <item x="215"/>
        <item x="106"/>
        <item x="92"/>
        <item x="98"/>
        <item x="318"/>
        <item x="62"/>
        <item x="1"/>
        <item x="287"/>
        <item x="469"/>
        <item x="170"/>
        <item x="69"/>
        <item x="501"/>
        <item x="229"/>
        <item x="439"/>
        <item x="448"/>
        <item x="621"/>
        <item x="246"/>
        <item x="32"/>
        <item x="624"/>
        <item x="122"/>
        <item x="179"/>
        <item x="51"/>
        <item x="576"/>
        <item x="397"/>
        <item x="290"/>
        <item x="241"/>
        <item x="350"/>
        <item x="487"/>
        <item x="234"/>
        <item x="10"/>
        <item x="569"/>
        <item x="453"/>
        <item x="488"/>
        <item x="607"/>
        <item x="232"/>
        <item x="132"/>
        <item x="77"/>
        <item x="586"/>
        <item x="133"/>
        <item x="52"/>
        <item x="491"/>
        <item x="76"/>
        <item x="222"/>
        <item x="589"/>
        <item x="224"/>
        <item x="478"/>
        <item x="85"/>
        <item x="592"/>
        <item x="620"/>
        <item x="316"/>
        <item x="333"/>
        <item x="516"/>
        <item x="163"/>
        <item x="537"/>
        <item x="503"/>
        <item x="558"/>
        <item x="405"/>
        <item x="665"/>
        <item x="597"/>
        <item x="303"/>
        <item x="641"/>
        <item x="125"/>
        <item x="534"/>
        <item x="205"/>
        <item x="188"/>
        <item x="186"/>
        <item x="315"/>
        <item x="282"/>
        <item x="353"/>
        <item x="321"/>
        <item x="356"/>
        <item x="531"/>
        <item x="417"/>
        <item x="244"/>
        <item x="328"/>
        <item x="207"/>
        <item x="237"/>
        <item x="479"/>
        <item x="254"/>
        <item x="415"/>
        <item x="505"/>
        <item x="226"/>
        <item x="672"/>
        <item x="532"/>
        <item x="436"/>
        <item x="550"/>
        <item x="339"/>
        <item x="187"/>
        <item x="578"/>
        <item x="310"/>
        <item x="220"/>
        <item x="400"/>
        <item x="24"/>
        <item x="549"/>
        <item x="471"/>
        <item x="618"/>
        <item x="2"/>
        <item x="253"/>
        <item x="428"/>
        <item x="44"/>
        <item x="521"/>
        <item x="91"/>
        <item x="14"/>
        <item x="674"/>
        <item x="484"/>
        <item x="19"/>
        <item x="235"/>
        <item x="673"/>
        <item x="636"/>
        <item x="364"/>
        <item x="214"/>
        <item x="669"/>
        <item x="582"/>
        <item x="206"/>
        <item x="136"/>
        <item x="387"/>
        <item x="219"/>
        <item x="502"/>
        <item x="575"/>
        <item x="546"/>
        <item x="354"/>
        <item x="71"/>
        <item x="596"/>
        <item x="598"/>
        <item x="567"/>
        <item x="401"/>
        <item x="404"/>
        <item x="403"/>
        <item x="420"/>
        <item x="267"/>
        <item x="557"/>
        <item x="499"/>
        <item x="145"/>
        <item x="452"/>
        <item x="528"/>
        <item x="29"/>
        <item x="289"/>
        <item x="396"/>
        <item x="46"/>
        <item x="378"/>
        <item x="539"/>
        <item x="602"/>
        <item x="174"/>
        <item x="520"/>
        <item x="312"/>
        <item x="326"/>
        <item x="88"/>
        <item x="483"/>
        <item x="551"/>
        <item x="489"/>
        <item x="166"/>
        <item x="197"/>
        <item x="252"/>
        <item x="157"/>
        <item x="656"/>
        <item x="84"/>
        <item x="553"/>
        <item x="275"/>
        <item x="504"/>
        <item x="587"/>
        <item x="668"/>
        <item x="477"/>
        <item x="559"/>
        <item x="382"/>
        <item x="39"/>
        <item x="443"/>
        <item x="67"/>
        <item x="26"/>
        <item x="162"/>
        <item x="646"/>
        <item x="437"/>
        <item x="450"/>
        <item x="434"/>
        <item x="480"/>
        <item x="610"/>
        <item x="632"/>
        <item x="15"/>
        <item x="514"/>
        <item x="513"/>
        <item x="583"/>
        <item x="21"/>
        <item x="173"/>
        <item x="54"/>
        <item x="379"/>
        <item x="497"/>
        <item x="374"/>
        <item x="361"/>
        <item x="358"/>
        <item x="80"/>
        <item x="588"/>
        <item x="152"/>
        <item x="141"/>
        <item x="160"/>
        <item x="238"/>
        <item x="565"/>
        <item x="243"/>
        <item x="580"/>
        <item x="410"/>
        <item x="213"/>
        <item x="533"/>
        <item x="390"/>
        <item x="20"/>
        <item x="193"/>
        <item x="72"/>
        <item x="304"/>
        <item x="560"/>
        <item x="657"/>
        <item x="251"/>
        <item x="485"/>
        <item x="249"/>
        <item x="613"/>
        <item x="601"/>
        <item x="123"/>
        <item x="373"/>
        <item x="175"/>
        <item x="581"/>
        <item x="309"/>
        <item x="384"/>
        <item x="347"/>
        <item x="617"/>
        <item x="285"/>
        <item x="635"/>
        <item x="178"/>
        <item x="527"/>
        <item x="324"/>
        <item x="144"/>
        <item x="143"/>
        <item x="199"/>
        <item x="493"/>
        <item x="65"/>
        <item x="545"/>
        <item x="138"/>
        <item x="331"/>
        <item x="473"/>
        <item x="118"/>
        <item x="664"/>
        <item x="126"/>
        <item x="615"/>
        <item x="155"/>
        <item x="650"/>
        <item x="140"/>
        <item x="96"/>
        <item x="70"/>
        <item x="427"/>
        <item x="142"/>
        <item x="600"/>
        <item x="330"/>
        <item x="459"/>
        <item x="500"/>
        <item x="107"/>
        <item x="306"/>
        <item x="611"/>
        <item x="150"/>
        <item x="395"/>
        <item x="260"/>
        <item x="649"/>
        <item x="570"/>
        <item x="153"/>
        <item x="198"/>
        <item x="279"/>
        <item x="394"/>
        <item x="336"/>
        <item x="168"/>
        <item x="124"/>
        <item x="49"/>
        <item x="50"/>
        <item x="172"/>
        <item x="530"/>
        <item x="93"/>
        <item x="66"/>
        <item x="89"/>
        <item x="526"/>
        <item x="393"/>
        <item x="651"/>
        <item x="388"/>
        <item x="161"/>
        <item x="117"/>
        <item x="262"/>
        <item x="9"/>
        <item x="99"/>
        <item x="648"/>
        <item x="291"/>
        <item x="634"/>
        <item x="392"/>
        <item x="591"/>
        <item x="627"/>
        <item x="216"/>
        <item x="492"/>
        <item x="55"/>
        <item x="633"/>
        <item x="18"/>
        <item x="426"/>
        <item x="431"/>
        <item x="103"/>
        <item x="351"/>
        <item x="670"/>
        <item x="515"/>
        <item x="154"/>
        <item x="78"/>
        <item x="524"/>
        <item x="463"/>
        <item x="441"/>
        <item x="90"/>
        <item x="277"/>
        <item x="271"/>
        <item x="638"/>
        <item x="171"/>
        <item x="475"/>
        <item x="609"/>
        <item x="423"/>
        <item x="541"/>
        <item x="490"/>
        <item x="6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7"/>
  </rowFields>
  <rowItems count="11">
    <i>
      <x v="436"/>
    </i>
    <i>
      <x v="516"/>
    </i>
    <i>
      <x v="397"/>
    </i>
    <i>
      <x v="499"/>
    </i>
    <i>
      <x v="398"/>
    </i>
    <i>
      <x v="112"/>
    </i>
    <i>
      <x v="59"/>
    </i>
    <i>
      <x v="199"/>
    </i>
    <i>
      <x v="119"/>
    </i>
    <i>
      <x v="515"/>
    </i>
    <i t="grand">
      <x/>
    </i>
  </rowItems>
  <colItems count="1">
    <i/>
  </colItems>
  <dataFields count="1">
    <dataField name="Sum of Points" fld="2" baseField="7" baseItem="0">
      <extLst>
        <ext xmlns:x14="http://schemas.microsoft.com/office/spreadsheetml/2009/9/main" uri="{E15A36E0-9728-4e99-A89B-3F7291B0FE68}">
          <x14:dataField pivotShowAs="rankAscending"/>
        </ext>
      </extLst>
    </dataField>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7"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DC1B8EA-84E0-4DFA-9784-D38380E79854}"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12" firstHeaderRow="1" firstDataRow="1" firstDataCol="1"/>
  <pivotFields count="27">
    <pivotField showAll="0"/>
    <pivotField showAll="0"/>
    <pivotField dataField="1" showAll="0"/>
    <pivotField showAll="0"/>
    <pivotField showAll="0"/>
    <pivotField showAll="0"/>
    <pivotField showAll="0">
      <items count="105">
        <item h="1" x="45"/>
        <item h="1" x="101"/>
        <item h="1" x="99"/>
        <item h="1" x="95"/>
        <item h="1" x="103"/>
        <item h="1" x="91"/>
        <item h="1" x="92"/>
        <item h="1" x="82"/>
        <item h="1" x="87"/>
        <item h="1" x="24"/>
        <item h="1" x="1"/>
        <item h="1" x="40"/>
        <item h="1" x="69"/>
        <item h="1" x="33"/>
        <item h="1" x="94"/>
        <item h="1" x="32"/>
        <item h="1" x="65"/>
        <item h="1" x="77"/>
        <item h="1" x="75"/>
        <item h="1" x="73"/>
        <item h="1" x="2"/>
        <item h="1" x="55"/>
        <item h="1" x="41"/>
        <item h="1" x="8"/>
        <item h="1" x="35"/>
        <item h="1" x="5"/>
        <item h="1" x="58"/>
        <item h="1" x="57"/>
        <item h="1" x="88"/>
        <item h="1" x="34"/>
        <item h="1" x="102"/>
        <item h="1" x="22"/>
        <item h="1" x="84"/>
        <item h="1" x="76"/>
        <item h="1" x="68"/>
        <item h="1" x="81"/>
        <item h="1" x="52"/>
        <item h="1" x="78"/>
        <item h="1" x="56"/>
        <item h="1" x="86"/>
        <item h="1" x="60"/>
        <item h="1" x="42"/>
        <item h="1" x="50"/>
        <item h="1" x="43"/>
        <item h="1" x="62"/>
        <item h="1" x="49"/>
        <item h="1" x="6"/>
        <item h="1" x="21"/>
        <item h="1" x="37"/>
        <item h="1" x="93"/>
        <item h="1" x="7"/>
        <item h="1" x="19"/>
        <item h="1" x="10"/>
        <item h="1" x="25"/>
        <item h="1" x="66"/>
        <item h="1" x="44"/>
        <item h="1" x="3"/>
        <item h="1" x="36"/>
        <item h="1" x="67"/>
        <item h="1" x="72"/>
        <item h="1" x="9"/>
        <item h="1" x="74"/>
        <item h="1" x="0"/>
        <item h="1" x="39"/>
        <item h="1" x="80"/>
        <item h="1" x="31"/>
        <item h="1" x="53"/>
        <item h="1" x="11"/>
        <item h="1" x="61"/>
        <item h="1" x="89"/>
        <item h="1" x="85"/>
        <item h="1" x="18"/>
        <item h="1" x="29"/>
        <item h="1" x="71"/>
        <item h="1" x="96"/>
        <item x="20"/>
        <item h="1" x="17"/>
        <item h="1" x="28"/>
        <item h="1" x="54"/>
        <item h="1" x="27"/>
        <item h="1" x="16"/>
        <item h="1" x="15"/>
        <item h="1" x="79"/>
        <item h="1" x="83"/>
        <item h="1" x="30"/>
        <item h="1" x="13"/>
        <item h="1" x="4"/>
        <item h="1" x="48"/>
        <item h="1" x="70"/>
        <item h="1" x="12"/>
        <item h="1" x="38"/>
        <item h="1" x="98"/>
        <item h="1" x="63"/>
        <item h="1" x="59"/>
        <item h="1" x="47"/>
        <item h="1" x="90"/>
        <item h="1" x="46"/>
        <item h="1" x="51"/>
        <item h="1" x="14"/>
        <item h="1" x="100"/>
        <item h="1" x="26"/>
        <item h="1" x="97"/>
        <item h="1" x="23"/>
        <item h="1" x="64"/>
        <item t="default"/>
      </items>
    </pivotField>
    <pivotField axis="axisRow" showAll="0" measureFilter="1" sortType="ascending">
      <items count="677">
        <item x="63"/>
        <item x="490"/>
        <item x="541"/>
        <item x="423"/>
        <item x="609"/>
        <item x="475"/>
        <item x="171"/>
        <item x="638"/>
        <item x="271"/>
        <item x="277"/>
        <item x="90"/>
        <item x="441"/>
        <item x="463"/>
        <item x="524"/>
        <item x="78"/>
        <item x="154"/>
        <item x="515"/>
        <item x="670"/>
        <item x="351"/>
        <item x="103"/>
        <item x="431"/>
        <item x="426"/>
        <item x="18"/>
        <item x="633"/>
        <item x="55"/>
        <item x="492"/>
        <item x="216"/>
        <item x="627"/>
        <item x="591"/>
        <item x="392"/>
        <item x="634"/>
        <item x="291"/>
        <item x="648"/>
        <item x="99"/>
        <item x="9"/>
        <item x="262"/>
        <item x="117"/>
        <item x="161"/>
        <item x="388"/>
        <item x="651"/>
        <item x="393"/>
        <item x="526"/>
        <item x="89"/>
        <item x="66"/>
        <item x="93"/>
        <item x="530"/>
        <item x="172"/>
        <item x="50"/>
        <item x="49"/>
        <item x="124"/>
        <item x="168"/>
        <item x="336"/>
        <item x="394"/>
        <item x="279"/>
        <item x="198"/>
        <item x="153"/>
        <item x="570"/>
        <item x="649"/>
        <item x="260"/>
        <item x="395"/>
        <item x="150"/>
        <item x="611"/>
        <item x="306"/>
        <item x="107"/>
        <item x="500"/>
        <item x="459"/>
        <item x="330"/>
        <item x="600"/>
        <item x="142"/>
        <item x="427"/>
        <item x="70"/>
        <item x="96"/>
        <item x="140"/>
        <item x="650"/>
        <item x="155"/>
        <item x="615"/>
        <item x="126"/>
        <item x="664"/>
        <item x="118"/>
        <item x="473"/>
        <item x="331"/>
        <item x="138"/>
        <item x="545"/>
        <item x="65"/>
        <item x="493"/>
        <item x="199"/>
        <item x="143"/>
        <item x="144"/>
        <item x="324"/>
        <item x="527"/>
        <item x="178"/>
        <item x="635"/>
        <item x="285"/>
        <item x="617"/>
        <item x="347"/>
        <item x="384"/>
        <item x="309"/>
        <item x="581"/>
        <item x="175"/>
        <item x="373"/>
        <item x="123"/>
        <item x="601"/>
        <item x="613"/>
        <item x="249"/>
        <item x="485"/>
        <item x="251"/>
        <item x="657"/>
        <item x="560"/>
        <item x="304"/>
        <item x="72"/>
        <item x="193"/>
        <item x="20"/>
        <item x="390"/>
        <item x="533"/>
        <item x="213"/>
        <item x="410"/>
        <item x="580"/>
        <item x="243"/>
        <item x="565"/>
        <item x="238"/>
        <item x="160"/>
        <item x="141"/>
        <item x="152"/>
        <item x="588"/>
        <item x="80"/>
        <item x="358"/>
        <item x="361"/>
        <item x="374"/>
        <item x="497"/>
        <item x="379"/>
        <item x="54"/>
        <item x="173"/>
        <item x="21"/>
        <item x="583"/>
        <item x="513"/>
        <item x="514"/>
        <item x="15"/>
        <item x="632"/>
        <item x="610"/>
        <item x="480"/>
        <item x="434"/>
        <item x="450"/>
        <item x="437"/>
        <item x="646"/>
        <item x="162"/>
        <item x="26"/>
        <item x="67"/>
        <item x="443"/>
        <item x="39"/>
        <item x="382"/>
        <item x="559"/>
        <item x="477"/>
        <item x="668"/>
        <item x="587"/>
        <item x="504"/>
        <item x="275"/>
        <item x="553"/>
        <item x="84"/>
        <item x="656"/>
        <item x="157"/>
        <item x="252"/>
        <item x="197"/>
        <item x="166"/>
        <item x="489"/>
        <item x="551"/>
        <item x="483"/>
        <item x="88"/>
        <item x="326"/>
        <item x="312"/>
        <item x="520"/>
        <item x="174"/>
        <item x="602"/>
        <item x="539"/>
        <item x="378"/>
        <item x="46"/>
        <item x="396"/>
        <item x="289"/>
        <item x="29"/>
        <item x="528"/>
        <item x="452"/>
        <item x="145"/>
        <item x="499"/>
        <item x="557"/>
        <item x="267"/>
        <item x="420"/>
        <item x="403"/>
        <item x="404"/>
        <item x="401"/>
        <item x="567"/>
        <item x="598"/>
        <item x="596"/>
        <item x="71"/>
        <item x="354"/>
        <item x="546"/>
        <item x="575"/>
        <item x="502"/>
        <item x="219"/>
        <item x="387"/>
        <item x="136"/>
        <item x="206"/>
        <item x="582"/>
        <item x="669"/>
        <item x="214"/>
        <item x="364"/>
        <item x="636"/>
        <item x="673"/>
        <item x="235"/>
        <item x="19"/>
        <item x="484"/>
        <item x="674"/>
        <item x="14"/>
        <item x="91"/>
        <item x="521"/>
        <item x="44"/>
        <item x="428"/>
        <item x="253"/>
        <item x="2"/>
        <item x="618"/>
        <item x="471"/>
        <item x="549"/>
        <item x="24"/>
        <item x="400"/>
        <item x="220"/>
        <item x="310"/>
        <item x="578"/>
        <item x="187"/>
        <item x="339"/>
        <item x="550"/>
        <item x="436"/>
        <item x="532"/>
        <item x="672"/>
        <item x="226"/>
        <item x="505"/>
        <item x="415"/>
        <item x="254"/>
        <item x="479"/>
        <item x="237"/>
        <item x="207"/>
        <item x="328"/>
        <item x="244"/>
        <item x="417"/>
        <item x="531"/>
        <item x="356"/>
        <item x="321"/>
        <item x="353"/>
        <item x="282"/>
        <item x="315"/>
        <item x="186"/>
        <item x="188"/>
        <item x="205"/>
        <item x="534"/>
        <item x="125"/>
        <item x="641"/>
        <item x="303"/>
        <item x="597"/>
        <item x="665"/>
        <item x="405"/>
        <item x="558"/>
        <item x="503"/>
        <item x="537"/>
        <item x="163"/>
        <item x="516"/>
        <item x="333"/>
        <item x="316"/>
        <item x="620"/>
        <item x="592"/>
        <item x="85"/>
        <item x="478"/>
        <item x="224"/>
        <item x="589"/>
        <item x="222"/>
        <item x="76"/>
        <item x="491"/>
        <item x="52"/>
        <item x="133"/>
        <item x="586"/>
        <item x="77"/>
        <item x="132"/>
        <item x="232"/>
        <item x="607"/>
        <item x="488"/>
        <item x="453"/>
        <item x="569"/>
        <item x="10"/>
        <item x="234"/>
        <item x="487"/>
        <item x="350"/>
        <item x="241"/>
        <item x="290"/>
        <item x="397"/>
        <item x="576"/>
        <item x="51"/>
        <item x="179"/>
        <item x="122"/>
        <item x="624"/>
        <item x="32"/>
        <item x="246"/>
        <item x="621"/>
        <item x="448"/>
        <item x="439"/>
        <item x="229"/>
        <item x="501"/>
        <item x="69"/>
        <item x="170"/>
        <item x="469"/>
        <item x="287"/>
        <item x="1"/>
        <item x="62"/>
        <item x="318"/>
        <item x="98"/>
        <item x="92"/>
        <item x="106"/>
        <item x="215"/>
        <item x="482"/>
        <item x="522"/>
        <item x="137"/>
        <item x="60"/>
        <item x="341"/>
        <item x="604"/>
        <item x="164"/>
        <item x="653"/>
        <item x="101"/>
        <item x="338"/>
        <item x="308"/>
        <item x="447"/>
        <item x="11"/>
        <item x="622"/>
        <item x="130"/>
        <item x="13"/>
        <item x="511"/>
        <item x="61"/>
        <item x="218"/>
        <item x="467"/>
        <item x="325"/>
        <item x="457"/>
        <item x="594"/>
        <item x="211"/>
        <item x="311"/>
        <item x="438"/>
        <item x="661"/>
        <item x="286"/>
        <item x="603"/>
        <item x="148"/>
        <item x="28"/>
        <item x="192"/>
        <item x="584"/>
        <item x="227"/>
        <item x="5"/>
        <item x="295"/>
        <item x="337"/>
        <item x="256"/>
        <item x="629"/>
        <item x="301"/>
        <item x="6"/>
        <item x="16"/>
        <item x="204"/>
        <item x="402"/>
        <item x="465"/>
        <item x="182"/>
        <item x="446"/>
        <item x="233"/>
        <item x="536"/>
        <item x="194"/>
        <item x="248"/>
        <item x="87"/>
        <item x="445"/>
        <item x="380"/>
        <item x="48"/>
        <item x="109"/>
        <item x="652"/>
        <item x="305"/>
        <item x="425"/>
        <item x="535"/>
        <item x="647"/>
        <item x="523"/>
        <item x="577"/>
        <item x="255"/>
        <item x="284"/>
        <item x="538"/>
        <item x="79"/>
        <item x="64"/>
        <item x="562"/>
        <item x="595"/>
        <item x="368"/>
        <item x="74"/>
        <item x="456"/>
        <item x="573"/>
        <item x="626"/>
        <item x="329"/>
        <item x="323"/>
        <item x="666"/>
        <item x="53"/>
        <item x="529"/>
        <item x="552"/>
        <item x="464"/>
        <item x="660"/>
        <item x="82"/>
        <item x="57"/>
        <item x="639"/>
        <item x="444"/>
        <item x="281"/>
        <item x="131"/>
        <item x="190"/>
        <item x="242"/>
        <item x="230"/>
        <item x="95"/>
        <item x="94"/>
        <item x="476"/>
        <item x="273"/>
        <item x="322"/>
        <item x="509"/>
        <item x="554"/>
        <item x="196"/>
        <item x="435"/>
        <item x="203"/>
        <item x="128"/>
        <item x="332"/>
        <item x="288"/>
        <item x="297"/>
        <item x="517"/>
        <item x="221"/>
        <item x="408"/>
        <item x="369"/>
        <item x="574"/>
        <item x="543"/>
        <item x="191"/>
        <item x="555"/>
        <item x="139"/>
        <item x="263"/>
        <item x="31"/>
        <item x="158"/>
        <item x="372"/>
        <item x="451"/>
        <item x="129"/>
        <item x="268"/>
        <item x="68"/>
        <item x="399"/>
        <item x="25"/>
        <item x="359"/>
        <item x="270"/>
        <item x="340"/>
        <item x="360"/>
        <item x="115"/>
        <item x="367"/>
        <item x="449"/>
        <item x="17"/>
        <item x="259"/>
        <item x="45"/>
        <item x="189"/>
        <item x="344"/>
        <item x="97"/>
        <item x="662"/>
        <item x="56"/>
        <item x="460"/>
        <item x="564"/>
        <item x="472"/>
        <item x="343"/>
        <item x="180"/>
        <item x="134"/>
        <item x="81"/>
        <item x="433"/>
        <item x="675"/>
        <item x="496"/>
        <item x="22"/>
        <item x="432"/>
        <item x="35"/>
        <item x="631"/>
        <item x="108"/>
        <item x="345"/>
        <item x="317"/>
        <item x="75"/>
        <item x="571"/>
        <item x="658"/>
        <item x="38"/>
        <item x="114"/>
        <item x="407"/>
        <item x="200"/>
        <item x="156"/>
        <item x="430"/>
        <item x="314"/>
        <item x="614"/>
        <item x="292"/>
        <item x="342"/>
        <item x="102"/>
        <item x="355"/>
        <item x="375"/>
        <item x="352"/>
        <item x="419"/>
        <item x="563"/>
        <item x="169"/>
        <item x="119"/>
        <item x="637"/>
        <item x="486"/>
        <item x="391"/>
        <item x="561"/>
        <item x="349"/>
        <item x="34"/>
        <item x="619"/>
        <item x="642"/>
        <item x="386"/>
        <item x="363"/>
        <item x="411"/>
        <item x="307"/>
        <item x="507"/>
        <item x="671"/>
        <item x="498"/>
        <item x="135"/>
        <item x="544"/>
        <item x="606"/>
        <item x="461"/>
        <item x="510"/>
        <item x="27"/>
        <item x="519"/>
        <item x="462"/>
        <item x="357"/>
        <item x="111"/>
        <item x="269"/>
        <item x="612"/>
        <item x="183"/>
        <item x="4"/>
        <item x="265"/>
        <item x="264"/>
        <item x="41"/>
        <item x="59"/>
        <item x="58"/>
        <item x="147"/>
        <item x="320"/>
        <item x="654"/>
        <item x="630"/>
        <item x="470"/>
        <item x="413"/>
        <item x="240"/>
        <item x="409"/>
        <item x="12"/>
        <item x="572"/>
        <item x="377"/>
        <item x="593"/>
        <item x="548"/>
        <item x="525"/>
        <item x="300"/>
        <item x="110"/>
        <item x="202"/>
        <item x="495"/>
        <item x="236"/>
        <item x="518"/>
        <item x="644"/>
        <item x="23"/>
        <item x="36"/>
        <item x="208"/>
        <item x="159"/>
        <item x="266"/>
        <item x="247"/>
        <item x="414"/>
        <item x="250"/>
        <item x="406"/>
        <item x="228"/>
        <item x="261"/>
        <item x="442"/>
        <item x="176"/>
        <item x="113"/>
        <item x="127"/>
        <item x="474"/>
        <item x="83"/>
        <item x="201"/>
        <item x="298"/>
        <item x="608"/>
        <item x="184"/>
        <item x="40"/>
        <item x="429"/>
        <item x="616"/>
        <item x="302"/>
        <item x="151"/>
        <item x="605"/>
        <item x="43"/>
        <item x="280"/>
        <item x="225"/>
        <item x="294"/>
        <item x="376"/>
        <item x="590"/>
        <item x="0"/>
        <item x="663"/>
        <item x="293"/>
        <item x="313"/>
        <item x="177"/>
        <item x="37"/>
        <item x="421"/>
        <item x="346"/>
        <item x="210"/>
        <item x="272"/>
        <item x="327"/>
        <item x="274"/>
        <item x="86"/>
        <item x="167"/>
        <item x="223"/>
        <item x="566"/>
        <item x="283"/>
        <item x="640"/>
        <item x="455"/>
        <item x="458"/>
        <item x="416"/>
        <item x="257"/>
        <item x="209"/>
        <item x="383"/>
        <item x="217"/>
        <item x="299"/>
        <item x="112"/>
        <item x="370"/>
        <item x="371"/>
        <item x="365"/>
        <item x="398"/>
        <item x="440"/>
        <item x="239"/>
        <item x="33"/>
        <item x="334"/>
        <item x="47"/>
        <item x="468"/>
        <item x="245"/>
        <item x="547"/>
        <item x="659"/>
        <item x="3"/>
        <item x="195"/>
        <item x="628"/>
        <item x="579"/>
        <item x="466"/>
        <item x="73"/>
        <item x="542"/>
        <item x="643"/>
        <item x="381"/>
        <item x="385"/>
        <item x="319"/>
        <item x="100"/>
        <item x="418"/>
        <item x="424"/>
        <item x="422"/>
        <item x="481"/>
        <item x="120"/>
        <item x="104"/>
        <item x="42"/>
        <item x="389"/>
        <item x="366"/>
        <item x="116"/>
        <item x="212"/>
        <item x="494"/>
        <item x="412"/>
        <item x="146"/>
        <item x="506"/>
        <item x="512"/>
        <item x="149"/>
        <item x="30"/>
        <item x="348"/>
        <item x="585"/>
        <item x="508"/>
        <item x="667"/>
        <item x="454"/>
        <item x="335"/>
        <item x="625"/>
        <item x="181"/>
        <item x="165"/>
        <item x="278"/>
        <item x="362"/>
        <item x="121"/>
        <item x="7"/>
        <item x="105"/>
        <item x="8"/>
        <item x="599"/>
        <item x="185"/>
        <item x="231"/>
        <item x="655"/>
        <item x="540"/>
        <item x="623"/>
        <item x="556"/>
        <item x="645"/>
        <item x="258"/>
        <item x="296"/>
        <item x="276"/>
        <item x="56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7"/>
  </rowFields>
  <rowItems count="9">
    <i>
      <x v="547"/>
    </i>
    <i>
      <x v="78"/>
    </i>
    <i>
      <x v="31"/>
    </i>
    <i>
      <x v="51"/>
    </i>
    <i>
      <x v="576"/>
    </i>
    <i>
      <x v="241"/>
    </i>
    <i>
      <x v="437"/>
    </i>
    <i>
      <x v="502"/>
    </i>
    <i t="grand">
      <x/>
    </i>
  </rowItems>
  <colItems count="1">
    <i/>
  </colItems>
  <dataFields count="1">
    <dataField name="Sum of Points" fld="2" baseField="7" baseItem="0">
      <extLst>
        <ext xmlns:x14="http://schemas.microsoft.com/office/spreadsheetml/2009/9/main" uri="{E15A36E0-9728-4e99-A89B-3F7291B0FE68}">
          <x14:dataField pivotShowAs="rankAscending"/>
        </ext>
      </extLst>
    </dataField>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7"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603EDBF-C2AA-448B-9EFC-2ECEAA5A1622}" sourceName="Year">
  <pivotTables>
    <pivotTable tabId="11" name="PivotTable3"/>
  </pivotTables>
  <data>
    <tabular pivotCacheId="1732329980">
      <items count="104">
        <i x="45"/>
        <i x="101"/>
        <i x="99"/>
        <i x="95"/>
        <i x="103"/>
        <i x="91"/>
        <i x="92"/>
        <i x="82"/>
        <i x="87"/>
        <i x="24"/>
        <i x="1"/>
        <i x="40"/>
        <i x="69"/>
        <i x="33"/>
        <i x="94"/>
        <i x="32"/>
        <i x="65"/>
        <i x="77"/>
        <i x="75"/>
        <i x="73"/>
        <i x="2"/>
        <i x="55"/>
        <i x="41"/>
        <i x="8"/>
        <i x="35"/>
        <i x="5"/>
        <i x="58"/>
        <i x="57"/>
        <i x="88"/>
        <i x="34"/>
        <i x="102"/>
        <i x="22"/>
        <i x="84"/>
        <i x="76"/>
        <i x="68"/>
        <i x="81"/>
        <i x="52"/>
        <i x="78"/>
        <i x="56"/>
        <i x="86"/>
        <i x="60"/>
        <i x="42"/>
        <i x="50"/>
        <i x="43"/>
        <i x="62"/>
        <i x="49"/>
        <i x="6"/>
        <i x="21"/>
        <i x="37"/>
        <i x="93"/>
        <i x="7"/>
        <i x="19"/>
        <i x="10"/>
        <i x="25"/>
        <i x="66"/>
        <i x="44"/>
        <i x="3"/>
        <i x="36"/>
        <i x="67"/>
        <i x="72"/>
        <i x="9"/>
        <i x="74"/>
        <i x="0"/>
        <i x="39"/>
        <i x="80"/>
        <i x="31"/>
        <i x="53"/>
        <i x="11"/>
        <i x="61"/>
        <i x="89"/>
        <i x="85"/>
        <i x="18"/>
        <i x="29"/>
        <i x="71"/>
        <i x="96"/>
        <i x="20" s="1"/>
        <i x="17"/>
        <i x="28"/>
        <i x="54"/>
        <i x="27"/>
        <i x="16"/>
        <i x="15"/>
        <i x="79"/>
        <i x="83"/>
        <i x="30"/>
        <i x="13"/>
        <i x="4"/>
        <i x="48"/>
        <i x="70"/>
        <i x="12"/>
        <i x="38"/>
        <i x="98"/>
        <i x="63"/>
        <i x="59"/>
        <i x="47"/>
        <i x="90"/>
        <i x="46"/>
        <i x="51"/>
        <i x="14"/>
        <i x="100"/>
        <i x="26"/>
        <i x="97"/>
        <i x="23"/>
        <i x="64"/>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3336076C-A281-48CA-82AD-8C4475DCFC82}" cache="Slicer_Year" caption="Select Year" startItem="70" columnCount="2" style="Slicer Style 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36E574E-9BC3-408C-A26D-63DC669DD799}" cache="Slicer_Year" caption="Year" startItem="79"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607F02B-6426-4EAD-9B5A-744D981CACD3}" name="Table13" displayName="Table13" ref="A1:AA1335" totalsRowShown="0">
  <tableColumns count="27">
    <tableColumn id="1" xr3:uid="{B8B02545-2FE2-4CA5-A428-B7C7884CEBE9}" name="Title"/>
    <tableColumn id="2" xr3:uid="{738A5DBC-0CBC-4F6E-9C28-3B963B12616F}" name="Rank"/>
    <tableColumn id="27" xr3:uid="{64793A0D-FBC8-43D3-9FC8-199366CB8271}" name="Points" dataDxfId="6">
      <calculatedColumnFormula>MAX(Table13[Rank])-Table13[[#This Row],[Rank]]</calculatedColumnFormula>
    </tableColumn>
    <tableColumn id="3" xr3:uid="{094BCBA0-BEAE-40F4-835F-7E37AD46A70F}" name="Website"/>
    <tableColumn id="4" xr3:uid="{9759D98C-D90F-4E88-838F-8F372B3AA5C4}" name="Genres"/>
    <tableColumn id="5" xr3:uid="{1E0F4B04-A5D9-441C-98AB-38448E9E420E}" name="Date" dataDxfId="5"/>
    <tableColumn id="26" xr3:uid="{2DC5CE6B-875D-44F6-A2B7-E0BBBDF9B9DA}" name="Year" dataDxfId="4">
      <calculatedColumnFormula>YEAR(Table13[[#This Row],[Date]])</calculatedColumnFormula>
    </tableColumn>
    <tableColumn id="6" xr3:uid="{D1FF6B5F-072A-4CBC-9EDC-1B420A210352}" name="Full Title"/>
    <tableColumn id="7" xr3:uid="{B7373E43-9F40-4646-B5FA-44A40C2A5295}" name="Action" dataDxfId="3">
      <calculatedColumnFormula>IF(COUNTIF($E2, _xlfn.CONCAT("*",Table13[[#Headers],[Action]],"*")),1,0)</calculatedColumnFormula>
    </tableColumn>
    <tableColumn id="8" xr3:uid="{838A89E3-21DF-4719-8F04-C61EF26F886D}" name="Adventure">
      <calculatedColumnFormula>IF(COUNTIF($E2, _xlfn.CONCAT("*",Table13[[#Headers],[Adventure]],"*")),1,0)</calculatedColumnFormula>
    </tableColumn>
    <tableColumn id="9" xr3:uid="{D6535B9E-6430-4E1B-AF81-3A5A6B236CB2}" name="Animation">
      <calculatedColumnFormula>IF(COUNTIF($E2, _xlfn.CONCAT("*",Table13[[#Headers],[Animation]],"*")),1,0)</calculatedColumnFormula>
    </tableColumn>
    <tableColumn id="10" xr3:uid="{DB882E94-6ACB-4AFD-9654-637DF08788F9}" name="Comedy">
      <calculatedColumnFormula>IF(COUNTIF($E2, _xlfn.CONCAT("*",Table13[[#Headers],[Comedy]],"*")),1,0)</calculatedColumnFormula>
    </tableColumn>
    <tableColumn id="11" xr3:uid="{2DED2FFF-B68B-484B-8C2F-018A2B5DFB00}" name="Crime">
      <calculatedColumnFormula>IF(COUNTIF($E2, _xlfn.CONCAT("*",Table13[[#Headers],[Crime]],"*")),1,0)</calculatedColumnFormula>
    </tableColumn>
    <tableColumn id="12" xr3:uid="{88C391FB-4841-4A55-97EC-A2F631117572}" name="Documentary">
      <calculatedColumnFormula>IF(COUNTIF($E2, _xlfn.CONCAT("*",Table13[[#Headers],[Documentary]],"*")),1,0)</calculatedColumnFormula>
    </tableColumn>
    <tableColumn id="13" xr3:uid="{306FED74-B41D-4C34-B31A-BC8F2C06F58F}" name="Drama">
      <calculatedColumnFormula>IF(COUNTIF($E2, _xlfn.CONCAT("*",Table13[[#Headers],[Drama]],"*")),1,0)</calculatedColumnFormula>
    </tableColumn>
    <tableColumn id="14" xr3:uid="{6491E490-08CE-4B01-8080-B9DB0DBDF120}" name="Family">
      <calculatedColumnFormula>IF(COUNTIF($E2, _xlfn.CONCAT("*",Table13[[#Headers],[Family]],"*")),1,0)</calculatedColumnFormula>
    </tableColumn>
    <tableColumn id="15" xr3:uid="{003F5A4C-620F-49A0-AB52-1A3BA6C95E17}" name="Fantasy">
      <calculatedColumnFormula>IF(COUNTIF($E2, _xlfn.CONCAT("*",Table13[[#Headers],[Fantasy]],"*")),1,0)</calculatedColumnFormula>
    </tableColumn>
    <tableColumn id="16" xr3:uid="{AA5768B2-1E32-431F-85EE-2F40365B9A78}" name="History">
      <calculatedColumnFormula>IF(COUNTIF($E2, _xlfn.CONCAT("*",Table13[[#Headers],[History]],"*")),1,0)</calculatedColumnFormula>
    </tableColumn>
    <tableColumn id="17" xr3:uid="{F42975FC-55FF-4402-8225-313BE48686C0}" name="Horror">
      <calculatedColumnFormula>IF(COUNTIF($E2, _xlfn.CONCAT("*",Table13[[#Headers],[Horror]],"*")),1,0)</calculatedColumnFormula>
    </tableColumn>
    <tableColumn id="18" xr3:uid="{35A98FD8-20B7-4339-88F5-9D36168F74D5}" name="Music">
      <calculatedColumnFormula>IF(COUNTIF($E2, _xlfn.CONCAT("*",Table13[[#Headers],[Music]],"*")),1,0)</calculatedColumnFormula>
    </tableColumn>
    <tableColumn id="19" xr3:uid="{1CA27A74-4523-4E2E-B4F9-5F8A32DE6875}" name="Mystery">
      <calculatedColumnFormula>IF(COUNTIF($E2, _xlfn.CONCAT("*",Table13[[#Headers],[Mystery]],"*")),1,0)</calculatedColumnFormula>
    </tableColumn>
    <tableColumn id="20" xr3:uid="{E591EAC9-6C89-4BB5-BFD8-028CBCF2B6DB}" name="Romance">
      <calculatedColumnFormula>IF(COUNTIF($E2, _xlfn.CONCAT("*",Table13[[#Headers],[Romance]],"*")),1,0)</calculatedColumnFormula>
    </tableColumn>
    <tableColumn id="21" xr3:uid="{2BC55CB4-43B4-4D03-8D06-86D8295A083F}" name="Science Fiction">
      <calculatedColumnFormula>IF(COUNTIF($E2, _xlfn.CONCAT("*",Table13[[#Headers],[Science Fiction]],"*")),1,0)</calculatedColumnFormula>
    </tableColumn>
    <tableColumn id="22" xr3:uid="{A701333A-1787-4001-A347-C56C4A49F919}" name="TV Movie">
      <calculatedColumnFormula>IF(COUNTIF($E2, _xlfn.CONCAT("*",Table13[[#Headers],[TV Movie]],"*")),1,0)</calculatedColumnFormula>
    </tableColumn>
    <tableColumn id="23" xr3:uid="{3449755D-5E16-4465-96F8-F65796A5541A}" name="Thriller">
      <calculatedColumnFormula>IF(COUNTIF($E2, _xlfn.CONCAT("*",Table13[[#Headers],[Thriller]],"*")),1,0)</calculatedColumnFormula>
    </tableColumn>
    <tableColumn id="24" xr3:uid="{C49A572A-0965-4591-9CAD-C2E292509C46}" name="War">
      <calculatedColumnFormula>IF(COUNTIF($E2, _xlfn.CONCAT("*",Table13[[#Headers],[War]],"*")),1,0)</calculatedColumnFormula>
    </tableColumn>
    <tableColumn id="25" xr3:uid="{B254398C-C75B-475E-A446-8508C67D905C}" name="Western">
      <calculatedColumnFormula>IF(COUNTIF($E2, _xlfn.CONCAT("*",Table13[[#Headers],[Western]],"*")),1,0)</calculatedColumnFormula>
    </tableColumn>
  </tableColumns>
  <tableStyleInfo name="TableStyleMedium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able6" displayName="Table6" ref="A1:A20" totalsRowShown="0" dataDxfId="2" tableBorderDxfId="1">
  <autoFilter ref="A1:A20" xr:uid="{00000000-0009-0000-0100-000006000000}"/>
  <tableColumns count="1">
    <tableColumn id="1" xr3:uid="{00000000-0010-0000-0200-000001000000}" name="Genre Lis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Red Violet">
      <a:dk1>
        <a:sysClr val="windowText" lastClr="000000"/>
      </a:dk1>
      <a:lt1>
        <a:sysClr val="window" lastClr="FFFFFF"/>
      </a:lt1>
      <a:dk2>
        <a:srgbClr val="454551"/>
      </a:dk2>
      <a:lt2>
        <a:srgbClr val="D8D9DC"/>
      </a:lt2>
      <a:accent1>
        <a:srgbClr val="E32D91"/>
      </a:accent1>
      <a:accent2>
        <a:srgbClr val="C830CC"/>
      </a:accent2>
      <a:accent3>
        <a:srgbClr val="4EA6DC"/>
      </a:accent3>
      <a:accent4>
        <a:srgbClr val="4775E7"/>
      </a:accent4>
      <a:accent5>
        <a:srgbClr val="8971E1"/>
      </a:accent5>
      <a:accent6>
        <a:srgbClr val="D54773"/>
      </a:accent6>
      <a:hlink>
        <a:srgbClr val="6B9F25"/>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5.xml"/><Relationship Id="rId6" Type="http://schemas.openxmlformats.org/officeDocument/2006/relationships/table" Target="../tables/table2.xml"/><Relationship Id="rId5" Type="http://schemas.openxmlformats.org/officeDocument/2006/relationships/ctrlProp" Target="../ctrlProps/ctrlProp1.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251C7-C079-4B49-BFB8-6E7F56F8ABAC}">
  <sheetPr codeName="Sheet4"/>
  <dimension ref="A1:AA1335"/>
  <sheetViews>
    <sheetView topLeftCell="A804" workbookViewId="0">
      <selection activeCell="H835" sqref="H835"/>
    </sheetView>
  </sheetViews>
  <sheetFormatPr defaultRowHeight="15"/>
  <cols>
    <col min="1" max="1" width="36.7109375" customWidth="1"/>
    <col min="2" max="2" width="5.28515625" bestFit="1" customWidth="1"/>
    <col min="3" max="3" width="8.85546875" bestFit="1" customWidth="1"/>
    <col min="4" max="4" width="15.85546875" bestFit="1" customWidth="1"/>
    <col min="5" max="5" width="57.85546875" bestFit="1" customWidth="1"/>
    <col min="6" max="6" width="11.85546875" bestFit="1" customWidth="1"/>
    <col min="7" max="7" width="8.42578125" bestFit="1" customWidth="1"/>
    <col min="8" max="8" width="20.28515625" customWidth="1"/>
  </cols>
  <sheetData>
    <row r="1" spans="1:27">
      <c r="A1" t="s">
        <v>0</v>
      </c>
      <c r="B1" t="s">
        <v>1</v>
      </c>
      <c r="C1" t="s">
        <v>1257</v>
      </c>
      <c r="D1" t="s">
        <v>2</v>
      </c>
      <c r="E1" t="s">
        <v>3</v>
      </c>
      <c r="F1" t="s">
        <v>1254</v>
      </c>
      <c r="G1" t="s">
        <v>4</v>
      </c>
      <c r="H1" t="s">
        <v>5</v>
      </c>
      <c r="I1" s="2" t="s">
        <v>1232</v>
      </c>
      <c r="J1" s="3" t="s">
        <v>1234</v>
      </c>
      <c r="K1" s="2" t="s">
        <v>1235</v>
      </c>
      <c r="L1" s="4" t="s">
        <v>1236</v>
      </c>
      <c r="M1" s="5" t="s">
        <v>1237</v>
      </c>
      <c r="N1" s="4" t="s">
        <v>1238</v>
      </c>
      <c r="O1" s="5" t="s">
        <v>1233</v>
      </c>
      <c r="P1" s="4" t="s">
        <v>1239</v>
      </c>
      <c r="Q1" s="5" t="s">
        <v>1240</v>
      </c>
      <c r="R1" s="4" t="s">
        <v>1241</v>
      </c>
      <c r="S1" s="5" t="s">
        <v>1242</v>
      </c>
      <c r="T1" s="4" t="s">
        <v>1243</v>
      </c>
      <c r="U1" s="5" t="s">
        <v>1244</v>
      </c>
      <c r="V1" s="4" t="s">
        <v>1245</v>
      </c>
      <c r="W1" s="5" t="s">
        <v>1246</v>
      </c>
      <c r="X1" s="4" t="s">
        <v>1247</v>
      </c>
      <c r="Y1" s="5" t="s">
        <v>1248</v>
      </c>
      <c r="Z1" s="4" t="s">
        <v>1249</v>
      </c>
      <c r="AA1" s="6" t="s">
        <v>1250</v>
      </c>
    </row>
    <row r="2" spans="1:27">
      <c r="A2" t="s">
        <v>6</v>
      </c>
      <c r="B2">
        <v>264</v>
      </c>
      <c r="C2">
        <f>MAX(Table13[Rank])-Table13[[#This Row],[Rank]]</f>
        <v>0</v>
      </c>
      <c r="D2" t="s">
        <v>7</v>
      </c>
      <c r="E2" t="s">
        <v>8</v>
      </c>
      <c r="F2" s="1">
        <v>30407</v>
      </c>
      <c r="G2">
        <f>YEAR(Table13[[#This Row],[Date]])</f>
        <v>1983</v>
      </c>
      <c r="H2" t="s">
        <v>9</v>
      </c>
      <c r="I2">
        <f>IF(COUNTIF($E2, _xlfn.CONCAT("*",Table13[[#Headers],[Action]],"*")),1,0)</f>
        <v>0</v>
      </c>
      <c r="J2">
        <f>IF(COUNTIF($E2, _xlfn.CONCAT("*",Table13[[#Headers],[Adventure]],"*")),1,0)</f>
        <v>0</v>
      </c>
      <c r="K2">
        <f>IF(COUNTIF($E2, _xlfn.CONCAT("*",Table13[[#Headers],[Animation]],"*")),1,0)</f>
        <v>0</v>
      </c>
      <c r="L2">
        <f>IF(COUNTIF($E2, _xlfn.CONCAT("*",Table13[[#Headers],[Comedy]],"*")),1,0)</f>
        <v>0</v>
      </c>
      <c r="M2">
        <f>IF(COUNTIF($E2, _xlfn.CONCAT("*",Table13[[#Headers],[Crime]],"*")),1,0)</f>
        <v>0</v>
      </c>
      <c r="N2">
        <f>IF(COUNTIF($E2, _xlfn.CONCAT("*",Table13[[#Headers],[Documentary]],"*")),1,0)</f>
        <v>0</v>
      </c>
      <c r="O2">
        <f>IF(COUNTIF($E2, _xlfn.CONCAT("*",Table13[[#Headers],[Drama]],"*")),1,0)</f>
        <v>1</v>
      </c>
      <c r="P2">
        <f>IF(COUNTIF($E2, _xlfn.CONCAT("*",Table13[[#Headers],[Family]],"*")),1,0)</f>
        <v>0</v>
      </c>
      <c r="Q2">
        <f>IF(COUNTIF($E2, _xlfn.CONCAT("*",Table13[[#Headers],[Fantasy]],"*")),1,0)</f>
        <v>0</v>
      </c>
      <c r="R2">
        <f>IF(COUNTIF($E2, _xlfn.CONCAT("*",Table13[[#Headers],[History]],"*")),1,0)</f>
        <v>0</v>
      </c>
      <c r="S2">
        <f>IF(COUNTIF($E2, _xlfn.CONCAT("*",Table13[[#Headers],[Horror]],"*")),1,0)</f>
        <v>0</v>
      </c>
      <c r="T2">
        <f>IF(COUNTIF($E2, _xlfn.CONCAT("*",Table13[[#Headers],[Music]],"*")),1,0)</f>
        <v>0</v>
      </c>
      <c r="U2">
        <f>IF(COUNTIF($E2, _xlfn.CONCAT("*",Table13[[#Headers],[Mystery]],"*")),1,0)</f>
        <v>0</v>
      </c>
      <c r="V2">
        <f>IF(COUNTIF($E2, _xlfn.CONCAT("*",Table13[[#Headers],[Romance]],"*")),1,0)</f>
        <v>0</v>
      </c>
      <c r="W2">
        <f>IF(COUNTIF($E2, _xlfn.CONCAT("*",Table13[[#Headers],[Science Fiction]],"*")),1,0)</f>
        <v>1</v>
      </c>
      <c r="X2">
        <f>IF(COUNTIF($E2, _xlfn.CONCAT("*",Table13[[#Headers],[TV Movie]],"*")),1,0)</f>
        <v>0</v>
      </c>
      <c r="Y2">
        <f>IF(COUNTIF($E2, _xlfn.CONCAT("*",Table13[[#Headers],[Thriller]],"*")),1,0)</f>
        <v>0</v>
      </c>
      <c r="Z2">
        <f>IF(COUNTIF($E2, _xlfn.CONCAT("*",Table13[[#Headers],[War]],"*")),1,0)</f>
        <v>0</v>
      </c>
      <c r="AA2">
        <f>IF(COUNTIF($E2, _xlfn.CONCAT("*",Table13[[#Headers],[Western]],"*")),1,0)</f>
        <v>0</v>
      </c>
    </row>
    <row r="3" spans="1:27">
      <c r="A3" t="s">
        <v>10</v>
      </c>
      <c r="B3">
        <v>263</v>
      </c>
      <c r="C3">
        <f>MAX(Table13[Rank])-Table13[[#This Row],[Rank]]</f>
        <v>1</v>
      </c>
      <c r="D3" t="s">
        <v>7</v>
      </c>
      <c r="E3" t="s">
        <v>11</v>
      </c>
      <c r="F3" s="1">
        <v>10623</v>
      </c>
      <c r="G3">
        <f>YEAR(Table13[[#This Row],[Date]])</f>
        <v>1929</v>
      </c>
      <c r="H3" t="s">
        <v>10</v>
      </c>
      <c r="I3">
        <f>IF(COUNTIF($E3, _xlfn.CONCAT("*",Table13[[#Headers],[Action]],"*")),1,0)</f>
        <v>0</v>
      </c>
      <c r="J3">
        <f>IF(COUNTIF($E3, _xlfn.CONCAT("*",Table13[[#Headers],[Adventure]],"*")),1,0)</f>
        <v>0</v>
      </c>
      <c r="K3">
        <f>IF(COUNTIF($E3, _xlfn.CONCAT("*",Table13[[#Headers],[Animation]],"*")),1,0)</f>
        <v>0</v>
      </c>
      <c r="L3">
        <f>IF(COUNTIF($E3, _xlfn.CONCAT("*",Table13[[#Headers],[Comedy]],"*")),1,0)</f>
        <v>0</v>
      </c>
      <c r="M3">
        <f>IF(COUNTIF($E3, _xlfn.CONCAT("*",Table13[[#Headers],[Crime]],"*")),1,0)</f>
        <v>1</v>
      </c>
      <c r="N3">
        <f>IF(COUNTIF($E3, _xlfn.CONCAT("*",Table13[[#Headers],[Documentary]],"*")),1,0)</f>
        <v>0</v>
      </c>
      <c r="O3">
        <f>IF(COUNTIF($E3, _xlfn.CONCAT("*",Table13[[#Headers],[Drama]],"*")),1,0)</f>
        <v>1</v>
      </c>
      <c r="P3">
        <f>IF(COUNTIF($E3, _xlfn.CONCAT("*",Table13[[#Headers],[Family]],"*")),1,0)</f>
        <v>0</v>
      </c>
      <c r="Q3">
        <f>IF(COUNTIF($E3, _xlfn.CONCAT("*",Table13[[#Headers],[Fantasy]],"*")),1,0)</f>
        <v>0</v>
      </c>
      <c r="R3">
        <f>IF(COUNTIF($E3, _xlfn.CONCAT("*",Table13[[#Headers],[History]],"*")),1,0)</f>
        <v>0</v>
      </c>
      <c r="S3">
        <f>IF(COUNTIF($E3, _xlfn.CONCAT("*",Table13[[#Headers],[Horror]],"*")),1,0)</f>
        <v>0</v>
      </c>
      <c r="T3">
        <f>IF(COUNTIF($E3, _xlfn.CONCAT("*",Table13[[#Headers],[Music]],"*")),1,0)</f>
        <v>0</v>
      </c>
      <c r="U3">
        <f>IF(COUNTIF($E3, _xlfn.CONCAT("*",Table13[[#Headers],[Mystery]],"*")),1,0)</f>
        <v>0</v>
      </c>
      <c r="V3">
        <f>IF(COUNTIF($E3, _xlfn.CONCAT("*",Table13[[#Headers],[Romance]],"*")),1,0)</f>
        <v>1</v>
      </c>
      <c r="W3">
        <f>IF(COUNTIF($E3, _xlfn.CONCAT("*",Table13[[#Headers],[Science Fiction]],"*")),1,0)</f>
        <v>0</v>
      </c>
      <c r="X3">
        <f>IF(COUNTIF($E3, _xlfn.CONCAT("*",Table13[[#Headers],[TV Movie]],"*")),1,0)</f>
        <v>0</v>
      </c>
      <c r="Y3">
        <f>IF(COUNTIF($E3, _xlfn.CONCAT("*",Table13[[#Headers],[Thriller]],"*")),1,0)</f>
        <v>0</v>
      </c>
      <c r="Z3">
        <f>IF(COUNTIF($E3, _xlfn.CONCAT("*",Table13[[#Headers],[War]],"*")),1,0)</f>
        <v>0</v>
      </c>
      <c r="AA3">
        <f>IF(COUNTIF($E3, _xlfn.CONCAT("*",Table13[[#Headers],[Western]],"*")),1,0)</f>
        <v>0</v>
      </c>
    </row>
    <row r="4" spans="1:27">
      <c r="A4" t="s">
        <v>1252</v>
      </c>
      <c r="B4">
        <v>262</v>
      </c>
      <c r="C4">
        <f>MAX(Table13[Rank])-Table13[[#This Row],[Rank]]</f>
        <v>2</v>
      </c>
      <c r="D4" t="s">
        <v>7</v>
      </c>
      <c r="E4" t="s">
        <v>13</v>
      </c>
      <c r="F4" s="1">
        <v>15310</v>
      </c>
      <c r="G4">
        <f>YEAR(Table13[[#This Row],[Date]])</f>
        <v>1941</v>
      </c>
      <c r="H4" t="s">
        <v>12</v>
      </c>
      <c r="I4">
        <f>IF(COUNTIF($E4, _xlfn.CONCAT("*",Table13[[#Headers],[Action]],"*")),1,0)</f>
        <v>0</v>
      </c>
      <c r="J4">
        <f>IF(COUNTIF($E4, _xlfn.CONCAT("*",Table13[[#Headers],[Adventure]],"*")),1,0)</f>
        <v>1</v>
      </c>
      <c r="K4">
        <f>IF(COUNTIF($E4, _xlfn.CONCAT("*",Table13[[#Headers],[Animation]],"*")),1,0)</f>
        <v>0</v>
      </c>
      <c r="L4">
        <f>IF(COUNTIF($E4, _xlfn.CONCAT("*",Table13[[#Headers],[Comedy]],"*")),1,0)</f>
        <v>1</v>
      </c>
      <c r="M4">
        <f>IF(COUNTIF($E4, _xlfn.CONCAT("*",Table13[[#Headers],[Crime]],"*")),1,0)</f>
        <v>0</v>
      </c>
      <c r="N4">
        <f>IF(COUNTIF($E4, _xlfn.CONCAT("*",Table13[[#Headers],[Documentary]],"*")),1,0)</f>
        <v>0</v>
      </c>
      <c r="O4">
        <f>IF(COUNTIF($E4, _xlfn.CONCAT("*",Table13[[#Headers],[Drama]],"*")),1,0)</f>
        <v>0</v>
      </c>
      <c r="P4">
        <f>IF(COUNTIF($E4, _xlfn.CONCAT("*",Table13[[#Headers],[Family]],"*")),1,0)</f>
        <v>0</v>
      </c>
      <c r="Q4">
        <f>IF(COUNTIF($E4, _xlfn.CONCAT("*",Table13[[#Headers],[Fantasy]],"*")),1,0)</f>
        <v>0</v>
      </c>
      <c r="R4">
        <f>IF(COUNTIF($E4, _xlfn.CONCAT("*",Table13[[#Headers],[History]],"*")),1,0)</f>
        <v>0</v>
      </c>
      <c r="S4">
        <f>IF(COUNTIF($E4, _xlfn.CONCAT("*",Table13[[#Headers],[Horror]],"*")),1,0)</f>
        <v>0</v>
      </c>
      <c r="T4">
        <f>IF(COUNTIF($E4, _xlfn.CONCAT("*",Table13[[#Headers],[Music]],"*")),1,0)</f>
        <v>0</v>
      </c>
      <c r="U4">
        <f>IF(COUNTIF($E4, _xlfn.CONCAT("*",Table13[[#Headers],[Mystery]],"*")),1,0)</f>
        <v>0</v>
      </c>
      <c r="V4">
        <f>IF(COUNTIF($E4, _xlfn.CONCAT("*",Table13[[#Headers],[Romance]],"*")),1,0)</f>
        <v>1</v>
      </c>
      <c r="W4">
        <f>IF(COUNTIF($E4, _xlfn.CONCAT("*",Table13[[#Headers],[Science Fiction]],"*")),1,0)</f>
        <v>0</v>
      </c>
      <c r="X4">
        <f>IF(COUNTIF($E4, _xlfn.CONCAT("*",Table13[[#Headers],[TV Movie]],"*")),1,0)</f>
        <v>0</v>
      </c>
      <c r="Y4">
        <f>IF(COUNTIF($E4, _xlfn.CONCAT("*",Table13[[#Headers],[Thriller]],"*")),1,0)</f>
        <v>0</v>
      </c>
      <c r="Z4">
        <f>IF(COUNTIF($E4, _xlfn.CONCAT("*",Table13[[#Headers],[War]],"*")),1,0)</f>
        <v>0</v>
      </c>
      <c r="AA4">
        <f>IF(COUNTIF($E4, _xlfn.CONCAT("*",Table13[[#Headers],[Western]],"*")),1,0)</f>
        <v>0</v>
      </c>
    </row>
    <row r="5" spans="1:27">
      <c r="A5" t="s">
        <v>14</v>
      </c>
      <c r="B5">
        <v>261</v>
      </c>
      <c r="C5">
        <f>MAX(Table13[Rank])-Table13[[#This Row],[Rank]]</f>
        <v>3</v>
      </c>
      <c r="D5" t="s">
        <v>7</v>
      </c>
      <c r="E5" t="s">
        <v>15</v>
      </c>
      <c r="F5" s="1">
        <v>28234</v>
      </c>
      <c r="G5">
        <f>YEAR(Table13[[#This Row],[Date]])</f>
        <v>1977</v>
      </c>
      <c r="H5" t="s">
        <v>14</v>
      </c>
      <c r="I5">
        <f>IF(COUNTIF($E5, _xlfn.CONCAT("*",Table13[[#Headers],[Action]],"*")),1,0)</f>
        <v>0</v>
      </c>
      <c r="J5">
        <f>IF(COUNTIF($E5, _xlfn.CONCAT("*",Table13[[#Headers],[Adventure]],"*")),1,0)</f>
        <v>0</v>
      </c>
      <c r="K5">
        <f>IF(COUNTIF($E5, _xlfn.CONCAT("*",Table13[[#Headers],[Animation]],"*")),1,0)</f>
        <v>0</v>
      </c>
      <c r="L5">
        <f>IF(COUNTIF($E5, _xlfn.CONCAT("*",Table13[[#Headers],[Comedy]],"*")),1,0)</f>
        <v>1</v>
      </c>
      <c r="M5">
        <f>IF(COUNTIF($E5, _xlfn.CONCAT("*",Table13[[#Headers],[Crime]],"*")),1,0)</f>
        <v>0</v>
      </c>
      <c r="N5">
        <f>IF(COUNTIF($E5, _xlfn.CONCAT("*",Table13[[#Headers],[Documentary]],"*")),1,0)</f>
        <v>0</v>
      </c>
      <c r="O5">
        <f>IF(COUNTIF($E5, _xlfn.CONCAT("*",Table13[[#Headers],[Drama]],"*")),1,0)</f>
        <v>1</v>
      </c>
      <c r="P5">
        <f>IF(COUNTIF($E5, _xlfn.CONCAT("*",Table13[[#Headers],[Family]],"*")),1,0)</f>
        <v>0</v>
      </c>
      <c r="Q5">
        <f>IF(COUNTIF($E5, _xlfn.CONCAT("*",Table13[[#Headers],[Fantasy]],"*")),1,0)</f>
        <v>0</v>
      </c>
      <c r="R5">
        <f>IF(COUNTIF($E5, _xlfn.CONCAT("*",Table13[[#Headers],[History]],"*")),1,0)</f>
        <v>0</v>
      </c>
      <c r="S5">
        <f>IF(COUNTIF($E5, _xlfn.CONCAT("*",Table13[[#Headers],[Horror]],"*")),1,0)</f>
        <v>0</v>
      </c>
      <c r="T5">
        <f>IF(COUNTIF($E5, _xlfn.CONCAT("*",Table13[[#Headers],[Music]],"*")),1,0)</f>
        <v>0</v>
      </c>
      <c r="U5">
        <f>IF(COUNTIF($E5, _xlfn.CONCAT("*",Table13[[#Headers],[Mystery]],"*")),1,0)</f>
        <v>0</v>
      </c>
      <c r="V5">
        <f>IF(COUNTIF($E5, _xlfn.CONCAT("*",Table13[[#Headers],[Romance]],"*")),1,0)</f>
        <v>1</v>
      </c>
      <c r="W5">
        <f>IF(COUNTIF($E5, _xlfn.CONCAT("*",Table13[[#Headers],[Science Fiction]],"*")),1,0)</f>
        <v>0</v>
      </c>
      <c r="X5">
        <f>IF(COUNTIF($E5, _xlfn.CONCAT("*",Table13[[#Headers],[TV Movie]],"*")),1,0)</f>
        <v>0</v>
      </c>
      <c r="Y5">
        <f>IF(COUNTIF($E5, _xlfn.CONCAT("*",Table13[[#Headers],[Thriller]],"*")),1,0)</f>
        <v>0</v>
      </c>
      <c r="Z5">
        <f>IF(COUNTIF($E5, _xlfn.CONCAT("*",Table13[[#Headers],[War]],"*")),1,0)</f>
        <v>0</v>
      </c>
      <c r="AA5">
        <f>IF(COUNTIF($E5, _xlfn.CONCAT("*",Table13[[#Headers],[Western]],"*")),1,0)</f>
        <v>0</v>
      </c>
    </row>
    <row r="6" spans="1:27">
      <c r="A6" t="s">
        <v>16</v>
      </c>
      <c r="B6">
        <v>260</v>
      </c>
      <c r="C6">
        <f>MAX(Table13[Rank])-Table13[[#This Row],[Rank]]</f>
        <v>4</v>
      </c>
      <c r="D6" t="s">
        <v>7</v>
      </c>
      <c r="E6" t="s">
        <v>17</v>
      </c>
      <c r="F6" s="1">
        <v>39365</v>
      </c>
      <c r="G6">
        <f>YEAR(Table13[[#This Row],[Date]])</f>
        <v>2007</v>
      </c>
      <c r="H6" t="s">
        <v>16</v>
      </c>
      <c r="I6">
        <f>IF(COUNTIF($E6, _xlfn.CONCAT("*",Table13[[#Headers],[Action]],"*")),1,0)</f>
        <v>0</v>
      </c>
      <c r="J6">
        <f>IF(COUNTIF($E6, _xlfn.CONCAT("*",Table13[[#Headers],[Adventure]],"*")),1,0)</f>
        <v>0</v>
      </c>
      <c r="K6">
        <f>IF(COUNTIF($E6, _xlfn.CONCAT("*",Table13[[#Headers],[Animation]],"*")),1,0)</f>
        <v>0</v>
      </c>
      <c r="L6">
        <f>IF(COUNTIF($E6, _xlfn.CONCAT("*",Table13[[#Headers],[Comedy]],"*")),1,0)</f>
        <v>0</v>
      </c>
      <c r="M6">
        <f>IF(COUNTIF($E6, _xlfn.CONCAT("*",Table13[[#Headers],[Crime]],"*")),1,0)</f>
        <v>0</v>
      </c>
      <c r="N6">
        <f>IF(COUNTIF($E6, _xlfn.CONCAT("*",Table13[[#Headers],[Documentary]],"*")),1,0)</f>
        <v>1</v>
      </c>
      <c r="O6">
        <f>IF(COUNTIF($E6, _xlfn.CONCAT("*",Table13[[#Headers],[Drama]],"*")),1,0)</f>
        <v>0</v>
      </c>
      <c r="P6">
        <f>IF(COUNTIF($E6, _xlfn.CONCAT("*",Table13[[#Headers],[Family]],"*")),1,0)</f>
        <v>0</v>
      </c>
      <c r="Q6">
        <f>IF(COUNTIF($E6, _xlfn.CONCAT("*",Table13[[#Headers],[Fantasy]],"*")),1,0)</f>
        <v>0</v>
      </c>
      <c r="R6">
        <f>IF(COUNTIF($E6, _xlfn.CONCAT("*",Table13[[#Headers],[History]],"*")),1,0)</f>
        <v>0</v>
      </c>
      <c r="S6">
        <f>IF(COUNTIF($E6, _xlfn.CONCAT("*",Table13[[#Headers],[Horror]],"*")),1,0)</f>
        <v>0</v>
      </c>
      <c r="T6">
        <f>IF(COUNTIF($E6, _xlfn.CONCAT("*",Table13[[#Headers],[Music]],"*")),1,0)</f>
        <v>0</v>
      </c>
      <c r="U6">
        <f>IF(COUNTIF($E6, _xlfn.CONCAT("*",Table13[[#Headers],[Mystery]],"*")),1,0)</f>
        <v>0</v>
      </c>
      <c r="V6">
        <f>IF(COUNTIF($E6, _xlfn.CONCAT("*",Table13[[#Headers],[Romance]],"*")),1,0)</f>
        <v>0</v>
      </c>
      <c r="W6">
        <f>IF(COUNTIF($E6, _xlfn.CONCAT("*",Table13[[#Headers],[Science Fiction]],"*")),1,0)</f>
        <v>0</v>
      </c>
      <c r="X6">
        <f>IF(COUNTIF($E6, _xlfn.CONCAT("*",Table13[[#Headers],[TV Movie]],"*")),1,0)</f>
        <v>0</v>
      </c>
      <c r="Y6">
        <f>IF(COUNTIF($E6, _xlfn.CONCAT("*",Table13[[#Headers],[Thriller]],"*")),1,0)</f>
        <v>0</v>
      </c>
      <c r="Z6">
        <f>IF(COUNTIF($E6, _xlfn.CONCAT("*",Table13[[#Headers],[War]],"*")),1,0)</f>
        <v>0</v>
      </c>
      <c r="AA6">
        <f>IF(COUNTIF($E6, _xlfn.CONCAT("*",Table13[[#Headers],[Western]],"*")),1,0)</f>
        <v>0</v>
      </c>
    </row>
    <row r="7" spans="1:27">
      <c r="A7" t="s">
        <v>18</v>
      </c>
      <c r="B7">
        <v>259</v>
      </c>
      <c r="C7">
        <f>MAX(Table13[Rank])-Table13[[#This Row],[Rank]]</f>
        <v>5</v>
      </c>
      <c r="D7" t="s">
        <v>7</v>
      </c>
      <c r="E7" t="s">
        <v>19</v>
      </c>
      <c r="F7" s="1">
        <v>17092</v>
      </c>
      <c r="G7">
        <f>YEAR(Table13[[#This Row],[Date]])</f>
        <v>1946</v>
      </c>
      <c r="H7" t="s">
        <v>18</v>
      </c>
      <c r="I7">
        <f>IF(COUNTIF($E7, _xlfn.CONCAT("*",Table13[[#Headers],[Action]],"*")),1,0)</f>
        <v>0</v>
      </c>
      <c r="J7">
        <f>IF(COUNTIF($E7, _xlfn.CONCAT("*",Table13[[#Headers],[Adventure]],"*")),1,0)</f>
        <v>0</v>
      </c>
      <c r="K7">
        <f>IF(COUNTIF($E7, _xlfn.CONCAT("*",Table13[[#Headers],[Animation]],"*")),1,0)</f>
        <v>0</v>
      </c>
      <c r="L7">
        <f>IF(COUNTIF($E7, _xlfn.CONCAT("*",Table13[[#Headers],[Comedy]],"*")),1,0)</f>
        <v>0</v>
      </c>
      <c r="M7">
        <f>IF(COUNTIF($E7, _xlfn.CONCAT("*",Table13[[#Headers],[Crime]],"*")),1,0)</f>
        <v>0</v>
      </c>
      <c r="N7">
        <f>IF(COUNTIF($E7, _xlfn.CONCAT("*",Table13[[#Headers],[Documentary]],"*")),1,0)</f>
        <v>0</v>
      </c>
      <c r="O7">
        <f>IF(COUNTIF($E7, _xlfn.CONCAT("*",Table13[[#Headers],[Drama]],"*")),1,0)</f>
        <v>1</v>
      </c>
      <c r="P7">
        <f>IF(COUNTIF($E7, _xlfn.CONCAT("*",Table13[[#Headers],[Family]],"*")),1,0)</f>
        <v>0</v>
      </c>
      <c r="Q7">
        <f>IF(COUNTIF($E7, _xlfn.CONCAT("*",Table13[[#Headers],[Fantasy]],"*")),1,0)</f>
        <v>0</v>
      </c>
      <c r="R7">
        <f>IF(COUNTIF($E7, _xlfn.CONCAT("*",Table13[[#Headers],[History]],"*")),1,0)</f>
        <v>0</v>
      </c>
      <c r="S7">
        <f>IF(COUNTIF($E7, _xlfn.CONCAT("*",Table13[[#Headers],[Horror]],"*")),1,0)</f>
        <v>0</v>
      </c>
      <c r="T7">
        <f>IF(COUNTIF($E7, _xlfn.CONCAT("*",Table13[[#Headers],[Music]],"*")),1,0)</f>
        <v>0</v>
      </c>
      <c r="U7">
        <f>IF(COUNTIF($E7, _xlfn.CONCAT("*",Table13[[#Headers],[Mystery]],"*")),1,0)</f>
        <v>0</v>
      </c>
      <c r="V7">
        <f>IF(COUNTIF($E7, _xlfn.CONCAT("*",Table13[[#Headers],[Romance]],"*")),1,0)</f>
        <v>1</v>
      </c>
      <c r="W7">
        <f>IF(COUNTIF($E7, _xlfn.CONCAT("*",Table13[[#Headers],[Science Fiction]],"*")),1,0)</f>
        <v>0</v>
      </c>
      <c r="X7">
        <f>IF(COUNTIF($E7, _xlfn.CONCAT("*",Table13[[#Headers],[TV Movie]],"*")),1,0)</f>
        <v>0</v>
      </c>
      <c r="Y7">
        <f>IF(COUNTIF($E7, _xlfn.CONCAT("*",Table13[[#Headers],[Thriller]],"*")),1,0)</f>
        <v>0</v>
      </c>
      <c r="Z7">
        <f>IF(COUNTIF($E7, _xlfn.CONCAT("*",Table13[[#Headers],[War]],"*")),1,0)</f>
        <v>0</v>
      </c>
      <c r="AA7">
        <f>IF(COUNTIF($E7, _xlfn.CONCAT("*",Table13[[#Headers],[Western]],"*")),1,0)</f>
        <v>1</v>
      </c>
    </row>
    <row r="8" spans="1:27">
      <c r="A8" t="s">
        <v>20</v>
      </c>
      <c r="B8">
        <v>258</v>
      </c>
      <c r="C8">
        <f>MAX(Table13[Rank])-Table13[[#This Row],[Rank]]</f>
        <v>6</v>
      </c>
      <c r="D8" t="s">
        <v>7</v>
      </c>
      <c r="E8" t="s">
        <v>21</v>
      </c>
      <c r="F8" s="1">
        <v>24559</v>
      </c>
      <c r="G8">
        <f>YEAR(Table13[[#This Row],[Date]])</f>
        <v>1967</v>
      </c>
      <c r="H8" t="s">
        <v>20</v>
      </c>
      <c r="I8">
        <f>IF(COUNTIF($E8, _xlfn.CONCAT("*",Table13[[#Headers],[Action]],"*")),1,0)</f>
        <v>0</v>
      </c>
      <c r="J8">
        <f>IF(COUNTIF($E8, _xlfn.CONCAT("*",Table13[[#Headers],[Adventure]],"*")),1,0)</f>
        <v>0</v>
      </c>
      <c r="K8">
        <f>IF(COUNTIF($E8, _xlfn.CONCAT("*",Table13[[#Headers],[Animation]],"*")),1,0)</f>
        <v>0</v>
      </c>
      <c r="L8">
        <f>IF(COUNTIF($E8, _xlfn.CONCAT("*",Table13[[#Headers],[Comedy]],"*")),1,0)</f>
        <v>0</v>
      </c>
      <c r="M8">
        <f>IF(COUNTIF($E8, _xlfn.CONCAT("*",Table13[[#Headers],[Crime]],"*")),1,0)</f>
        <v>0</v>
      </c>
      <c r="N8">
        <f>IF(COUNTIF($E8, _xlfn.CONCAT("*",Table13[[#Headers],[Documentary]],"*")),1,0)</f>
        <v>0</v>
      </c>
      <c r="O8">
        <f>IF(COUNTIF($E8, _xlfn.CONCAT("*",Table13[[#Headers],[Drama]],"*")),1,0)</f>
        <v>1</v>
      </c>
      <c r="P8">
        <f>IF(COUNTIF($E8, _xlfn.CONCAT("*",Table13[[#Headers],[Family]],"*")),1,0)</f>
        <v>0</v>
      </c>
      <c r="Q8">
        <f>IF(COUNTIF($E8, _xlfn.CONCAT("*",Table13[[#Headers],[Fantasy]],"*")),1,0)</f>
        <v>0</v>
      </c>
      <c r="R8">
        <f>IF(COUNTIF($E8, _xlfn.CONCAT("*",Table13[[#Headers],[History]],"*")),1,0)</f>
        <v>0</v>
      </c>
      <c r="S8">
        <f>IF(COUNTIF($E8, _xlfn.CONCAT("*",Table13[[#Headers],[Horror]],"*")),1,0)</f>
        <v>0</v>
      </c>
      <c r="T8">
        <f>IF(COUNTIF($E8, _xlfn.CONCAT("*",Table13[[#Headers],[Music]],"*")),1,0)</f>
        <v>0</v>
      </c>
      <c r="U8">
        <f>IF(COUNTIF($E8, _xlfn.CONCAT("*",Table13[[#Headers],[Mystery]],"*")),1,0)</f>
        <v>0</v>
      </c>
      <c r="V8">
        <f>IF(COUNTIF($E8, _xlfn.CONCAT("*",Table13[[#Headers],[Romance]],"*")),1,0)</f>
        <v>0</v>
      </c>
      <c r="W8">
        <f>IF(COUNTIF($E8, _xlfn.CONCAT("*",Table13[[#Headers],[Science Fiction]],"*")),1,0)</f>
        <v>0</v>
      </c>
      <c r="X8">
        <f>IF(COUNTIF($E8, _xlfn.CONCAT("*",Table13[[#Headers],[TV Movie]],"*")),1,0)</f>
        <v>0</v>
      </c>
      <c r="Y8">
        <f>IF(COUNTIF($E8, _xlfn.CONCAT("*",Table13[[#Headers],[Thriller]],"*")),1,0)</f>
        <v>0</v>
      </c>
      <c r="Z8">
        <f>IF(COUNTIF($E8, _xlfn.CONCAT("*",Table13[[#Headers],[War]],"*")),1,0)</f>
        <v>0</v>
      </c>
      <c r="AA8">
        <f>IF(COUNTIF($E8, _xlfn.CONCAT("*",Table13[[#Headers],[Western]],"*")),1,0)</f>
        <v>0</v>
      </c>
    </row>
    <row r="9" spans="1:27">
      <c r="A9" t="s">
        <v>22</v>
      </c>
      <c r="B9">
        <v>257</v>
      </c>
      <c r="C9">
        <f>MAX(Table13[Rank])-Table13[[#This Row],[Rank]]</f>
        <v>7</v>
      </c>
      <c r="D9" t="s">
        <v>7</v>
      </c>
      <c r="E9" t="s">
        <v>23</v>
      </c>
      <c r="F9" s="1">
        <v>26286</v>
      </c>
      <c r="G9">
        <f>YEAR(Table13[[#This Row],[Date]])</f>
        <v>1971</v>
      </c>
      <c r="H9" t="s">
        <v>22</v>
      </c>
      <c r="I9">
        <f>IF(COUNTIF($E9, _xlfn.CONCAT("*",Table13[[#Headers],[Action]],"*")),1,0)</f>
        <v>0</v>
      </c>
      <c r="J9">
        <f>IF(COUNTIF($E9, _xlfn.CONCAT("*",Table13[[#Headers],[Adventure]],"*")),1,0)</f>
        <v>0</v>
      </c>
      <c r="K9">
        <f>IF(COUNTIF($E9, _xlfn.CONCAT("*",Table13[[#Headers],[Animation]],"*")),1,0)</f>
        <v>0</v>
      </c>
      <c r="L9">
        <f>IF(COUNTIF($E9, _xlfn.CONCAT("*",Table13[[#Headers],[Comedy]],"*")),1,0)</f>
        <v>0</v>
      </c>
      <c r="M9">
        <f>IF(COUNTIF($E9, _xlfn.CONCAT("*",Table13[[#Headers],[Crime]],"*")),1,0)</f>
        <v>1</v>
      </c>
      <c r="N9">
        <f>IF(COUNTIF($E9, _xlfn.CONCAT("*",Table13[[#Headers],[Documentary]],"*")),1,0)</f>
        <v>0</v>
      </c>
      <c r="O9">
        <f>IF(COUNTIF($E9, _xlfn.CONCAT("*",Table13[[#Headers],[Drama]],"*")),1,0)</f>
        <v>0</v>
      </c>
      <c r="P9">
        <f>IF(COUNTIF($E9, _xlfn.CONCAT("*",Table13[[#Headers],[Family]],"*")),1,0)</f>
        <v>0</v>
      </c>
      <c r="Q9">
        <f>IF(COUNTIF($E9, _xlfn.CONCAT("*",Table13[[#Headers],[Fantasy]],"*")),1,0)</f>
        <v>0</v>
      </c>
      <c r="R9">
        <f>IF(COUNTIF($E9, _xlfn.CONCAT("*",Table13[[#Headers],[History]],"*")),1,0)</f>
        <v>0</v>
      </c>
      <c r="S9">
        <f>IF(COUNTIF($E9, _xlfn.CONCAT("*",Table13[[#Headers],[Horror]],"*")),1,0)</f>
        <v>0</v>
      </c>
      <c r="T9">
        <f>IF(COUNTIF($E9, _xlfn.CONCAT("*",Table13[[#Headers],[Music]],"*")),1,0)</f>
        <v>0</v>
      </c>
      <c r="U9">
        <f>IF(COUNTIF($E9, _xlfn.CONCAT("*",Table13[[#Headers],[Mystery]],"*")),1,0)</f>
        <v>0</v>
      </c>
      <c r="V9">
        <f>IF(COUNTIF($E9, _xlfn.CONCAT("*",Table13[[#Headers],[Romance]],"*")),1,0)</f>
        <v>0</v>
      </c>
      <c r="W9">
        <f>IF(COUNTIF($E9, _xlfn.CONCAT("*",Table13[[#Headers],[Science Fiction]],"*")),1,0)</f>
        <v>1</v>
      </c>
      <c r="X9">
        <f>IF(COUNTIF($E9, _xlfn.CONCAT("*",Table13[[#Headers],[TV Movie]],"*")),1,0)</f>
        <v>0</v>
      </c>
      <c r="Y9">
        <f>IF(COUNTIF($E9, _xlfn.CONCAT("*",Table13[[#Headers],[Thriller]],"*")),1,0)</f>
        <v>0</v>
      </c>
      <c r="Z9">
        <f>IF(COUNTIF($E9, _xlfn.CONCAT("*",Table13[[#Headers],[War]],"*")),1,0)</f>
        <v>0</v>
      </c>
      <c r="AA9">
        <f>IF(COUNTIF($E9, _xlfn.CONCAT("*",Table13[[#Headers],[Western]],"*")),1,0)</f>
        <v>0</v>
      </c>
    </row>
    <row r="10" spans="1:27">
      <c r="A10" t="s">
        <v>24</v>
      </c>
      <c r="B10">
        <v>256</v>
      </c>
      <c r="C10">
        <f>MAX(Table13[Rank])-Table13[[#This Row],[Rank]]</f>
        <v>8</v>
      </c>
      <c r="D10" t="s">
        <v>7</v>
      </c>
      <c r="E10" t="s">
        <v>25</v>
      </c>
      <c r="F10" s="1">
        <v>16305</v>
      </c>
      <c r="G10">
        <f>YEAR(Table13[[#This Row],[Date]])</f>
        <v>1944</v>
      </c>
      <c r="H10" t="s">
        <v>24</v>
      </c>
      <c r="I10">
        <f>IF(COUNTIF($E10, _xlfn.CONCAT("*",Table13[[#Headers],[Action]],"*")),1,0)</f>
        <v>0</v>
      </c>
      <c r="J10">
        <f>IF(COUNTIF($E10, _xlfn.CONCAT("*",Table13[[#Headers],[Adventure]],"*")),1,0)</f>
        <v>0</v>
      </c>
      <c r="K10">
        <f>IF(COUNTIF($E10, _xlfn.CONCAT("*",Table13[[#Headers],[Animation]],"*")),1,0)</f>
        <v>0</v>
      </c>
      <c r="L10">
        <f>IF(COUNTIF($E10, _xlfn.CONCAT("*",Table13[[#Headers],[Comedy]],"*")),1,0)</f>
        <v>1</v>
      </c>
      <c r="M10">
        <f>IF(COUNTIF($E10, _xlfn.CONCAT("*",Table13[[#Headers],[Crime]],"*")),1,0)</f>
        <v>0</v>
      </c>
      <c r="N10">
        <f>IF(COUNTIF($E10, _xlfn.CONCAT("*",Table13[[#Headers],[Documentary]],"*")),1,0)</f>
        <v>0</v>
      </c>
      <c r="O10">
        <f>IF(COUNTIF($E10, _xlfn.CONCAT("*",Table13[[#Headers],[Drama]],"*")),1,0)</f>
        <v>1</v>
      </c>
      <c r="P10">
        <f>IF(COUNTIF($E10, _xlfn.CONCAT("*",Table13[[#Headers],[Family]],"*")),1,0)</f>
        <v>0</v>
      </c>
      <c r="Q10">
        <f>IF(COUNTIF($E10, _xlfn.CONCAT("*",Table13[[#Headers],[Fantasy]],"*")),1,0)</f>
        <v>0</v>
      </c>
      <c r="R10">
        <f>IF(COUNTIF($E10, _xlfn.CONCAT("*",Table13[[#Headers],[History]],"*")),1,0)</f>
        <v>0</v>
      </c>
      <c r="S10">
        <f>IF(COUNTIF($E10, _xlfn.CONCAT("*",Table13[[#Headers],[Horror]],"*")),1,0)</f>
        <v>0</v>
      </c>
      <c r="T10">
        <f>IF(COUNTIF($E10, _xlfn.CONCAT("*",Table13[[#Headers],[Music]],"*")),1,0)</f>
        <v>0</v>
      </c>
      <c r="U10">
        <f>IF(COUNTIF($E10, _xlfn.CONCAT("*",Table13[[#Headers],[Mystery]],"*")),1,0)</f>
        <v>1</v>
      </c>
      <c r="V10">
        <f>IF(COUNTIF($E10, _xlfn.CONCAT("*",Table13[[#Headers],[Romance]],"*")),1,0)</f>
        <v>0</v>
      </c>
      <c r="W10">
        <f>IF(COUNTIF($E10, _xlfn.CONCAT("*",Table13[[#Headers],[Science Fiction]],"*")),1,0)</f>
        <v>0</v>
      </c>
      <c r="X10">
        <f>IF(COUNTIF($E10, _xlfn.CONCAT("*",Table13[[#Headers],[TV Movie]],"*")),1,0)</f>
        <v>0</v>
      </c>
      <c r="Y10">
        <f>IF(COUNTIF($E10, _xlfn.CONCAT("*",Table13[[#Headers],[Thriller]],"*")),1,0)</f>
        <v>0</v>
      </c>
      <c r="Z10">
        <f>IF(COUNTIF($E10, _xlfn.CONCAT("*",Table13[[#Headers],[War]],"*")),1,0)</f>
        <v>1</v>
      </c>
      <c r="AA10">
        <f>IF(COUNTIF($E10, _xlfn.CONCAT("*",Table13[[#Headers],[Western]],"*")),1,0)</f>
        <v>0</v>
      </c>
    </row>
    <row r="11" spans="1:27">
      <c r="A11" t="s">
        <v>26</v>
      </c>
      <c r="B11">
        <v>255</v>
      </c>
      <c r="C11">
        <f>MAX(Table13[Rank])-Table13[[#This Row],[Rank]]</f>
        <v>9</v>
      </c>
      <c r="D11" t="s">
        <v>7</v>
      </c>
      <c r="E11" t="s">
        <v>27</v>
      </c>
      <c r="F11" s="1">
        <v>30351</v>
      </c>
      <c r="G11">
        <f>YEAR(Table13[[#This Row],[Date]])</f>
        <v>1983</v>
      </c>
      <c r="H11" t="s">
        <v>26</v>
      </c>
      <c r="I11">
        <f>IF(COUNTIF($E11, _xlfn.CONCAT("*",Table13[[#Headers],[Action]],"*")),1,0)</f>
        <v>0</v>
      </c>
      <c r="J11">
        <f>IF(COUNTIF($E11, _xlfn.CONCAT("*",Table13[[#Headers],[Adventure]],"*")),1,0)</f>
        <v>0</v>
      </c>
      <c r="K11">
        <f>IF(COUNTIF($E11, _xlfn.CONCAT("*",Table13[[#Headers],[Animation]],"*")),1,0)</f>
        <v>0</v>
      </c>
      <c r="L11">
        <f>IF(COUNTIF($E11, _xlfn.CONCAT("*",Table13[[#Headers],[Comedy]],"*")),1,0)</f>
        <v>0</v>
      </c>
      <c r="M11">
        <f>IF(COUNTIF($E11, _xlfn.CONCAT("*",Table13[[#Headers],[Crime]],"*")),1,0)</f>
        <v>0</v>
      </c>
      <c r="N11">
        <f>IF(COUNTIF($E11, _xlfn.CONCAT("*",Table13[[#Headers],[Documentary]],"*")),1,0)</f>
        <v>0</v>
      </c>
      <c r="O11">
        <f>IF(COUNTIF($E11, _xlfn.CONCAT("*",Table13[[#Headers],[Drama]],"*")),1,0)</f>
        <v>0</v>
      </c>
      <c r="P11">
        <f>IF(COUNTIF($E11, _xlfn.CONCAT("*",Table13[[#Headers],[Family]],"*")),1,0)</f>
        <v>0</v>
      </c>
      <c r="Q11">
        <f>IF(COUNTIF($E11, _xlfn.CONCAT("*",Table13[[#Headers],[Fantasy]],"*")),1,0)</f>
        <v>0</v>
      </c>
      <c r="R11">
        <f>IF(COUNTIF($E11, _xlfn.CONCAT("*",Table13[[#Headers],[History]],"*")),1,0)</f>
        <v>0</v>
      </c>
      <c r="S11">
        <f>IF(COUNTIF($E11, _xlfn.CONCAT("*",Table13[[#Headers],[Horror]],"*")),1,0)</f>
        <v>1</v>
      </c>
      <c r="T11">
        <f>IF(COUNTIF($E11, _xlfn.CONCAT("*",Table13[[#Headers],[Music]],"*")),1,0)</f>
        <v>0</v>
      </c>
      <c r="U11">
        <f>IF(COUNTIF($E11, _xlfn.CONCAT("*",Table13[[#Headers],[Mystery]],"*")),1,0)</f>
        <v>1</v>
      </c>
      <c r="V11">
        <f>IF(COUNTIF($E11, _xlfn.CONCAT("*",Table13[[#Headers],[Romance]],"*")),1,0)</f>
        <v>0</v>
      </c>
      <c r="W11">
        <f>IF(COUNTIF($E11, _xlfn.CONCAT("*",Table13[[#Headers],[Science Fiction]],"*")),1,0)</f>
        <v>1</v>
      </c>
      <c r="X11">
        <f>IF(COUNTIF($E11, _xlfn.CONCAT("*",Table13[[#Headers],[TV Movie]],"*")),1,0)</f>
        <v>0</v>
      </c>
      <c r="Y11">
        <f>IF(COUNTIF($E11, _xlfn.CONCAT("*",Table13[[#Headers],[Thriller]],"*")),1,0)</f>
        <v>0</v>
      </c>
      <c r="Z11">
        <f>IF(COUNTIF($E11, _xlfn.CONCAT("*",Table13[[#Headers],[War]],"*")),1,0)</f>
        <v>0</v>
      </c>
      <c r="AA11">
        <f>IF(COUNTIF($E11, _xlfn.CONCAT("*",Table13[[#Headers],[Western]],"*")),1,0)</f>
        <v>0</v>
      </c>
    </row>
    <row r="12" spans="1:27">
      <c r="A12" t="s">
        <v>28</v>
      </c>
      <c r="B12">
        <v>254</v>
      </c>
      <c r="C12">
        <f>MAX(Table13[Rank])-Table13[[#This Row],[Rank]]</f>
        <v>10</v>
      </c>
      <c r="D12" t="s">
        <v>7</v>
      </c>
      <c r="E12" t="s">
        <v>29</v>
      </c>
      <c r="F12" s="1">
        <v>29733</v>
      </c>
      <c r="G12">
        <f>YEAR(Table13[[#This Row],[Date]])</f>
        <v>1981</v>
      </c>
      <c r="H12" t="s">
        <v>28</v>
      </c>
      <c r="I12">
        <f>IF(COUNTIF($E12, _xlfn.CONCAT("*",Table13[[#Headers],[Action]],"*")),1,0)</f>
        <v>0</v>
      </c>
      <c r="J12">
        <f>IF(COUNTIF($E12, _xlfn.CONCAT("*",Table13[[#Headers],[Adventure]],"*")),1,0)</f>
        <v>0</v>
      </c>
      <c r="K12">
        <f>IF(COUNTIF($E12, _xlfn.CONCAT("*",Table13[[#Headers],[Animation]],"*")),1,0)</f>
        <v>0</v>
      </c>
      <c r="L12">
        <f>IF(COUNTIF($E12, _xlfn.CONCAT("*",Table13[[#Headers],[Comedy]],"*")),1,0)</f>
        <v>0</v>
      </c>
      <c r="M12">
        <f>IF(COUNTIF($E12, _xlfn.CONCAT("*",Table13[[#Headers],[Crime]],"*")),1,0)</f>
        <v>0</v>
      </c>
      <c r="N12">
        <f>IF(COUNTIF($E12, _xlfn.CONCAT("*",Table13[[#Headers],[Documentary]],"*")),1,0)</f>
        <v>0</v>
      </c>
      <c r="O12">
        <f>IF(COUNTIF($E12, _xlfn.CONCAT("*",Table13[[#Headers],[Drama]],"*")),1,0)</f>
        <v>0</v>
      </c>
      <c r="P12">
        <f>IF(COUNTIF($E12, _xlfn.CONCAT("*",Table13[[#Headers],[Family]],"*")),1,0)</f>
        <v>0</v>
      </c>
      <c r="Q12">
        <f>IF(COUNTIF($E12, _xlfn.CONCAT("*",Table13[[#Headers],[Fantasy]],"*")),1,0)</f>
        <v>0</v>
      </c>
      <c r="R12">
        <f>IF(COUNTIF($E12, _xlfn.CONCAT("*",Table13[[#Headers],[History]],"*")),1,0)</f>
        <v>0</v>
      </c>
      <c r="S12">
        <f>IF(COUNTIF($E12, _xlfn.CONCAT("*",Table13[[#Headers],[Horror]],"*")),1,0)</f>
        <v>1</v>
      </c>
      <c r="T12">
        <f>IF(COUNTIF($E12, _xlfn.CONCAT("*",Table13[[#Headers],[Music]],"*")),1,0)</f>
        <v>0</v>
      </c>
      <c r="U12">
        <f>IF(COUNTIF($E12, _xlfn.CONCAT("*",Table13[[#Headers],[Mystery]],"*")),1,0)</f>
        <v>0</v>
      </c>
      <c r="V12">
        <f>IF(COUNTIF($E12, _xlfn.CONCAT("*",Table13[[#Headers],[Romance]],"*")),1,0)</f>
        <v>0</v>
      </c>
      <c r="W12">
        <f>IF(COUNTIF($E12, _xlfn.CONCAT("*",Table13[[#Headers],[Science Fiction]],"*")),1,0)</f>
        <v>0</v>
      </c>
      <c r="X12">
        <f>IF(COUNTIF($E12, _xlfn.CONCAT("*",Table13[[#Headers],[TV Movie]],"*")),1,0)</f>
        <v>0</v>
      </c>
      <c r="Y12">
        <f>IF(COUNTIF($E12, _xlfn.CONCAT("*",Table13[[#Headers],[Thriller]],"*")),1,0)</f>
        <v>0</v>
      </c>
      <c r="Z12">
        <f>IF(COUNTIF($E12, _xlfn.CONCAT("*",Table13[[#Headers],[War]],"*")),1,0)</f>
        <v>0</v>
      </c>
      <c r="AA12">
        <f>IF(COUNTIF($E12, _xlfn.CONCAT("*",Table13[[#Headers],[Western]],"*")),1,0)</f>
        <v>0</v>
      </c>
    </row>
    <row r="13" spans="1:27">
      <c r="A13" t="s">
        <v>30</v>
      </c>
      <c r="B13">
        <v>253</v>
      </c>
      <c r="C13">
        <f>MAX(Table13[Rank])-Table13[[#This Row],[Rank]]</f>
        <v>11</v>
      </c>
      <c r="D13" t="s">
        <v>7</v>
      </c>
      <c r="E13" t="s">
        <v>21</v>
      </c>
      <c r="F13" s="1">
        <v>26668</v>
      </c>
      <c r="G13">
        <f>YEAR(Table13[[#This Row],[Date]])</f>
        <v>1973</v>
      </c>
      <c r="H13" t="s">
        <v>1260</v>
      </c>
      <c r="I13">
        <f>IF(COUNTIF($E13, _xlfn.CONCAT("*",Table13[[#Headers],[Action]],"*")),1,0)</f>
        <v>0</v>
      </c>
      <c r="J13">
        <f>IF(COUNTIF($E13, _xlfn.CONCAT("*",Table13[[#Headers],[Adventure]],"*")),1,0)</f>
        <v>0</v>
      </c>
      <c r="K13">
        <f>IF(COUNTIF($E13, _xlfn.CONCAT("*",Table13[[#Headers],[Animation]],"*")),1,0)</f>
        <v>0</v>
      </c>
      <c r="L13">
        <f>IF(COUNTIF($E13, _xlfn.CONCAT("*",Table13[[#Headers],[Comedy]],"*")),1,0)</f>
        <v>0</v>
      </c>
      <c r="M13">
        <f>IF(COUNTIF($E13, _xlfn.CONCAT("*",Table13[[#Headers],[Crime]],"*")),1,0)</f>
        <v>0</v>
      </c>
      <c r="N13">
        <f>IF(COUNTIF($E13, _xlfn.CONCAT("*",Table13[[#Headers],[Documentary]],"*")),1,0)</f>
        <v>0</v>
      </c>
      <c r="O13">
        <f>IF(COUNTIF($E13, _xlfn.CONCAT("*",Table13[[#Headers],[Drama]],"*")),1,0)</f>
        <v>1</v>
      </c>
      <c r="P13">
        <f>IF(COUNTIF($E13, _xlfn.CONCAT("*",Table13[[#Headers],[Family]],"*")),1,0)</f>
        <v>0</v>
      </c>
      <c r="Q13">
        <f>IF(COUNTIF($E13, _xlfn.CONCAT("*",Table13[[#Headers],[Fantasy]],"*")),1,0)</f>
        <v>0</v>
      </c>
      <c r="R13">
        <f>IF(COUNTIF($E13, _xlfn.CONCAT("*",Table13[[#Headers],[History]],"*")),1,0)</f>
        <v>0</v>
      </c>
      <c r="S13">
        <f>IF(COUNTIF($E13, _xlfn.CONCAT("*",Table13[[#Headers],[Horror]],"*")),1,0)</f>
        <v>0</v>
      </c>
      <c r="T13">
        <f>IF(COUNTIF($E13, _xlfn.CONCAT("*",Table13[[#Headers],[Music]],"*")),1,0)</f>
        <v>0</v>
      </c>
      <c r="U13">
        <f>IF(COUNTIF($E13, _xlfn.CONCAT("*",Table13[[#Headers],[Mystery]],"*")),1,0)</f>
        <v>0</v>
      </c>
      <c r="V13">
        <f>IF(COUNTIF($E13, _xlfn.CONCAT("*",Table13[[#Headers],[Romance]],"*")),1,0)</f>
        <v>0</v>
      </c>
      <c r="W13">
        <f>IF(COUNTIF($E13, _xlfn.CONCAT("*",Table13[[#Headers],[Science Fiction]],"*")),1,0)</f>
        <v>0</v>
      </c>
      <c r="X13">
        <f>IF(COUNTIF($E13, _xlfn.CONCAT("*",Table13[[#Headers],[TV Movie]],"*")),1,0)</f>
        <v>0</v>
      </c>
      <c r="Y13">
        <f>IF(COUNTIF($E13, _xlfn.CONCAT("*",Table13[[#Headers],[Thriller]],"*")),1,0)</f>
        <v>0</v>
      </c>
      <c r="Z13">
        <f>IF(COUNTIF($E13, _xlfn.CONCAT("*",Table13[[#Headers],[War]],"*")),1,0)</f>
        <v>0</v>
      </c>
      <c r="AA13">
        <f>IF(COUNTIF($E13, _xlfn.CONCAT("*",Table13[[#Headers],[Western]],"*")),1,0)</f>
        <v>0</v>
      </c>
    </row>
    <row r="14" spans="1:27">
      <c r="A14" t="s">
        <v>31</v>
      </c>
      <c r="B14">
        <v>252</v>
      </c>
      <c r="C14">
        <f>MAX(Table13[Rank])-Table13[[#This Row],[Rank]]</f>
        <v>12</v>
      </c>
      <c r="D14" t="s">
        <v>7</v>
      </c>
      <c r="E14" t="s">
        <v>32</v>
      </c>
      <c r="F14" s="1">
        <v>32463</v>
      </c>
      <c r="G14">
        <f>YEAR(Table13[[#This Row],[Date]])</f>
        <v>1988</v>
      </c>
      <c r="H14" t="s">
        <v>31</v>
      </c>
      <c r="I14">
        <f>IF(COUNTIF($E14, _xlfn.CONCAT("*",Table13[[#Headers],[Action]],"*")),1,0)</f>
        <v>0</v>
      </c>
      <c r="J14">
        <f>IF(COUNTIF($E14, _xlfn.CONCAT("*",Table13[[#Headers],[Adventure]],"*")),1,0)</f>
        <v>0</v>
      </c>
      <c r="K14">
        <f>IF(COUNTIF($E14, _xlfn.CONCAT("*",Table13[[#Headers],[Animation]],"*")),1,0)</f>
        <v>0</v>
      </c>
      <c r="L14">
        <f>IF(COUNTIF($E14, _xlfn.CONCAT("*",Table13[[#Headers],[Comedy]],"*")),1,0)</f>
        <v>0</v>
      </c>
      <c r="M14">
        <f>IF(COUNTIF($E14, _xlfn.CONCAT("*",Table13[[#Headers],[Crime]],"*")),1,0)</f>
        <v>0</v>
      </c>
      <c r="N14">
        <f>IF(COUNTIF($E14, _xlfn.CONCAT("*",Table13[[#Headers],[Documentary]],"*")),1,0)</f>
        <v>0</v>
      </c>
      <c r="O14">
        <f>IF(COUNTIF($E14, _xlfn.CONCAT("*",Table13[[#Headers],[Drama]],"*")),1,0)</f>
        <v>1</v>
      </c>
      <c r="P14">
        <f>IF(COUNTIF($E14, _xlfn.CONCAT("*",Table13[[#Headers],[Family]],"*")),1,0)</f>
        <v>0</v>
      </c>
      <c r="Q14">
        <f>IF(COUNTIF($E14, _xlfn.CONCAT("*",Table13[[#Headers],[Fantasy]],"*")),1,0)</f>
        <v>0</v>
      </c>
      <c r="R14">
        <f>IF(COUNTIF($E14, _xlfn.CONCAT("*",Table13[[#Headers],[History]],"*")),1,0)</f>
        <v>0</v>
      </c>
      <c r="S14">
        <f>IF(COUNTIF($E14, _xlfn.CONCAT("*",Table13[[#Headers],[Horror]],"*")),1,0)</f>
        <v>0</v>
      </c>
      <c r="T14">
        <f>IF(COUNTIF($E14, _xlfn.CONCAT("*",Table13[[#Headers],[Music]],"*")),1,0)</f>
        <v>1</v>
      </c>
      <c r="U14">
        <f>IF(COUNTIF($E14, _xlfn.CONCAT("*",Table13[[#Headers],[Mystery]],"*")),1,0)</f>
        <v>0</v>
      </c>
      <c r="V14">
        <f>IF(COUNTIF($E14, _xlfn.CONCAT("*",Table13[[#Headers],[Romance]],"*")),1,0)</f>
        <v>0</v>
      </c>
      <c r="W14">
        <f>IF(COUNTIF($E14, _xlfn.CONCAT("*",Table13[[#Headers],[Science Fiction]],"*")),1,0)</f>
        <v>0</v>
      </c>
      <c r="X14">
        <f>IF(COUNTIF($E14, _xlfn.CONCAT("*",Table13[[#Headers],[TV Movie]],"*")),1,0)</f>
        <v>0</v>
      </c>
      <c r="Y14">
        <f>IF(COUNTIF($E14, _xlfn.CONCAT("*",Table13[[#Headers],[Thriller]],"*")),1,0)</f>
        <v>0</v>
      </c>
      <c r="Z14">
        <f>IF(COUNTIF($E14, _xlfn.CONCAT("*",Table13[[#Headers],[War]],"*")),1,0)</f>
        <v>0</v>
      </c>
      <c r="AA14">
        <f>IF(COUNTIF($E14, _xlfn.CONCAT("*",Table13[[#Headers],[Western]],"*")),1,0)</f>
        <v>0</v>
      </c>
    </row>
    <row r="15" spans="1:27">
      <c r="A15" t="s">
        <v>33</v>
      </c>
      <c r="B15">
        <v>251</v>
      </c>
      <c r="C15">
        <f>MAX(Table13[Rank])-Table13[[#This Row],[Rank]]</f>
        <v>13</v>
      </c>
      <c r="D15" t="s">
        <v>7</v>
      </c>
      <c r="E15" t="s">
        <v>17</v>
      </c>
      <c r="F15" s="1">
        <v>40478</v>
      </c>
      <c r="G15">
        <f>YEAR(Table13[[#This Row],[Date]])</f>
        <v>2010</v>
      </c>
      <c r="H15" t="s">
        <v>33</v>
      </c>
      <c r="I15">
        <f>IF(COUNTIF($E15, _xlfn.CONCAT("*",Table13[[#Headers],[Action]],"*")),1,0)</f>
        <v>0</v>
      </c>
      <c r="J15">
        <f>IF(COUNTIF($E15, _xlfn.CONCAT("*",Table13[[#Headers],[Adventure]],"*")),1,0)</f>
        <v>0</v>
      </c>
      <c r="K15">
        <f>IF(COUNTIF($E15, _xlfn.CONCAT("*",Table13[[#Headers],[Animation]],"*")),1,0)</f>
        <v>0</v>
      </c>
      <c r="L15">
        <f>IF(COUNTIF($E15, _xlfn.CONCAT("*",Table13[[#Headers],[Comedy]],"*")),1,0)</f>
        <v>0</v>
      </c>
      <c r="M15">
        <f>IF(COUNTIF($E15, _xlfn.CONCAT("*",Table13[[#Headers],[Crime]],"*")),1,0)</f>
        <v>0</v>
      </c>
      <c r="N15">
        <f>IF(COUNTIF($E15, _xlfn.CONCAT("*",Table13[[#Headers],[Documentary]],"*")),1,0)</f>
        <v>1</v>
      </c>
      <c r="O15">
        <f>IF(COUNTIF($E15, _xlfn.CONCAT("*",Table13[[#Headers],[Drama]],"*")),1,0)</f>
        <v>0</v>
      </c>
      <c r="P15">
        <f>IF(COUNTIF($E15, _xlfn.CONCAT("*",Table13[[#Headers],[Family]],"*")),1,0)</f>
        <v>0</v>
      </c>
      <c r="Q15">
        <f>IF(COUNTIF($E15, _xlfn.CONCAT("*",Table13[[#Headers],[Fantasy]],"*")),1,0)</f>
        <v>0</v>
      </c>
      <c r="R15">
        <f>IF(COUNTIF($E15, _xlfn.CONCAT("*",Table13[[#Headers],[History]],"*")),1,0)</f>
        <v>0</v>
      </c>
      <c r="S15">
        <f>IF(COUNTIF($E15, _xlfn.CONCAT("*",Table13[[#Headers],[Horror]],"*")),1,0)</f>
        <v>0</v>
      </c>
      <c r="T15">
        <f>IF(COUNTIF($E15, _xlfn.CONCAT("*",Table13[[#Headers],[Music]],"*")),1,0)</f>
        <v>0</v>
      </c>
      <c r="U15">
        <f>IF(COUNTIF($E15, _xlfn.CONCAT("*",Table13[[#Headers],[Mystery]],"*")),1,0)</f>
        <v>0</v>
      </c>
      <c r="V15">
        <f>IF(COUNTIF($E15, _xlfn.CONCAT("*",Table13[[#Headers],[Romance]],"*")),1,0)</f>
        <v>0</v>
      </c>
      <c r="W15">
        <f>IF(COUNTIF($E15, _xlfn.CONCAT("*",Table13[[#Headers],[Science Fiction]],"*")),1,0)</f>
        <v>0</v>
      </c>
      <c r="X15">
        <f>IF(COUNTIF($E15, _xlfn.CONCAT("*",Table13[[#Headers],[TV Movie]],"*")),1,0)</f>
        <v>0</v>
      </c>
      <c r="Y15">
        <f>IF(COUNTIF($E15, _xlfn.CONCAT("*",Table13[[#Headers],[Thriller]],"*")),1,0)</f>
        <v>0</v>
      </c>
      <c r="Z15">
        <f>IF(COUNTIF($E15, _xlfn.CONCAT("*",Table13[[#Headers],[War]],"*")),1,0)</f>
        <v>0</v>
      </c>
      <c r="AA15">
        <f>IF(COUNTIF($E15, _xlfn.CONCAT("*",Table13[[#Headers],[Western]],"*")),1,0)</f>
        <v>0</v>
      </c>
    </row>
    <row r="16" spans="1:27">
      <c r="A16" t="s">
        <v>34</v>
      </c>
      <c r="B16">
        <v>250</v>
      </c>
      <c r="C16">
        <f>MAX(Table13[Rank])-Table13[[#This Row],[Rank]]</f>
        <v>14</v>
      </c>
      <c r="D16" t="s">
        <v>7</v>
      </c>
      <c r="E16" t="s">
        <v>35</v>
      </c>
      <c r="F16" s="1">
        <v>38960</v>
      </c>
      <c r="G16">
        <f>YEAR(Table13[[#This Row],[Date]])</f>
        <v>2006</v>
      </c>
      <c r="H16" t="s">
        <v>34</v>
      </c>
      <c r="I16">
        <f>IF(COUNTIF($E16, _xlfn.CONCAT("*",Table13[[#Headers],[Action]],"*")),1,0)</f>
        <v>0</v>
      </c>
      <c r="J16">
        <f>IF(COUNTIF($E16, _xlfn.CONCAT("*",Table13[[#Headers],[Adventure]],"*")),1,0)</f>
        <v>0</v>
      </c>
      <c r="K16">
        <f>IF(COUNTIF($E16, _xlfn.CONCAT("*",Table13[[#Headers],[Animation]],"*")),1,0)</f>
        <v>0</v>
      </c>
      <c r="L16">
        <f>IF(COUNTIF($E16, _xlfn.CONCAT("*",Table13[[#Headers],[Comedy]],"*")),1,0)</f>
        <v>0</v>
      </c>
      <c r="M16">
        <f>IF(COUNTIF($E16, _xlfn.CONCAT("*",Table13[[#Headers],[Crime]],"*")),1,0)</f>
        <v>0</v>
      </c>
      <c r="N16">
        <f>IF(COUNTIF($E16, _xlfn.CONCAT("*",Table13[[#Headers],[Documentary]],"*")),1,0)</f>
        <v>0</v>
      </c>
      <c r="O16">
        <f>IF(COUNTIF($E16, _xlfn.CONCAT("*",Table13[[#Headers],[Drama]],"*")),1,0)</f>
        <v>1</v>
      </c>
      <c r="P16">
        <f>IF(COUNTIF($E16, _xlfn.CONCAT("*",Table13[[#Headers],[Family]],"*")),1,0)</f>
        <v>0</v>
      </c>
      <c r="Q16">
        <f>IF(COUNTIF($E16, _xlfn.CONCAT("*",Table13[[#Headers],[Fantasy]],"*")),1,0)</f>
        <v>0</v>
      </c>
      <c r="R16">
        <f>IF(COUNTIF($E16, _xlfn.CONCAT("*",Table13[[#Headers],[History]],"*")),1,0)</f>
        <v>0</v>
      </c>
      <c r="S16">
        <f>IF(COUNTIF($E16, _xlfn.CONCAT("*",Table13[[#Headers],[Horror]],"*")),1,0)</f>
        <v>0</v>
      </c>
      <c r="T16">
        <f>IF(COUNTIF($E16, _xlfn.CONCAT("*",Table13[[#Headers],[Music]],"*")),1,0)</f>
        <v>0</v>
      </c>
      <c r="U16">
        <f>IF(COUNTIF($E16, _xlfn.CONCAT("*",Table13[[#Headers],[Mystery]],"*")),1,0)</f>
        <v>0</v>
      </c>
      <c r="V16">
        <f>IF(COUNTIF($E16, _xlfn.CONCAT("*",Table13[[#Headers],[Romance]],"*")),1,0)</f>
        <v>1</v>
      </c>
      <c r="W16">
        <f>IF(COUNTIF($E16, _xlfn.CONCAT("*",Table13[[#Headers],[Science Fiction]],"*")),1,0)</f>
        <v>0</v>
      </c>
      <c r="X16">
        <f>IF(COUNTIF($E16, _xlfn.CONCAT("*",Table13[[#Headers],[TV Movie]],"*")),1,0)</f>
        <v>0</v>
      </c>
      <c r="Y16">
        <f>IF(COUNTIF($E16, _xlfn.CONCAT("*",Table13[[#Headers],[Thriller]],"*")),1,0)</f>
        <v>0</v>
      </c>
      <c r="Z16">
        <f>IF(COUNTIF($E16, _xlfn.CONCAT("*",Table13[[#Headers],[War]],"*")),1,0)</f>
        <v>0</v>
      </c>
      <c r="AA16">
        <f>IF(COUNTIF($E16, _xlfn.CONCAT("*",Table13[[#Headers],[Western]],"*")),1,0)</f>
        <v>0</v>
      </c>
    </row>
    <row r="17" spans="1:27">
      <c r="A17" t="s">
        <v>36</v>
      </c>
      <c r="B17">
        <v>249</v>
      </c>
      <c r="C17">
        <f>MAX(Table13[Rank])-Table13[[#This Row],[Rank]]</f>
        <v>15</v>
      </c>
      <c r="D17" t="s">
        <v>7</v>
      </c>
      <c r="E17" t="s">
        <v>37</v>
      </c>
      <c r="F17" s="1">
        <v>43588</v>
      </c>
      <c r="G17">
        <f>YEAR(Table13[[#This Row],[Date]])</f>
        <v>2019</v>
      </c>
      <c r="H17" t="s">
        <v>36</v>
      </c>
      <c r="I17">
        <f>IF(COUNTIF($E17, _xlfn.CONCAT("*",Table13[[#Headers],[Action]],"*")),1,0)</f>
        <v>0</v>
      </c>
      <c r="J17">
        <f>IF(COUNTIF($E17, _xlfn.CONCAT("*",Table13[[#Headers],[Adventure]],"*")),1,0)</f>
        <v>0</v>
      </c>
      <c r="K17">
        <f>IF(COUNTIF($E17, _xlfn.CONCAT("*",Table13[[#Headers],[Animation]],"*")),1,0)</f>
        <v>0</v>
      </c>
      <c r="L17">
        <f>IF(COUNTIF($E17, _xlfn.CONCAT("*",Table13[[#Headers],[Comedy]],"*")),1,0)</f>
        <v>0</v>
      </c>
      <c r="M17">
        <f>IF(COUNTIF($E17, _xlfn.CONCAT("*",Table13[[#Headers],[Crime]],"*")),1,0)</f>
        <v>0</v>
      </c>
      <c r="N17">
        <f>IF(COUNTIF($E17, _xlfn.CONCAT("*",Table13[[#Headers],[Documentary]],"*")),1,0)</f>
        <v>0</v>
      </c>
      <c r="O17">
        <f>IF(COUNTIF($E17, _xlfn.CONCAT("*",Table13[[#Headers],[Drama]],"*")),1,0)</f>
        <v>0</v>
      </c>
      <c r="P17">
        <f>IF(COUNTIF($E17, _xlfn.CONCAT("*",Table13[[#Headers],[Family]],"*")),1,0)</f>
        <v>0</v>
      </c>
      <c r="Q17">
        <f>IF(COUNTIF($E17, _xlfn.CONCAT("*",Table13[[#Headers],[Fantasy]],"*")),1,0)</f>
        <v>0</v>
      </c>
      <c r="R17">
        <f>IF(COUNTIF($E17, _xlfn.CONCAT("*",Table13[[#Headers],[History]],"*")),1,0)</f>
        <v>0</v>
      </c>
      <c r="S17">
        <f>IF(COUNTIF($E17, _xlfn.CONCAT("*",Table13[[#Headers],[Horror]],"*")),1,0)</f>
        <v>0</v>
      </c>
      <c r="T17">
        <f>IF(COUNTIF($E17, _xlfn.CONCAT("*",Table13[[#Headers],[Music]],"*")),1,0)</f>
        <v>0</v>
      </c>
      <c r="U17">
        <f>IF(COUNTIF($E17, _xlfn.CONCAT("*",Table13[[#Headers],[Mystery]],"*")),1,0)</f>
        <v>0</v>
      </c>
      <c r="V17">
        <f>IF(COUNTIF($E17, _xlfn.CONCAT("*",Table13[[#Headers],[Romance]],"*")),1,0)</f>
        <v>0</v>
      </c>
      <c r="W17">
        <f>IF(COUNTIF($E17, _xlfn.CONCAT("*",Table13[[#Headers],[Science Fiction]],"*")),1,0)</f>
        <v>0</v>
      </c>
      <c r="X17">
        <f>IF(COUNTIF($E17, _xlfn.CONCAT("*",Table13[[#Headers],[TV Movie]],"*")),1,0)</f>
        <v>0</v>
      </c>
      <c r="Y17">
        <f>IF(COUNTIF($E17, _xlfn.CONCAT("*",Table13[[#Headers],[Thriller]],"*")),1,0)</f>
        <v>1</v>
      </c>
      <c r="Z17">
        <f>IF(COUNTIF($E17, _xlfn.CONCAT("*",Table13[[#Headers],[War]],"*")),1,0)</f>
        <v>0</v>
      </c>
      <c r="AA17">
        <f>IF(COUNTIF($E17, _xlfn.CONCAT("*",Table13[[#Headers],[Western]],"*")),1,0)</f>
        <v>0</v>
      </c>
    </row>
    <row r="18" spans="1:27">
      <c r="A18" t="s">
        <v>38</v>
      </c>
      <c r="B18">
        <v>248</v>
      </c>
      <c r="C18">
        <f>MAX(Table13[Rank])-Table13[[#This Row],[Rank]]</f>
        <v>16</v>
      </c>
      <c r="D18" t="s">
        <v>7</v>
      </c>
      <c r="E18" t="s">
        <v>21</v>
      </c>
      <c r="F18" s="1">
        <v>37561</v>
      </c>
      <c r="G18">
        <f>YEAR(Table13[[#This Row],[Date]])</f>
        <v>2002</v>
      </c>
      <c r="H18" t="s">
        <v>38</v>
      </c>
      <c r="I18">
        <f>IF(COUNTIF($E18, _xlfn.CONCAT("*",Table13[[#Headers],[Action]],"*")),1,0)</f>
        <v>0</v>
      </c>
      <c r="J18">
        <f>IF(COUNTIF($E18, _xlfn.CONCAT("*",Table13[[#Headers],[Adventure]],"*")),1,0)</f>
        <v>0</v>
      </c>
      <c r="K18">
        <f>IF(COUNTIF($E18, _xlfn.CONCAT("*",Table13[[#Headers],[Animation]],"*")),1,0)</f>
        <v>0</v>
      </c>
      <c r="L18">
        <f>IF(COUNTIF($E18, _xlfn.CONCAT("*",Table13[[#Headers],[Comedy]],"*")),1,0)</f>
        <v>0</v>
      </c>
      <c r="M18">
        <f>IF(COUNTIF($E18, _xlfn.CONCAT("*",Table13[[#Headers],[Crime]],"*")),1,0)</f>
        <v>0</v>
      </c>
      <c r="N18">
        <f>IF(COUNTIF($E18, _xlfn.CONCAT("*",Table13[[#Headers],[Documentary]],"*")),1,0)</f>
        <v>0</v>
      </c>
      <c r="O18">
        <f>IF(COUNTIF($E18, _xlfn.CONCAT("*",Table13[[#Headers],[Drama]],"*")),1,0)</f>
        <v>1</v>
      </c>
      <c r="P18">
        <f>IF(COUNTIF($E18, _xlfn.CONCAT("*",Table13[[#Headers],[Family]],"*")),1,0)</f>
        <v>0</v>
      </c>
      <c r="Q18">
        <f>IF(COUNTIF($E18, _xlfn.CONCAT("*",Table13[[#Headers],[Fantasy]],"*")),1,0)</f>
        <v>0</v>
      </c>
      <c r="R18">
        <f>IF(COUNTIF($E18, _xlfn.CONCAT("*",Table13[[#Headers],[History]],"*")),1,0)</f>
        <v>0</v>
      </c>
      <c r="S18">
        <f>IF(COUNTIF($E18, _xlfn.CONCAT("*",Table13[[#Headers],[Horror]],"*")),1,0)</f>
        <v>0</v>
      </c>
      <c r="T18">
        <f>IF(COUNTIF($E18, _xlfn.CONCAT("*",Table13[[#Headers],[Music]],"*")),1,0)</f>
        <v>0</v>
      </c>
      <c r="U18">
        <f>IF(COUNTIF($E18, _xlfn.CONCAT("*",Table13[[#Headers],[Mystery]],"*")),1,0)</f>
        <v>0</v>
      </c>
      <c r="V18">
        <f>IF(COUNTIF($E18, _xlfn.CONCAT("*",Table13[[#Headers],[Romance]],"*")),1,0)</f>
        <v>0</v>
      </c>
      <c r="W18">
        <f>IF(COUNTIF($E18, _xlfn.CONCAT("*",Table13[[#Headers],[Science Fiction]],"*")),1,0)</f>
        <v>0</v>
      </c>
      <c r="X18">
        <f>IF(COUNTIF($E18, _xlfn.CONCAT("*",Table13[[#Headers],[TV Movie]],"*")),1,0)</f>
        <v>0</v>
      </c>
      <c r="Y18">
        <f>IF(COUNTIF($E18, _xlfn.CONCAT("*",Table13[[#Headers],[Thriller]],"*")),1,0)</f>
        <v>0</v>
      </c>
      <c r="Z18">
        <f>IF(COUNTIF($E18, _xlfn.CONCAT("*",Table13[[#Headers],[War]],"*")),1,0)</f>
        <v>0</v>
      </c>
      <c r="AA18">
        <f>IF(COUNTIF($E18, _xlfn.CONCAT("*",Table13[[#Headers],[Western]],"*")),1,0)</f>
        <v>0</v>
      </c>
    </row>
    <row r="19" spans="1:27">
      <c r="A19" t="s">
        <v>39</v>
      </c>
      <c r="B19">
        <v>247</v>
      </c>
      <c r="C19">
        <f>MAX(Table13[Rank])-Table13[[#This Row],[Rank]]</f>
        <v>17</v>
      </c>
      <c r="D19" t="s">
        <v>7</v>
      </c>
      <c r="E19" t="s">
        <v>21</v>
      </c>
      <c r="F19" s="1">
        <v>36952</v>
      </c>
      <c r="G19">
        <f>YEAR(Table13[[#This Row],[Date]])</f>
        <v>2001</v>
      </c>
      <c r="H19" t="s">
        <v>39</v>
      </c>
      <c r="I19">
        <f>IF(COUNTIF($E19, _xlfn.CONCAT("*",Table13[[#Headers],[Action]],"*")),1,0)</f>
        <v>0</v>
      </c>
      <c r="J19">
        <f>IF(COUNTIF($E19, _xlfn.CONCAT("*",Table13[[#Headers],[Adventure]],"*")),1,0)</f>
        <v>0</v>
      </c>
      <c r="K19">
        <f>IF(COUNTIF($E19, _xlfn.CONCAT("*",Table13[[#Headers],[Animation]],"*")),1,0)</f>
        <v>0</v>
      </c>
      <c r="L19">
        <f>IF(COUNTIF($E19, _xlfn.CONCAT("*",Table13[[#Headers],[Comedy]],"*")),1,0)</f>
        <v>0</v>
      </c>
      <c r="M19">
        <f>IF(COUNTIF($E19, _xlfn.CONCAT("*",Table13[[#Headers],[Crime]],"*")),1,0)</f>
        <v>0</v>
      </c>
      <c r="N19">
        <f>IF(COUNTIF($E19, _xlfn.CONCAT("*",Table13[[#Headers],[Documentary]],"*")),1,0)</f>
        <v>0</v>
      </c>
      <c r="O19">
        <f>IF(COUNTIF($E19, _xlfn.CONCAT("*",Table13[[#Headers],[Drama]],"*")),1,0)</f>
        <v>1</v>
      </c>
      <c r="P19">
        <f>IF(COUNTIF($E19, _xlfn.CONCAT("*",Table13[[#Headers],[Family]],"*")),1,0)</f>
        <v>0</v>
      </c>
      <c r="Q19">
        <f>IF(COUNTIF($E19, _xlfn.CONCAT("*",Table13[[#Headers],[Fantasy]],"*")),1,0)</f>
        <v>0</v>
      </c>
      <c r="R19">
        <f>IF(COUNTIF($E19, _xlfn.CONCAT("*",Table13[[#Headers],[History]],"*")),1,0)</f>
        <v>0</v>
      </c>
      <c r="S19">
        <f>IF(COUNTIF($E19, _xlfn.CONCAT("*",Table13[[#Headers],[Horror]],"*")),1,0)</f>
        <v>0</v>
      </c>
      <c r="T19">
        <f>IF(COUNTIF($E19, _xlfn.CONCAT("*",Table13[[#Headers],[Music]],"*")),1,0)</f>
        <v>0</v>
      </c>
      <c r="U19">
        <f>IF(COUNTIF($E19, _xlfn.CONCAT("*",Table13[[#Headers],[Mystery]],"*")),1,0)</f>
        <v>0</v>
      </c>
      <c r="V19">
        <f>IF(COUNTIF($E19, _xlfn.CONCAT("*",Table13[[#Headers],[Romance]],"*")),1,0)</f>
        <v>0</v>
      </c>
      <c r="W19">
        <f>IF(COUNTIF($E19, _xlfn.CONCAT("*",Table13[[#Headers],[Science Fiction]],"*")),1,0)</f>
        <v>0</v>
      </c>
      <c r="X19">
        <f>IF(COUNTIF($E19, _xlfn.CONCAT("*",Table13[[#Headers],[TV Movie]],"*")),1,0)</f>
        <v>0</v>
      </c>
      <c r="Y19">
        <f>IF(COUNTIF($E19, _xlfn.CONCAT("*",Table13[[#Headers],[Thriller]],"*")),1,0)</f>
        <v>0</v>
      </c>
      <c r="Z19">
        <f>IF(COUNTIF($E19, _xlfn.CONCAT("*",Table13[[#Headers],[War]],"*")),1,0)</f>
        <v>0</v>
      </c>
      <c r="AA19">
        <f>IF(COUNTIF($E19, _xlfn.CONCAT("*",Table13[[#Headers],[Western]],"*")),1,0)</f>
        <v>0</v>
      </c>
    </row>
    <row r="20" spans="1:27">
      <c r="A20" t="s">
        <v>40</v>
      </c>
      <c r="B20">
        <v>246</v>
      </c>
      <c r="C20">
        <f>MAX(Table13[Rank])-Table13[[#This Row],[Rank]]</f>
        <v>18</v>
      </c>
      <c r="D20" t="s">
        <v>7</v>
      </c>
      <c r="E20" t="s">
        <v>21</v>
      </c>
      <c r="F20" s="1">
        <v>36923</v>
      </c>
      <c r="G20">
        <f>YEAR(Table13[[#This Row],[Date]])</f>
        <v>2001</v>
      </c>
      <c r="H20" t="s">
        <v>40</v>
      </c>
      <c r="I20">
        <f>IF(COUNTIF($E20, _xlfn.CONCAT("*",Table13[[#Headers],[Action]],"*")),1,0)</f>
        <v>0</v>
      </c>
      <c r="J20">
        <f>IF(COUNTIF($E20, _xlfn.CONCAT("*",Table13[[#Headers],[Adventure]],"*")),1,0)</f>
        <v>0</v>
      </c>
      <c r="K20">
        <f>IF(COUNTIF($E20, _xlfn.CONCAT("*",Table13[[#Headers],[Animation]],"*")),1,0)</f>
        <v>0</v>
      </c>
      <c r="L20">
        <f>IF(COUNTIF($E20, _xlfn.CONCAT("*",Table13[[#Headers],[Comedy]],"*")),1,0)</f>
        <v>0</v>
      </c>
      <c r="M20">
        <f>IF(COUNTIF($E20, _xlfn.CONCAT("*",Table13[[#Headers],[Crime]],"*")),1,0)</f>
        <v>0</v>
      </c>
      <c r="N20">
        <f>IF(COUNTIF($E20, _xlfn.CONCAT("*",Table13[[#Headers],[Documentary]],"*")),1,0)</f>
        <v>0</v>
      </c>
      <c r="O20">
        <f>IF(COUNTIF($E20, _xlfn.CONCAT("*",Table13[[#Headers],[Drama]],"*")),1,0)</f>
        <v>1</v>
      </c>
      <c r="P20">
        <f>IF(COUNTIF($E20, _xlfn.CONCAT("*",Table13[[#Headers],[Family]],"*")),1,0)</f>
        <v>0</v>
      </c>
      <c r="Q20">
        <f>IF(COUNTIF($E20, _xlfn.CONCAT("*",Table13[[#Headers],[Fantasy]],"*")),1,0)</f>
        <v>0</v>
      </c>
      <c r="R20">
        <f>IF(COUNTIF($E20, _xlfn.CONCAT("*",Table13[[#Headers],[History]],"*")),1,0)</f>
        <v>0</v>
      </c>
      <c r="S20">
        <f>IF(COUNTIF($E20, _xlfn.CONCAT("*",Table13[[#Headers],[Horror]],"*")),1,0)</f>
        <v>0</v>
      </c>
      <c r="T20">
        <f>IF(COUNTIF($E20, _xlfn.CONCAT("*",Table13[[#Headers],[Music]],"*")),1,0)</f>
        <v>0</v>
      </c>
      <c r="U20">
        <f>IF(COUNTIF($E20, _xlfn.CONCAT("*",Table13[[#Headers],[Mystery]],"*")),1,0)</f>
        <v>0</v>
      </c>
      <c r="V20">
        <f>IF(COUNTIF($E20, _xlfn.CONCAT("*",Table13[[#Headers],[Romance]],"*")),1,0)</f>
        <v>0</v>
      </c>
      <c r="W20">
        <f>IF(COUNTIF($E20, _xlfn.CONCAT("*",Table13[[#Headers],[Science Fiction]],"*")),1,0)</f>
        <v>0</v>
      </c>
      <c r="X20">
        <f>IF(COUNTIF($E20, _xlfn.CONCAT("*",Table13[[#Headers],[TV Movie]],"*")),1,0)</f>
        <v>0</v>
      </c>
      <c r="Y20">
        <f>IF(COUNTIF($E20, _xlfn.CONCAT("*",Table13[[#Headers],[Thriller]],"*")),1,0)</f>
        <v>0</v>
      </c>
      <c r="Z20">
        <f>IF(COUNTIF($E20, _xlfn.CONCAT("*",Table13[[#Headers],[War]],"*")),1,0)</f>
        <v>0</v>
      </c>
      <c r="AA20">
        <f>IF(COUNTIF($E20, _xlfn.CONCAT("*",Table13[[#Headers],[Western]],"*")),1,0)</f>
        <v>0</v>
      </c>
    </row>
    <row r="21" spans="1:27">
      <c r="A21" t="s">
        <v>41</v>
      </c>
      <c r="B21">
        <v>245</v>
      </c>
      <c r="C21">
        <f>MAX(Table13[Rank])-Table13[[#This Row],[Rank]]</f>
        <v>19</v>
      </c>
      <c r="D21" t="s">
        <v>7</v>
      </c>
      <c r="E21" t="s">
        <v>21</v>
      </c>
      <c r="F21" s="1">
        <v>35701</v>
      </c>
      <c r="G21">
        <f>YEAR(Table13[[#This Row],[Date]])</f>
        <v>1997</v>
      </c>
      <c r="H21" t="s">
        <v>41</v>
      </c>
      <c r="I21">
        <f>IF(COUNTIF($E21, _xlfn.CONCAT("*",Table13[[#Headers],[Action]],"*")),1,0)</f>
        <v>0</v>
      </c>
      <c r="J21">
        <f>IF(COUNTIF($E21, _xlfn.CONCAT("*",Table13[[#Headers],[Adventure]],"*")),1,0)</f>
        <v>0</v>
      </c>
      <c r="K21">
        <f>IF(COUNTIF($E21, _xlfn.CONCAT("*",Table13[[#Headers],[Animation]],"*")),1,0)</f>
        <v>0</v>
      </c>
      <c r="L21">
        <f>IF(COUNTIF($E21, _xlfn.CONCAT("*",Table13[[#Headers],[Comedy]],"*")),1,0)</f>
        <v>0</v>
      </c>
      <c r="M21">
        <f>IF(COUNTIF($E21, _xlfn.CONCAT("*",Table13[[#Headers],[Crime]],"*")),1,0)</f>
        <v>0</v>
      </c>
      <c r="N21">
        <f>IF(COUNTIF($E21, _xlfn.CONCAT("*",Table13[[#Headers],[Documentary]],"*")),1,0)</f>
        <v>0</v>
      </c>
      <c r="O21">
        <f>IF(COUNTIF($E21, _xlfn.CONCAT("*",Table13[[#Headers],[Drama]],"*")),1,0)</f>
        <v>1</v>
      </c>
      <c r="P21">
        <f>IF(COUNTIF($E21, _xlfn.CONCAT("*",Table13[[#Headers],[Family]],"*")),1,0)</f>
        <v>0</v>
      </c>
      <c r="Q21">
        <f>IF(COUNTIF($E21, _xlfn.CONCAT("*",Table13[[#Headers],[Fantasy]],"*")),1,0)</f>
        <v>0</v>
      </c>
      <c r="R21">
        <f>IF(COUNTIF($E21, _xlfn.CONCAT("*",Table13[[#Headers],[History]],"*")),1,0)</f>
        <v>0</v>
      </c>
      <c r="S21">
        <f>IF(COUNTIF($E21, _xlfn.CONCAT("*",Table13[[#Headers],[Horror]],"*")),1,0)</f>
        <v>0</v>
      </c>
      <c r="T21">
        <f>IF(COUNTIF($E21, _xlfn.CONCAT("*",Table13[[#Headers],[Music]],"*")),1,0)</f>
        <v>0</v>
      </c>
      <c r="U21">
        <f>IF(COUNTIF($E21, _xlfn.CONCAT("*",Table13[[#Headers],[Mystery]],"*")),1,0)</f>
        <v>0</v>
      </c>
      <c r="V21">
        <f>IF(COUNTIF($E21, _xlfn.CONCAT("*",Table13[[#Headers],[Romance]],"*")),1,0)</f>
        <v>0</v>
      </c>
      <c r="W21">
        <f>IF(COUNTIF($E21, _xlfn.CONCAT("*",Table13[[#Headers],[Science Fiction]],"*")),1,0)</f>
        <v>0</v>
      </c>
      <c r="X21">
        <f>IF(COUNTIF($E21, _xlfn.CONCAT("*",Table13[[#Headers],[TV Movie]],"*")),1,0)</f>
        <v>0</v>
      </c>
      <c r="Y21">
        <f>IF(COUNTIF($E21, _xlfn.CONCAT("*",Table13[[#Headers],[Thriller]],"*")),1,0)</f>
        <v>0</v>
      </c>
      <c r="Z21">
        <f>IF(COUNTIF($E21, _xlfn.CONCAT("*",Table13[[#Headers],[War]],"*")),1,0)</f>
        <v>0</v>
      </c>
      <c r="AA21">
        <f>IF(COUNTIF($E21, _xlfn.CONCAT("*",Table13[[#Headers],[Western]],"*")),1,0)</f>
        <v>0</v>
      </c>
    </row>
    <row r="22" spans="1:27">
      <c r="A22" t="s">
        <v>42</v>
      </c>
      <c r="B22">
        <v>244</v>
      </c>
      <c r="C22">
        <f>MAX(Table13[Rank])-Table13[[#This Row],[Rank]]</f>
        <v>20</v>
      </c>
      <c r="D22" t="s">
        <v>7</v>
      </c>
      <c r="E22" t="s">
        <v>17</v>
      </c>
      <c r="F22" s="1">
        <v>33878</v>
      </c>
      <c r="G22">
        <f>YEAR(Table13[[#This Row],[Date]])</f>
        <v>1992</v>
      </c>
      <c r="H22" t="s">
        <v>42</v>
      </c>
      <c r="I22">
        <f>IF(COUNTIF($E22, _xlfn.CONCAT("*",Table13[[#Headers],[Action]],"*")),1,0)</f>
        <v>0</v>
      </c>
      <c r="J22">
        <f>IF(COUNTIF($E22, _xlfn.CONCAT("*",Table13[[#Headers],[Adventure]],"*")),1,0)</f>
        <v>0</v>
      </c>
      <c r="K22">
        <f>IF(COUNTIF($E22, _xlfn.CONCAT("*",Table13[[#Headers],[Animation]],"*")),1,0)</f>
        <v>0</v>
      </c>
      <c r="L22">
        <f>IF(COUNTIF($E22, _xlfn.CONCAT("*",Table13[[#Headers],[Comedy]],"*")),1,0)</f>
        <v>0</v>
      </c>
      <c r="M22">
        <f>IF(COUNTIF($E22, _xlfn.CONCAT("*",Table13[[#Headers],[Crime]],"*")),1,0)</f>
        <v>0</v>
      </c>
      <c r="N22">
        <f>IF(COUNTIF($E22, _xlfn.CONCAT("*",Table13[[#Headers],[Documentary]],"*")),1,0)</f>
        <v>1</v>
      </c>
      <c r="O22">
        <f>IF(COUNTIF($E22, _xlfn.CONCAT("*",Table13[[#Headers],[Drama]],"*")),1,0)</f>
        <v>0</v>
      </c>
      <c r="P22">
        <f>IF(COUNTIF($E22, _xlfn.CONCAT("*",Table13[[#Headers],[Family]],"*")),1,0)</f>
        <v>0</v>
      </c>
      <c r="Q22">
        <f>IF(COUNTIF($E22, _xlfn.CONCAT("*",Table13[[#Headers],[Fantasy]],"*")),1,0)</f>
        <v>0</v>
      </c>
      <c r="R22">
        <f>IF(COUNTIF($E22, _xlfn.CONCAT("*",Table13[[#Headers],[History]],"*")),1,0)</f>
        <v>0</v>
      </c>
      <c r="S22">
        <f>IF(COUNTIF($E22, _xlfn.CONCAT("*",Table13[[#Headers],[Horror]],"*")),1,0)</f>
        <v>0</v>
      </c>
      <c r="T22">
        <f>IF(COUNTIF($E22, _xlfn.CONCAT("*",Table13[[#Headers],[Music]],"*")),1,0)</f>
        <v>0</v>
      </c>
      <c r="U22">
        <f>IF(COUNTIF($E22, _xlfn.CONCAT("*",Table13[[#Headers],[Mystery]],"*")),1,0)</f>
        <v>0</v>
      </c>
      <c r="V22">
        <f>IF(COUNTIF($E22, _xlfn.CONCAT("*",Table13[[#Headers],[Romance]],"*")),1,0)</f>
        <v>0</v>
      </c>
      <c r="W22">
        <f>IF(COUNTIF($E22, _xlfn.CONCAT("*",Table13[[#Headers],[Science Fiction]],"*")),1,0)</f>
        <v>0</v>
      </c>
      <c r="X22">
        <f>IF(COUNTIF($E22, _xlfn.CONCAT("*",Table13[[#Headers],[TV Movie]],"*")),1,0)</f>
        <v>0</v>
      </c>
      <c r="Y22">
        <f>IF(COUNTIF($E22, _xlfn.CONCAT("*",Table13[[#Headers],[Thriller]],"*")),1,0)</f>
        <v>0</v>
      </c>
      <c r="Z22">
        <f>IF(COUNTIF($E22, _xlfn.CONCAT("*",Table13[[#Headers],[War]],"*")),1,0)</f>
        <v>0</v>
      </c>
      <c r="AA22">
        <f>IF(COUNTIF($E22, _xlfn.CONCAT("*",Table13[[#Headers],[Western]],"*")),1,0)</f>
        <v>0</v>
      </c>
    </row>
    <row r="23" spans="1:27">
      <c r="A23" t="s">
        <v>43</v>
      </c>
      <c r="B23">
        <v>243</v>
      </c>
      <c r="C23">
        <f>MAX(Table13[Rank])-Table13[[#This Row],[Rank]]</f>
        <v>21</v>
      </c>
      <c r="D23" t="s">
        <v>7</v>
      </c>
      <c r="E23" t="s">
        <v>44</v>
      </c>
      <c r="F23" s="1">
        <v>43476</v>
      </c>
      <c r="G23">
        <f>YEAR(Table13[[#This Row],[Date]])</f>
        <v>2019</v>
      </c>
      <c r="H23" t="s">
        <v>43</v>
      </c>
      <c r="I23">
        <f>IF(COUNTIF($E23, _xlfn.CONCAT("*",Table13[[#Headers],[Action]],"*")),1,0)</f>
        <v>0</v>
      </c>
      <c r="J23">
        <f>IF(COUNTIF($E23, _xlfn.CONCAT("*",Table13[[#Headers],[Adventure]],"*")),1,0)</f>
        <v>0</v>
      </c>
      <c r="K23">
        <f>IF(COUNTIF($E23, _xlfn.CONCAT("*",Table13[[#Headers],[Animation]],"*")),1,0)</f>
        <v>0</v>
      </c>
      <c r="L23">
        <f>IF(COUNTIF($E23, _xlfn.CONCAT("*",Table13[[#Headers],[Comedy]],"*")),1,0)</f>
        <v>1</v>
      </c>
      <c r="M23">
        <f>IF(COUNTIF($E23, _xlfn.CONCAT("*",Table13[[#Headers],[Crime]],"*")),1,0)</f>
        <v>0</v>
      </c>
      <c r="N23">
        <f>IF(COUNTIF($E23, _xlfn.CONCAT("*",Table13[[#Headers],[Documentary]],"*")),1,0)</f>
        <v>0</v>
      </c>
      <c r="O23">
        <f>IF(COUNTIF($E23, _xlfn.CONCAT("*",Table13[[#Headers],[Drama]],"*")),1,0)</f>
        <v>0</v>
      </c>
      <c r="P23">
        <f>IF(COUNTIF($E23, _xlfn.CONCAT("*",Table13[[#Headers],[Family]],"*")),1,0)</f>
        <v>0</v>
      </c>
      <c r="Q23">
        <f>IF(COUNTIF($E23, _xlfn.CONCAT("*",Table13[[#Headers],[Fantasy]],"*")),1,0)</f>
        <v>0</v>
      </c>
      <c r="R23">
        <f>IF(COUNTIF($E23, _xlfn.CONCAT("*",Table13[[#Headers],[History]],"*")),1,0)</f>
        <v>0</v>
      </c>
      <c r="S23">
        <f>IF(COUNTIF($E23, _xlfn.CONCAT("*",Table13[[#Headers],[Horror]],"*")),1,0)</f>
        <v>0</v>
      </c>
      <c r="T23">
        <f>IF(COUNTIF($E23, _xlfn.CONCAT("*",Table13[[#Headers],[Music]],"*")),1,0)</f>
        <v>0</v>
      </c>
      <c r="U23">
        <f>IF(COUNTIF($E23, _xlfn.CONCAT("*",Table13[[#Headers],[Mystery]],"*")),1,0)</f>
        <v>0</v>
      </c>
      <c r="V23">
        <f>IF(COUNTIF($E23, _xlfn.CONCAT("*",Table13[[#Headers],[Romance]],"*")),1,0)</f>
        <v>0</v>
      </c>
      <c r="W23">
        <f>IF(COUNTIF($E23, _xlfn.CONCAT("*",Table13[[#Headers],[Science Fiction]],"*")),1,0)</f>
        <v>0</v>
      </c>
      <c r="X23">
        <f>IF(COUNTIF($E23, _xlfn.CONCAT("*",Table13[[#Headers],[TV Movie]],"*")),1,0)</f>
        <v>0</v>
      </c>
      <c r="Y23">
        <f>IF(COUNTIF($E23, _xlfn.CONCAT("*",Table13[[#Headers],[Thriller]],"*")),1,0)</f>
        <v>0</v>
      </c>
      <c r="Z23">
        <f>IF(COUNTIF($E23, _xlfn.CONCAT("*",Table13[[#Headers],[War]],"*")),1,0)</f>
        <v>0</v>
      </c>
      <c r="AA23">
        <f>IF(COUNTIF($E23, _xlfn.CONCAT("*",Table13[[#Headers],[Western]],"*")),1,0)</f>
        <v>0</v>
      </c>
    </row>
    <row r="24" spans="1:27">
      <c r="A24" t="s">
        <v>45</v>
      </c>
      <c r="B24">
        <v>242</v>
      </c>
      <c r="C24">
        <f>MAX(Table13[Rank])-Table13[[#This Row],[Rank]]</f>
        <v>22</v>
      </c>
      <c r="D24" t="s">
        <v>7</v>
      </c>
      <c r="E24" t="s">
        <v>17</v>
      </c>
      <c r="F24" s="1">
        <v>28148</v>
      </c>
      <c r="G24">
        <f>YEAR(Table13[[#This Row],[Date]])</f>
        <v>1977</v>
      </c>
      <c r="H24" t="s">
        <v>46</v>
      </c>
      <c r="I24">
        <f>IF(COUNTIF($E24, _xlfn.CONCAT("*",Table13[[#Headers],[Action]],"*")),1,0)</f>
        <v>0</v>
      </c>
      <c r="J24">
        <f>IF(COUNTIF($E24, _xlfn.CONCAT("*",Table13[[#Headers],[Adventure]],"*")),1,0)</f>
        <v>0</v>
      </c>
      <c r="K24">
        <f>IF(COUNTIF($E24, _xlfn.CONCAT("*",Table13[[#Headers],[Animation]],"*")),1,0)</f>
        <v>0</v>
      </c>
      <c r="L24">
        <f>IF(COUNTIF($E24, _xlfn.CONCAT("*",Table13[[#Headers],[Comedy]],"*")),1,0)</f>
        <v>0</v>
      </c>
      <c r="M24">
        <f>IF(COUNTIF($E24, _xlfn.CONCAT("*",Table13[[#Headers],[Crime]],"*")),1,0)</f>
        <v>0</v>
      </c>
      <c r="N24">
        <f>IF(COUNTIF($E24, _xlfn.CONCAT("*",Table13[[#Headers],[Documentary]],"*")),1,0)</f>
        <v>1</v>
      </c>
      <c r="O24">
        <f>IF(COUNTIF($E24, _xlfn.CONCAT("*",Table13[[#Headers],[Drama]],"*")),1,0)</f>
        <v>0</v>
      </c>
      <c r="P24">
        <f>IF(COUNTIF($E24, _xlfn.CONCAT("*",Table13[[#Headers],[Family]],"*")),1,0)</f>
        <v>0</v>
      </c>
      <c r="Q24">
        <f>IF(COUNTIF($E24, _xlfn.CONCAT("*",Table13[[#Headers],[Fantasy]],"*")),1,0)</f>
        <v>0</v>
      </c>
      <c r="R24">
        <f>IF(COUNTIF($E24, _xlfn.CONCAT("*",Table13[[#Headers],[History]],"*")),1,0)</f>
        <v>0</v>
      </c>
      <c r="S24">
        <f>IF(COUNTIF($E24, _xlfn.CONCAT("*",Table13[[#Headers],[Horror]],"*")),1,0)</f>
        <v>0</v>
      </c>
      <c r="T24">
        <f>IF(COUNTIF($E24, _xlfn.CONCAT("*",Table13[[#Headers],[Music]],"*")),1,0)</f>
        <v>0</v>
      </c>
      <c r="U24">
        <f>IF(COUNTIF($E24, _xlfn.CONCAT("*",Table13[[#Headers],[Mystery]],"*")),1,0)</f>
        <v>0</v>
      </c>
      <c r="V24">
        <f>IF(COUNTIF($E24, _xlfn.CONCAT("*",Table13[[#Headers],[Romance]],"*")),1,0)</f>
        <v>0</v>
      </c>
      <c r="W24">
        <f>IF(COUNTIF($E24, _xlfn.CONCAT("*",Table13[[#Headers],[Science Fiction]],"*")),1,0)</f>
        <v>0</v>
      </c>
      <c r="X24">
        <f>IF(COUNTIF($E24, _xlfn.CONCAT("*",Table13[[#Headers],[TV Movie]],"*")),1,0)</f>
        <v>0</v>
      </c>
      <c r="Y24">
        <f>IF(COUNTIF($E24, _xlfn.CONCAT("*",Table13[[#Headers],[Thriller]],"*")),1,0)</f>
        <v>0</v>
      </c>
      <c r="Z24">
        <f>IF(COUNTIF($E24, _xlfn.CONCAT("*",Table13[[#Headers],[War]],"*")),1,0)</f>
        <v>0</v>
      </c>
      <c r="AA24">
        <f>IF(COUNTIF($E24, _xlfn.CONCAT("*",Table13[[#Headers],[Western]],"*")),1,0)</f>
        <v>0</v>
      </c>
    </row>
    <row r="25" spans="1:27">
      <c r="A25" t="s">
        <v>47</v>
      </c>
      <c r="B25">
        <v>241</v>
      </c>
      <c r="C25">
        <f>MAX(Table13[Rank])-Table13[[#This Row],[Rank]]</f>
        <v>23</v>
      </c>
      <c r="D25" t="s">
        <v>7</v>
      </c>
      <c r="E25" t="s">
        <v>21</v>
      </c>
      <c r="F25" s="1">
        <v>26654</v>
      </c>
      <c r="G25">
        <f>YEAR(Table13[[#This Row],[Date]])</f>
        <v>1972</v>
      </c>
      <c r="H25" t="s">
        <v>47</v>
      </c>
      <c r="I25">
        <f>IF(COUNTIF($E25, _xlfn.CONCAT("*",Table13[[#Headers],[Action]],"*")),1,0)</f>
        <v>0</v>
      </c>
      <c r="J25">
        <f>IF(COUNTIF($E25, _xlfn.CONCAT("*",Table13[[#Headers],[Adventure]],"*")),1,0)</f>
        <v>0</v>
      </c>
      <c r="K25">
        <f>IF(COUNTIF($E25, _xlfn.CONCAT("*",Table13[[#Headers],[Animation]],"*")),1,0)</f>
        <v>0</v>
      </c>
      <c r="L25">
        <f>IF(COUNTIF($E25, _xlfn.CONCAT("*",Table13[[#Headers],[Comedy]],"*")),1,0)</f>
        <v>0</v>
      </c>
      <c r="M25">
        <f>IF(COUNTIF($E25, _xlfn.CONCAT("*",Table13[[#Headers],[Crime]],"*")),1,0)</f>
        <v>0</v>
      </c>
      <c r="N25">
        <f>IF(COUNTIF($E25, _xlfn.CONCAT("*",Table13[[#Headers],[Documentary]],"*")),1,0)</f>
        <v>0</v>
      </c>
      <c r="O25">
        <f>IF(COUNTIF($E25, _xlfn.CONCAT("*",Table13[[#Headers],[Drama]],"*")),1,0)</f>
        <v>1</v>
      </c>
      <c r="P25">
        <f>IF(COUNTIF($E25, _xlfn.CONCAT("*",Table13[[#Headers],[Family]],"*")),1,0)</f>
        <v>0</v>
      </c>
      <c r="Q25">
        <f>IF(COUNTIF($E25, _xlfn.CONCAT("*",Table13[[#Headers],[Fantasy]],"*")),1,0)</f>
        <v>0</v>
      </c>
      <c r="R25">
        <f>IF(COUNTIF($E25, _xlfn.CONCAT("*",Table13[[#Headers],[History]],"*")),1,0)</f>
        <v>0</v>
      </c>
      <c r="S25">
        <f>IF(COUNTIF($E25, _xlfn.CONCAT("*",Table13[[#Headers],[Horror]],"*")),1,0)</f>
        <v>0</v>
      </c>
      <c r="T25">
        <f>IF(COUNTIF($E25, _xlfn.CONCAT("*",Table13[[#Headers],[Music]],"*")),1,0)</f>
        <v>0</v>
      </c>
      <c r="U25">
        <f>IF(COUNTIF($E25, _xlfn.CONCAT("*",Table13[[#Headers],[Mystery]],"*")),1,0)</f>
        <v>0</v>
      </c>
      <c r="V25">
        <f>IF(COUNTIF($E25, _xlfn.CONCAT("*",Table13[[#Headers],[Romance]],"*")),1,0)</f>
        <v>0</v>
      </c>
      <c r="W25">
        <f>IF(COUNTIF($E25, _xlfn.CONCAT("*",Table13[[#Headers],[Science Fiction]],"*")),1,0)</f>
        <v>0</v>
      </c>
      <c r="X25">
        <f>IF(COUNTIF($E25, _xlfn.CONCAT("*",Table13[[#Headers],[TV Movie]],"*")),1,0)</f>
        <v>0</v>
      </c>
      <c r="Y25">
        <f>IF(COUNTIF($E25, _xlfn.CONCAT("*",Table13[[#Headers],[Thriller]],"*")),1,0)</f>
        <v>0</v>
      </c>
      <c r="Z25">
        <f>IF(COUNTIF($E25, _xlfn.CONCAT("*",Table13[[#Headers],[War]],"*")),1,0)</f>
        <v>0</v>
      </c>
      <c r="AA25">
        <f>IF(COUNTIF($E25, _xlfn.CONCAT("*",Table13[[#Headers],[Western]],"*")),1,0)</f>
        <v>0</v>
      </c>
    </row>
    <row r="26" spans="1:27">
      <c r="A26" t="s">
        <v>48</v>
      </c>
      <c r="B26">
        <v>240</v>
      </c>
      <c r="C26">
        <f>MAX(Table13[Rank])-Table13[[#This Row],[Rank]]</f>
        <v>24</v>
      </c>
      <c r="D26" t="s">
        <v>7</v>
      </c>
      <c r="E26" t="s">
        <v>49</v>
      </c>
      <c r="F26" s="1">
        <v>28270</v>
      </c>
      <c r="G26">
        <f>YEAR(Table13[[#This Row],[Date]])</f>
        <v>1977</v>
      </c>
      <c r="H26" t="s">
        <v>48</v>
      </c>
      <c r="I26">
        <f>IF(COUNTIF($E26, _xlfn.CONCAT("*",Table13[[#Headers],[Action]],"*")),1,0)</f>
        <v>1</v>
      </c>
      <c r="J26">
        <f>IF(COUNTIF($E26, _xlfn.CONCAT("*",Table13[[#Headers],[Adventure]],"*")),1,0)</f>
        <v>1</v>
      </c>
      <c r="K26">
        <f>IF(COUNTIF($E26, _xlfn.CONCAT("*",Table13[[#Headers],[Animation]],"*")),1,0)</f>
        <v>0</v>
      </c>
      <c r="L26">
        <f>IF(COUNTIF($E26, _xlfn.CONCAT("*",Table13[[#Headers],[Comedy]],"*")),1,0)</f>
        <v>0</v>
      </c>
      <c r="M26">
        <f>IF(COUNTIF($E26, _xlfn.CONCAT("*",Table13[[#Headers],[Crime]],"*")),1,0)</f>
        <v>0</v>
      </c>
      <c r="N26">
        <f>IF(COUNTIF($E26, _xlfn.CONCAT("*",Table13[[#Headers],[Documentary]],"*")),1,0)</f>
        <v>0</v>
      </c>
      <c r="O26">
        <f>IF(COUNTIF($E26, _xlfn.CONCAT("*",Table13[[#Headers],[Drama]],"*")),1,0)</f>
        <v>0</v>
      </c>
      <c r="P26">
        <f>IF(COUNTIF($E26, _xlfn.CONCAT("*",Table13[[#Headers],[Family]],"*")),1,0)</f>
        <v>0</v>
      </c>
      <c r="Q26">
        <f>IF(COUNTIF($E26, _xlfn.CONCAT("*",Table13[[#Headers],[Fantasy]],"*")),1,0)</f>
        <v>0</v>
      </c>
      <c r="R26">
        <f>IF(COUNTIF($E26, _xlfn.CONCAT("*",Table13[[#Headers],[History]],"*")),1,0)</f>
        <v>0</v>
      </c>
      <c r="S26">
        <f>IF(COUNTIF($E26, _xlfn.CONCAT("*",Table13[[#Headers],[Horror]],"*")),1,0)</f>
        <v>0</v>
      </c>
      <c r="T26">
        <f>IF(COUNTIF($E26, _xlfn.CONCAT("*",Table13[[#Headers],[Music]],"*")),1,0)</f>
        <v>0</v>
      </c>
      <c r="U26">
        <f>IF(COUNTIF($E26, _xlfn.CONCAT("*",Table13[[#Headers],[Mystery]],"*")),1,0)</f>
        <v>0</v>
      </c>
      <c r="V26">
        <f>IF(COUNTIF($E26, _xlfn.CONCAT("*",Table13[[#Headers],[Romance]],"*")),1,0)</f>
        <v>0</v>
      </c>
      <c r="W26">
        <f>IF(COUNTIF($E26, _xlfn.CONCAT("*",Table13[[#Headers],[Science Fiction]],"*")),1,0)</f>
        <v>1</v>
      </c>
      <c r="X26">
        <f>IF(COUNTIF($E26, _xlfn.CONCAT("*",Table13[[#Headers],[TV Movie]],"*")),1,0)</f>
        <v>0</v>
      </c>
      <c r="Y26">
        <f>IF(COUNTIF($E26, _xlfn.CONCAT("*",Table13[[#Headers],[Thriller]],"*")),1,0)</f>
        <v>0</v>
      </c>
      <c r="Z26">
        <f>IF(COUNTIF($E26, _xlfn.CONCAT("*",Table13[[#Headers],[War]],"*")),1,0)</f>
        <v>0</v>
      </c>
      <c r="AA26">
        <f>IF(COUNTIF($E26, _xlfn.CONCAT("*",Table13[[#Headers],[Western]],"*")),1,0)</f>
        <v>0</v>
      </c>
    </row>
    <row r="27" spans="1:27">
      <c r="A27" t="s">
        <v>50</v>
      </c>
      <c r="B27">
        <v>239</v>
      </c>
      <c r="C27">
        <f>MAX(Table13[Rank])-Table13[[#This Row],[Rank]]</f>
        <v>25</v>
      </c>
      <c r="D27" t="s">
        <v>7</v>
      </c>
      <c r="E27" s="17" t="s">
        <v>21</v>
      </c>
      <c r="F27" s="18">
        <v>35380</v>
      </c>
      <c r="G27">
        <f>YEAR(Table13[[#This Row],[Date]])</f>
        <v>1996</v>
      </c>
      <c r="H27" s="17" t="s">
        <v>449</v>
      </c>
      <c r="I27">
        <f>IF(COUNTIF($E27, _xlfn.CONCAT("*",Table13[[#Headers],[Action]],"*")),1,0)</f>
        <v>0</v>
      </c>
      <c r="J27">
        <f>IF(COUNTIF($E27, _xlfn.CONCAT("*",Table13[[#Headers],[Adventure]],"*")),1,0)</f>
        <v>0</v>
      </c>
      <c r="K27">
        <f>IF(COUNTIF($E27, _xlfn.CONCAT("*",Table13[[#Headers],[Animation]],"*")),1,0)</f>
        <v>0</v>
      </c>
      <c r="L27">
        <f>IF(COUNTIF($E27, _xlfn.CONCAT("*",Table13[[#Headers],[Comedy]],"*")),1,0)</f>
        <v>0</v>
      </c>
      <c r="M27">
        <f>IF(COUNTIF($E27, _xlfn.CONCAT("*",Table13[[#Headers],[Crime]],"*")),1,0)</f>
        <v>0</v>
      </c>
      <c r="N27">
        <f>IF(COUNTIF($E27, _xlfn.CONCAT("*",Table13[[#Headers],[Documentary]],"*")),1,0)</f>
        <v>0</v>
      </c>
      <c r="O27">
        <f>IF(COUNTIF($E27, _xlfn.CONCAT("*",Table13[[#Headers],[Drama]],"*")),1,0)</f>
        <v>1</v>
      </c>
      <c r="P27">
        <f>IF(COUNTIF($E27, _xlfn.CONCAT("*",Table13[[#Headers],[Family]],"*")),1,0)</f>
        <v>0</v>
      </c>
      <c r="Q27">
        <f>IF(COUNTIF($E27, _xlfn.CONCAT("*",Table13[[#Headers],[Fantasy]],"*")),1,0)</f>
        <v>0</v>
      </c>
      <c r="R27">
        <f>IF(COUNTIF($E27, _xlfn.CONCAT("*",Table13[[#Headers],[History]],"*")),1,0)</f>
        <v>0</v>
      </c>
      <c r="S27">
        <f>IF(COUNTIF($E27, _xlfn.CONCAT("*",Table13[[#Headers],[Horror]],"*")),1,0)</f>
        <v>0</v>
      </c>
      <c r="T27">
        <f>IF(COUNTIF($E27, _xlfn.CONCAT("*",Table13[[#Headers],[Music]],"*")),1,0)</f>
        <v>0</v>
      </c>
      <c r="U27">
        <f>IF(COUNTIF($E27, _xlfn.CONCAT("*",Table13[[#Headers],[Mystery]],"*")),1,0)</f>
        <v>0</v>
      </c>
      <c r="V27">
        <f>IF(COUNTIF($E27, _xlfn.CONCAT("*",Table13[[#Headers],[Romance]],"*")),1,0)</f>
        <v>0</v>
      </c>
      <c r="W27">
        <f>IF(COUNTIF($E27, _xlfn.CONCAT("*",Table13[[#Headers],[Science Fiction]],"*")),1,0)</f>
        <v>0</v>
      </c>
      <c r="X27">
        <f>IF(COUNTIF($E27, _xlfn.CONCAT("*",Table13[[#Headers],[TV Movie]],"*")),1,0)</f>
        <v>0</v>
      </c>
      <c r="Y27">
        <f>IF(COUNTIF($E27, _xlfn.CONCAT("*",Table13[[#Headers],[Thriller]],"*")),1,0)</f>
        <v>0</v>
      </c>
      <c r="Z27">
        <f>IF(COUNTIF($E27, _xlfn.CONCAT("*",Table13[[#Headers],[War]],"*")),1,0)</f>
        <v>0</v>
      </c>
      <c r="AA27">
        <f>IF(COUNTIF($E27, _xlfn.CONCAT("*",Table13[[#Headers],[Western]],"*")),1,0)</f>
        <v>0</v>
      </c>
    </row>
    <row r="28" spans="1:27">
      <c r="A28" t="s">
        <v>51</v>
      </c>
      <c r="B28">
        <v>238</v>
      </c>
      <c r="C28">
        <f>MAX(Table13[Rank])-Table13[[#This Row],[Rank]]</f>
        <v>26</v>
      </c>
      <c r="D28" t="s">
        <v>7</v>
      </c>
      <c r="E28" t="s">
        <v>17</v>
      </c>
      <c r="F28" s="1">
        <v>25089</v>
      </c>
      <c r="G28">
        <f>YEAR(Table13[[#This Row],[Date]])</f>
        <v>1968</v>
      </c>
      <c r="H28" t="s">
        <v>51</v>
      </c>
      <c r="I28">
        <f>IF(COUNTIF($E28, _xlfn.CONCAT("*",Table13[[#Headers],[Action]],"*")),1,0)</f>
        <v>0</v>
      </c>
      <c r="J28">
        <f>IF(COUNTIF($E28, _xlfn.CONCAT("*",Table13[[#Headers],[Adventure]],"*")),1,0)</f>
        <v>0</v>
      </c>
      <c r="K28">
        <f>IF(COUNTIF($E28, _xlfn.CONCAT("*",Table13[[#Headers],[Animation]],"*")),1,0)</f>
        <v>0</v>
      </c>
      <c r="L28">
        <f>IF(COUNTIF($E28, _xlfn.CONCAT("*",Table13[[#Headers],[Comedy]],"*")),1,0)</f>
        <v>0</v>
      </c>
      <c r="M28">
        <f>IF(COUNTIF($E28, _xlfn.CONCAT("*",Table13[[#Headers],[Crime]],"*")),1,0)</f>
        <v>0</v>
      </c>
      <c r="N28">
        <f>IF(COUNTIF($E28, _xlfn.CONCAT("*",Table13[[#Headers],[Documentary]],"*")),1,0)</f>
        <v>1</v>
      </c>
      <c r="O28">
        <f>IF(COUNTIF($E28, _xlfn.CONCAT("*",Table13[[#Headers],[Drama]],"*")),1,0)</f>
        <v>0</v>
      </c>
      <c r="P28">
        <f>IF(COUNTIF($E28, _xlfn.CONCAT("*",Table13[[#Headers],[Family]],"*")),1,0)</f>
        <v>0</v>
      </c>
      <c r="Q28">
        <f>IF(COUNTIF($E28, _xlfn.CONCAT("*",Table13[[#Headers],[Fantasy]],"*")),1,0)</f>
        <v>0</v>
      </c>
      <c r="R28">
        <f>IF(COUNTIF($E28, _xlfn.CONCAT("*",Table13[[#Headers],[History]],"*")),1,0)</f>
        <v>0</v>
      </c>
      <c r="S28">
        <f>IF(COUNTIF($E28, _xlfn.CONCAT("*",Table13[[#Headers],[Horror]],"*")),1,0)</f>
        <v>0</v>
      </c>
      <c r="T28">
        <f>IF(COUNTIF($E28, _xlfn.CONCAT("*",Table13[[#Headers],[Music]],"*")),1,0)</f>
        <v>0</v>
      </c>
      <c r="U28">
        <f>IF(COUNTIF($E28, _xlfn.CONCAT("*",Table13[[#Headers],[Mystery]],"*")),1,0)</f>
        <v>0</v>
      </c>
      <c r="V28">
        <f>IF(COUNTIF($E28, _xlfn.CONCAT("*",Table13[[#Headers],[Romance]],"*")),1,0)</f>
        <v>0</v>
      </c>
      <c r="W28">
        <f>IF(COUNTIF($E28, _xlfn.CONCAT("*",Table13[[#Headers],[Science Fiction]],"*")),1,0)</f>
        <v>0</v>
      </c>
      <c r="X28">
        <f>IF(COUNTIF($E28, _xlfn.CONCAT("*",Table13[[#Headers],[TV Movie]],"*")),1,0)</f>
        <v>0</v>
      </c>
      <c r="Y28">
        <f>IF(COUNTIF($E28, _xlfn.CONCAT("*",Table13[[#Headers],[Thriller]],"*")),1,0)</f>
        <v>0</v>
      </c>
      <c r="Z28">
        <f>IF(COUNTIF($E28, _xlfn.CONCAT("*",Table13[[#Headers],[War]],"*")),1,0)</f>
        <v>0</v>
      </c>
      <c r="AA28">
        <f>IF(COUNTIF($E28, _xlfn.CONCAT("*",Table13[[#Headers],[Western]],"*")),1,0)</f>
        <v>0</v>
      </c>
    </row>
    <row r="29" spans="1:27">
      <c r="A29" t="s">
        <v>52</v>
      </c>
      <c r="B29">
        <v>237</v>
      </c>
      <c r="C29">
        <f>MAX(Table13[Rank])-Table13[[#This Row],[Rank]]</f>
        <v>27</v>
      </c>
      <c r="D29" t="s">
        <v>7</v>
      </c>
      <c r="E29" t="s">
        <v>21</v>
      </c>
      <c r="F29" s="1">
        <v>19332</v>
      </c>
      <c r="G29">
        <f>YEAR(Table13[[#This Row],[Date]])</f>
        <v>1952</v>
      </c>
      <c r="H29" t="s">
        <v>1261</v>
      </c>
      <c r="I29">
        <f>IF(COUNTIF($E29, _xlfn.CONCAT("*",Table13[[#Headers],[Action]],"*")),1,0)</f>
        <v>0</v>
      </c>
      <c r="J29">
        <f>IF(COUNTIF($E29, _xlfn.CONCAT("*",Table13[[#Headers],[Adventure]],"*")),1,0)</f>
        <v>0</v>
      </c>
      <c r="K29">
        <f>IF(COUNTIF($E29, _xlfn.CONCAT("*",Table13[[#Headers],[Animation]],"*")),1,0)</f>
        <v>0</v>
      </c>
      <c r="L29">
        <f>IF(COUNTIF($E29, _xlfn.CONCAT("*",Table13[[#Headers],[Comedy]],"*")),1,0)</f>
        <v>0</v>
      </c>
      <c r="M29">
        <f>IF(COUNTIF($E29, _xlfn.CONCAT("*",Table13[[#Headers],[Crime]],"*")),1,0)</f>
        <v>0</v>
      </c>
      <c r="N29">
        <f>IF(COUNTIF($E29, _xlfn.CONCAT("*",Table13[[#Headers],[Documentary]],"*")),1,0)</f>
        <v>0</v>
      </c>
      <c r="O29">
        <f>IF(COUNTIF($E29, _xlfn.CONCAT("*",Table13[[#Headers],[Drama]],"*")),1,0)</f>
        <v>1</v>
      </c>
      <c r="P29">
        <f>IF(COUNTIF($E29, _xlfn.CONCAT("*",Table13[[#Headers],[Family]],"*")),1,0)</f>
        <v>0</v>
      </c>
      <c r="Q29">
        <f>IF(COUNTIF($E29, _xlfn.CONCAT("*",Table13[[#Headers],[Fantasy]],"*")),1,0)</f>
        <v>0</v>
      </c>
      <c r="R29">
        <f>IF(COUNTIF($E29, _xlfn.CONCAT("*",Table13[[#Headers],[History]],"*")),1,0)</f>
        <v>0</v>
      </c>
      <c r="S29">
        <f>IF(COUNTIF($E29, _xlfn.CONCAT("*",Table13[[#Headers],[Horror]],"*")),1,0)</f>
        <v>0</v>
      </c>
      <c r="T29">
        <f>IF(COUNTIF($E29, _xlfn.CONCAT("*",Table13[[#Headers],[Music]],"*")),1,0)</f>
        <v>0</v>
      </c>
      <c r="U29">
        <f>IF(COUNTIF($E29, _xlfn.CONCAT("*",Table13[[#Headers],[Mystery]],"*")),1,0)</f>
        <v>0</v>
      </c>
      <c r="V29">
        <f>IF(COUNTIF($E29, _xlfn.CONCAT("*",Table13[[#Headers],[Romance]],"*")),1,0)</f>
        <v>0</v>
      </c>
      <c r="W29">
        <f>IF(COUNTIF($E29, _xlfn.CONCAT("*",Table13[[#Headers],[Science Fiction]],"*")),1,0)</f>
        <v>0</v>
      </c>
      <c r="X29">
        <f>IF(COUNTIF($E29, _xlfn.CONCAT("*",Table13[[#Headers],[TV Movie]],"*")),1,0)</f>
        <v>0</v>
      </c>
      <c r="Y29">
        <f>IF(COUNTIF($E29, _xlfn.CONCAT("*",Table13[[#Headers],[Thriller]],"*")),1,0)</f>
        <v>0</v>
      </c>
      <c r="Z29">
        <f>IF(COUNTIF($E29, _xlfn.CONCAT("*",Table13[[#Headers],[War]],"*")),1,0)</f>
        <v>0</v>
      </c>
      <c r="AA29">
        <f>IF(COUNTIF($E29, _xlfn.CONCAT("*",Table13[[#Headers],[Western]],"*")),1,0)</f>
        <v>0</v>
      </c>
    </row>
    <row r="30" spans="1:27">
      <c r="A30" t="s">
        <v>53</v>
      </c>
      <c r="B30">
        <v>236</v>
      </c>
      <c r="C30">
        <f>MAX(Table13[Rank])-Table13[[#This Row],[Rank]]</f>
        <v>28</v>
      </c>
      <c r="D30" t="s">
        <v>7</v>
      </c>
      <c r="E30" t="s">
        <v>54</v>
      </c>
      <c r="F30" s="1">
        <v>45252</v>
      </c>
      <c r="G30">
        <f>YEAR(Table13[[#This Row],[Date]])</f>
        <v>2023</v>
      </c>
      <c r="H30" t="s">
        <v>55</v>
      </c>
      <c r="I30">
        <f>IF(COUNTIF($E30, _xlfn.CONCAT("*",Table13[[#Headers],[Action]],"*")),1,0)</f>
        <v>0</v>
      </c>
      <c r="J30">
        <f>IF(COUNTIF($E30, _xlfn.CONCAT("*",Table13[[#Headers],[Adventure]],"*")),1,0)</f>
        <v>0</v>
      </c>
      <c r="K30">
        <f>IF(COUNTIF($E30, _xlfn.CONCAT("*",Table13[[#Headers],[Animation]],"*")),1,0)</f>
        <v>0</v>
      </c>
      <c r="L30">
        <f>IF(COUNTIF($E30, _xlfn.CONCAT("*",Table13[[#Headers],[Comedy]],"*")),1,0)</f>
        <v>0</v>
      </c>
      <c r="M30">
        <f>IF(COUNTIF($E30, _xlfn.CONCAT("*",Table13[[#Headers],[Crime]],"*")),1,0)</f>
        <v>0</v>
      </c>
      <c r="N30">
        <f>IF(COUNTIF($E30, _xlfn.CONCAT("*",Table13[[#Headers],[Documentary]],"*")),1,0)</f>
        <v>0</v>
      </c>
      <c r="O30">
        <f>IF(COUNTIF($E30, _xlfn.CONCAT("*",Table13[[#Headers],[Drama]],"*")),1,0)</f>
        <v>1</v>
      </c>
      <c r="P30">
        <f>IF(COUNTIF($E30, _xlfn.CONCAT("*",Table13[[#Headers],[Family]],"*")),1,0)</f>
        <v>0</v>
      </c>
      <c r="Q30">
        <f>IF(COUNTIF($E30, _xlfn.CONCAT("*",Table13[[#Headers],[Fantasy]],"*")),1,0)</f>
        <v>0</v>
      </c>
      <c r="R30">
        <f>IF(COUNTIF($E30, _xlfn.CONCAT("*",Table13[[#Headers],[History]],"*")),1,0)</f>
        <v>1</v>
      </c>
      <c r="S30">
        <f>IF(COUNTIF($E30, _xlfn.CONCAT("*",Table13[[#Headers],[Horror]],"*")),1,0)</f>
        <v>0</v>
      </c>
      <c r="T30">
        <f>IF(COUNTIF($E30, _xlfn.CONCAT("*",Table13[[#Headers],[Music]],"*")),1,0)</f>
        <v>0</v>
      </c>
      <c r="U30">
        <f>IF(COUNTIF($E30, _xlfn.CONCAT("*",Table13[[#Headers],[Mystery]],"*")),1,0)</f>
        <v>0</v>
      </c>
      <c r="V30">
        <f>IF(COUNTIF($E30, _xlfn.CONCAT("*",Table13[[#Headers],[Romance]],"*")),1,0)</f>
        <v>0</v>
      </c>
      <c r="W30">
        <f>IF(COUNTIF($E30, _xlfn.CONCAT("*",Table13[[#Headers],[Science Fiction]],"*")),1,0)</f>
        <v>0</v>
      </c>
      <c r="X30">
        <f>IF(COUNTIF($E30, _xlfn.CONCAT("*",Table13[[#Headers],[TV Movie]],"*")),1,0)</f>
        <v>0</v>
      </c>
      <c r="Y30">
        <f>IF(COUNTIF($E30, _xlfn.CONCAT("*",Table13[[#Headers],[Thriller]],"*")),1,0)</f>
        <v>0</v>
      </c>
      <c r="Z30">
        <f>IF(COUNTIF($E30, _xlfn.CONCAT("*",Table13[[#Headers],[War]],"*")),1,0)</f>
        <v>1</v>
      </c>
      <c r="AA30">
        <f>IF(COUNTIF($E30, _xlfn.CONCAT("*",Table13[[#Headers],[Western]],"*")),1,0)</f>
        <v>0</v>
      </c>
    </row>
    <row r="31" spans="1:27">
      <c r="A31" t="s">
        <v>56</v>
      </c>
      <c r="B31">
        <v>235</v>
      </c>
      <c r="C31">
        <f>MAX(Table13[Rank])-Table13[[#This Row],[Rank]]</f>
        <v>29</v>
      </c>
      <c r="D31" t="s">
        <v>7</v>
      </c>
      <c r="E31" t="s">
        <v>35</v>
      </c>
      <c r="F31" s="1">
        <v>10290</v>
      </c>
      <c r="G31">
        <f>YEAR(Table13[[#This Row],[Date]])</f>
        <v>1928</v>
      </c>
      <c r="H31" t="s">
        <v>56</v>
      </c>
      <c r="I31">
        <f>IF(COUNTIF($E31, _xlfn.CONCAT("*",Table13[[#Headers],[Action]],"*")),1,0)</f>
        <v>0</v>
      </c>
      <c r="J31">
        <f>IF(COUNTIF($E31, _xlfn.CONCAT("*",Table13[[#Headers],[Adventure]],"*")),1,0)</f>
        <v>0</v>
      </c>
      <c r="K31">
        <f>IF(COUNTIF($E31, _xlfn.CONCAT("*",Table13[[#Headers],[Animation]],"*")),1,0)</f>
        <v>0</v>
      </c>
      <c r="L31">
        <f>IF(COUNTIF($E31, _xlfn.CONCAT("*",Table13[[#Headers],[Comedy]],"*")),1,0)</f>
        <v>0</v>
      </c>
      <c r="M31">
        <f>IF(COUNTIF($E31, _xlfn.CONCAT("*",Table13[[#Headers],[Crime]],"*")),1,0)</f>
        <v>0</v>
      </c>
      <c r="N31">
        <f>IF(COUNTIF($E31, _xlfn.CONCAT("*",Table13[[#Headers],[Documentary]],"*")),1,0)</f>
        <v>0</v>
      </c>
      <c r="O31">
        <f>IF(COUNTIF($E31, _xlfn.CONCAT("*",Table13[[#Headers],[Drama]],"*")),1,0)</f>
        <v>1</v>
      </c>
      <c r="P31">
        <f>IF(COUNTIF($E31, _xlfn.CONCAT("*",Table13[[#Headers],[Family]],"*")),1,0)</f>
        <v>0</v>
      </c>
      <c r="Q31">
        <f>IF(COUNTIF($E31, _xlfn.CONCAT("*",Table13[[#Headers],[Fantasy]],"*")),1,0)</f>
        <v>0</v>
      </c>
      <c r="R31">
        <f>IF(COUNTIF($E31, _xlfn.CONCAT("*",Table13[[#Headers],[History]],"*")),1,0)</f>
        <v>0</v>
      </c>
      <c r="S31">
        <f>IF(COUNTIF($E31, _xlfn.CONCAT("*",Table13[[#Headers],[Horror]],"*")),1,0)</f>
        <v>0</v>
      </c>
      <c r="T31">
        <f>IF(COUNTIF($E31, _xlfn.CONCAT("*",Table13[[#Headers],[Music]],"*")),1,0)</f>
        <v>0</v>
      </c>
      <c r="U31">
        <f>IF(COUNTIF($E31, _xlfn.CONCAT("*",Table13[[#Headers],[Mystery]],"*")),1,0)</f>
        <v>0</v>
      </c>
      <c r="V31">
        <f>IF(COUNTIF($E31, _xlfn.CONCAT("*",Table13[[#Headers],[Romance]],"*")),1,0)</f>
        <v>1</v>
      </c>
      <c r="W31">
        <f>IF(COUNTIF($E31, _xlfn.CONCAT("*",Table13[[#Headers],[Science Fiction]],"*")),1,0)</f>
        <v>0</v>
      </c>
      <c r="X31">
        <f>IF(COUNTIF($E31, _xlfn.CONCAT("*",Table13[[#Headers],[TV Movie]],"*")),1,0)</f>
        <v>0</v>
      </c>
      <c r="Y31">
        <f>IF(COUNTIF($E31, _xlfn.CONCAT("*",Table13[[#Headers],[Thriller]],"*")),1,0)</f>
        <v>0</v>
      </c>
      <c r="Z31">
        <f>IF(COUNTIF($E31, _xlfn.CONCAT("*",Table13[[#Headers],[War]],"*")),1,0)</f>
        <v>0</v>
      </c>
      <c r="AA31">
        <f>IF(COUNTIF($E31, _xlfn.CONCAT("*",Table13[[#Headers],[Western]],"*")),1,0)</f>
        <v>0</v>
      </c>
    </row>
    <row r="32" spans="1:27">
      <c r="A32" t="s">
        <v>57</v>
      </c>
      <c r="B32">
        <v>234</v>
      </c>
      <c r="C32">
        <f>MAX(Table13[Rank])-Table13[[#This Row],[Rank]]</f>
        <v>30</v>
      </c>
      <c r="D32" t="s">
        <v>7</v>
      </c>
      <c r="E32" t="s">
        <v>58</v>
      </c>
      <c r="F32" s="1">
        <v>26255</v>
      </c>
      <c r="G32">
        <f>YEAR(Table13[[#This Row],[Date]])</f>
        <v>1971</v>
      </c>
      <c r="H32" t="s">
        <v>57</v>
      </c>
      <c r="I32">
        <f>IF(COUNTIF($E32, _xlfn.CONCAT("*",Table13[[#Headers],[Action]],"*")),1,0)</f>
        <v>1</v>
      </c>
      <c r="J32">
        <f>IF(COUNTIF($E32, _xlfn.CONCAT("*",Table13[[#Headers],[Adventure]],"*")),1,0)</f>
        <v>1</v>
      </c>
      <c r="K32">
        <f>IF(COUNTIF($E32, _xlfn.CONCAT("*",Table13[[#Headers],[Animation]],"*")),1,0)</f>
        <v>0</v>
      </c>
      <c r="L32">
        <f>IF(COUNTIF($E32, _xlfn.CONCAT("*",Table13[[#Headers],[Comedy]],"*")),1,0)</f>
        <v>0</v>
      </c>
      <c r="M32">
        <f>IF(COUNTIF($E32, _xlfn.CONCAT("*",Table13[[#Headers],[Crime]],"*")),1,0)</f>
        <v>0</v>
      </c>
      <c r="N32">
        <f>IF(COUNTIF($E32, _xlfn.CONCAT("*",Table13[[#Headers],[Documentary]],"*")),1,0)</f>
        <v>0</v>
      </c>
      <c r="O32">
        <f>IF(COUNTIF($E32, _xlfn.CONCAT("*",Table13[[#Headers],[Drama]],"*")),1,0)</f>
        <v>0</v>
      </c>
      <c r="P32">
        <f>IF(COUNTIF($E32, _xlfn.CONCAT("*",Table13[[#Headers],[Family]],"*")),1,0)</f>
        <v>0</v>
      </c>
      <c r="Q32">
        <f>IF(COUNTIF($E32, _xlfn.CONCAT("*",Table13[[#Headers],[Fantasy]],"*")),1,0)</f>
        <v>1</v>
      </c>
      <c r="R32">
        <f>IF(COUNTIF($E32, _xlfn.CONCAT("*",Table13[[#Headers],[History]],"*")),1,0)</f>
        <v>0</v>
      </c>
      <c r="S32">
        <f>IF(COUNTIF($E32, _xlfn.CONCAT("*",Table13[[#Headers],[Horror]],"*")),1,0)</f>
        <v>0</v>
      </c>
      <c r="T32">
        <f>IF(COUNTIF($E32, _xlfn.CONCAT("*",Table13[[#Headers],[Music]],"*")),1,0)</f>
        <v>0</v>
      </c>
      <c r="U32">
        <f>IF(COUNTIF($E32, _xlfn.CONCAT("*",Table13[[#Headers],[Mystery]],"*")),1,0)</f>
        <v>0</v>
      </c>
      <c r="V32">
        <f>IF(COUNTIF($E32, _xlfn.CONCAT("*",Table13[[#Headers],[Romance]],"*")),1,0)</f>
        <v>0</v>
      </c>
      <c r="W32">
        <f>IF(COUNTIF($E32, _xlfn.CONCAT("*",Table13[[#Headers],[Science Fiction]],"*")),1,0)</f>
        <v>0</v>
      </c>
      <c r="X32">
        <f>IF(COUNTIF($E32, _xlfn.CONCAT("*",Table13[[#Headers],[TV Movie]],"*")),1,0)</f>
        <v>0</v>
      </c>
      <c r="Y32">
        <f>IF(COUNTIF($E32, _xlfn.CONCAT("*",Table13[[#Headers],[Thriller]],"*")),1,0)</f>
        <v>0</v>
      </c>
      <c r="Z32">
        <f>IF(COUNTIF($E32, _xlfn.CONCAT("*",Table13[[#Headers],[War]],"*")),1,0)</f>
        <v>0</v>
      </c>
      <c r="AA32">
        <f>IF(COUNTIF($E32, _xlfn.CONCAT("*",Table13[[#Headers],[Western]],"*")),1,0)</f>
        <v>0</v>
      </c>
    </row>
    <row r="33" spans="1:27">
      <c r="A33" t="s">
        <v>59</v>
      </c>
      <c r="B33">
        <v>233</v>
      </c>
      <c r="C33">
        <f>MAX(Table13[Rank])-Table13[[#This Row],[Rank]]</f>
        <v>31</v>
      </c>
      <c r="D33" t="s">
        <v>7</v>
      </c>
      <c r="E33" t="s">
        <v>21</v>
      </c>
      <c r="F33" s="1">
        <v>27394</v>
      </c>
      <c r="G33">
        <f>YEAR(Table13[[#This Row],[Date]])</f>
        <v>1974</v>
      </c>
      <c r="H33" t="s">
        <v>1262</v>
      </c>
      <c r="I33">
        <f>IF(COUNTIF($E33, _xlfn.CONCAT("*",Table13[[#Headers],[Action]],"*")),1,0)</f>
        <v>0</v>
      </c>
      <c r="J33">
        <f>IF(COUNTIF($E33, _xlfn.CONCAT("*",Table13[[#Headers],[Adventure]],"*")),1,0)</f>
        <v>0</v>
      </c>
      <c r="K33">
        <f>IF(COUNTIF($E33, _xlfn.CONCAT("*",Table13[[#Headers],[Animation]],"*")),1,0)</f>
        <v>0</v>
      </c>
      <c r="L33">
        <f>IF(COUNTIF($E33, _xlfn.CONCAT("*",Table13[[#Headers],[Comedy]],"*")),1,0)</f>
        <v>0</v>
      </c>
      <c r="M33">
        <f>IF(COUNTIF($E33, _xlfn.CONCAT("*",Table13[[#Headers],[Crime]],"*")),1,0)</f>
        <v>0</v>
      </c>
      <c r="N33">
        <f>IF(COUNTIF($E33, _xlfn.CONCAT("*",Table13[[#Headers],[Documentary]],"*")),1,0)</f>
        <v>0</v>
      </c>
      <c r="O33">
        <f>IF(COUNTIF($E33, _xlfn.CONCAT("*",Table13[[#Headers],[Drama]],"*")),1,0)</f>
        <v>1</v>
      </c>
      <c r="P33">
        <f>IF(COUNTIF($E33, _xlfn.CONCAT("*",Table13[[#Headers],[Family]],"*")),1,0)</f>
        <v>0</v>
      </c>
      <c r="Q33">
        <f>IF(COUNTIF($E33, _xlfn.CONCAT("*",Table13[[#Headers],[Fantasy]],"*")),1,0)</f>
        <v>0</v>
      </c>
      <c r="R33">
        <f>IF(COUNTIF($E33, _xlfn.CONCAT("*",Table13[[#Headers],[History]],"*")),1,0)</f>
        <v>0</v>
      </c>
      <c r="S33">
        <f>IF(COUNTIF($E33, _xlfn.CONCAT("*",Table13[[#Headers],[Horror]],"*")),1,0)</f>
        <v>0</v>
      </c>
      <c r="T33">
        <f>IF(COUNTIF($E33, _xlfn.CONCAT("*",Table13[[#Headers],[Music]],"*")),1,0)</f>
        <v>0</v>
      </c>
      <c r="U33">
        <f>IF(COUNTIF($E33, _xlfn.CONCAT("*",Table13[[#Headers],[Mystery]],"*")),1,0)</f>
        <v>0</v>
      </c>
      <c r="V33">
        <f>IF(COUNTIF($E33, _xlfn.CONCAT("*",Table13[[#Headers],[Romance]],"*")),1,0)</f>
        <v>0</v>
      </c>
      <c r="W33">
        <f>IF(COUNTIF($E33, _xlfn.CONCAT("*",Table13[[#Headers],[Science Fiction]],"*")),1,0)</f>
        <v>0</v>
      </c>
      <c r="X33">
        <f>IF(COUNTIF($E33, _xlfn.CONCAT("*",Table13[[#Headers],[TV Movie]],"*")),1,0)</f>
        <v>0</v>
      </c>
      <c r="Y33">
        <f>IF(COUNTIF($E33, _xlfn.CONCAT("*",Table13[[#Headers],[Thriller]],"*")),1,0)</f>
        <v>0</v>
      </c>
      <c r="Z33">
        <f>IF(COUNTIF($E33, _xlfn.CONCAT("*",Table13[[#Headers],[War]],"*")),1,0)</f>
        <v>0</v>
      </c>
      <c r="AA33">
        <f>IF(COUNTIF($E33, _xlfn.CONCAT("*",Table13[[#Headers],[Western]],"*")),1,0)</f>
        <v>0</v>
      </c>
    </row>
    <row r="34" spans="1:27">
      <c r="A34" t="s">
        <v>60</v>
      </c>
      <c r="B34">
        <v>232</v>
      </c>
      <c r="C34">
        <f>MAX(Table13[Rank])-Table13[[#This Row],[Rank]]</f>
        <v>32</v>
      </c>
      <c r="D34" t="s">
        <v>7</v>
      </c>
      <c r="E34" t="s">
        <v>61</v>
      </c>
      <c r="F34" s="1">
        <v>44349</v>
      </c>
      <c r="G34">
        <f>YEAR(Table13[[#This Row],[Date]])</f>
        <v>2021</v>
      </c>
      <c r="H34" t="s">
        <v>1263</v>
      </c>
      <c r="I34">
        <f>IF(COUNTIF($E34, _xlfn.CONCAT("*",Table13[[#Headers],[Action]],"*")),1,0)</f>
        <v>0</v>
      </c>
      <c r="J34">
        <f>IF(COUNTIF($E34, _xlfn.CONCAT("*",Table13[[#Headers],[Adventure]],"*")),1,0)</f>
        <v>0</v>
      </c>
      <c r="K34">
        <f>IF(COUNTIF($E34, _xlfn.CONCAT("*",Table13[[#Headers],[Animation]],"*")),1,0)</f>
        <v>0</v>
      </c>
      <c r="L34">
        <f>IF(COUNTIF($E34, _xlfn.CONCAT("*",Table13[[#Headers],[Comedy]],"*")),1,0)</f>
        <v>0</v>
      </c>
      <c r="M34">
        <f>IF(COUNTIF($E34, _xlfn.CONCAT("*",Table13[[#Headers],[Crime]],"*")),1,0)</f>
        <v>0</v>
      </c>
      <c r="N34">
        <f>IF(COUNTIF($E34, _xlfn.CONCAT("*",Table13[[#Headers],[Documentary]],"*")),1,0)</f>
        <v>0</v>
      </c>
      <c r="O34">
        <f>IF(COUNTIF($E34, _xlfn.CONCAT("*",Table13[[#Headers],[Drama]],"*")),1,0)</f>
        <v>1</v>
      </c>
      <c r="P34">
        <f>IF(COUNTIF($E34, _xlfn.CONCAT("*",Table13[[#Headers],[Family]],"*")),1,0)</f>
        <v>1</v>
      </c>
      <c r="Q34">
        <f>IF(COUNTIF($E34, _xlfn.CONCAT("*",Table13[[#Headers],[Fantasy]],"*")),1,0)</f>
        <v>1</v>
      </c>
      <c r="R34">
        <f>IF(COUNTIF($E34, _xlfn.CONCAT("*",Table13[[#Headers],[History]],"*")),1,0)</f>
        <v>0</v>
      </c>
      <c r="S34">
        <f>IF(COUNTIF($E34, _xlfn.CONCAT("*",Table13[[#Headers],[Horror]],"*")),1,0)</f>
        <v>0</v>
      </c>
      <c r="T34">
        <f>IF(COUNTIF($E34, _xlfn.CONCAT("*",Table13[[#Headers],[Music]],"*")),1,0)</f>
        <v>0</v>
      </c>
      <c r="U34">
        <f>IF(COUNTIF($E34, _xlfn.CONCAT("*",Table13[[#Headers],[Mystery]],"*")),1,0)</f>
        <v>0</v>
      </c>
      <c r="V34">
        <f>IF(COUNTIF($E34, _xlfn.CONCAT("*",Table13[[#Headers],[Romance]],"*")),1,0)</f>
        <v>0</v>
      </c>
      <c r="W34">
        <f>IF(COUNTIF($E34, _xlfn.CONCAT("*",Table13[[#Headers],[Science Fiction]],"*")),1,0)</f>
        <v>0</v>
      </c>
      <c r="X34">
        <f>IF(COUNTIF($E34, _xlfn.CONCAT("*",Table13[[#Headers],[TV Movie]],"*")),1,0)</f>
        <v>0</v>
      </c>
      <c r="Y34">
        <f>IF(COUNTIF($E34, _xlfn.CONCAT("*",Table13[[#Headers],[Thriller]],"*")),1,0)</f>
        <v>0</v>
      </c>
      <c r="Z34">
        <f>IF(COUNTIF($E34, _xlfn.CONCAT("*",Table13[[#Headers],[War]],"*")),1,0)</f>
        <v>0</v>
      </c>
      <c r="AA34">
        <f>IF(COUNTIF($E34, _xlfn.CONCAT("*",Table13[[#Headers],[Western]],"*")),1,0)</f>
        <v>0</v>
      </c>
    </row>
    <row r="35" spans="1:27">
      <c r="A35" t="s">
        <v>62</v>
      </c>
      <c r="B35">
        <v>231</v>
      </c>
      <c r="C35">
        <f>MAX(Table13[Rank])-Table13[[#This Row],[Rank]]</f>
        <v>33</v>
      </c>
      <c r="D35" t="s">
        <v>7</v>
      </c>
      <c r="E35" t="s">
        <v>17</v>
      </c>
      <c r="F35" s="1">
        <v>36835</v>
      </c>
      <c r="G35">
        <f>YEAR(Table13[[#This Row],[Date]])</f>
        <v>2000</v>
      </c>
      <c r="H35" t="s">
        <v>63</v>
      </c>
      <c r="I35">
        <f>IF(COUNTIF($E35, _xlfn.CONCAT("*",Table13[[#Headers],[Action]],"*")),1,0)</f>
        <v>0</v>
      </c>
      <c r="J35">
        <f>IF(COUNTIF($E35, _xlfn.CONCAT("*",Table13[[#Headers],[Adventure]],"*")),1,0)</f>
        <v>0</v>
      </c>
      <c r="K35">
        <f>IF(COUNTIF($E35, _xlfn.CONCAT("*",Table13[[#Headers],[Animation]],"*")),1,0)</f>
        <v>0</v>
      </c>
      <c r="L35">
        <f>IF(COUNTIF($E35, _xlfn.CONCAT("*",Table13[[#Headers],[Comedy]],"*")),1,0)</f>
        <v>0</v>
      </c>
      <c r="M35">
        <f>IF(COUNTIF($E35, _xlfn.CONCAT("*",Table13[[#Headers],[Crime]],"*")),1,0)</f>
        <v>0</v>
      </c>
      <c r="N35">
        <f>IF(COUNTIF($E35, _xlfn.CONCAT("*",Table13[[#Headers],[Documentary]],"*")),1,0)</f>
        <v>1</v>
      </c>
      <c r="O35">
        <f>IF(COUNTIF($E35, _xlfn.CONCAT("*",Table13[[#Headers],[Drama]],"*")),1,0)</f>
        <v>0</v>
      </c>
      <c r="P35">
        <f>IF(COUNTIF($E35, _xlfn.CONCAT("*",Table13[[#Headers],[Family]],"*")),1,0)</f>
        <v>0</v>
      </c>
      <c r="Q35">
        <f>IF(COUNTIF($E35, _xlfn.CONCAT("*",Table13[[#Headers],[Fantasy]],"*")),1,0)</f>
        <v>0</v>
      </c>
      <c r="R35">
        <f>IF(COUNTIF($E35, _xlfn.CONCAT("*",Table13[[#Headers],[History]],"*")),1,0)</f>
        <v>0</v>
      </c>
      <c r="S35">
        <f>IF(COUNTIF($E35, _xlfn.CONCAT("*",Table13[[#Headers],[Horror]],"*")),1,0)</f>
        <v>0</v>
      </c>
      <c r="T35">
        <f>IF(COUNTIF($E35, _xlfn.CONCAT("*",Table13[[#Headers],[Music]],"*")),1,0)</f>
        <v>0</v>
      </c>
      <c r="U35">
        <f>IF(COUNTIF($E35, _xlfn.CONCAT("*",Table13[[#Headers],[Mystery]],"*")),1,0)</f>
        <v>0</v>
      </c>
      <c r="V35">
        <f>IF(COUNTIF($E35, _xlfn.CONCAT("*",Table13[[#Headers],[Romance]],"*")),1,0)</f>
        <v>0</v>
      </c>
      <c r="W35">
        <f>IF(COUNTIF($E35, _xlfn.CONCAT("*",Table13[[#Headers],[Science Fiction]],"*")),1,0)</f>
        <v>0</v>
      </c>
      <c r="X35">
        <f>IF(COUNTIF($E35, _xlfn.CONCAT("*",Table13[[#Headers],[TV Movie]],"*")),1,0)</f>
        <v>0</v>
      </c>
      <c r="Y35">
        <f>IF(COUNTIF($E35, _xlfn.CONCAT("*",Table13[[#Headers],[Thriller]],"*")),1,0)</f>
        <v>0</v>
      </c>
      <c r="Z35">
        <f>IF(COUNTIF($E35, _xlfn.CONCAT("*",Table13[[#Headers],[War]],"*")),1,0)</f>
        <v>0</v>
      </c>
      <c r="AA35">
        <f>IF(COUNTIF($E35, _xlfn.CONCAT("*",Table13[[#Headers],[Western]],"*")),1,0)</f>
        <v>0</v>
      </c>
    </row>
    <row r="36" spans="1:27">
      <c r="A36" t="s">
        <v>64</v>
      </c>
      <c r="B36">
        <v>230</v>
      </c>
      <c r="C36">
        <f>MAX(Table13[Rank])-Table13[[#This Row],[Rank]]</f>
        <v>34</v>
      </c>
      <c r="D36" t="s">
        <v>7</v>
      </c>
      <c r="E36" t="s">
        <v>21</v>
      </c>
      <c r="F36" s="1">
        <v>36069</v>
      </c>
      <c r="G36">
        <f>YEAR(Table13[[#This Row],[Date]])</f>
        <v>1998</v>
      </c>
      <c r="H36" t="s">
        <v>64</v>
      </c>
      <c r="I36">
        <f>IF(COUNTIF($E36, _xlfn.CONCAT("*",Table13[[#Headers],[Action]],"*")),1,0)</f>
        <v>0</v>
      </c>
      <c r="J36">
        <f>IF(COUNTIF($E36, _xlfn.CONCAT("*",Table13[[#Headers],[Adventure]],"*")),1,0)</f>
        <v>0</v>
      </c>
      <c r="K36">
        <f>IF(COUNTIF($E36, _xlfn.CONCAT("*",Table13[[#Headers],[Animation]],"*")),1,0)</f>
        <v>0</v>
      </c>
      <c r="L36">
        <f>IF(COUNTIF($E36, _xlfn.CONCAT("*",Table13[[#Headers],[Comedy]],"*")),1,0)</f>
        <v>0</v>
      </c>
      <c r="M36">
        <f>IF(COUNTIF($E36, _xlfn.CONCAT("*",Table13[[#Headers],[Crime]],"*")),1,0)</f>
        <v>0</v>
      </c>
      <c r="N36">
        <f>IF(COUNTIF($E36, _xlfn.CONCAT("*",Table13[[#Headers],[Documentary]],"*")),1,0)</f>
        <v>0</v>
      </c>
      <c r="O36">
        <f>IF(COUNTIF($E36, _xlfn.CONCAT("*",Table13[[#Headers],[Drama]],"*")),1,0)</f>
        <v>1</v>
      </c>
      <c r="P36">
        <f>IF(COUNTIF($E36, _xlfn.CONCAT("*",Table13[[#Headers],[Family]],"*")),1,0)</f>
        <v>0</v>
      </c>
      <c r="Q36">
        <f>IF(COUNTIF($E36, _xlfn.CONCAT("*",Table13[[#Headers],[Fantasy]],"*")),1,0)</f>
        <v>0</v>
      </c>
      <c r="R36">
        <f>IF(COUNTIF($E36, _xlfn.CONCAT("*",Table13[[#Headers],[History]],"*")),1,0)</f>
        <v>0</v>
      </c>
      <c r="S36">
        <f>IF(COUNTIF($E36, _xlfn.CONCAT("*",Table13[[#Headers],[Horror]],"*")),1,0)</f>
        <v>0</v>
      </c>
      <c r="T36">
        <f>IF(COUNTIF($E36, _xlfn.CONCAT("*",Table13[[#Headers],[Music]],"*")),1,0)</f>
        <v>0</v>
      </c>
      <c r="U36">
        <f>IF(COUNTIF($E36, _xlfn.CONCAT("*",Table13[[#Headers],[Mystery]],"*")),1,0)</f>
        <v>0</v>
      </c>
      <c r="V36">
        <f>IF(COUNTIF($E36, _xlfn.CONCAT("*",Table13[[#Headers],[Romance]],"*")),1,0)</f>
        <v>0</v>
      </c>
      <c r="W36">
        <f>IF(COUNTIF($E36, _xlfn.CONCAT("*",Table13[[#Headers],[Science Fiction]],"*")),1,0)</f>
        <v>0</v>
      </c>
      <c r="X36">
        <f>IF(COUNTIF($E36, _xlfn.CONCAT("*",Table13[[#Headers],[TV Movie]],"*")),1,0)</f>
        <v>0</v>
      </c>
      <c r="Y36">
        <f>IF(COUNTIF($E36, _xlfn.CONCAT("*",Table13[[#Headers],[Thriller]],"*")),1,0)</f>
        <v>0</v>
      </c>
      <c r="Z36">
        <f>IF(COUNTIF($E36, _xlfn.CONCAT("*",Table13[[#Headers],[War]],"*")),1,0)</f>
        <v>0</v>
      </c>
      <c r="AA36">
        <f>IF(COUNTIF($E36, _xlfn.CONCAT("*",Table13[[#Headers],[Western]],"*")),1,0)</f>
        <v>0</v>
      </c>
    </row>
    <row r="37" spans="1:27">
      <c r="A37" t="s">
        <v>65</v>
      </c>
      <c r="B37">
        <v>229</v>
      </c>
      <c r="C37">
        <f>MAX(Table13[Rank])-Table13[[#This Row],[Rank]]</f>
        <v>35</v>
      </c>
      <c r="D37" t="s">
        <v>7</v>
      </c>
      <c r="E37" t="s">
        <v>35</v>
      </c>
      <c r="F37" s="1">
        <v>35580</v>
      </c>
      <c r="G37">
        <f>YEAR(Table13[[#This Row],[Date]])</f>
        <v>1997</v>
      </c>
      <c r="H37" t="s">
        <v>65</v>
      </c>
      <c r="I37">
        <f>IF(COUNTIF($E37, _xlfn.CONCAT("*",Table13[[#Headers],[Action]],"*")),1,0)</f>
        <v>0</v>
      </c>
      <c r="J37">
        <f>IF(COUNTIF($E37, _xlfn.CONCAT("*",Table13[[#Headers],[Adventure]],"*")),1,0)</f>
        <v>0</v>
      </c>
      <c r="K37">
        <f>IF(COUNTIF($E37, _xlfn.CONCAT("*",Table13[[#Headers],[Animation]],"*")),1,0)</f>
        <v>0</v>
      </c>
      <c r="L37">
        <f>IF(COUNTIF($E37, _xlfn.CONCAT("*",Table13[[#Headers],[Comedy]],"*")),1,0)</f>
        <v>0</v>
      </c>
      <c r="M37">
        <f>IF(COUNTIF($E37, _xlfn.CONCAT("*",Table13[[#Headers],[Crime]],"*")),1,0)</f>
        <v>0</v>
      </c>
      <c r="N37">
        <f>IF(COUNTIF($E37, _xlfn.CONCAT("*",Table13[[#Headers],[Documentary]],"*")),1,0)</f>
        <v>0</v>
      </c>
      <c r="O37">
        <f>IF(COUNTIF($E37, _xlfn.CONCAT("*",Table13[[#Headers],[Drama]],"*")),1,0)</f>
        <v>1</v>
      </c>
      <c r="P37">
        <f>IF(COUNTIF($E37, _xlfn.CONCAT("*",Table13[[#Headers],[Family]],"*")),1,0)</f>
        <v>0</v>
      </c>
      <c r="Q37">
        <f>IF(COUNTIF($E37, _xlfn.CONCAT("*",Table13[[#Headers],[Fantasy]],"*")),1,0)</f>
        <v>0</v>
      </c>
      <c r="R37">
        <f>IF(COUNTIF($E37, _xlfn.CONCAT("*",Table13[[#Headers],[History]],"*")),1,0)</f>
        <v>0</v>
      </c>
      <c r="S37">
        <f>IF(COUNTIF($E37, _xlfn.CONCAT("*",Table13[[#Headers],[Horror]],"*")),1,0)</f>
        <v>0</v>
      </c>
      <c r="T37">
        <f>IF(COUNTIF($E37, _xlfn.CONCAT("*",Table13[[#Headers],[Music]],"*")),1,0)</f>
        <v>0</v>
      </c>
      <c r="U37">
        <f>IF(COUNTIF($E37, _xlfn.CONCAT("*",Table13[[#Headers],[Mystery]],"*")),1,0)</f>
        <v>0</v>
      </c>
      <c r="V37">
        <f>IF(COUNTIF($E37, _xlfn.CONCAT("*",Table13[[#Headers],[Romance]],"*")),1,0)</f>
        <v>1</v>
      </c>
      <c r="W37">
        <f>IF(COUNTIF($E37, _xlfn.CONCAT("*",Table13[[#Headers],[Science Fiction]],"*")),1,0)</f>
        <v>0</v>
      </c>
      <c r="X37">
        <f>IF(COUNTIF($E37, _xlfn.CONCAT("*",Table13[[#Headers],[TV Movie]],"*")),1,0)</f>
        <v>0</v>
      </c>
      <c r="Y37">
        <f>IF(COUNTIF($E37, _xlfn.CONCAT("*",Table13[[#Headers],[Thriller]],"*")),1,0)</f>
        <v>0</v>
      </c>
      <c r="Z37">
        <f>IF(COUNTIF($E37, _xlfn.CONCAT("*",Table13[[#Headers],[War]],"*")),1,0)</f>
        <v>0</v>
      </c>
      <c r="AA37">
        <f>IF(COUNTIF($E37, _xlfn.CONCAT("*",Table13[[#Headers],[Western]],"*")),1,0)</f>
        <v>0</v>
      </c>
    </row>
    <row r="38" spans="1:27">
      <c r="A38" t="s">
        <v>66</v>
      </c>
      <c r="B38">
        <v>228</v>
      </c>
      <c r="C38">
        <f>MAX(Table13[Rank])-Table13[[#This Row],[Rank]]</f>
        <v>36</v>
      </c>
      <c r="D38" t="s">
        <v>7</v>
      </c>
      <c r="E38" t="s">
        <v>21</v>
      </c>
      <c r="F38" s="1">
        <v>35263</v>
      </c>
      <c r="G38">
        <f>YEAR(Table13[[#This Row],[Date]])</f>
        <v>1996</v>
      </c>
      <c r="H38" t="s">
        <v>66</v>
      </c>
      <c r="I38">
        <f>IF(COUNTIF($E38, _xlfn.CONCAT("*",Table13[[#Headers],[Action]],"*")),1,0)</f>
        <v>0</v>
      </c>
      <c r="J38">
        <f>IF(COUNTIF($E38, _xlfn.CONCAT("*",Table13[[#Headers],[Adventure]],"*")),1,0)</f>
        <v>0</v>
      </c>
      <c r="K38">
        <f>IF(COUNTIF($E38, _xlfn.CONCAT("*",Table13[[#Headers],[Animation]],"*")),1,0)</f>
        <v>0</v>
      </c>
      <c r="L38">
        <f>IF(COUNTIF($E38, _xlfn.CONCAT("*",Table13[[#Headers],[Comedy]],"*")),1,0)</f>
        <v>0</v>
      </c>
      <c r="M38">
        <f>IF(COUNTIF($E38, _xlfn.CONCAT("*",Table13[[#Headers],[Crime]],"*")),1,0)</f>
        <v>0</v>
      </c>
      <c r="N38">
        <f>IF(COUNTIF($E38, _xlfn.CONCAT("*",Table13[[#Headers],[Documentary]],"*")),1,0)</f>
        <v>0</v>
      </c>
      <c r="O38">
        <f>IF(COUNTIF($E38, _xlfn.CONCAT("*",Table13[[#Headers],[Drama]],"*")),1,0)</f>
        <v>1</v>
      </c>
      <c r="P38">
        <f>IF(COUNTIF($E38, _xlfn.CONCAT("*",Table13[[#Headers],[Family]],"*")),1,0)</f>
        <v>0</v>
      </c>
      <c r="Q38">
        <f>IF(COUNTIF($E38, _xlfn.CONCAT("*",Table13[[#Headers],[Fantasy]],"*")),1,0)</f>
        <v>0</v>
      </c>
      <c r="R38">
        <f>IF(COUNTIF($E38, _xlfn.CONCAT("*",Table13[[#Headers],[History]],"*")),1,0)</f>
        <v>0</v>
      </c>
      <c r="S38">
        <f>IF(COUNTIF($E38, _xlfn.CONCAT("*",Table13[[#Headers],[Horror]],"*")),1,0)</f>
        <v>0</v>
      </c>
      <c r="T38">
        <f>IF(COUNTIF($E38, _xlfn.CONCAT("*",Table13[[#Headers],[Music]],"*")),1,0)</f>
        <v>0</v>
      </c>
      <c r="U38">
        <f>IF(COUNTIF($E38, _xlfn.CONCAT("*",Table13[[#Headers],[Mystery]],"*")),1,0)</f>
        <v>0</v>
      </c>
      <c r="V38">
        <f>IF(COUNTIF($E38, _xlfn.CONCAT("*",Table13[[#Headers],[Romance]],"*")),1,0)</f>
        <v>0</v>
      </c>
      <c r="W38">
        <f>IF(COUNTIF($E38, _xlfn.CONCAT("*",Table13[[#Headers],[Science Fiction]],"*")),1,0)</f>
        <v>0</v>
      </c>
      <c r="X38">
        <f>IF(COUNTIF($E38, _xlfn.CONCAT("*",Table13[[#Headers],[TV Movie]],"*")),1,0)</f>
        <v>0</v>
      </c>
      <c r="Y38">
        <f>IF(COUNTIF($E38, _xlfn.CONCAT("*",Table13[[#Headers],[Thriller]],"*")),1,0)</f>
        <v>0</v>
      </c>
      <c r="Z38">
        <f>IF(COUNTIF($E38, _xlfn.CONCAT("*",Table13[[#Headers],[War]],"*")),1,0)</f>
        <v>0</v>
      </c>
      <c r="AA38">
        <f>IF(COUNTIF($E38, _xlfn.CONCAT("*",Table13[[#Headers],[Western]],"*")),1,0)</f>
        <v>0</v>
      </c>
    </row>
    <row r="39" spans="1:27">
      <c r="A39" t="s">
        <v>67</v>
      </c>
      <c r="B39">
        <v>227</v>
      </c>
      <c r="C39">
        <f>MAX(Table13[Rank])-Table13[[#This Row],[Rank]]</f>
        <v>37</v>
      </c>
      <c r="D39" t="s">
        <v>7</v>
      </c>
      <c r="E39" t="s">
        <v>17</v>
      </c>
      <c r="F39" s="1">
        <v>34200</v>
      </c>
      <c r="G39">
        <f>YEAR(Table13[[#This Row],[Date]])</f>
        <v>1993</v>
      </c>
      <c r="H39" t="s">
        <v>67</v>
      </c>
      <c r="I39">
        <f>IF(COUNTIF($E39, _xlfn.CONCAT("*",Table13[[#Headers],[Action]],"*")),1,0)</f>
        <v>0</v>
      </c>
      <c r="J39">
        <f>IF(COUNTIF($E39, _xlfn.CONCAT("*",Table13[[#Headers],[Adventure]],"*")),1,0)</f>
        <v>0</v>
      </c>
      <c r="K39">
        <f>IF(COUNTIF($E39, _xlfn.CONCAT("*",Table13[[#Headers],[Animation]],"*")),1,0)</f>
        <v>0</v>
      </c>
      <c r="L39">
        <f>IF(COUNTIF($E39, _xlfn.CONCAT("*",Table13[[#Headers],[Comedy]],"*")),1,0)</f>
        <v>0</v>
      </c>
      <c r="M39">
        <f>IF(COUNTIF($E39, _xlfn.CONCAT("*",Table13[[#Headers],[Crime]],"*")),1,0)</f>
        <v>0</v>
      </c>
      <c r="N39">
        <f>IF(COUNTIF($E39, _xlfn.CONCAT("*",Table13[[#Headers],[Documentary]],"*")),1,0)</f>
        <v>1</v>
      </c>
      <c r="O39">
        <f>IF(COUNTIF($E39, _xlfn.CONCAT("*",Table13[[#Headers],[Drama]],"*")),1,0)</f>
        <v>0</v>
      </c>
      <c r="P39">
        <f>IF(COUNTIF($E39, _xlfn.CONCAT("*",Table13[[#Headers],[Family]],"*")),1,0)</f>
        <v>0</v>
      </c>
      <c r="Q39">
        <f>IF(COUNTIF($E39, _xlfn.CONCAT("*",Table13[[#Headers],[Fantasy]],"*")),1,0)</f>
        <v>0</v>
      </c>
      <c r="R39">
        <f>IF(COUNTIF($E39, _xlfn.CONCAT("*",Table13[[#Headers],[History]],"*")),1,0)</f>
        <v>0</v>
      </c>
      <c r="S39">
        <f>IF(COUNTIF($E39, _xlfn.CONCAT("*",Table13[[#Headers],[Horror]],"*")),1,0)</f>
        <v>0</v>
      </c>
      <c r="T39">
        <f>IF(COUNTIF($E39, _xlfn.CONCAT("*",Table13[[#Headers],[Music]],"*")),1,0)</f>
        <v>0</v>
      </c>
      <c r="U39">
        <f>IF(COUNTIF($E39, _xlfn.CONCAT("*",Table13[[#Headers],[Mystery]],"*")),1,0)</f>
        <v>0</v>
      </c>
      <c r="V39">
        <f>IF(COUNTIF($E39, _xlfn.CONCAT("*",Table13[[#Headers],[Romance]],"*")),1,0)</f>
        <v>0</v>
      </c>
      <c r="W39">
        <f>IF(COUNTIF($E39, _xlfn.CONCAT("*",Table13[[#Headers],[Science Fiction]],"*")),1,0)</f>
        <v>0</v>
      </c>
      <c r="X39">
        <f>IF(COUNTIF($E39, _xlfn.CONCAT("*",Table13[[#Headers],[TV Movie]],"*")),1,0)</f>
        <v>0</v>
      </c>
      <c r="Y39">
        <f>IF(COUNTIF($E39, _xlfn.CONCAT("*",Table13[[#Headers],[Thriller]],"*")),1,0)</f>
        <v>0</v>
      </c>
      <c r="Z39">
        <f>IF(COUNTIF($E39, _xlfn.CONCAT("*",Table13[[#Headers],[War]],"*")),1,0)</f>
        <v>0</v>
      </c>
      <c r="AA39">
        <f>IF(COUNTIF($E39, _xlfn.CONCAT("*",Table13[[#Headers],[Western]],"*")),1,0)</f>
        <v>0</v>
      </c>
    </row>
    <row r="40" spans="1:27">
      <c r="A40" t="s">
        <v>68</v>
      </c>
      <c r="B40">
        <v>226</v>
      </c>
      <c r="C40">
        <f>MAX(Table13[Rank])-Table13[[#This Row],[Rank]]</f>
        <v>38</v>
      </c>
      <c r="D40" t="s">
        <v>7</v>
      </c>
      <c r="E40" t="s">
        <v>21</v>
      </c>
      <c r="F40" s="1">
        <v>38657</v>
      </c>
      <c r="G40">
        <f>YEAR(Table13[[#This Row],[Date]])</f>
        <v>2005</v>
      </c>
      <c r="H40" t="s">
        <v>68</v>
      </c>
      <c r="I40">
        <f>IF(COUNTIF($E40, _xlfn.CONCAT("*",Table13[[#Headers],[Action]],"*")),1,0)</f>
        <v>0</v>
      </c>
      <c r="J40">
        <f>IF(COUNTIF($E40, _xlfn.CONCAT("*",Table13[[#Headers],[Adventure]],"*")),1,0)</f>
        <v>0</v>
      </c>
      <c r="K40">
        <f>IF(COUNTIF($E40, _xlfn.CONCAT("*",Table13[[#Headers],[Animation]],"*")),1,0)</f>
        <v>0</v>
      </c>
      <c r="L40">
        <f>IF(COUNTIF($E40, _xlfn.CONCAT("*",Table13[[#Headers],[Comedy]],"*")),1,0)</f>
        <v>0</v>
      </c>
      <c r="M40">
        <f>IF(COUNTIF($E40, _xlfn.CONCAT("*",Table13[[#Headers],[Crime]],"*")),1,0)</f>
        <v>0</v>
      </c>
      <c r="N40">
        <f>IF(COUNTIF($E40, _xlfn.CONCAT("*",Table13[[#Headers],[Documentary]],"*")),1,0)</f>
        <v>0</v>
      </c>
      <c r="O40">
        <f>IF(COUNTIF($E40, _xlfn.CONCAT("*",Table13[[#Headers],[Drama]],"*")),1,0)</f>
        <v>1</v>
      </c>
      <c r="P40">
        <f>IF(COUNTIF($E40, _xlfn.CONCAT("*",Table13[[#Headers],[Family]],"*")),1,0)</f>
        <v>0</v>
      </c>
      <c r="Q40">
        <f>IF(COUNTIF($E40, _xlfn.CONCAT("*",Table13[[#Headers],[Fantasy]],"*")),1,0)</f>
        <v>0</v>
      </c>
      <c r="R40">
        <f>IF(COUNTIF($E40, _xlfn.CONCAT("*",Table13[[#Headers],[History]],"*")),1,0)</f>
        <v>0</v>
      </c>
      <c r="S40">
        <f>IF(COUNTIF($E40, _xlfn.CONCAT("*",Table13[[#Headers],[Horror]],"*")),1,0)</f>
        <v>0</v>
      </c>
      <c r="T40">
        <f>IF(COUNTIF($E40, _xlfn.CONCAT("*",Table13[[#Headers],[Music]],"*")),1,0)</f>
        <v>0</v>
      </c>
      <c r="U40">
        <f>IF(COUNTIF($E40, _xlfn.CONCAT("*",Table13[[#Headers],[Mystery]],"*")),1,0)</f>
        <v>0</v>
      </c>
      <c r="V40">
        <f>IF(COUNTIF($E40, _xlfn.CONCAT("*",Table13[[#Headers],[Romance]],"*")),1,0)</f>
        <v>0</v>
      </c>
      <c r="W40">
        <f>IF(COUNTIF($E40, _xlfn.CONCAT("*",Table13[[#Headers],[Science Fiction]],"*")),1,0)</f>
        <v>0</v>
      </c>
      <c r="X40">
        <f>IF(COUNTIF($E40, _xlfn.CONCAT("*",Table13[[#Headers],[TV Movie]],"*")),1,0)</f>
        <v>0</v>
      </c>
      <c r="Y40">
        <f>IF(COUNTIF($E40, _xlfn.CONCAT("*",Table13[[#Headers],[Thriller]],"*")),1,0)</f>
        <v>0</v>
      </c>
      <c r="Z40">
        <f>IF(COUNTIF($E40, _xlfn.CONCAT("*",Table13[[#Headers],[War]],"*")),1,0)</f>
        <v>0</v>
      </c>
      <c r="AA40">
        <f>IF(COUNTIF($E40, _xlfn.CONCAT("*",Table13[[#Headers],[Western]],"*")),1,0)</f>
        <v>0</v>
      </c>
    </row>
    <row r="41" spans="1:27">
      <c r="A41" t="s">
        <v>69</v>
      </c>
      <c r="B41">
        <v>225</v>
      </c>
      <c r="C41">
        <f>MAX(Table13[Rank])-Table13[[#This Row],[Rank]]</f>
        <v>39</v>
      </c>
      <c r="D41" t="s">
        <v>7</v>
      </c>
      <c r="E41" t="s">
        <v>35</v>
      </c>
      <c r="F41" s="1">
        <v>31653</v>
      </c>
      <c r="G41">
        <f>YEAR(Table13[[#This Row],[Date]])</f>
        <v>1986</v>
      </c>
      <c r="H41" t="s">
        <v>69</v>
      </c>
      <c r="I41">
        <f>IF(COUNTIF($E41, _xlfn.CONCAT("*",Table13[[#Headers],[Action]],"*")),1,0)</f>
        <v>0</v>
      </c>
      <c r="J41">
        <f>IF(COUNTIF($E41, _xlfn.CONCAT("*",Table13[[#Headers],[Adventure]],"*")),1,0)</f>
        <v>0</v>
      </c>
      <c r="K41">
        <f>IF(COUNTIF($E41, _xlfn.CONCAT("*",Table13[[#Headers],[Animation]],"*")),1,0)</f>
        <v>0</v>
      </c>
      <c r="L41">
        <f>IF(COUNTIF($E41, _xlfn.CONCAT("*",Table13[[#Headers],[Comedy]],"*")),1,0)</f>
        <v>0</v>
      </c>
      <c r="M41">
        <f>IF(COUNTIF($E41, _xlfn.CONCAT("*",Table13[[#Headers],[Crime]],"*")),1,0)</f>
        <v>0</v>
      </c>
      <c r="N41">
        <f>IF(COUNTIF($E41, _xlfn.CONCAT("*",Table13[[#Headers],[Documentary]],"*")),1,0)</f>
        <v>0</v>
      </c>
      <c r="O41">
        <f>IF(COUNTIF($E41, _xlfn.CONCAT("*",Table13[[#Headers],[Drama]],"*")),1,0)</f>
        <v>1</v>
      </c>
      <c r="P41">
        <f>IF(COUNTIF($E41, _xlfn.CONCAT("*",Table13[[#Headers],[Family]],"*")),1,0)</f>
        <v>0</v>
      </c>
      <c r="Q41">
        <f>IF(COUNTIF($E41, _xlfn.CONCAT("*",Table13[[#Headers],[Fantasy]],"*")),1,0)</f>
        <v>0</v>
      </c>
      <c r="R41">
        <f>IF(COUNTIF($E41, _xlfn.CONCAT("*",Table13[[#Headers],[History]],"*")),1,0)</f>
        <v>0</v>
      </c>
      <c r="S41">
        <f>IF(COUNTIF($E41, _xlfn.CONCAT("*",Table13[[#Headers],[Horror]],"*")),1,0)</f>
        <v>0</v>
      </c>
      <c r="T41">
        <f>IF(COUNTIF($E41, _xlfn.CONCAT("*",Table13[[#Headers],[Music]],"*")),1,0)</f>
        <v>0</v>
      </c>
      <c r="U41">
        <f>IF(COUNTIF($E41, _xlfn.CONCAT("*",Table13[[#Headers],[Mystery]],"*")),1,0)</f>
        <v>0</v>
      </c>
      <c r="V41">
        <f>IF(COUNTIF($E41, _xlfn.CONCAT("*",Table13[[#Headers],[Romance]],"*")),1,0)</f>
        <v>1</v>
      </c>
      <c r="W41">
        <f>IF(COUNTIF($E41, _xlfn.CONCAT("*",Table13[[#Headers],[Science Fiction]],"*")),1,0)</f>
        <v>0</v>
      </c>
      <c r="X41">
        <f>IF(COUNTIF($E41, _xlfn.CONCAT("*",Table13[[#Headers],[TV Movie]],"*")),1,0)</f>
        <v>0</v>
      </c>
      <c r="Y41">
        <f>IF(COUNTIF($E41, _xlfn.CONCAT("*",Table13[[#Headers],[Thriller]],"*")),1,0)</f>
        <v>0</v>
      </c>
      <c r="Z41">
        <f>IF(COUNTIF($E41, _xlfn.CONCAT("*",Table13[[#Headers],[War]],"*")),1,0)</f>
        <v>0</v>
      </c>
      <c r="AA41">
        <f>IF(COUNTIF($E41, _xlfn.CONCAT("*",Table13[[#Headers],[Western]],"*")),1,0)</f>
        <v>0</v>
      </c>
    </row>
    <row r="42" spans="1:27">
      <c r="A42" t="s">
        <v>70</v>
      </c>
      <c r="B42">
        <v>224</v>
      </c>
      <c r="C42">
        <f>MAX(Table13[Rank])-Table13[[#This Row],[Rank]]</f>
        <v>40</v>
      </c>
      <c r="D42" t="s">
        <v>7</v>
      </c>
      <c r="E42" t="s">
        <v>71</v>
      </c>
      <c r="F42" s="1">
        <v>13260</v>
      </c>
      <c r="G42">
        <f>YEAR(Table13[[#This Row],[Date]])</f>
        <v>1936</v>
      </c>
      <c r="H42" t="s">
        <v>70</v>
      </c>
      <c r="I42">
        <f>IF(COUNTIF($E42, _xlfn.CONCAT("*",Table13[[#Headers],[Action]],"*")),1,0)</f>
        <v>0</v>
      </c>
      <c r="J42">
        <f>IF(COUNTIF($E42, _xlfn.CONCAT("*",Table13[[#Headers],[Adventure]],"*")),1,0)</f>
        <v>0</v>
      </c>
      <c r="K42">
        <f>IF(COUNTIF($E42, _xlfn.CONCAT("*",Table13[[#Headers],[Animation]],"*")),1,0)</f>
        <v>0</v>
      </c>
      <c r="L42">
        <f>IF(COUNTIF($E42, _xlfn.CONCAT("*",Table13[[#Headers],[Comedy]],"*")),1,0)</f>
        <v>1</v>
      </c>
      <c r="M42">
        <f>IF(COUNTIF($E42, _xlfn.CONCAT("*",Table13[[#Headers],[Crime]],"*")),1,0)</f>
        <v>0</v>
      </c>
      <c r="N42">
        <f>IF(COUNTIF($E42, _xlfn.CONCAT("*",Table13[[#Headers],[Documentary]],"*")),1,0)</f>
        <v>0</v>
      </c>
      <c r="O42">
        <f>IF(COUNTIF($E42, _xlfn.CONCAT("*",Table13[[#Headers],[Drama]],"*")),1,0)</f>
        <v>1</v>
      </c>
      <c r="P42">
        <f>IF(COUNTIF($E42, _xlfn.CONCAT("*",Table13[[#Headers],[Family]],"*")),1,0)</f>
        <v>0</v>
      </c>
      <c r="Q42">
        <f>IF(COUNTIF($E42, _xlfn.CONCAT("*",Table13[[#Headers],[Fantasy]],"*")),1,0)</f>
        <v>0</v>
      </c>
      <c r="R42">
        <f>IF(COUNTIF($E42, _xlfn.CONCAT("*",Table13[[#Headers],[History]],"*")),1,0)</f>
        <v>0</v>
      </c>
      <c r="S42">
        <f>IF(COUNTIF($E42, _xlfn.CONCAT("*",Table13[[#Headers],[Horror]],"*")),1,0)</f>
        <v>0</v>
      </c>
      <c r="T42">
        <f>IF(COUNTIF($E42, _xlfn.CONCAT("*",Table13[[#Headers],[Music]],"*")),1,0)</f>
        <v>0</v>
      </c>
      <c r="U42">
        <f>IF(COUNTIF($E42, _xlfn.CONCAT("*",Table13[[#Headers],[Mystery]],"*")),1,0)</f>
        <v>0</v>
      </c>
      <c r="V42">
        <f>IF(COUNTIF($E42, _xlfn.CONCAT("*",Table13[[#Headers],[Romance]],"*")),1,0)</f>
        <v>1</v>
      </c>
      <c r="W42">
        <f>IF(COUNTIF($E42, _xlfn.CONCAT("*",Table13[[#Headers],[Science Fiction]],"*")),1,0)</f>
        <v>0</v>
      </c>
      <c r="X42">
        <f>IF(COUNTIF($E42, _xlfn.CONCAT("*",Table13[[#Headers],[TV Movie]],"*")),1,0)</f>
        <v>0</v>
      </c>
      <c r="Y42">
        <f>IF(COUNTIF($E42, _xlfn.CONCAT("*",Table13[[#Headers],[Thriller]],"*")),1,0)</f>
        <v>0</v>
      </c>
      <c r="Z42">
        <f>IF(COUNTIF($E42, _xlfn.CONCAT("*",Table13[[#Headers],[War]],"*")),1,0)</f>
        <v>0</v>
      </c>
      <c r="AA42">
        <f>IF(COUNTIF($E42, _xlfn.CONCAT("*",Table13[[#Headers],[Western]],"*")),1,0)</f>
        <v>0</v>
      </c>
    </row>
    <row r="43" spans="1:27">
      <c r="A43" t="s">
        <v>72</v>
      </c>
      <c r="B43">
        <v>223</v>
      </c>
      <c r="C43">
        <f>MAX(Table13[Rank])-Table13[[#This Row],[Rank]]</f>
        <v>41</v>
      </c>
      <c r="D43" t="s">
        <v>7</v>
      </c>
      <c r="E43" t="s">
        <v>73</v>
      </c>
      <c r="F43" s="1">
        <v>12370</v>
      </c>
      <c r="G43">
        <f>YEAR(Table13[[#This Row],[Date]])</f>
        <v>1933</v>
      </c>
      <c r="H43" t="s">
        <v>72</v>
      </c>
      <c r="I43">
        <f>IF(COUNTIF($E43, _xlfn.CONCAT("*",Table13[[#Headers],[Action]],"*")),1,0)</f>
        <v>0</v>
      </c>
      <c r="J43">
        <f>IF(COUNTIF($E43, _xlfn.CONCAT("*",Table13[[#Headers],[Adventure]],"*")),1,0)</f>
        <v>0</v>
      </c>
      <c r="K43">
        <f>IF(COUNTIF($E43, _xlfn.CONCAT("*",Table13[[#Headers],[Animation]],"*")),1,0)</f>
        <v>0</v>
      </c>
      <c r="L43">
        <f>IF(COUNTIF($E43, _xlfn.CONCAT("*",Table13[[#Headers],[Comedy]],"*")),1,0)</f>
        <v>1</v>
      </c>
      <c r="M43">
        <f>IF(COUNTIF($E43, _xlfn.CONCAT("*",Table13[[#Headers],[Crime]],"*")),1,0)</f>
        <v>0</v>
      </c>
      <c r="N43">
        <f>IF(COUNTIF($E43, _xlfn.CONCAT("*",Table13[[#Headers],[Documentary]],"*")),1,0)</f>
        <v>0</v>
      </c>
      <c r="O43">
        <f>IF(COUNTIF($E43, _xlfn.CONCAT("*",Table13[[#Headers],[Drama]],"*")),1,0)</f>
        <v>0</v>
      </c>
      <c r="P43">
        <f>IF(COUNTIF($E43, _xlfn.CONCAT("*",Table13[[#Headers],[Family]],"*")),1,0)</f>
        <v>0</v>
      </c>
      <c r="Q43">
        <f>IF(COUNTIF($E43, _xlfn.CONCAT("*",Table13[[#Headers],[Fantasy]],"*")),1,0)</f>
        <v>0</v>
      </c>
      <c r="R43">
        <f>IF(COUNTIF($E43, _xlfn.CONCAT("*",Table13[[#Headers],[History]],"*")),1,0)</f>
        <v>0</v>
      </c>
      <c r="S43">
        <f>IF(COUNTIF($E43, _xlfn.CONCAT("*",Table13[[#Headers],[Horror]],"*")),1,0)</f>
        <v>0</v>
      </c>
      <c r="T43">
        <f>IF(COUNTIF($E43, _xlfn.CONCAT("*",Table13[[#Headers],[Music]],"*")),1,0)</f>
        <v>0</v>
      </c>
      <c r="U43">
        <f>IF(COUNTIF($E43, _xlfn.CONCAT("*",Table13[[#Headers],[Mystery]],"*")),1,0)</f>
        <v>0</v>
      </c>
      <c r="V43">
        <f>IF(COUNTIF($E43, _xlfn.CONCAT("*",Table13[[#Headers],[Romance]],"*")),1,0)</f>
        <v>0</v>
      </c>
      <c r="W43">
        <f>IF(COUNTIF($E43, _xlfn.CONCAT("*",Table13[[#Headers],[Science Fiction]],"*")),1,0)</f>
        <v>0</v>
      </c>
      <c r="X43">
        <f>IF(COUNTIF($E43, _xlfn.CONCAT("*",Table13[[#Headers],[TV Movie]],"*")),1,0)</f>
        <v>0</v>
      </c>
      <c r="Y43">
        <f>IF(COUNTIF($E43, _xlfn.CONCAT("*",Table13[[#Headers],[Thriller]],"*")),1,0)</f>
        <v>0</v>
      </c>
      <c r="Z43">
        <f>IF(COUNTIF($E43, _xlfn.CONCAT("*",Table13[[#Headers],[War]],"*")),1,0)</f>
        <v>1</v>
      </c>
      <c r="AA43">
        <f>IF(COUNTIF($E43, _xlfn.CONCAT("*",Table13[[#Headers],[Western]],"*")),1,0)</f>
        <v>0</v>
      </c>
    </row>
    <row r="44" spans="1:27">
      <c r="A44" t="s">
        <v>74</v>
      </c>
      <c r="B44">
        <v>222</v>
      </c>
      <c r="C44">
        <f>MAX(Table13[Rank])-Table13[[#This Row],[Rank]]</f>
        <v>42</v>
      </c>
      <c r="D44" t="s">
        <v>7</v>
      </c>
      <c r="E44" t="s">
        <v>21</v>
      </c>
      <c r="F44" s="1">
        <v>18576</v>
      </c>
      <c r="G44">
        <f>YEAR(Table13[[#This Row],[Date]])</f>
        <v>1950</v>
      </c>
      <c r="H44" t="s">
        <v>75</v>
      </c>
      <c r="I44">
        <f>IF(COUNTIF($E44, _xlfn.CONCAT("*",Table13[[#Headers],[Action]],"*")),1,0)</f>
        <v>0</v>
      </c>
      <c r="J44">
        <f>IF(COUNTIF($E44, _xlfn.CONCAT("*",Table13[[#Headers],[Adventure]],"*")),1,0)</f>
        <v>0</v>
      </c>
      <c r="K44">
        <f>IF(COUNTIF($E44, _xlfn.CONCAT("*",Table13[[#Headers],[Animation]],"*")),1,0)</f>
        <v>0</v>
      </c>
      <c r="L44">
        <f>IF(COUNTIF($E44, _xlfn.CONCAT("*",Table13[[#Headers],[Comedy]],"*")),1,0)</f>
        <v>0</v>
      </c>
      <c r="M44">
        <f>IF(COUNTIF($E44, _xlfn.CONCAT("*",Table13[[#Headers],[Crime]],"*")),1,0)</f>
        <v>0</v>
      </c>
      <c r="N44">
        <f>IF(COUNTIF($E44, _xlfn.CONCAT("*",Table13[[#Headers],[Documentary]],"*")),1,0)</f>
        <v>0</v>
      </c>
      <c r="O44">
        <f>IF(COUNTIF($E44, _xlfn.CONCAT("*",Table13[[#Headers],[Drama]],"*")),1,0)</f>
        <v>1</v>
      </c>
      <c r="P44">
        <f>IF(COUNTIF($E44, _xlfn.CONCAT("*",Table13[[#Headers],[Family]],"*")),1,0)</f>
        <v>0</v>
      </c>
      <c r="Q44">
        <f>IF(COUNTIF($E44, _xlfn.CONCAT("*",Table13[[#Headers],[Fantasy]],"*")),1,0)</f>
        <v>0</v>
      </c>
      <c r="R44">
        <f>IF(COUNTIF($E44, _xlfn.CONCAT("*",Table13[[#Headers],[History]],"*")),1,0)</f>
        <v>0</v>
      </c>
      <c r="S44">
        <f>IF(COUNTIF($E44, _xlfn.CONCAT("*",Table13[[#Headers],[Horror]],"*")),1,0)</f>
        <v>0</v>
      </c>
      <c r="T44">
        <f>IF(COUNTIF($E44, _xlfn.CONCAT("*",Table13[[#Headers],[Music]],"*")),1,0)</f>
        <v>0</v>
      </c>
      <c r="U44">
        <f>IF(COUNTIF($E44, _xlfn.CONCAT("*",Table13[[#Headers],[Mystery]],"*")),1,0)</f>
        <v>0</v>
      </c>
      <c r="V44">
        <f>IF(COUNTIF($E44, _xlfn.CONCAT("*",Table13[[#Headers],[Romance]],"*")),1,0)</f>
        <v>0</v>
      </c>
      <c r="W44">
        <f>IF(COUNTIF($E44, _xlfn.CONCAT("*",Table13[[#Headers],[Science Fiction]],"*")),1,0)</f>
        <v>0</v>
      </c>
      <c r="X44">
        <f>IF(COUNTIF($E44, _xlfn.CONCAT("*",Table13[[#Headers],[TV Movie]],"*")),1,0)</f>
        <v>0</v>
      </c>
      <c r="Y44">
        <f>IF(COUNTIF($E44, _xlfn.CONCAT("*",Table13[[#Headers],[Thriller]],"*")),1,0)</f>
        <v>0</v>
      </c>
      <c r="Z44">
        <f>IF(COUNTIF($E44, _xlfn.CONCAT("*",Table13[[#Headers],[War]],"*")),1,0)</f>
        <v>0</v>
      </c>
      <c r="AA44">
        <f>IF(COUNTIF($E44, _xlfn.CONCAT("*",Table13[[#Headers],[Western]],"*")),1,0)</f>
        <v>0</v>
      </c>
    </row>
    <row r="45" spans="1:27">
      <c r="A45" t="s">
        <v>76</v>
      </c>
      <c r="B45">
        <v>221</v>
      </c>
      <c r="C45">
        <f>MAX(Table13[Rank])-Table13[[#This Row],[Rank]]</f>
        <v>43</v>
      </c>
      <c r="D45" t="s">
        <v>7</v>
      </c>
      <c r="E45" t="s">
        <v>35</v>
      </c>
      <c r="F45" s="1">
        <v>16765</v>
      </c>
      <c r="G45">
        <f>YEAR(Table13[[#This Row],[Date]])</f>
        <v>1945</v>
      </c>
      <c r="H45" t="s">
        <v>76</v>
      </c>
      <c r="I45">
        <f>IF(COUNTIF($E45, _xlfn.CONCAT("*",Table13[[#Headers],[Action]],"*")),1,0)</f>
        <v>0</v>
      </c>
      <c r="J45">
        <f>IF(COUNTIF($E45, _xlfn.CONCAT("*",Table13[[#Headers],[Adventure]],"*")),1,0)</f>
        <v>0</v>
      </c>
      <c r="K45">
        <f>IF(COUNTIF($E45, _xlfn.CONCAT("*",Table13[[#Headers],[Animation]],"*")),1,0)</f>
        <v>0</v>
      </c>
      <c r="L45">
        <f>IF(COUNTIF($E45, _xlfn.CONCAT("*",Table13[[#Headers],[Comedy]],"*")),1,0)</f>
        <v>0</v>
      </c>
      <c r="M45">
        <f>IF(COUNTIF($E45, _xlfn.CONCAT("*",Table13[[#Headers],[Crime]],"*")),1,0)</f>
        <v>0</v>
      </c>
      <c r="N45">
        <f>IF(COUNTIF($E45, _xlfn.CONCAT("*",Table13[[#Headers],[Documentary]],"*")),1,0)</f>
        <v>0</v>
      </c>
      <c r="O45">
        <f>IF(COUNTIF($E45, _xlfn.CONCAT("*",Table13[[#Headers],[Drama]],"*")),1,0)</f>
        <v>1</v>
      </c>
      <c r="P45">
        <f>IF(COUNTIF($E45, _xlfn.CONCAT("*",Table13[[#Headers],[Family]],"*")),1,0)</f>
        <v>0</v>
      </c>
      <c r="Q45">
        <f>IF(COUNTIF($E45, _xlfn.CONCAT("*",Table13[[#Headers],[Fantasy]],"*")),1,0)</f>
        <v>0</v>
      </c>
      <c r="R45">
        <f>IF(COUNTIF($E45, _xlfn.CONCAT("*",Table13[[#Headers],[History]],"*")),1,0)</f>
        <v>0</v>
      </c>
      <c r="S45">
        <f>IF(COUNTIF($E45, _xlfn.CONCAT("*",Table13[[#Headers],[Horror]],"*")),1,0)</f>
        <v>0</v>
      </c>
      <c r="T45">
        <f>IF(COUNTIF($E45, _xlfn.CONCAT("*",Table13[[#Headers],[Music]],"*")),1,0)</f>
        <v>0</v>
      </c>
      <c r="U45">
        <f>IF(COUNTIF($E45, _xlfn.CONCAT("*",Table13[[#Headers],[Mystery]],"*")),1,0)</f>
        <v>0</v>
      </c>
      <c r="V45">
        <f>IF(COUNTIF($E45, _xlfn.CONCAT("*",Table13[[#Headers],[Romance]],"*")),1,0)</f>
        <v>1</v>
      </c>
      <c r="W45">
        <f>IF(COUNTIF($E45, _xlfn.CONCAT("*",Table13[[#Headers],[Science Fiction]],"*")),1,0)</f>
        <v>0</v>
      </c>
      <c r="X45">
        <f>IF(COUNTIF($E45, _xlfn.CONCAT("*",Table13[[#Headers],[TV Movie]],"*")),1,0)</f>
        <v>0</v>
      </c>
      <c r="Y45">
        <f>IF(COUNTIF($E45, _xlfn.CONCAT("*",Table13[[#Headers],[Thriller]],"*")),1,0)</f>
        <v>0</v>
      </c>
      <c r="Z45">
        <f>IF(COUNTIF($E45, _xlfn.CONCAT("*",Table13[[#Headers],[War]],"*")),1,0)</f>
        <v>0</v>
      </c>
      <c r="AA45">
        <f>IF(COUNTIF($E45, _xlfn.CONCAT("*",Table13[[#Headers],[Western]],"*")),1,0)</f>
        <v>0</v>
      </c>
    </row>
    <row r="46" spans="1:27">
      <c r="A46" t="s">
        <v>77</v>
      </c>
      <c r="B46">
        <v>220</v>
      </c>
      <c r="C46">
        <f>MAX(Table13[Rank])-Table13[[#This Row],[Rank]]</f>
        <v>44</v>
      </c>
      <c r="D46" t="s">
        <v>7</v>
      </c>
      <c r="E46" t="s">
        <v>29</v>
      </c>
      <c r="F46" s="1">
        <v>28157</v>
      </c>
      <c r="G46">
        <f>YEAR(Table13[[#This Row],[Date]])</f>
        <v>1977</v>
      </c>
      <c r="H46" t="s">
        <v>77</v>
      </c>
      <c r="I46">
        <f>IF(COUNTIF($E46, _xlfn.CONCAT("*",Table13[[#Headers],[Action]],"*")),1,0)</f>
        <v>0</v>
      </c>
      <c r="J46">
        <f>IF(COUNTIF($E46, _xlfn.CONCAT("*",Table13[[#Headers],[Adventure]],"*")),1,0)</f>
        <v>0</v>
      </c>
      <c r="K46">
        <f>IF(COUNTIF($E46, _xlfn.CONCAT("*",Table13[[#Headers],[Animation]],"*")),1,0)</f>
        <v>0</v>
      </c>
      <c r="L46">
        <f>IF(COUNTIF($E46, _xlfn.CONCAT("*",Table13[[#Headers],[Comedy]],"*")),1,0)</f>
        <v>0</v>
      </c>
      <c r="M46">
        <f>IF(COUNTIF($E46, _xlfn.CONCAT("*",Table13[[#Headers],[Crime]],"*")),1,0)</f>
        <v>0</v>
      </c>
      <c r="N46">
        <f>IF(COUNTIF($E46, _xlfn.CONCAT("*",Table13[[#Headers],[Documentary]],"*")),1,0)</f>
        <v>0</v>
      </c>
      <c r="O46">
        <f>IF(COUNTIF($E46, _xlfn.CONCAT("*",Table13[[#Headers],[Drama]],"*")),1,0)</f>
        <v>0</v>
      </c>
      <c r="P46">
        <f>IF(COUNTIF($E46, _xlfn.CONCAT("*",Table13[[#Headers],[Family]],"*")),1,0)</f>
        <v>0</v>
      </c>
      <c r="Q46">
        <f>IF(COUNTIF($E46, _xlfn.CONCAT("*",Table13[[#Headers],[Fantasy]],"*")),1,0)</f>
        <v>0</v>
      </c>
      <c r="R46">
        <f>IF(COUNTIF($E46, _xlfn.CONCAT("*",Table13[[#Headers],[History]],"*")),1,0)</f>
        <v>0</v>
      </c>
      <c r="S46">
        <f>IF(COUNTIF($E46, _xlfn.CONCAT("*",Table13[[#Headers],[Horror]],"*")),1,0)</f>
        <v>1</v>
      </c>
      <c r="T46">
        <f>IF(COUNTIF($E46, _xlfn.CONCAT("*",Table13[[#Headers],[Music]],"*")),1,0)</f>
        <v>0</v>
      </c>
      <c r="U46">
        <f>IF(COUNTIF($E46, _xlfn.CONCAT("*",Table13[[#Headers],[Mystery]],"*")),1,0)</f>
        <v>0</v>
      </c>
      <c r="V46">
        <f>IF(COUNTIF($E46, _xlfn.CONCAT("*",Table13[[#Headers],[Romance]],"*")),1,0)</f>
        <v>0</v>
      </c>
      <c r="W46">
        <f>IF(COUNTIF($E46, _xlfn.CONCAT("*",Table13[[#Headers],[Science Fiction]],"*")),1,0)</f>
        <v>0</v>
      </c>
      <c r="X46">
        <f>IF(COUNTIF($E46, _xlfn.CONCAT("*",Table13[[#Headers],[TV Movie]],"*")),1,0)</f>
        <v>0</v>
      </c>
      <c r="Y46">
        <f>IF(COUNTIF($E46, _xlfn.CONCAT("*",Table13[[#Headers],[Thriller]],"*")),1,0)</f>
        <v>0</v>
      </c>
      <c r="Z46">
        <f>IF(COUNTIF($E46, _xlfn.CONCAT("*",Table13[[#Headers],[War]],"*")),1,0)</f>
        <v>0</v>
      </c>
      <c r="AA46">
        <f>IF(COUNTIF($E46, _xlfn.CONCAT("*",Table13[[#Headers],[Western]],"*")),1,0)</f>
        <v>0</v>
      </c>
    </row>
    <row r="47" spans="1:27">
      <c r="A47" t="s">
        <v>78</v>
      </c>
      <c r="B47">
        <v>219</v>
      </c>
      <c r="C47">
        <f>MAX(Table13[Rank])-Table13[[#This Row],[Rank]]</f>
        <v>45</v>
      </c>
      <c r="D47" t="s">
        <v>7</v>
      </c>
      <c r="E47" t="s">
        <v>79</v>
      </c>
      <c r="F47" s="1">
        <v>18400</v>
      </c>
      <c r="G47">
        <f>YEAR(Table13[[#This Row],[Date]])</f>
        <v>1950</v>
      </c>
      <c r="H47" t="s">
        <v>78</v>
      </c>
      <c r="I47">
        <f>IF(COUNTIF($E47, _xlfn.CONCAT("*",Table13[[#Headers],[Action]],"*")),1,0)</f>
        <v>0</v>
      </c>
      <c r="J47">
        <f>IF(COUNTIF($E47, _xlfn.CONCAT("*",Table13[[#Headers],[Adventure]],"*")),1,0)</f>
        <v>0</v>
      </c>
      <c r="K47">
        <f>IF(COUNTIF($E47, _xlfn.CONCAT("*",Table13[[#Headers],[Animation]],"*")),1,0)</f>
        <v>0</v>
      </c>
      <c r="L47">
        <f>IF(COUNTIF($E47, _xlfn.CONCAT("*",Table13[[#Headers],[Comedy]],"*")),1,0)</f>
        <v>0</v>
      </c>
      <c r="M47">
        <f>IF(COUNTIF($E47, _xlfn.CONCAT("*",Table13[[#Headers],[Crime]],"*")),1,0)</f>
        <v>1</v>
      </c>
      <c r="N47">
        <f>IF(COUNTIF($E47, _xlfn.CONCAT("*",Table13[[#Headers],[Documentary]],"*")),1,0)</f>
        <v>0</v>
      </c>
      <c r="O47">
        <f>IF(COUNTIF($E47, _xlfn.CONCAT("*",Table13[[#Headers],[Drama]],"*")),1,0)</f>
        <v>1</v>
      </c>
      <c r="P47">
        <f>IF(COUNTIF($E47, _xlfn.CONCAT("*",Table13[[#Headers],[Family]],"*")),1,0)</f>
        <v>0</v>
      </c>
      <c r="Q47">
        <f>IF(COUNTIF($E47, _xlfn.CONCAT("*",Table13[[#Headers],[Fantasy]],"*")),1,0)</f>
        <v>0</v>
      </c>
      <c r="R47">
        <f>IF(COUNTIF($E47, _xlfn.CONCAT("*",Table13[[#Headers],[History]],"*")),1,0)</f>
        <v>0</v>
      </c>
      <c r="S47">
        <f>IF(COUNTIF($E47, _xlfn.CONCAT("*",Table13[[#Headers],[Horror]],"*")),1,0)</f>
        <v>0</v>
      </c>
      <c r="T47">
        <f>IF(COUNTIF($E47, _xlfn.CONCAT("*",Table13[[#Headers],[Music]],"*")),1,0)</f>
        <v>0</v>
      </c>
      <c r="U47">
        <f>IF(COUNTIF($E47, _xlfn.CONCAT("*",Table13[[#Headers],[Mystery]],"*")),1,0)</f>
        <v>1</v>
      </c>
      <c r="V47">
        <f>IF(COUNTIF($E47, _xlfn.CONCAT("*",Table13[[#Headers],[Romance]],"*")),1,0)</f>
        <v>1</v>
      </c>
      <c r="W47">
        <f>IF(COUNTIF($E47, _xlfn.CONCAT("*",Table13[[#Headers],[Science Fiction]],"*")),1,0)</f>
        <v>0</v>
      </c>
      <c r="X47">
        <f>IF(COUNTIF($E47, _xlfn.CONCAT("*",Table13[[#Headers],[TV Movie]],"*")),1,0)</f>
        <v>0</v>
      </c>
      <c r="Y47">
        <f>IF(COUNTIF($E47, _xlfn.CONCAT("*",Table13[[#Headers],[Thriller]],"*")),1,0)</f>
        <v>1</v>
      </c>
      <c r="Z47">
        <f>IF(COUNTIF($E47, _xlfn.CONCAT("*",Table13[[#Headers],[War]],"*")),1,0)</f>
        <v>0</v>
      </c>
      <c r="AA47">
        <f>IF(COUNTIF($E47, _xlfn.CONCAT("*",Table13[[#Headers],[Western]],"*")),1,0)</f>
        <v>0</v>
      </c>
    </row>
    <row r="48" spans="1:27">
      <c r="A48" t="s">
        <v>80</v>
      </c>
      <c r="B48">
        <v>218</v>
      </c>
      <c r="C48">
        <f>MAX(Table13[Rank])-Table13[[#This Row],[Rank]]</f>
        <v>46</v>
      </c>
      <c r="D48" t="s">
        <v>7</v>
      </c>
      <c r="E48" t="s">
        <v>81</v>
      </c>
      <c r="F48" s="1">
        <v>28832</v>
      </c>
      <c r="G48">
        <f>YEAR(Table13[[#This Row],[Date]])</f>
        <v>1978</v>
      </c>
      <c r="H48" t="s">
        <v>80</v>
      </c>
      <c r="I48">
        <f>IF(COUNTIF($E48, _xlfn.CONCAT("*",Table13[[#Headers],[Action]],"*")),1,0)</f>
        <v>0</v>
      </c>
      <c r="J48">
        <f>IF(COUNTIF($E48, _xlfn.CONCAT("*",Table13[[#Headers],[Adventure]],"*")),1,0)</f>
        <v>0</v>
      </c>
      <c r="K48">
        <f>IF(COUNTIF($E48, _xlfn.CONCAT("*",Table13[[#Headers],[Animation]],"*")),1,0)</f>
        <v>0</v>
      </c>
      <c r="L48">
        <f>IF(COUNTIF($E48, _xlfn.CONCAT("*",Table13[[#Headers],[Comedy]],"*")),1,0)</f>
        <v>0</v>
      </c>
      <c r="M48">
        <f>IF(COUNTIF($E48, _xlfn.CONCAT("*",Table13[[#Headers],[Crime]],"*")),1,0)</f>
        <v>0</v>
      </c>
      <c r="N48">
        <f>IF(COUNTIF($E48, _xlfn.CONCAT("*",Table13[[#Headers],[Documentary]],"*")),1,0)</f>
        <v>0</v>
      </c>
      <c r="O48">
        <f>IF(COUNTIF($E48, _xlfn.CONCAT("*",Table13[[#Headers],[Drama]],"*")),1,0)</f>
        <v>1</v>
      </c>
      <c r="P48">
        <f>IF(COUNTIF($E48, _xlfn.CONCAT("*",Table13[[#Headers],[Family]],"*")),1,0)</f>
        <v>0</v>
      </c>
      <c r="Q48">
        <f>IF(COUNTIF($E48, _xlfn.CONCAT("*",Table13[[#Headers],[Fantasy]],"*")),1,0)</f>
        <v>0</v>
      </c>
      <c r="R48">
        <f>IF(COUNTIF($E48, _xlfn.CONCAT("*",Table13[[#Headers],[History]],"*")),1,0)</f>
        <v>0</v>
      </c>
      <c r="S48">
        <f>IF(COUNTIF($E48, _xlfn.CONCAT("*",Table13[[#Headers],[Horror]],"*")),1,0)</f>
        <v>0</v>
      </c>
      <c r="T48">
        <f>IF(COUNTIF($E48, _xlfn.CONCAT("*",Table13[[#Headers],[Music]],"*")),1,0)</f>
        <v>0</v>
      </c>
      <c r="U48">
        <f>IF(COUNTIF($E48, _xlfn.CONCAT("*",Table13[[#Headers],[Mystery]],"*")),1,0)</f>
        <v>0</v>
      </c>
      <c r="V48">
        <f>IF(COUNTIF($E48, _xlfn.CONCAT("*",Table13[[#Headers],[Romance]],"*")),1,0)</f>
        <v>0</v>
      </c>
      <c r="W48">
        <f>IF(COUNTIF($E48, _xlfn.CONCAT("*",Table13[[#Headers],[Science Fiction]],"*")),1,0)</f>
        <v>0</v>
      </c>
      <c r="X48">
        <f>IF(COUNTIF($E48, _xlfn.CONCAT("*",Table13[[#Headers],[TV Movie]],"*")),1,0)</f>
        <v>0</v>
      </c>
      <c r="Y48">
        <f>IF(COUNTIF($E48, _xlfn.CONCAT("*",Table13[[#Headers],[Thriller]],"*")),1,0)</f>
        <v>0</v>
      </c>
      <c r="Z48">
        <f>IF(COUNTIF($E48, _xlfn.CONCAT("*",Table13[[#Headers],[War]],"*")),1,0)</f>
        <v>1</v>
      </c>
      <c r="AA48">
        <f>IF(COUNTIF($E48, _xlfn.CONCAT("*",Table13[[#Headers],[Western]],"*")),1,0)</f>
        <v>0</v>
      </c>
    </row>
    <row r="49" spans="1:27">
      <c r="A49" t="s">
        <v>82</v>
      </c>
      <c r="B49">
        <v>217</v>
      </c>
      <c r="C49">
        <f>MAX(Table13[Rank])-Table13[[#This Row],[Rank]]</f>
        <v>47</v>
      </c>
      <c r="D49" t="s">
        <v>7</v>
      </c>
      <c r="E49" t="s">
        <v>83</v>
      </c>
      <c r="F49" s="1">
        <v>25456</v>
      </c>
      <c r="G49">
        <f>YEAR(Table13[[#This Row],[Date]])</f>
        <v>1969</v>
      </c>
      <c r="H49" t="s">
        <v>82</v>
      </c>
      <c r="I49">
        <f>IF(COUNTIF($E49, _xlfn.CONCAT("*",Table13[[#Headers],[Action]],"*")),1,0)</f>
        <v>0</v>
      </c>
      <c r="J49">
        <f>IF(COUNTIF($E49, _xlfn.CONCAT("*",Table13[[#Headers],[Adventure]],"*")),1,0)</f>
        <v>0</v>
      </c>
      <c r="K49">
        <f>IF(COUNTIF($E49, _xlfn.CONCAT("*",Table13[[#Headers],[Animation]],"*")),1,0)</f>
        <v>0</v>
      </c>
      <c r="L49">
        <f>IF(COUNTIF($E49, _xlfn.CONCAT("*",Table13[[#Headers],[Comedy]],"*")),1,0)</f>
        <v>0</v>
      </c>
      <c r="M49">
        <f>IF(COUNTIF($E49, _xlfn.CONCAT("*",Table13[[#Headers],[Crime]],"*")),1,0)</f>
        <v>0</v>
      </c>
      <c r="N49">
        <f>IF(COUNTIF($E49, _xlfn.CONCAT("*",Table13[[#Headers],[Documentary]],"*")),1,0)</f>
        <v>0</v>
      </c>
      <c r="O49">
        <f>IF(COUNTIF($E49, _xlfn.CONCAT("*",Table13[[#Headers],[Drama]],"*")),1,0)</f>
        <v>1</v>
      </c>
      <c r="P49">
        <f>IF(COUNTIF($E49, _xlfn.CONCAT("*",Table13[[#Headers],[Family]],"*")),1,0)</f>
        <v>0</v>
      </c>
      <c r="Q49">
        <f>IF(COUNTIF($E49, _xlfn.CONCAT("*",Table13[[#Headers],[Fantasy]],"*")),1,0)</f>
        <v>0</v>
      </c>
      <c r="R49">
        <f>IF(COUNTIF($E49, _xlfn.CONCAT("*",Table13[[#Headers],[History]],"*")),1,0)</f>
        <v>0</v>
      </c>
      <c r="S49">
        <f>IF(COUNTIF($E49, _xlfn.CONCAT("*",Table13[[#Headers],[Horror]],"*")),1,0)</f>
        <v>0</v>
      </c>
      <c r="T49">
        <f>IF(COUNTIF($E49, _xlfn.CONCAT("*",Table13[[#Headers],[Music]],"*")),1,0)</f>
        <v>0</v>
      </c>
      <c r="U49">
        <f>IF(COUNTIF($E49, _xlfn.CONCAT("*",Table13[[#Headers],[Mystery]],"*")),1,0)</f>
        <v>0</v>
      </c>
      <c r="V49">
        <f>IF(COUNTIF($E49, _xlfn.CONCAT("*",Table13[[#Headers],[Romance]],"*")),1,0)</f>
        <v>0</v>
      </c>
      <c r="W49">
        <f>IF(COUNTIF($E49, _xlfn.CONCAT("*",Table13[[#Headers],[Science Fiction]],"*")),1,0)</f>
        <v>0</v>
      </c>
      <c r="X49">
        <f>IF(COUNTIF($E49, _xlfn.CONCAT("*",Table13[[#Headers],[TV Movie]],"*")),1,0)</f>
        <v>0</v>
      </c>
      <c r="Y49">
        <f>IF(COUNTIF($E49, _xlfn.CONCAT("*",Table13[[#Headers],[Thriller]],"*")),1,0)</f>
        <v>1</v>
      </c>
      <c r="Z49">
        <f>IF(COUNTIF($E49, _xlfn.CONCAT("*",Table13[[#Headers],[War]],"*")),1,0)</f>
        <v>1</v>
      </c>
      <c r="AA49">
        <f>IF(COUNTIF($E49, _xlfn.CONCAT("*",Table13[[#Headers],[Western]],"*")),1,0)</f>
        <v>0</v>
      </c>
    </row>
    <row r="50" spans="1:27">
      <c r="A50" t="s">
        <v>84</v>
      </c>
      <c r="B50">
        <v>216</v>
      </c>
      <c r="C50">
        <f>MAX(Table13[Rank])-Table13[[#This Row],[Rank]]</f>
        <v>48</v>
      </c>
      <c r="D50" t="s">
        <v>7</v>
      </c>
      <c r="E50" t="s">
        <v>8</v>
      </c>
      <c r="F50" s="1">
        <v>40689</v>
      </c>
      <c r="G50">
        <f>YEAR(Table13[[#This Row],[Date]])</f>
        <v>2011</v>
      </c>
      <c r="H50" t="s">
        <v>84</v>
      </c>
      <c r="I50">
        <f>IF(COUNTIF($E50, _xlfn.CONCAT("*",Table13[[#Headers],[Action]],"*")),1,0)</f>
        <v>0</v>
      </c>
      <c r="J50">
        <f>IF(COUNTIF($E50, _xlfn.CONCAT("*",Table13[[#Headers],[Adventure]],"*")),1,0)</f>
        <v>0</v>
      </c>
      <c r="K50">
        <f>IF(COUNTIF($E50, _xlfn.CONCAT("*",Table13[[#Headers],[Animation]],"*")),1,0)</f>
        <v>0</v>
      </c>
      <c r="L50">
        <f>IF(COUNTIF($E50, _xlfn.CONCAT("*",Table13[[#Headers],[Comedy]],"*")),1,0)</f>
        <v>0</v>
      </c>
      <c r="M50">
        <f>IF(COUNTIF($E50, _xlfn.CONCAT("*",Table13[[#Headers],[Crime]],"*")),1,0)</f>
        <v>0</v>
      </c>
      <c r="N50">
        <f>IF(COUNTIF($E50, _xlfn.CONCAT("*",Table13[[#Headers],[Documentary]],"*")),1,0)</f>
        <v>0</v>
      </c>
      <c r="O50">
        <f>IF(COUNTIF($E50, _xlfn.CONCAT("*",Table13[[#Headers],[Drama]],"*")),1,0)</f>
        <v>1</v>
      </c>
      <c r="P50">
        <f>IF(COUNTIF($E50, _xlfn.CONCAT("*",Table13[[#Headers],[Family]],"*")),1,0)</f>
        <v>0</v>
      </c>
      <c r="Q50">
        <f>IF(COUNTIF($E50, _xlfn.CONCAT("*",Table13[[#Headers],[Fantasy]],"*")),1,0)</f>
        <v>0</v>
      </c>
      <c r="R50">
        <f>IF(COUNTIF($E50, _xlfn.CONCAT("*",Table13[[#Headers],[History]],"*")),1,0)</f>
        <v>0</v>
      </c>
      <c r="S50">
        <f>IF(COUNTIF($E50, _xlfn.CONCAT("*",Table13[[#Headers],[Horror]],"*")),1,0)</f>
        <v>0</v>
      </c>
      <c r="T50">
        <f>IF(COUNTIF($E50, _xlfn.CONCAT("*",Table13[[#Headers],[Music]],"*")),1,0)</f>
        <v>0</v>
      </c>
      <c r="U50">
        <f>IF(COUNTIF($E50, _xlfn.CONCAT("*",Table13[[#Headers],[Mystery]],"*")),1,0)</f>
        <v>0</v>
      </c>
      <c r="V50">
        <f>IF(COUNTIF($E50, _xlfn.CONCAT("*",Table13[[#Headers],[Romance]],"*")),1,0)</f>
        <v>0</v>
      </c>
      <c r="W50">
        <f>IF(COUNTIF($E50, _xlfn.CONCAT("*",Table13[[#Headers],[Science Fiction]],"*")),1,0)</f>
        <v>1</v>
      </c>
      <c r="X50">
        <f>IF(COUNTIF($E50, _xlfn.CONCAT("*",Table13[[#Headers],[TV Movie]],"*")),1,0)</f>
        <v>0</v>
      </c>
      <c r="Y50">
        <f>IF(COUNTIF($E50, _xlfn.CONCAT("*",Table13[[#Headers],[Thriller]],"*")),1,0)</f>
        <v>0</v>
      </c>
      <c r="Z50">
        <f>IF(COUNTIF($E50, _xlfn.CONCAT("*",Table13[[#Headers],[War]],"*")),1,0)</f>
        <v>0</v>
      </c>
      <c r="AA50">
        <f>IF(COUNTIF($E50, _xlfn.CONCAT("*",Table13[[#Headers],[Western]],"*")),1,0)</f>
        <v>0</v>
      </c>
    </row>
    <row r="51" spans="1:27">
      <c r="A51" t="s">
        <v>85</v>
      </c>
      <c r="B51">
        <v>215</v>
      </c>
      <c r="C51">
        <f>MAX(Table13[Rank])-Table13[[#This Row],[Rank]]</f>
        <v>49</v>
      </c>
      <c r="D51" t="s">
        <v>7</v>
      </c>
      <c r="E51" t="s">
        <v>17</v>
      </c>
      <c r="F51" s="1">
        <v>31019</v>
      </c>
      <c r="G51">
        <f>YEAR(Table13[[#This Row],[Date]])</f>
        <v>1984</v>
      </c>
      <c r="H51" t="s">
        <v>85</v>
      </c>
      <c r="I51">
        <f>IF(COUNTIF($E51, _xlfn.CONCAT("*",Table13[[#Headers],[Action]],"*")),1,0)</f>
        <v>0</v>
      </c>
      <c r="J51">
        <f>IF(COUNTIF($E51, _xlfn.CONCAT("*",Table13[[#Headers],[Adventure]],"*")),1,0)</f>
        <v>0</v>
      </c>
      <c r="K51">
        <f>IF(COUNTIF($E51, _xlfn.CONCAT("*",Table13[[#Headers],[Animation]],"*")),1,0)</f>
        <v>0</v>
      </c>
      <c r="L51">
        <f>IF(COUNTIF($E51, _xlfn.CONCAT("*",Table13[[#Headers],[Comedy]],"*")),1,0)</f>
        <v>0</v>
      </c>
      <c r="M51">
        <f>IF(COUNTIF($E51, _xlfn.CONCAT("*",Table13[[#Headers],[Crime]],"*")),1,0)</f>
        <v>0</v>
      </c>
      <c r="N51">
        <f>IF(COUNTIF($E51, _xlfn.CONCAT("*",Table13[[#Headers],[Documentary]],"*")),1,0)</f>
        <v>1</v>
      </c>
      <c r="O51">
        <f>IF(COUNTIF($E51, _xlfn.CONCAT("*",Table13[[#Headers],[Drama]],"*")),1,0)</f>
        <v>0</v>
      </c>
      <c r="P51">
        <f>IF(COUNTIF($E51, _xlfn.CONCAT("*",Table13[[#Headers],[Family]],"*")),1,0)</f>
        <v>0</v>
      </c>
      <c r="Q51">
        <f>IF(COUNTIF($E51, _xlfn.CONCAT("*",Table13[[#Headers],[Fantasy]],"*")),1,0)</f>
        <v>0</v>
      </c>
      <c r="R51">
        <f>IF(COUNTIF($E51, _xlfn.CONCAT("*",Table13[[#Headers],[History]],"*")),1,0)</f>
        <v>0</v>
      </c>
      <c r="S51">
        <f>IF(COUNTIF($E51, _xlfn.CONCAT("*",Table13[[#Headers],[Horror]],"*")),1,0)</f>
        <v>0</v>
      </c>
      <c r="T51">
        <f>IF(COUNTIF($E51, _xlfn.CONCAT("*",Table13[[#Headers],[Music]],"*")),1,0)</f>
        <v>0</v>
      </c>
      <c r="U51">
        <f>IF(COUNTIF($E51, _xlfn.CONCAT("*",Table13[[#Headers],[Mystery]],"*")),1,0)</f>
        <v>0</v>
      </c>
      <c r="V51">
        <f>IF(COUNTIF($E51, _xlfn.CONCAT("*",Table13[[#Headers],[Romance]],"*")),1,0)</f>
        <v>0</v>
      </c>
      <c r="W51">
        <f>IF(COUNTIF($E51, _xlfn.CONCAT("*",Table13[[#Headers],[Science Fiction]],"*")),1,0)</f>
        <v>0</v>
      </c>
      <c r="X51">
        <f>IF(COUNTIF($E51, _xlfn.CONCAT("*",Table13[[#Headers],[TV Movie]],"*")),1,0)</f>
        <v>0</v>
      </c>
      <c r="Y51">
        <f>IF(COUNTIF($E51, _xlfn.CONCAT("*",Table13[[#Headers],[Thriller]],"*")),1,0)</f>
        <v>0</v>
      </c>
      <c r="Z51">
        <f>IF(COUNTIF($E51, _xlfn.CONCAT("*",Table13[[#Headers],[War]],"*")),1,0)</f>
        <v>0</v>
      </c>
      <c r="AA51">
        <f>IF(COUNTIF($E51, _xlfn.CONCAT("*",Table13[[#Headers],[Western]],"*")),1,0)</f>
        <v>0</v>
      </c>
    </row>
    <row r="52" spans="1:27">
      <c r="A52" t="s">
        <v>86</v>
      </c>
      <c r="B52">
        <v>214</v>
      </c>
      <c r="C52">
        <f>MAX(Table13[Rank])-Table13[[#This Row],[Rank]]</f>
        <v>50</v>
      </c>
      <c r="D52" t="s">
        <v>7</v>
      </c>
      <c r="E52" t="s">
        <v>87</v>
      </c>
      <c r="F52" s="1">
        <v>33758</v>
      </c>
      <c r="G52">
        <f>YEAR(Table13[[#This Row],[Date]])</f>
        <v>1992</v>
      </c>
      <c r="H52" t="s">
        <v>86</v>
      </c>
      <c r="I52">
        <f>IF(COUNTIF($E52, _xlfn.CONCAT("*",Table13[[#Headers],[Action]],"*")),1,0)</f>
        <v>0</v>
      </c>
      <c r="J52">
        <f>IF(COUNTIF($E52, _xlfn.CONCAT("*",Table13[[#Headers],[Adventure]],"*")),1,0)</f>
        <v>0</v>
      </c>
      <c r="K52">
        <f>IF(COUNTIF($E52, _xlfn.CONCAT("*",Table13[[#Headers],[Animation]],"*")),1,0)</f>
        <v>0</v>
      </c>
      <c r="L52">
        <f>IF(COUNTIF($E52, _xlfn.CONCAT("*",Table13[[#Headers],[Comedy]],"*")),1,0)</f>
        <v>0</v>
      </c>
      <c r="M52">
        <f>IF(COUNTIF($E52, _xlfn.CONCAT("*",Table13[[#Headers],[Crime]],"*")),1,0)</f>
        <v>0</v>
      </c>
      <c r="N52">
        <f>IF(COUNTIF($E52, _xlfn.CONCAT("*",Table13[[#Headers],[Documentary]],"*")),1,0)</f>
        <v>0</v>
      </c>
      <c r="O52">
        <f>IF(COUNTIF($E52, _xlfn.CONCAT("*",Table13[[#Headers],[Drama]],"*")),1,0)</f>
        <v>1</v>
      </c>
      <c r="P52">
        <f>IF(COUNTIF($E52, _xlfn.CONCAT("*",Table13[[#Headers],[Family]],"*")),1,0)</f>
        <v>0</v>
      </c>
      <c r="Q52">
        <f>IF(COUNTIF($E52, _xlfn.CONCAT("*",Table13[[#Headers],[Fantasy]],"*")),1,0)</f>
        <v>0</v>
      </c>
      <c r="R52">
        <f>IF(COUNTIF($E52, _xlfn.CONCAT("*",Table13[[#Headers],[History]],"*")),1,0)</f>
        <v>0</v>
      </c>
      <c r="S52">
        <f>IF(COUNTIF($E52, _xlfn.CONCAT("*",Table13[[#Headers],[Horror]],"*")),1,0)</f>
        <v>1</v>
      </c>
      <c r="T52">
        <f>IF(COUNTIF($E52, _xlfn.CONCAT("*",Table13[[#Headers],[Music]],"*")),1,0)</f>
        <v>0</v>
      </c>
      <c r="U52">
        <f>IF(COUNTIF($E52, _xlfn.CONCAT("*",Table13[[#Headers],[Mystery]],"*")),1,0)</f>
        <v>1</v>
      </c>
      <c r="V52">
        <f>IF(COUNTIF($E52, _xlfn.CONCAT("*",Table13[[#Headers],[Romance]],"*")),1,0)</f>
        <v>0</v>
      </c>
      <c r="W52">
        <f>IF(COUNTIF($E52, _xlfn.CONCAT("*",Table13[[#Headers],[Science Fiction]],"*")),1,0)</f>
        <v>0</v>
      </c>
      <c r="X52">
        <f>IF(COUNTIF($E52, _xlfn.CONCAT("*",Table13[[#Headers],[TV Movie]],"*")),1,0)</f>
        <v>0</v>
      </c>
      <c r="Y52">
        <f>IF(COUNTIF($E52, _xlfn.CONCAT("*",Table13[[#Headers],[Thriller]],"*")),1,0)</f>
        <v>0</v>
      </c>
      <c r="Z52">
        <f>IF(COUNTIF($E52, _xlfn.CONCAT("*",Table13[[#Headers],[War]],"*")),1,0)</f>
        <v>0</v>
      </c>
      <c r="AA52">
        <f>IF(COUNTIF($E52, _xlfn.CONCAT("*",Table13[[#Headers],[Western]],"*")),1,0)</f>
        <v>0</v>
      </c>
    </row>
    <row r="53" spans="1:27">
      <c r="A53" t="s">
        <v>88</v>
      </c>
      <c r="B53">
        <v>213</v>
      </c>
      <c r="C53">
        <f>MAX(Table13[Rank])-Table13[[#This Row],[Rank]]</f>
        <v>51</v>
      </c>
      <c r="D53" t="s">
        <v>7</v>
      </c>
      <c r="E53" t="s">
        <v>89</v>
      </c>
      <c r="F53" s="1">
        <v>26375</v>
      </c>
      <c r="G53">
        <f>YEAR(Table13[[#This Row],[Date]])</f>
        <v>1972</v>
      </c>
      <c r="H53" t="s">
        <v>88</v>
      </c>
      <c r="I53">
        <f>IF(COUNTIF($E53, _xlfn.CONCAT("*",Table13[[#Headers],[Action]],"*")),1,0)</f>
        <v>0</v>
      </c>
      <c r="J53">
        <f>IF(COUNTIF($E53, _xlfn.CONCAT("*",Table13[[#Headers],[Adventure]],"*")),1,0)</f>
        <v>0</v>
      </c>
      <c r="K53">
        <f>IF(COUNTIF($E53, _xlfn.CONCAT("*",Table13[[#Headers],[Animation]],"*")),1,0)</f>
        <v>0</v>
      </c>
      <c r="L53">
        <f>IF(COUNTIF($E53, _xlfn.CONCAT("*",Table13[[#Headers],[Comedy]],"*")),1,0)</f>
        <v>1</v>
      </c>
      <c r="M53">
        <f>IF(COUNTIF($E53, _xlfn.CONCAT("*",Table13[[#Headers],[Crime]],"*")),1,0)</f>
        <v>1</v>
      </c>
      <c r="N53">
        <f>IF(COUNTIF($E53, _xlfn.CONCAT("*",Table13[[#Headers],[Documentary]],"*")),1,0)</f>
        <v>0</v>
      </c>
      <c r="O53">
        <f>IF(COUNTIF($E53, _xlfn.CONCAT("*",Table13[[#Headers],[Drama]],"*")),1,0)</f>
        <v>0</v>
      </c>
      <c r="P53">
        <f>IF(COUNTIF($E53, _xlfn.CONCAT("*",Table13[[#Headers],[Family]],"*")),1,0)</f>
        <v>0</v>
      </c>
      <c r="Q53">
        <f>IF(COUNTIF($E53, _xlfn.CONCAT("*",Table13[[#Headers],[Fantasy]],"*")),1,0)</f>
        <v>0</v>
      </c>
      <c r="R53">
        <f>IF(COUNTIF($E53, _xlfn.CONCAT("*",Table13[[#Headers],[History]],"*")),1,0)</f>
        <v>0</v>
      </c>
      <c r="S53">
        <f>IF(COUNTIF($E53, _xlfn.CONCAT("*",Table13[[#Headers],[Horror]],"*")),1,0)</f>
        <v>1</v>
      </c>
      <c r="T53">
        <f>IF(COUNTIF($E53, _xlfn.CONCAT("*",Table13[[#Headers],[Music]],"*")),1,0)</f>
        <v>0</v>
      </c>
      <c r="U53">
        <f>IF(COUNTIF($E53, _xlfn.CONCAT("*",Table13[[#Headers],[Mystery]],"*")),1,0)</f>
        <v>0</v>
      </c>
      <c r="V53">
        <f>IF(COUNTIF($E53, _xlfn.CONCAT("*",Table13[[#Headers],[Romance]],"*")),1,0)</f>
        <v>0</v>
      </c>
      <c r="W53">
        <f>IF(COUNTIF($E53, _xlfn.CONCAT("*",Table13[[#Headers],[Science Fiction]],"*")),1,0)</f>
        <v>0</v>
      </c>
      <c r="X53">
        <f>IF(COUNTIF($E53, _xlfn.CONCAT("*",Table13[[#Headers],[TV Movie]],"*")),1,0)</f>
        <v>0</v>
      </c>
      <c r="Y53">
        <f>IF(COUNTIF($E53, _xlfn.CONCAT("*",Table13[[#Headers],[Thriller]],"*")),1,0)</f>
        <v>0</v>
      </c>
      <c r="Z53">
        <f>IF(COUNTIF($E53, _xlfn.CONCAT("*",Table13[[#Headers],[War]],"*")),1,0)</f>
        <v>0</v>
      </c>
      <c r="AA53">
        <f>IF(COUNTIF($E53, _xlfn.CONCAT("*",Table13[[#Headers],[Western]],"*")),1,0)</f>
        <v>0</v>
      </c>
    </row>
    <row r="54" spans="1:27">
      <c r="A54" t="s">
        <v>90</v>
      </c>
      <c r="B54">
        <v>212</v>
      </c>
      <c r="C54">
        <f>MAX(Table13[Rank])-Table13[[#This Row],[Rank]]</f>
        <v>52</v>
      </c>
      <c r="D54" t="s">
        <v>7</v>
      </c>
      <c r="E54" t="s">
        <v>91</v>
      </c>
      <c r="F54" s="1">
        <v>29749</v>
      </c>
      <c r="G54">
        <f>YEAR(Table13[[#This Row],[Date]])</f>
        <v>1981</v>
      </c>
      <c r="H54" t="s">
        <v>90</v>
      </c>
      <c r="I54">
        <f>IF(COUNTIF($E54, _xlfn.CONCAT("*",Table13[[#Headers],[Action]],"*")),1,0)</f>
        <v>1</v>
      </c>
      <c r="J54">
        <f>IF(COUNTIF($E54, _xlfn.CONCAT("*",Table13[[#Headers],[Adventure]],"*")),1,0)</f>
        <v>1</v>
      </c>
      <c r="K54">
        <f>IF(COUNTIF($E54, _xlfn.CONCAT("*",Table13[[#Headers],[Animation]],"*")),1,0)</f>
        <v>0</v>
      </c>
      <c r="L54">
        <f>IF(COUNTIF($E54, _xlfn.CONCAT("*",Table13[[#Headers],[Comedy]],"*")),1,0)</f>
        <v>0</v>
      </c>
      <c r="M54">
        <f>IF(COUNTIF($E54, _xlfn.CONCAT("*",Table13[[#Headers],[Crime]],"*")),1,0)</f>
        <v>0</v>
      </c>
      <c r="N54">
        <f>IF(COUNTIF($E54, _xlfn.CONCAT("*",Table13[[#Headers],[Documentary]],"*")),1,0)</f>
        <v>0</v>
      </c>
      <c r="O54">
        <f>IF(COUNTIF($E54, _xlfn.CONCAT("*",Table13[[#Headers],[Drama]],"*")),1,0)</f>
        <v>0</v>
      </c>
      <c r="P54">
        <f>IF(COUNTIF($E54, _xlfn.CONCAT("*",Table13[[#Headers],[Family]],"*")),1,0)</f>
        <v>0</v>
      </c>
      <c r="Q54">
        <f>IF(COUNTIF($E54, _xlfn.CONCAT("*",Table13[[#Headers],[Fantasy]],"*")),1,0)</f>
        <v>0</v>
      </c>
      <c r="R54">
        <f>IF(COUNTIF($E54, _xlfn.CONCAT("*",Table13[[#Headers],[History]],"*")),1,0)</f>
        <v>0</v>
      </c>
      <c r="S54">
        <f>IF(COUNTIF($E54, _xlfn.CONCAT("*",Table13[[#Headers],[Horror]],"*")),1,0)</f>
        <v>0</v>
      </c>
      <c r="T54">
        <f>IF(COUNTIF($E54, _xlfn.CONCAT("*",Table13[[#Headers],[Music]],"*")),1,0)</f>
        <v>0</v>
      </c>
      <c r="U54">
        <f>IF(COUNTIF($E54, _xlfn.CONCAT("*",Table13[[#Headers],[Mystery]],"*")),1,0)</f>
        <v>0</v>
      </c>
      <c r="V54">
        <f>IF(COUNTIF($E54, _xlfn.CONCAT("*",Table13[[#Headers],[Romance]],"*")),1,0)</f>
        <v>0</v>
      </c>
      <c r="W54">
        <f>IF(COUNTIF($E54, _xlfn.CONCAT("*",Table13[[#Headers],[Science Fiction]],"*")),1,0)</f>
        <v>0</v>
      </c>
      <c r="X54">
        <f>IF(COUNTIF($E54, _xlfn.CONCAT("*",Table13[[#Headers],[TV Movie]],"*")),1,0)</f>
        <v>0</v>
      </c>
      <c r="Y54">
        <f>IF(COUNTIF($E54, _xlfn.CONCAT("*",Table13[[#Headers],[Thriller]],"*")),1,0)</f>
        <v>0</v>
      </c>
      <c r="Z54">
        <f>IF(COUNTIF($E54, _xlfn.CONCAT("*",Table13[[#Headers],[War]],"*")),1,0)</f>
        <v>0</v>
      </c>
      <c r="AA54">
        <f>IF(COUNTIF($E54, _xlfn.CONCAT("*",Table13[[#Headers],[Western]],"*")),1,0)</f>
        <v>0</v>
      </c>
    </row>
    <row r="55" spans="1:27">
      <c r="A55" t="s">
        <v>92</v>
      </c>
      <c r="B55">
        <v>211</v>
      </c>
      <c r="C55">
        <f>MAX(Table13[Rank])-Table13[[#This Row],[Rank]]</f>
        <v>53</v>
      </c>
      <c r="D55" t="s">
        <v>7</v>
      </c>
      <c r="E55" t="s">
        <v>93</v>
      </c>
      <c r="F55" s="1">
        <v>11460</v>
      </c>
      <c r="G55">
        <f>YEAR(Table13[[#This Row],[Date]])</f>
        <v>1931</v>
      </c>
      <c r="H55" t="s">
        <v>92</v>
      </c>
      <c r="I55">
        <f>IF(COUNTIF($E55, _xlfn.CONCAT("*",Table13[[#Headers],[Action]],"*")),1,0)</f>
        <v>0</v>
      </c>
      <c r="J55">
        <f>IF(COUNTIF($E55, _xlfn.CONCAT("*",Table13[[#Headers],[Adventure]],"*")),1,0)</f>
        <v>1</v>
      </c>
      <c r="K55">
        <f>IF(COUNTIF($E55, _xlfn.CONCAT("*",Table13[[#Headers],[Animation]],"*")),1,0)</f>
        <v>0</v>
      </c>
      <c r="L55">
        <f>IF(COUNTIF($E55, _xlfn.CONCAT("*",Table13[[#Headers],[Comedy]],"*")),1,0)</f>
        <v>0</v>
      </c>
      <c r="M55">
        <f>IF(COUNTIF($E55, _xlfn.CONCAT("*",Table13[[#Headers],[Crime]],"*")),1,0)</f>
        <v>0</v>
      </c>
      <c r="N55">
        <f>IF(COUNTIF($E55, _xlfn.CONCAT("*",Table13[[#Headers],[Documentary]],"*")),1,0)</f>
        <v>0</v>
      </c>
      <c r="O55">
        <f>IF(COUNTIF($E55, _xlfn.CONCAT("*",Table13[[#Headers],[Drama]],"*")),1,0)</f>
        <v>1</v>
      </c>
      <c r="P55">
        <f>IF(COUNTIF($E55, _xlfn.CONCAT("*",Table13[[#Headers],[Family]],"*")),1,0)</f>
        <v>0</v>
      </c>
      <c r="Q55">
        <f>IF(COUNTIF($E55, _xlfn.CONCAT("*",Table13[[#Headers],[Fantasy]],"*")),1,0)</f>
        <v>0</v>
      </c>
      <c r="R55">
        <f>IF(COUNTIF($E55, _xlfn.CONCAT("*",Table13[[#Headers],[History]],"*")),1,0)</f>
        <v>0</v>
      </c>
      <c r="S55">
        <f>IF(COUNTIF($E55, _xlfn.CONCAT("*",Table13[[#Headers],[Horror]],"*")),1,0)</f>
        <v>0</v>
      </c>
      <c r="T55">
        <f>IF(COUNTIF($E55, _xlfn.CONCAT("*",Table13[[#Headers],[Music]],"*")),1,0)</f>
        <v>0</v>
      </c>
      <c r="U55">
        <f>IF(COUNTIF($E55, _xlfn.CONCAT("*",Table13[[#Headers],[Mystery]],"*")),1,0)</f>
        <v>0</v>
      </c>
      <c r="V55">
        <f>IF(COUNTIF($E55, _xlfn.CONCAT("*",Table13[[#Headers],[Romance]],"*")),1,0)</f>
        <v>0</v>
      </c>
      <c r="W55">
        <f>IF(COUNTIF($E55, _xlfn.CONCAT("*",Table13[[#Headers],[Science Fiction]],"*")),1,0)</f>
        <v>0</v>
      </c>
      <c r="X55">
        <f>IF(COUNTIF($E55, _xlfn.CONCAT("*",Table13[[#Headers],[TV Movie]],"*")),1,0)</f>
        <v>0</v>
      </c>
      <c r="Y55">
        <f>IF(COUNTIF($E55, _xlfn.CONCAT("*",Table13[[#Headers],[Thriller]],"*")),1,0)</f>
        <v>0</v>
      </c>
      <c r="Z55">
        <f>IF(COUNTIF($E55, _xlfn.CONCAT("*",Table13[[#Headers],[War]],"*")),1,0)</f>
        <v>0</v>
      </c>
      <c r="AA55">
        <f>IF(COUNTIF($E55, _xlfn.CONCAT("*",Table13[[#Headers],[Western]],"*")),1,0)</f>
        <v>0</v>
      </c>
    </row>
    <row r="56" spans="1:27">
      <c r="A56" t="s">
        <v>94</v>
      </c>
      <c r="B56">
        <v>210</v>
      </c>
      <c r="C56">
        <f>MAX(Table13[Rank])-Table13[[#This Row],[Rank]]</f>
        <v>54</v>
      </c>
      <c r="D56" t="s">
        <v>7</v>
      </c>
      <c r="E56" t="s">
        <v>95</v>
      </c>
      <c r="F56" s="1">
        <v>15913</v>
      </c>
      <c r="G56">
        <f>YEAR(Table13[[#This Row],[Date]])</f>
        <v>1943</v>
      </c>
      <c r="H56" t="s">
        <v>94</v>
      </c>
      <c r="I56">
        <f>IF(COUNTIF($E56, _xlfn.CONCAT("*",Table13[[#Headers],[Action]],"*")),1,0)</f>
        <v>0</v>
      </c>
      <c r="J56">
        <f>IF(COUNTIF($E56, _xlfn.CONCAT("*",Table13[[#Headers],[Adventure]],"*")),1,0)</f>
        <v>0</v>
      </c>
      <c r="K56">
        <f>IF(COUNTIF($E56, _xlfn.CONCAT("*",Table13[[#Headers],[Animation]],"*")),1,0)</f>
        <v>0</v>
      </c>
      <c r="L56">
        <f>IF(COUNTIF($E56, _xlfn.CONCAT("*",Table13[[#Headers],[Comedy]],"*")),1,0)</f>
        <v>1</v>
      </c>
      <c r="M56">
        <f>IF(COUNTIF($E56, _xlfn.CONCAT("*",Table13[[#Headers],[Crime]],"*")),1,0)</f>
        <v>0</v>
      </c>
      <c r="N56">
        <f>IF(COUNTIF($E56, _xlfn.CONCAT("*",Table13[[#Headers],[Documentary]],"*")),1,0)</f>
        <v>0</v>
      </c>
      <c r="O56">
        <f>IF(COUNTIF($E56, _xlfn.CONCAT("*",Table13[[#Headers],[Drama]],"*")),1,0)</f>
        <v>1</v>
      </c>
      <c r="P56">
        <f>IF(COUNTIF($E56, _xlfn.CONCAT("*",Table13[[#Headers],[Family]],"*")),1,0)</f>
        <v>0</v>
      </c>
      <c r="Q56">
        <f>IF(COUNTIF($E56, _xlfn.CONCAT("*",Table13[[#Headers],[Fantasy]],"*")),1,0)</f>
        <v>0</v>
      </c>
      <c r="R56">
        <f>IF(COUNTIF($E56, _xlfn.CONCAT("*",Table13[[#Headers],[History]],"*")),1,0)</f>
        <v>0</v>
      </c>
      <c r="S56">
        <f>IF(COUNTIF($E56, _xlfn.CONCAT("*",Table13[[#Headers],[Horror]],"*")),1,0)</f>
        <v>0</v>
      </c>
      <c r="T56">
        <f>IF(COUNTIF($E56, _xlfn.CONCAT("*",Table13[[#Headers],[Music]],"*")),1,0)</f>
        <v>0</v>
      </c>
      <c r="U56">
        <f>IF(COUNTIF($E56, _xlfn.CONCAT("*",Table13[[#Headers],[Mystery]],"*")),1,0)</f>
        <v>0</v>
      </c>
      <c r="V56">
        <f>IF(COUNTIF($E56, _xlfn.CONCAT("*",Table13[[#Headers],[Romance]],"*")),1,0)</f>
        <v>1</v>
      </c>
      <c r="W56">
        <f>IF(COUNTIF($E56, _xlfn.CONCAT("*",Table13[[#Headers],[Science Fiction]],"*")),1,0)</f>
        <v>0</v>
      </c>
      <c r="X56">
        <f>IF(COUNTIF($E56, _xlfn.CONCAT("*",Table13[[#Headers],[TV Movie]],"*")),1,0)</f>
        <v>0</v>
      </c>
      <c r="Y56">
        <f>IF(COUNTIF($E56, _xlfn.CONCAT("*",Table13[[#Headers],[Thriller]],"*")),1,0)</f>
        <v>0</v>
      </c>
      <c r="Z56">
        <f>IF(COUNTIF($E56, _xlfn.CONCAT("*",Table13[[#Headers],[War]],"*")),1,0)</f>
        <v>1</v>
      </c>
      <c r="AA56">
        <f>IF(COUNTIF($E56, _xlfn.CONCAT("*",Table13[[#Headers],[Western]],"*")),1,0)</f>
        <v>0</v>
      </c>
    </row>
    <row r="57" spans="1:27">
      <c r="A57" t="s">
        <v>96</v>
      </c>
      <c r="B57">
        <v>209</v>
      </c>
      <c r="C57">
        <f>MAX(Table13[Rank])-Table13[[#This Row],[Rank]]</f>
        <v>55</v>
      </c>
      <c r="D57" t="s">
        <v>7</v>
      </c>
      <c r="E57" t="s">
        <v>21</v>
      </c>
      <c r="F57" s="1">
        <v>24548</v>
      </c>
      <c r="G57">
        <f>YEAR(Table13[[#This Row],[Date]])</f>
        <v>1967</v>
      </c>
      <c r="H57" t="s">
        <v>96</v>
      </c>
      <c r="I57">
        <f>IF(COUNTIF($E57, _xlfn.CONCAT("*",Table13[[#Headers],[Action]],"*")),1,0)</f>
        <v>0</v>
      </c>
      <c r="J57">
        <f>IF(COUNTIF($E57, _xlfn.CONCAT("*",Table13[[#Headers],[Adventure]],"*")),1,0)</f>
        <v>0</v>
      </c>
      <c r="K57">
        <f>IF(COUNTIF($E57, _xlfn.CONCAT("*",Table13[[#Headers],[Animation]],"*")),1,0)</f>
        <v>0</v>
      </c>
      <c r="L57">
        <f>IF(COUNTIF($E57, _xlfn.CONCAT("*",Table13[[#Headers],[Comedy]],"*")),1,0)</f>
        <v>0</v>
      </c>
      <c r="M57">
        <f>IF(COUNTIF($E57, _xlfn.CONCAT("*",Table13[[#Headers],[Crime]],"*")),1,0)</f>
        <v>0</v>
      </c>
      <c r="N57">
        <f>IF(COUNTIF($E57, _xlfn.CONCAT("*",Table13[[#Headers],[Documentary]],"*")),1,0)</f>
        <v>0</v>
      </c>
      <c r="O57">
        <f>IF(COUNTIF($E57, _xlfn.CONCAT("*",Table13[[#Headers],[Drama]],"*")),1,0)</f>
        <v>1</v>
      </c>
      <c r="P57">
        <f>IF(COUNTIF($E57, _xlfn.CONCAT("*",Table13[[#Headers],[Family]],"*")),1,0)</f>
        <v>0</v>
      </c>
      <c r="Q57">
        <f>IF(COUNTIF($E57, _xlfn.CONCAT("*",Table13[[#Headers],[Fantasy]],"*")),1,0)</f>
        <v>0</v>
      </c>
      <c r="R57">
        <f>IF(COUNTIF($E57, _xlfn.CONCAT("*",Table13[[#Headers],[History]],"*")),1,0)</f>
        <v>0</v>
      </c>
      <c r="S57">
        <f>IF(COUNTIF($E57, _xlfn.CONCAT("*",Table13[[#Headers],[Horror]],"*")),1,0)</f>
        <v>0</v>
      </c>
      <c r="T57">
        <f>IF(COUNTIF($E57, _xlfn.CONCAT("*",Table13[[#Headers],[Music]],"*")),1,0)</f>
        <v>0</v>
      </c>
      <c r="U57">
        <f>IF(COUNTIF($E57, _xlfn.CONCAT("*",Table13[[#Headers],[Mystery]],"*")),1,0)</f>
        <v>0</v>
      </c>
      <c r="V57">
        <f>IF(COUNTIF($E57, _xlfn.CONCAT("*",Table13[[#Headers],[Romance]],"*")),1,0)</f>
        <v>0</v>
      </c>
      <c r="W57">
        <f>IF(COUNTIF($E57, _xlfn.CONCAT("*",Table13[[#Headers],[Science Fiction]],"*")),1,0)</f>
        <v>0</v>
      </c>
      <c r="X57">
        <f>IF(COUNTIF($E57, _xlfn.CONCAT("*",Table13[[#Headers],[TV Movie]],"*")),1,0)</f>
        <v>0</v>
      </c>
      <c r="Y57">
        <f>IF(COUNTIF($E57, _xlfn.CONCAT("*",Table13[[#Headers],[Thriller]],"*")),1,0)</f>
        <v>0</v>
      </c>
      <c r="Z57">
        <f>IF(COUNTIF($E57, _xlfn.CONCAT("*",Table13[[#Headers],[War]],"*")),1,0)</f>
        <v>0</v>
      </c>
      <c r="AA57">
        <f>IF(COUNTIF($E57, _xlfn.CONCAT("*",Table13[[#Headers],[Western]],"*")),1,0)</f>
        <v>0</v>
      </c>
    </row>
    <row r="58" spans="1:27">
      <c r="A58" t="s">
        <v>97</v>
      </c>
      <c r="B58">
        <v>208</v>
      </c>
      <c r="C58">
        <f>MAX(Table13[Rank])-Table13[[#This Row],[Rank]]</f>
        <v>56</v>
      </c>
      <c r="D58" t="s">
        <v>7</v>
      </c>
      <c r="E58" t="s">
        <v>35</v>
      </c>
      <c r="F58" s="1">
        <v>16757</v>
      </c>
      <c r="G58">
        <f>YEAR(Table13[[#This Row],[Date]])</f>
        <v>1945</v>
      </c>
      <c r="H58" t="s">
        <v>98</v>
      </c>
      <c r="I58">
        <f>IF(COUNTIF($E58, _xlfn.CONCAT("*",Table13[[#Headers],[Action]],"*")),1,0)</f>
        <v>0</v>
      </c>
      <c r="J58">
        <f>IF(COUNTIF($E58, _xlfn.CONCAT("*",Table13[[#Headers],[Adventure]],"*")),1,0)</f>
        <v>0</v>
      </c>
      <c r="K58">
        <f>IF(COUNTIF($E58, _xlfn.CONCAT("*",Table13[[#Headers],[Animation]],"*")),1,0)</f>
        <v>0</v>
      </c>
      <c r="L58">
        <f>IF(COUNTIF($E58, _xlfn.CONCAT("*",Table13[[#Headers],[Comedy]],"*")),1,0)</f>
        <v>0</v>
      </c>
      <c r="M58">
        <f>IF(COUNTIF($E58, _xlfn.CONCAT("*",Table13[[#Headers],[Crime]],"*")),1,0)</f>
        <v>0</v>
      </c>
      <c r="N58">
        <f>IF(COUNTIF($E58, _xlfn.CONCAT("*",Table13[[#Headers],[Documentary]],"*")),1,0)</f>
        <v>0</v>
      </c>
      <c r="O58">
        <f>IF(COUNTIF($E58, _xlfn.CONCAT("*",Table13[[#Headers],[Drama]],"*")),1,0)</f>
        <v>1</v>
      </c>
      <c r="P58">
        <f>IF(COUNTIF($E58, _xlfn.CONCAT("*",Table13[[#Headers],[Family]],"*")),1,0)</f>
        <v>0</v>
      </c>
      <c r="Q58">
        <f>IF(COUNTIF($E58, _xlfn.CONCAT("*",Table13[[#Headers],[Fantasy]],"*")),1,0)</f>
        <v>0</v>
      </c>
      <c r="R58">
        <f>IF(COUNTIF($E58, _xlfn.CONCAT("*",Table13[[#Headers],[History]],"*")),1,0)</f>
        <v>0</v>
      </c>
      <c r="S58">
        <f>IF(COUNTIF($E58, _xlfn.CONCAT("*",Table13[[#Headers],[Horror]],"*")),1,0)</f>
        <v>0</v>
      </c>
      <c r="T58">
        <f>IF(COUNTIF($E58, _xlfn.CONCAT("*",Table13[[#Headers],[Music]],"*")),1,0)</f>
        <v>0</v>
      </c>
      <c r="U58">
        <f>IF(COUNTIF($E58, _xlfn.CONCAT("*",Table13[[#Headers],[Mystery]],"*")),1,0)</f>
        <v>0</v>
      </c>
      <c r="V58">
        <f>IF(COUNTIF($E58, _xlfn.CONCAT("*",Table13[[#Headers],[Romance]],"*")),1,0)</f>
        <v>1</v>
      </c>
      <c r="W58">
        <f>IF(COUNTIF($E58, _xlfn.CONCAT("*",Table13[[#Headers],[Science Fiction]],"*")),1,0)</f>
        <v>0</v>
      </c>
      <c r="X58">
        <f>IF(COUNTIF($E58, _xlfn.CONCAT("*",Table13[[#Headers],[TV Movie]],"*")),1,0)</f>
        <v>0</v>
      </c>
      <c r="Y58">
        <f>IF(COUNTIF($E58, _xlfn.CONCAT("*",Table13[[#Headers],[Thriller]],"*")),1,0)</f>
        <v>0</v>
      </c>
      <c r="Z58">
        <f>IF(COUNTIF($E58, _xlfn.CONCAT("*",Table13[[#Headers],[War]],"*")),1,0)</f>
        <v>0</v>
      </c>
      <c r="AA58">
        <f>IF(COUNTIF($E58, _xlfn.CONCAT("*",Table13[[#Headers],[Western]],"*")),1,0)</f>
        <v>0</v>
      </c>
    </row>
    <row r="59" spans="1:27">
      <c r="A59" t="s">
        <v>99</v>
      </c>
      <c r="B59">
        <v>207</v>
      </c>
      <c r="C59">
        <f>MAX(Table13[Rank])-Table13[[#This Row],[Rank]]</f>
        <v>57</v>
      </c>
      <c r="D59" t="s">
        <v>7</v>
      </c>
      <c r="E59" t="s">
        <v>100</v>
      </c>
      <c r="F59" s="1">
        <v>22748</v>
      </c>
      <c r="G59">
        <f>YEAR(Table13[[#This Row],[Date]])</f>
        <v>1962</v>
      </c>
      <c r="H59" t="s">
        <v>1264</v>
      </c>
      <c r="I59">
        <f>IF(COUNTIF($E59, _xlfn.CONCAT("*",Table13[[#Headers],[Action]],"*")),1,0)</f>
        <v>0</v>
      </c>
      <c r="J59">
        <f>IF(COUNTIF($E59, _xlfn.CONCAT("*",Table13[[#Headers],[Adventure]],"*")),1,0)</f>
        <v>0</v>
      </c>
      <c r="K59">
        <f>IF(COUNTIF($E59, _xlfn.CONCAT("*",Table13[[#Headers],[Animation]],"*")),1,0)</f>
        <v>0</v>
      </c>
      <c r="L59">
        <f>IF(COUNTIF($E59, _xlfn.CONCAT("*",Table13[[#Headers],[Comedy]],"*")),1,0)</f>
        <v>0</v>
      </c>
      <c r="M59">
        <f>IF(COUNTIF($E59, _xlfn.CONCAT("*",Table13[[#Headers],[Crime]],"*")),1,0)</f>
        <v>0</v>
      </c>
      <c r="N59">
        <f>IF(COUNTIF($E59, _xlfn.CONCAT("*",Table13[[#Headers],[Documentary]],"*")),1,0)</f>
        <v>0</v>
      </c>
      <c r="O59">
        <f>IF(COUNTIF($E59, _xlfn.CONCAT("*",Table13[[#Headers],[Drama]],"*")),1,0)</f>
        <v>1</v>
      </c>
      <c r="P59">
        <f>IF(COUNTIF($E59, _xlfn.CONCAT("*",Table13[[#Headers],[Family]],"*")),1,0)</f>
        <v>0</v>
      </c>
      <c r="Q59">
        <f>IF(COUNTIF($E59, _xlfn.CONCAT("*",Table13[[#Headers],[Fantasy]],"*")),1,0)</f>
        <v>0</v>
      </c>
      <c r="R59">
        <f>IF(COUNTIF($E59, _xlfn.CONCAT("*",Table13[[#Headers],[History]],"*")),1,0)</f>
        <v>0</v>
      </c>
      <c r="S59">
        <f>IF(COUNTIF($E59, _xlfn.CONCAT("*",Table13[[#Headers],[Horror]],"*")),1,0)</f>
        <v>0</v>
      </c>
      <c r="T59">
        <f>IF(COUNTIF($E59, _xlfn.CONCAT("*",Table13[[#Headers],[Music]],"*")),1,0)</f>
        <v>0</v>
      </c>
      <c r="U59">
        <f>IF(COUNTIF($E59, _xlfn.CONCAT("*",Table13[[#Headers],[Mystery]],"*")),1,0)</f>
        <v>0</v>
      </c>
      <c r="V59">
        <f>IF(COUNTIF($E59, _xlfn.CONCAT("*",Table13[[#Headers],[Romance]],"*")),1,0)</f>
        <v>1</v>
      </c>
      <c r="W59">
        <f>IF(COUNTIF($E59, _xlfn.CONCAT("*",Table13[[#Headers],[Science Fiction]],"*")),1,0)</f>
        <v>0</v>
      </c>
      <c r="X59">
        <f>IF(COUNTIF($E59, _xlfn.CONCAT("*",Table13[[#Headers],[TV Movie]],"*")),1,0)</f>
        <v>0</v>
      </c>
      <c r="Y59">
        <f>IF(COUNTIF($E59, _xlfn.CONCAT("*",Table13[[#Headers],[Thriller]],"*")),1,0)</f>
        <v>0</v>
      </c>
      <c r="Z59">
        <f>IF(COUNTIF($E59, _xlfn.CONCAT("*",Table13[[#Headers],[War]],"*")),1,0)</f>
        <v>0</v>
      </c>
      <c r="AA59">
        <f>IF(COUNTIF($E59, _xlfn.CONCAT("*",Table13[[#Headers],[Western]],"*")),1,0)</f>
        <v>0</v>
      </c>
    </row>
    <row r="60" spans="1:27">
      <c r="A60" t="s">
        <v>101</v>
      </c>
      <c r="B60">
        <v>206</v>
      </c>
      <c r="C60">
        <f>MAX(Table13[Rank])-Table13[[#This Row],[Rank]]</f>
        <v>58</v>
      </c>
      <c r="D60" t="s">
        <v>7</v>
      </c>
      <c r="E60" t="s">
        <v>102</v>
      </c>
      <c r="F60" s="1">
        <v>16237</v>
      </c>
      <c r="G60">
        <f>YEAR(Table13[[#This Row],[Date]])</f>
        <v>1944</v>
      </c>
      <c r="H60" t="s">
        <v>101</v>
      </c>
      <c r="I60">
        <f>IF(COUNTIF($E60, _xlfn.CONCAT("*",Table13[[#Headers],[Action]],"*")),1,0)</f>
        <v>0</v>
      </c>
      <c r="J60">
        <f>IF(COUNTIF($E60, _xlfn.CONCAT("*",Table13[[#Headers],[Adventure]],"*")),1,0)</f>
        <v>0</v>
      </c>
      <c r="K60">
        <f>IF(COUNTIF($E60, _xlfn.CONCAT("*",Table13[[#Headers],[Animation]],"*")),1,0)</f>
        <v>0</v>
      </c>
      <c r="L60">
        <f>IF(COUNTIF($E60, _xlfn.CONCAT("*",Table13[[#Headers],[Comedy]],"*")),1,0)</f>
        <v>0</v>
      </c>
      <c r="M60">
        <f>IF(COUNTIF($E60, _xlfn.CONCAT("*",Table13[[#Headers],[Crime]],"*")),1,0)</f>
        <v>1</v>
      </c>
      <c r="N60">
        <f>IF(COUNTIF($E60, _xlfn.CONCAT("*",Table13[[#Headers],[Documentary]],"*")),1,0)</f>
        <v>0</v>
      </c>
      <c r="O60">
        <f>IF(COUNTIF($E60, _xlfn.CONCAT("*",Table13[[#Headers],[Drama]],"*")),1,0)</f>
        <v>0</v>
      </c>
      <c r="P60">
        <f>IF(COUNTIF($E60, _xlfn.CONCAT("*",Table13[[#Headers],[Family]],"*")),1,0)</f>
        <v>0</v>
      </c>
      <c r="Q60">
        <f>IF(COUNTIF($E60, _xlfn.CONCAT("*",Table13[[#Headers],[Fantasy]],"*")),1,0)</f>
        <v>0</v>
      </c>
      <c r="R60">
        <f>IF(COUNTIF($E60, _xlfn.CONCAT("*",Table13[[#Headers],[History]],"*")),1,0)</f>
        <v>0</v>
      </c>
      <c r="S60">
        <f>IF(COUNTIF($E60, _xlfn.CONCAT("*",Table13[[#Headers],[Horror]],"*")),1,0)</f>
        <v>0</v>
      </c>
      <c r="T60">
        <f>IF(COUNTIF($E60, _xlfn.CONCAT("*",Table13[[#Headers],[Music]],"*")),1,0)</f>
        <v>0</v>
      </c>
      <c r="U60">
        <f>IF(COUNTIF($E60, _xlfn.CONCAT("*",Table13[[#Headers],[Mystery]],"*")),1,0)</f>
        <v>0</v>
      </c>
      <c r="V60">
        <f>IF(COUNTIF($E60, _xlfn.CONCAT("*",Table13[[#Headers],[Romance]],"*")),1,0)</f>
        <v>0</v>
      </c>
      <c r="W60">
        <f>IF(COUNTIF($E60, _xlfn.CONCAT("*",Table13[[#Headers],[Science Fiction]],"*")),1,0)</f>
        <v>0</v>
      </c>
      <c r="X60">
        <f>IF(COUNTIF($E60, _xlfn.CONCAT("*",Table13[[#Headers],[TV Movie]],"*")),1,0)</f>
        <v>0</v>
      </c>
      <c r="Y60">
        <f>IF(COUNTIF($E60, _xlfn.CONCAT("*",Table13[[#Headers],[Thriller]],"*")),1,0)</f>
        <v>1</v>
      </c>
      <c r="Z60">
        <f>IF(COUNTIF($E60, _xlfn.CONCAT("*",Table13[[#Headers],[War]],"*")),1,0)</f>
        <v>0</v>
      </c>
      <c r="AA60">
        <f>IF(COUNTIF($E60, _xlfn.CONCAT("*",Table13[[#Headers],[Western]],"*")),1,0)</f>
        <v>0</v>
      </c>
    </row>
    <row r="61" spans="1:27">
      <c r="A61" t="s">
        <v>103</v>
      </c>
      <c r="B61">
        <v>205</v>
      </c>
      <c r="C61">
        <f>MAX(Table13[Rank])-Table13[[#This Row],[Rank]]</f>
        <v>59</v>
      </c>
      <c r="D61" t="s">
        <v>7</v>
      </c>
      <c r="E61" t="s">
        <v>73</v>
      </c>
      <c r="F61" s="1">
        <v>23405</v>
      </c>
      <c r="G61">
        <f>YEAR(Table13[[#This Row],[Date]])</f>
        <v>1964</v>
      </c>
      <c r="H61" t="s">
        <v>103</v>
      </c>
      <c r="I61">
        <f>IF(COUNTIF($E61, _xlfn.CONCAT("*",Table13[[#Headers],[Action]],"*")),1,0)</f>
        <v>0</v>
      </c>
      <c r="J61">
        <f>IF(COUNTIF($E61, _xlfn.CONCAT("*",Table13[[#Headers],[Adventure]],"*")),1,0)</f>
        <v>0</v>
      </c>
      <c r="K61">
        <f>IF(COUNTIF($E61, _xlfn.CONCAT("*",Table13[[#Headers],[Animation]],"*")),1,0)</f>
        <v>0</v>
      </c>
      <c r="L61">
        <f>IF(COUNTIF($E61, _xlfn.CONCAT("*",Table13[[#Headers],[Comedy]],"*")),1,0)</f>
        <v>1</v>
      </c>
      <c r="M61">
        <f>IF(COUNTIF($E61, _xlfn.CONCAT("*",Table13[[#Headers],[Crime]],"*")),1,0)</f>
        <v>0</v>
      </c>
      <c r="N61">
        <f>IF(COUNTIF($E61, _xlfn.CONCAT("*",Table13[[#Headers],[Documentary]],"*")),1,0)</f>
        <v>0</v>
      </c>
      <c r="O61">
        <f>IF(COUNTIF($E61, _xlfn.CONCAT("*",Table13[[#Headers],[Drama]],"*")),1,0)</f>
        <v>0</v>
      </c>
      <c r="P61">
        <f>IF(COUNTIF($E61, _xlfn.CONCAT("*",Table13[[#Headers],[Family]],"*")),1,0)</f>
        <v>0</v>
      </c>
      <c r="Q61">
        <f>IF(COUNTIF($E61, _xlfn.CONCAT("*",Table13[[#Headers],[Fantasy]],"*")),1,0)</f>
        <v>0</v>
      </c>
      <c r="R61">
        <f>IF(COUNTIF($E61, _xlfn.CONCAT("*",Table13[[#Headers],[History]],"*")),1,0)</f>
        <v>0</v>
      </c>
      <c r="S61">
        <f>IF(COUNTIF($E61, _xlfn.CONCAT("*",Table13[[#Headers],[Horror]],"*")),1,0)</f>
        <v>0</v>
      </c>
      <c r="T61">
        <f>IF(COUNTIF($E61, _xlfn.CONCAT("*",Table13[[#Headers],[Music]],"*")),1,0)</f>
        <v>0</v>
      </c>
      <c r="U61">
        <f>IF(COUNTIF($E61, _xlfn.CONCAT("*",Table13[[#Headers],[Mystery]],"*")),1,0)</f>
        <v>0</v>
      </c>
      <c r="V61">
        <f>IF(COUNTIF($E61, _xlfn.CONCAT("*",Table13[[#Headers],[Romance]],"*")),1,0)</f>
        <v>0</v>
      </c>
      <c r="W61">
        <f>IF(COUNTIF($E61, _xlfn.CONCAT("*",Table13[[#Headers],[Science Fiction]],"*")),1,0)</f>
        <v>0</v>
      </c>
      <c r="X61">
        <f>IF(COUNTIF($E61, _xlfn.CONCAT("*",Table13[[#Headers],[TV Movie]],"*")),1,0)</f>
        <v>0</v>
      </c>
      <c r="Y61">
        <f>IF(COUNTIF($E61, _xlfn.CONCAT("*",Table13[[#Headers],[Thriller]],"*")),1,0)</f>
        <v>0</v>
      </c>
      <c r="Z61">
        <f>IF(COUNTIF($E61, _xlfn.CONCAT("*",Table13[[#Headers],[War]],"*")),1,0)</f>
        <v>1</v>
      </c>
      <c r="AA61">
        <f>IF(COUNTIF($E61, _xlfn.CONCAT("*",Table13[[#Headers],[Western]],"*")),1,0)</f>
        <v>0</v>
      </c>
    </row>
    <row r="62" spans="1:27">
      <c r="A62" t="s">
        <v>104</v>
      </c>
      <c r="B62">
        <v>204</v>
      </c>
      <c r="C62">
        <f>MAX(Table13[Rank])-Table13[[#This Row],[Rank]]</f>
        <v>60</v>
      </c>
      <c r="D62" t="s">
        <v>7</v>
      </c>
      <c r="E62" t="s">
        <v>105</v>
      </c>
      <c r="F62" s="1">
        <v>27880</v>
      </c>
      <c r="G62">
        <f>YEAR(Table13[[#This Row],[Date]])</f>
        <v>1976</v>
      </c>
      <c r="H62" t="s">
        <v>104</v>
      </c>
      <c r="I62">
        <f>IF(COUNTIF($E62, _xlfn.CONCAT("*",Table13[[#Headers],[Action]],"*")),1,0)</f>
        <v>0</v>
      </c>
      <c r="J62">
        <f>IF(COUNTIF($E62, _xlfn.CONCAT("*",Table13[[#Headers],[Adventure]],"*")),1,0)</f>
        <v>0</v>
      </c>
      <c r="K62">
        <f>IF(COUNTIF($E62, _xlfn.CONCAT("*",Table13[[#Headers],[Animation]],"*")),1,0)</f>
        <v>0</v>
      </c>
      <c r="L62">
        <f>IF(COUNTIF($E62, _xlfn.CONCAT("*",Table13[[#Headers],[Comedy]],"*")),1,0)</f>
        <v>0</v>
      </c>
      <c r="M62">
        <f>IF(COUNTIF($E62, _xlfn.CONCAT("*",Table13[[#Headers],[Crime]],"*")),1,0)</f>
        <v>0</v>
      </c>
      <c r="N62">
        <f>IF(COUNTIF($E62, _xlfn.CONCAT("*",Table13[[#Headers],[Documentary]],"*")),1,0)</f>
        <v>0</v>
      </c>
      <c r="O62">
        <f>IF(COUNTIF($E62, _xlfn.CONCAT("*",Table13[[#Headers],[Drama]],"*")),1,0)</f>
        <v>1</v>
      </c>
      <c r="P62">
        <f>IF(COUNTIF($E62, _xlfn.CONCAT("*",Table13[[#Headers],[Family]],"*")),1,0)</f>
        <v>0</v>
      </c>
      <c r="Q62">
        <f>IF(COUNTIF($E62, _xlfn.CONCAT("*",Table13[[#Headers],[Fantasy]],"*")),1,0)</f>
        <v>0</v>
      </c>
      <c r="R62">
        <f>IF(COUNTIF($E62, _xlfn.CONCAT("*",Table13[[#Headers],[History]],"*")),1,0)</f>
        <v>0</v>
      </c>
      <c r="S62">
        <f>IF(COUNTIF($E62, _xlfn.CONCAT("*",Table13[[#Headers],[Horror]],"*")),1,0)</f>
        <v>0</v>
      </c>
      <c r="T62">
        <f>IF(COUNTIF($E62, _xlfn.CONCAT("*",Table13[[#Headers],[Music]],"*")),1,0)</f>
        <v>0</v>
      </c>
      <c r="U62">
        <f>IF(COUNTIF($E62, _xlfn.CONCAT("*",Table13[[#Headers],[Mystery]],"*")),1,0)</f>
        <v>0</v>
      </c>
      <c r="V62">
        <f>IF(COUNTIF($E62, _xlfn.CONCAT("*",Table13[[#Headers],[Romance]],"*")),1,0)</f>
        <v>0</v>
      </c>
      <c r="W62">
        <f>IF(COUNTIF($E62, _xlfn.CONCAT("*",Table13[[#Headers],[Science Fiction]],"*")),1,0)</f>
        <v>0</v>
      </c>
      <c r="X62">
        <f>IF(COUNTIF($E62, _xlfn.CONCAT("*",Table13[[#Headers],[TV Movie]],"*")),1,0)</f>
        <v>0</v>
      </c>
      <c r="Y62">
        <f>IF(COUNTIF($E62, _xlfn.CONCAT("*",Table13[[#Headers],[Thriller]],"*")),1,0)</f>
        <v>1</v>
      </c>
      <c r="Z62">
        <f>IF(COUNTIF($E62, _xlfn.CONCAT("*",Table13[[#Headers],[War]],"*")),1,0)</f>
        <v>0</v>
      </c>
      <c r="AA62">
        <f>IF(COUNTIF($E62, _xlfn.CONCAT("*",Table13[[#Headers],[Western]],"*")),1,0)</f>
        <v>0</v>
      </c>
    </row>
    <row r="63" spans="1:27">
      <c r="A63" t="s">
        <v>106</v>
      </c>
      <c r="B63">
        <v>203</v>
      </c>
      <c r="C63">
        <f>MAX(Table13[Rank])-Table13[[#This Row],[Rank]]</f>
        <v>61</v>
      </c>
      <c r="D63" t="s">
        <v>7</v>
      </c>
      <c r="E63" t="s">
        <v>29</v>
      </c>
      <c r="G63">
        <f>YEAR(Table13[[#This Row],[Date]])</f>
        <v>1900</v>
      </c>
      <c r="H63" t="s">
        <v>106</v>
      </c>
      <c r="I63">
        <f>IF(COUNTIF($E63, _xlfn.CONCAT("*",Table13[[#Headers],[Action]],"*")),1,0)</f>
        <v>0</v>
      </c>
      <c r="J63">
        <f>IF(COUNTIF($E63, _xlfn.CONCAT("*",Table13[[#Headers],[Adventure]],"*")),1,0)</f>
        <v>0</v>
      </c>
      <c r="K63">
        <f>IF(COUNTIF($E63, _xlfn.CONCAT("*",Table13[[#Headers],[Animation]],"*")),1,0)</f>
        <v>0</v>
      </c>
      <c r="L63">
        <f>IF(COUNTIF($E63, _xlfn.CONCAT("*",Table13[[#Headers],[Comedy]],"*")),1,0)</f>
        <v>0</v>
      </c>
      <c r="M63">
        <f>IF(COUNTIF($E63, _xlfn.CONCAT("*",Table13[[#Headers],[Crime]],"*")),1,0)</f>
        <v>0</v>
      </c>
      <c r="N63">
        <f>IF(COUNTIF($E63, _xlfn.CONCAT("*",Table13[[#Headers],[Documentary]],"*")),1,0)</f>
        <v>0</v>
      </c>
      <c r="O63">
        <f>IF(COUNTIF($E63, _xlfn.CONCAT("*",Table13[[#Headers],[Drama]],"*")),1,0)</f>
        <v>0</v>
      </c>
      <c r="P63">
        <f>IF(COUNTIF($E63, _xlfn.CONCAT("*",Table13[[#Headers],[Family]],"*")),1,0)</f>
        <v>0</v>
      </c>
      <c r="Q63">
        <f>IF(COUNTIF($E63, _xlfn.CONCAT("*",Table13[[#Headers],[Fantasy]],"*")),1,0)</f>
        <v>0</v>
      </c>
      <c r="R63">
        <f>IF(COUNTIF($E63, _xlfn.CONCAT("*",Table13[[#Headers],[History]],"*")),1,0)</f>
        <v>0</v>
      </c>
      <c r="S63">
        <f>IF(COUNTIF($E63, _xlfn.CONCAT("*",Table13[[#Headers],[Horror]],"*")),1,0)</f>
        <v>1</v>
      </c>
      <c r="T63">
        <f>IF(COUNTIF($E63, _xlfn.CONCAT("*",Table13[[#Headers],[Music]],"*")),1,0)</f>
        <v>0</v>
      </c>
      <c r="U63">
        <f>IF(COUNTIF($E63, _xlfn.CONCAT("*",Table13[[#Headers],[Mystery]],"*")),1,0)</f>
        <v>0</v>
      </c>
      <c r="V63">
        <f>IF(COUNTIF($E63, _xlfn.CONCAT("*",Table13[[#Headers],[Romance]],"*")),1,0)</f>
        <v>0</v>
      </c>
      <c r="W63">
        <f>IF(COUNTIF($E63, _xlfn.CONCAT("*",Table13[[#Headers],[Science Fiction]],"*")),1,0)</f>
        <v>0</v>
      </c>
      <c r="X63">
        <f>IF(COUNTIF($E63, _xlfn.CONCAT("*",Table13[[#Headers],[TV Movie]],"*")),1,0)</f>
        <v>0</v>
      </c>
      <c r="Y63">
        <f>IF(COUNTIF($E63, _xlfn.CONCAT("*",Table13[[#Headers],[Thriller]],"*")),1,0)</f>
        <v>0</v>
      </c>
      <c r="Z63">
        <f>IF(COUNTIF($E63, _xlfn.CONCAT("*",Table13[[#Headers],[War]],"*")),1,0)</f>
        <v>0</v>
      </c>
      <c r="AA63">
        <f>IF(COUNTIF($E63, _xlfn.CONCAT("*",Table13[[#Headers],[Western]],"*")),1,0)</f>
        <v>0</v>
      </c>
    </row>
    <row r="64" spans="1:27">
      <c r="A64" t="s">
        <v>107</v>
      </c>
      <c r="B64">
        <v>202</v>
      </c>
      <c r="C64">
        <f>MAX(Table13[Rank])-Table13[[#This Row],[Rank]]</f>
        <v>62</v>
      </c>
      <c r="D64" t="s">
        <v>7</v>
      </c>
      <c r="E64" t="s">
        <v>81</v>
      </c>
      <c r="F64" s="1">
        <v>17146</v>
      </c>
      <c r="G64">
        <f>YEAR(Table13[[#This Row],[Date]])</f>
        <v>1946</v>
      </c>
      <c r="H64" t="s">
        <v>107</v>
      </c>
      <c r="I64">
        <f>IF(COUNTIF($E64, _xlfn.CONCAT("*",Table13[[#Headers],[Action]],"*")),1,0)</f>
        <v>0</v>
      </c>
      <c r="J64">
        <f>IF(COUNTIF($E64, _xlfn.CONCAT("*",Table13[[#Headers],[Adventure]],"*")),1,0)</f>
        <v>0</v>
      </c>
      <c r="K64">
        <f>IF(COUNTIF($E64, _xlfn.CONCAT("*",Table13[[#Headers],[Animation]],"*")),1,0)</f>
        <v>0</v>
      </c>
      <c r="L64">
        <f>IF(COUNTIF($E64, _xlfn.CONCAT("*",Table13[[#Headers],[Comedy]],"*")),1,0)</f>
        <v>0</v>
      </c>
      <c r="M64">
        <f>IF(COUNTIF($E64, _xlfn.CONCAT("*",Table13[[#Headers],[Crime]],"*")),1,0)</f>
        <v>0</v>
      </c>
      <c r="N64">
        <f>IF(COUNTIF($E64, _xlfn.CONCAT("*",Table13[[#Headers],[Documentary]],"*")),1,0)</f>
        <v>0</v>
      </c>
      <c r="O64">
        <f>IF(COUNTIF($E64, _xlfn.CONCAT("*",Table13[[#Headers],[Drama]],"*")),1,0)</f>
        <v>1</v>
      </c>
      <c r="P64">
        <f>IF(COUNTIF($E64, _xlfn.CONCAT("*",Table13[[#Headers],[Family]],"*")),1,0)</f>
        <v>0</v>
      </c>
      <c r="Q64">
        <f>IF(COUNTIF($E64, _xlfn.CONCAT("*",Table13[[#Headers],[Fantasy]],"*")),1,0)</f>
        <v>0</v>
      </c>
      <c r="R64">
        <f>IF(COUNTIF($E64, _xlfn.CONCAT("*",Table13[[#Headers],[History]],"*")),1,0)</f>
        <v>0</v>
      </c>
      <c r="S64">
        <f>IF(COUNTIF($E64, _xlfn.CONCAT("*",Table13[[#Headers],[Horror]],"*")),1,0)</f>
        <v>0</v>
      </c>
      <c r="T64">
        <f>IF(COUNTIF($E64, _xlfn.CONCAT("*",Table13[[#Headers],[Music]],"*")),1,0)</f>
        <v>0</v>
      </c>
      <c r="U64">
        <f>IF(COUNTIF($E64, _xlfn.CONCAT("*",Table13[[#Headers],[Mystery]],"*")),1,0)</f>
        <v>0</v>
      </c>
      <c r="V64">
        <f>IF(COUNTIF($E64, _xlfn.CONCAT("*",Table13[[#Headers],[Romance]],"*")),1,0)</f>
        <v>0</v>
      </c>
      <c r="W64">
        <f>IF(COUNTIF($E64, _xlfn.CONCAT("*",Table13[[#Headers],[Science Fiction]],"*")),1,0)</f>
        <v>0</v>
      </c>
      <c r="X64">
        <f>IF(COUNTIF($E64, _xlfn.CONCAT("*",Table13[[#Headers],[TV Movie]],"*")),1,0)</f>
        <v>0</v>
      </c>
      <c r="Y64">
        <f>IF(COUNTIF($E64, _xlfn.CONCAT("*",Table13[[#Headers],[Thriller]],"*")),1,0)</f>
        <v>0</v>
      </c>
      <c r="Z64">
        <f>IF(COUNTIF($E64, _xlfn.CONCAT("*",Table13[[#Headers],[War]],"*")),1,0)</f>
        <v>1</v>
      </c>
      <c r="AA64">
        <f>IF(COUNTIF($E64, _xlfn.CONCAT("*",Table13[[#Headers],[Western]],"*")),1,0)</f>
        <v>0</v>
      </c>
    </row>
    <row r="65" spans="1:27">
      <c r="A65" t="s">
        <v>108</v>
      </c>
      <c r="B65">
        <v>201</v>
      </c>
      <c r="C65">
        <f>MAX(Table13[Rank])-Table13[[#This Row],[Rank]]</f>
        <v>63</v>
      </c>
      <c r="D65" t="s">
        <v>7</v>
      </c>
      <c r="E65" t="s">
        <v>109</v>
      </c>
      <c r="F65" s="1">
        <v>43006</v>
      </c>
      <c r="G65">
        <f>YEAR(Table13[[#This Row],[Date]])</f>
        <v>2017</v>
      </c>
      <c r="H65" t="s">
        <v>108</v>
      </c>
      <c r="I65">
        <f>IF(COUNTIF($E65, _xlfn.CONCAT("*",Table13[[#Headers],[Action]],"*")),1,0)</f>
        <v>0</v>
      </c>
      <c r="J65">
        <f>IF(COUNTIF($E65, _xlfn.CONCAT("*",Table13[[#Headers],[Adventure]],"*")),1,0)</f>
        <v>0</v>
      </c>
      <c r="K65">
        <f>IF(COUNTIF($E65, _xlfn.CONCAT("*",Table13[[#Headers],[Animation]],"*")),1,0)</f>
        <v>0</v>
      </c>
      <c r="L65">
        <f>IF(COUNTIF($E65, _xlfn.CONCAT("*",Table13[[#Headers],[Comedy]],"*")),1,0)</f>
        <v>0</v>
      </c>
      <c r="M65">
        <f>IF(COUNTIF($E65, _xlfn.CONCAT("*",Table13[[#Headers],[Crime]],"*")),1,0)</f>
        <v>0</v>
      </c>
      <c r="N65">
        <f>IF(COUNTIF($E65, _xlfn.CONCAT("*",Table13[[#Headers],[Documentary]],"*")),1,0)</f>
        <v>0</v>
      </c>
      <c r="O65">
        <f>IF(COUNTIF($E65, _xlfn.CONCAT("*",Table13[[#Headers],[Drama]],"*")),1,0)</f>
        <v>1</v>
      </c>
      <c r="P65">
        <f>IF(COUNTIF($E65, _xlfn.CONCAT("*",Table13[[#Headers],[Family]],"*")),1,0)</f>
        <v>0</v>
      </c>
      <c r="Q65">
        <f>IF(COUNTIF($E65, _xlfn.CONCAT("*",Table13[[#Headers],[Fantasy]],"*")),1,0)</f>
        <v>0</v>
      </c>
      <c r="R65">
        <f>IF(COUNTIF($E65, _xlfn.CONCAT("*",Table13[[#Headers],[History]],"*")),1,0)</f>
        <v>1</v>
      </c>
      <c r="S65">
        <f>IF(COUNTIF($E65, _xlfn.CONCAT("*",Table13[[#Headers],[Horror]],"*")),1,0)</f>
        <v>0</v>
      </c>
      <c r="T65">
        <f>IF(COUNTIF($E65, _xlfn.CONCAT("*",Table13[[#Headers],[Music]],"*")),1,0)</f>
        <v>0</v>
      </c>
      <c r="U65">
        <f>IF(COUNTIF($E65, _xlfn.CONCAT("*",Table13[[#Headers],[Mystery]],"*")),1,0)</f>
        <v>0</v>
      </c>
      <c r="V65">
        <f>IF(COUNTIF($E65, _xlfn.CONCAT("*",Table13[[#Headers],[Romance]],"*")),1,0)</f>
        <v>0</v>
      </c>
      <c r="W65">
        <f>IF(COUNTIF($E65, _xlfn.CONCAT("*",Table13[[#Headers],[Science Fiction]],"*")),1,0)</f>
        <v>0</v>
      </c>
      <c r="X65">
        <f>IF(COUNTIF($E65, _xlfn.CONCAT("*",Table13[[#Headers],[TV Movie]],"*")),1,0)</f>
        <v>0</v>
      </c>
      <c r="Y65">
        <f>IF(COUNTIF($E65, _xlfn.CONCAT("*",Table13[[#Headers],[Thriller]],"*")),1,0)</f>
        <v>0</v>
      </c>
      <c r="Z65">
        <f>IF(COUNTIF($E65, _xlfn.CONCAT("*",Table13[[#Headers],[War]],"*")),1,0)</f>
        <v>0</v>
      </c>
      <c r="AA65">
        <f>IF(COUNTIF($E65, _xlfn.CONCAT("*",Table13[[#Headers],[Western]],"*")),1,0)</f>
        <v>0</v>
      </c>
    </row>
    <row r="66" spans="1:27">
      <c r="A66" t="s">
        <v>110</v>
      </c>
      <c r="B66">
        <v>200</v>
      </c>
      <c r="C66">
        <f>MAX(Table13[Rank])-Table13[[#This Row],[Rank]]</f>
        <v>64</v>
      </c>
      <c r="D66" t="s">
        <v>7</v>
      </c>
      <c r="E66" t="s">
        <v>111</v>
      </c>
      <c r="F66" s="1">
        <v>42137</v>
      </c>
      <c r="G66">
        <f>YEAR(Table13[[#This Row],[Date]])</f>
        <v>2015</v>
      </c>
      <c r="H66" t="s">
        <v>110</v>
      </c>
      <c r="I66">
        <f>IF(COUNTIF($E66, _xlfn.CONCAT("*",Table13[[#Headers],[Action]],"*")),1,0)</f>
        <v>1</v>
      </c>
      <c r="J66">
        <f>IF(COUNTIF($E66, _xlfn.CONCAT("*",Table13[[#Headers],[Adventure]],"*")),1,0)</f>
        <v>1</v>
      </c>
      <c r="K66">
        <f>IF(COUNTIF($E66, _xlfn.CONCAT("*",Table13[[#Headers],[Animation]],"*")),1,0)</f>
        <v>0</v>
      </c>
      <c r="L66">
        <f>IF(COUNTIF($E66, _xlfn.CONCAT("*",Table13[[#Headers],[Comedy]],"*")),1,0)</f>
        <v>0</v>
      </c>
      <c r="M66">
        <f>IF(COUNTIF($E66, _xlfn.CONCAT("*",Table13[[#Headers],[Crime]],"*")),1,0)</f>
        <v>0</v>
      </c>
      <c r="N66">
        <f>IF(COUNTIF($E66, _xlfn.CONCAT("*",Table13[[#Headers],[Documentary]],"*")),1,0)</f>
        <v>0</v>
      </c>
      <c r="O66">
        <f>IF(COUNTIF($E66, _xlfn.CONCAT("*",Table13[[#Headers],[Drama]],"*")),1,0)</f>
        <v>0</v>
      </c>
      <c r="P66">
        <f>IF(COUNTIF($E66, _xlfn.CONCAT("*",Table13[[#Headers],[Family]],"*")),1,0)</f>
        <v>0</v>
      </c>
      <c r="Q66">
        <f>IF(COUNTIF($E66, _xlfn.CONCAT("*",Table13[[#Headers],[Fantasy]],"*")),1,0)</f>
        <v>0</v>
      </c>
      <c r="R66">
        <f>IF(COUNTIF($E66, _xlfn.CONCAT("*",Table13[[#Headers],[History]],"*")),1,0)</f>
        <v>0</v>
      </c>
      <c r="S66">
        <f>IF(COUNTIF($E66, _xlfn.CONCAT("*",Table13[[#Headers],[Horror]],"*")),1,0)</f>
        <v>0</v>
      </c>
      <c r="T66">
        <f>IF(COUNTIF($E66, _xlfn.CONCAT("*",Table13[[#Headers],[Music]],"*")),1,0)</f>
        <v>0</v>
      </c>
      <c r="U66">
        <f>IF(COUNTIF($E66, _xlfn.CONCAT("*",Table13[[#Headers],[Mystery]],"*")),1,0)</f>
        <v>0</v>
      </c>
      <c r="V66">
        <f>IF(COUNTIF($E66, _xlfn.CONCAT("*",Table13[[#Headers],[Romance]],"*")),1,0)</f>
        <v>0</v>
      </c>
      <c r="W66">
        <f>IF(COUNTIF($E66, _xlfn.CONCAT("*",Table13[[#Headers],[Science Fiction]],"*")),1,0)</f>
        <v>1</v>
      </c>
      <c r="X66">
        <f>IF(COUNTIF($E66, _xlfn.CONCAT("*",Table13[[#Headers],[TV Movie]],"*")),1,0)</f>
        <v>0</v>
      </c>
      <c r="Y66">
        <f>IF(COUNTIF($E66, _xlfn.CONCAT("*",Table13[[#Headers],[Thriller]],"*")),1,0)</f>
        <v>0</v>
      </c>
      <c r="Z66">
        <f>IF(COUNTIF($E66, _xlfn.CONCAT("*",Table13[[#Headers],[War]],"*")),1,0)</f>
        <v>0</v>
      </c>
      <c r="AA66">
        <f>IF(COUNTIF($E66, _xlfn.CONCAT("*",Table13[[#Headers],[Western]],"*")),1,0)</f>
        <v>0</v>
      </c>
    </row>
    <row r="67" spans="1:27">
      <c r="A67" t="s">
        <v>112</v>
      </c>
      <c r="B67">
        <v>199</v>
      </c>
      <c r="C67">
        <f>MAX(Table13[Rank])-Table13[[#This Row],[Rank]]</f>
        <v>65</v>
      </c>
      <c r="D67" t="s">
        <v>7</v>
      </c>
      <c r="E67" t="s">
        <v>113</v>
      </c>
      <c r="F67" s="1">
        <v>40680</v>
      </c>
      <c r="G67">
        <f>YEAR(Table13[[#This Row],[Date]])</f>
        <v>2011</v>
      </c>
      <c r="H67" t="s">
        <v>112</v>
      </c>
      <c r="I67">
        <f>IF(COUNTIF($E67, _xlfn.CONCAT("*",Table13[[#Headers],[Action]],"*")),1,0)</f>
        <v>0</v>
      </c>
      <c r="J67">
        <f>IF(COUNTIF($E67, _xlfn.CONCAT("*",Table13[[#Headers],[Adventure]],"*")),1,0)</f>
        <v>0</v>
      </c>
      <c r="K67">
        <f>IF(COUNTIF($E67, _xlfn.CONCAT("*",Table13[[#Headers],[Animation]],"*")),1,0)</f>
        <v>0</v>
      </c>
      <c r="L67">
        <f>IF(COUNTIF($E67, _xlfn.CONCAT("*",Table13[[#Headers],[Comedy]],"*")),1,0)</f>
        <v>0</v>
      </c>
      <c r="M67">
        <f>IF(COUNTIF($E67, _xlfn.CONCAT("*",Table13[[#Headers],[Crime]],"*")),1,0)</f>
        <v>0</v>
      </c>
      <c r="N67">
        <f>IF(COUNTIF($E67, _xlfn.CONCAT("*",Table13[[#Headers],[Documentary]],"*")),1,0)</f>
        <v>0</v>
      </c>
      <c r="O67">
        <f>IF(COUNTIF($E67, _xlfn.CONCAT("*",Table13[[#Headers],[Drama]],"*")),1,0)</f>
        <v>1</v>
      </c>
      <c r="P67">
        <f>IF(COUNTIF($E67, _xlfn.CONCAT("*",Table13[[#Headers],[Family]],"*")),1,0)</f>
        <v>0</v>
      </c>
      <c r="Q67">
        <f>IF(COUNTIF($E67, _xlfn.CONCAT("*",Table13[[#Headers],[Fantasy]],"*")),1,0)</f>
        <v>1</v>
      </c>
      <c r="R67">
        <f>IF(COUNTIF($E67, _xlfn.CONCAT("*",Table13[[#Headers],[History]],"*")),1,0)</f>
        <v>0</v>
      </c>
      <c r="S67">
        <f>IF(COUNTIF($E67, _xlfn.CONCAT("*",Table13[[#Headers],[Horror]],"*")),1,0)</f>
        <v>0</v>
      </c>
      <c r="T67">
        <f>IF(COUNTIF($E67, _xlfn.CONCAT("*",Table13[[#Headers],[Music]],"*")),1,0)</f>
        <v>0</v>
      </c>
      <c r="U67">
        <f>IF(COUNTIF($E67, _xlfn.CONCAT("*",Table13[[#Headers],[Mystery]],"*")),1,0)</f>
        <v>0</v>
      </c>
      <c r="V67">
        <f>IF(COUNTIF($E67, _xlfn.CONCAT("*",Table13[[#Headers],[Romance]],"*")),1,0)</f>
        <v>0</v>
      </c>
      <c r="W67">
        <f>IF(COUNTIF($E67, _xlfn.CONCAT("*",Table13[[#Headers],[Science Fiction]],"*")),1,0)</f>
        <v>0</v>
      </c>
      <c r="X67">
        <f>IF(COUNTIF($E67, _xlfn.CONCAT("*",Table13[[#Headers],[TV Movie]],"*")),1,0)</f>
        <v>0</v>
      </c>
      <c r="Y67">
        <f>IF(COUNTIF($E67, _xlfn.CONCAT("*",Table13[[#Headers],[Thriller]],"*")),1,0)</f>
        <v>0</v>
      </c>
      <c r="Z67">
        <f>IF(COUNTIF($E67, _xlfn.CONCAT("*",Table13[[#Headers],[War]],"*")),1,0)</f>
        <v>0</v>
      </c>
      <c r="AA67">
        <f>IF(COUNTIF($E67, _xlfn.CONCAT("*",Table13[[#Headers],[Western]],"*")),1,0)</f>
        <v>0</v>
      </c>
    </row>
    <row r="68" spans="1:27">
      <c r="A68" t="s">
        <v>114</v>
      </c>
      <c r="B68">
        <v>198</v>
      </c>
      <c r="C68">
        <f>MAX(Table13[Rank])-Table13[[#This Row],[Rank]]</f>
        <v>66</v>
      </c>
      <c r="D68" t="s">
        <v>7</v>
      </c>
      <c r="E68" t="s">
        <v>113</v>
      </c>
      <c r="F68" s="1">
        <v>40354</v>
      </c>
      <c r="G68">
        <f>YEAR(Table13[[#This Row],[Date]])</f>
        <v>2010</v>
      </c>
      <c r="H68" t="s">
        <v>114</v>
      </c>
      <c r="I68">
        <f>IF(COUNTIF($E68, _xlfn.CONCAT("*",Table13[[#Headers],[Action]],"*")),1,0)</f>
        <v>0</v>
      </c>
      <c r="J68">
        <f>IF(COUNTIF($E68, _xlfn.CONCAT("*",Table13[[#Headers],[Adventure]],"*")),1,0)</f>
        <v>0</v>
      </c>
      <c r="K68">
        <f>IF(COUNTIF($E68, _xlfn.CONCAT("*",Table13[[#Headers],[Animation]],"*")),1,0)</f>
        <v>0</v>
      </c>
      <c r="L68">
        <f>IF(COUNTIF($E68, _xlfn.CONCAT("*",Table13[[#Headers],[Comedy]],"*")),1,0)</f>
        <v>0</v>
      </c>
      <c r="M68">
        <f>IF(COUNTIF($E68, _xlfn.CONCAT("*",Table13[[#Headers],[Crime]],"*")),1,0)</f>
        <v>0</v>
      </c>
      <c r="N68">
        <f>IF(COUNTIF($E68, _xlfn.CONCAT("*",Table13[[#Headers],[Documentary]],"*")),1,0)</f>
        <v>0</v>
      </c>
      <c r="O68">
        <f>IF(COUNTIF($E68, _xlfn.CONCAT("*",Table13[[#Headers],[Drama]],"*")),1,0)</f>
        <v>1</v>
      </c>
      <c r="P68">
        <f>IF(COUNTIF($E68, _xlfn.CONCAT("*",Table13[[#Headers],[Family]],"*")),1,0)</f>
        <v>0</v>
      </c>
      <c r="Q68">
        <f>IF(COUNTIF($E68, _xlfn.CONCAT("*",Table13[[#Headers],[Fantasy]],"*")),1,0)</f>
        <v>1</v>
      </c>
      <c r="R68">
        <f>IF(COUNTIF($E68, _xlfn.CONCAT("*",Table13[[#Headers],[History]],"*")),1,0)</f>
        <v>0</v>
      </c>
      <c r="S68">
        <f>IF(COUNTIF($E68, _xlfn.CONCAT("*",Table13[[#Headers],[Horror]],"*")),1,0)</f>
        <v>0</v>
      </c>
      <c r="T68">
        <f>IF(COUNTIF($E68, _xlfn.CONCAT("*",Table13[[#Headers],[Music]],"*")),1,0)</f>
        <v>0</v>
      </c>
      <c r="U68">
        <f>IF(COUNTIF($E68, _xlfn.CONCAT("*",Table13[[#Headers],[Mystery]],"*")),1,0)</f>
        <v>0</v>
      </c>
      <c r="V68">
        <f>IF(COUNTIF($E68, _xlfn.CONCAT("*",Table13[[#Headers],[Romance]],"*")),1,0)</f>
        <v>0</v>
      </c>
      <c r="W68">
        <f>IF(COUNTIF($E68, _xlfn.CONCAT("*",Table13[[#Headers],[Science Fiction]],"*")),1,0)</f>
        <v>0</v>
      </c>
      <c r="X68">
        <f>IF(COUNTIF($E68, _xlfn.CONCAT("*",Table13[[#Headers],[TV Movie]],"*")),1,0)</f>
        <v>0</v>
      </c>
      <c r="Y68">
        <f>IF(COUNTIF($E68, _xlfn.CONCAT("*",Table13[[#Headers],[Thriller]],"*")),1,0)</f>
        <v>0</v>
      </c>
      <c r="Z68">
        <f>IF(COUNTIF($E68, _xlfn.CONCAT("*",Table13[[#Headers],[War]],"*")),1,0)</f>
        <v>0</v>
      </c>
      <c r="AA68">
        <f>IF(COUNTIF($E68, _xlfn.CONCAT("*",Table13[[#Headers],[Western]],"*")),1,0)</f>
        <v>0</v>
      </c>
    </row>
    <row r="69" spans="1:27">
      <c r="A69" t="s">
        <v>115</v>
      </c>
      <c r="B69">
        <v>197</v>
      </c>
      <c r="C69">
        <f>MAX(Table13[Rank])-Table13[[#This Row],[Rank]]</f>
        <v>67</v>
      </c>
      <c r="D69" t="s">
        <v>7</v>
      </c>
      <c r="E69" t="s">
        <v>116</v>
      </c>
      <c r="F69" s="1">
        <v>39681</v>
      </c>
      <c r="G69">
        <f>YEAR(Table13[[#This Row],[Date]])</f>
        <v>2008</v>
      </c>
      <c r="H69" t="s">
        <v>115</v>
      </c>
      <c r="I69">
        <f>IF(COUNTIF($E69, _xlfn.CONCAT("*",Table13[[#Headers],[Action]],"*")),1,0)</f>
        <v>0</v>
      </c>
      <c r="J69">
        <f>IF(COUNTIF($E69, _xlfn.CONCAT("*",Table13[[#Headers],[Adventure]],"*")),1,0)</f>
        <v>0</v>
      </c>
      <c r="K69">
        <f>IF(COUNTIF($E69, _xlfn.CONCAT("*",Table13[[#Headers],[Animation]],"*")),1,0)</f>
        <v>0</v>
      </c>
      <c r="L69">
        <f>IF(COUNTIF($E69, _xlfn.CONCAT("*",Table13[[#Headers],[Comedy]],"*")),1,0)</f>
        <v>0</v>
      </c>
      <c r="M69">
        <f>IF(COUNTIF($E69, _xlfn.CONCAT("*",Table13[[#Headers],[Crime]],"*")),1,0)</f>
        <v>0</v>
      </c>
      <c r="N69">
        <f>IF(COUNTIF($E69, _xlfn.CONCAT("*",Table13[[#Headers],[Documentary]],"*")),1,0)</f>
        <v>0</v>
      </c>
      <c r="O69">
        <f>IF(COUNTIF($E69, _xlfn.CONCAT("*",Table13[[#Headers],[Drama]],"*")),1,0)</f>
        <v>1</v>
      </c>
      <c r="P69">
        <f>IF(COUNTIF($E69, _xlfn.CONCAT("*",Table13[[#Headers],[Family]],"*")),1,0)</f>
        <v>0</v>
      </c>
      <c r="Q69">
        <f>IF(COUNTIF($E69, _xlfn.CONCAT("*",Table13[[#Headers],[Fantasy]],"*")),1,0)</f>
        <v>0</v>
      </c>
      <c r="R69">
        <f>IF(COUNTIF($E69, _xlfn.CONCAT("*",Table13[[#Headers],[History]],"*")),1,0)</f>
        <v>0</v>
      </c>
      <c r="S69">
        <f>IF(COUNTIF($E69, _xlfn.CONCAT("*",Table13[[#Headers],[Horror]],"*")),1,0)</f>
        <v>0</v>
      </c>
      <c r="T69">
        <f>IF(COUNTIF($E69, _xlfn.CONCAT("*",Table13[[#Headers],[Music]],"*")),1,0)</f>
        <v>0</v>
      </c>
      <c r="U69">
        <f>IF(COUNTIF($E69, _xlfn.CONCAT("*",Table13[[#Headers],[Mystery]],"*")),1,0)</f>
        <v>1</v>
      </c>
      <c r="V69">
        <f>IF(COUNTIF($E69, _xlfn.CONCAT("*",Table13[[#Headers],[Romance]],"*")),1,0)</f>
        <v>0</v>
      </c>
      <c r="W69">
        <f>IF(COUNTIF($E69, _xlfn.CONCAT("*",Table13[[#Headers],[Science Fiction]],"*")),1,0)</f>
        <v>0</v>
      </c>
      <c r="X69">
        <f>IF(COUNTIF($E69, _xlfn.CONCAT("*",Table13[[#Headers],[TV Movie]],"*")),1,0)</f>
        <v>0</v>
      </c>
      <c r="Y69">
        <f>IF(COUNTIF($E69, _xlfn.CONCAT("*",Table13[[#Headers],[Thriller]],"*")),1,0)</f>
        <v>1</v>
      </c>
      <c r="Z69">
        <f>IF(COUNTIF($E69, _xlfn.CONCAT("*",Table13[[#Headers],[War]],"*")),1,0)</f>
        <v>0</v>
      </c>
      <c r="AA69">
        <f>IF(COUNTIF($E69, _xlfn.CONCAT("*",Table13[[#Headers],[Western]],"*")),1,0)</f>
        <v>0</v>
      </c>
    </row>
    <row r="70" spans="1:27">
      <c r="A70" t="s">
        <v>117</v>
      </c>
      <c r="B70">
        <v>196</v>
      </c>
      <c r="C70">
        <f>MAX(Table13[Rank])-Table13[[#This Row],[Rank]]</f>
        <v>68</v>
      </c>
      <c r="D70" t="s">
        <v>7</v>
      </c>
      <c r="E70" t="s">
        <v>118</v>
      </c>
      <c r="F70" s="1">
        <v>24406</v>
      </c>
      <c r="G70">
        <f>YEAR(Table13[[#This Row],[Date]])</f>
        <v>1966</v>
      </c>
      <c r="H70" t="s">
        <v>1265</v>
      </c>
      <c r="I70">
        <f>IF(COUNTIF($E70, _xlfn.CONCAT("*",Table13[[#Headers],[Action]],"*")),1,0)</f>
        <v>0</v>
      </c>
      <c r="J70">
        <f>IF(COUNTIF($E70, _xlfn.CONCAT("*",Table13[[#Headers],[Adventure]],"*")),1,0)</f>
        <v>0</v>
      </c>
      <c r="K70">
        <f>IF(COUNTIF($E70, _xlfn.CONCAT("*",Table13[[#Headers],[Animation]],"*")),1,0)</f>
        <v>0</v>
      </c>
      <c r="L70">
        <f>IF(COUNTIF($E70, _xlfn.CONCAT("*",Table13[[#Headers],[Comedy]],"*")),1,0)</f>
        <v>0</v>
      </c>
      <c r="M70">
        <f>IF(COUNTIF($E70, _xlfn.CONCAT("*",Table13[[#Headers],[Crime]],"*")),1,0)</f>
        <v>0</v>
      </c>
      <c r="N70">
        <f>IF(COUNTIF($E70, _xlfn.CONCAT("*",Table13[[#Headers],[Documentary]],"*")),1,0)</f>
        <v>0</v>
      </c>
      <c r="O70">
        <f>IF(COUNTIF($E70, _xlfn.CONCAT("*",Table13[[#Headers],[Drama]],"*")),1,0)</f>
        <v>1</v>
      </c>
      <c r="P70">
        <f>IF(COUNTIF($E70, _xlfn.CONCAT("*",Table13[[#Headers],[Family]],"*")),1,0)</f>
        <v>0</v>
      </c>
      <c r="Q70">
        <f>IF(COUNTIF($E70, _xlfn.CONCAT("*",Table13[[#Headers],[Fantasy]],"*")),1,0)</f>
        <v>0</v>
      </c>
      <c r="R70">
        <f>IF(COUNTIF($E70, _xlfn.CONCAT("*",Table13[[#Headers],[History]],"*")),1,0)</f>
        <v>1</v>
      </c>
      <c r="S70">
        <f>IF(COUNTIF($E70, _xlfn.CONCAT("*",Table13[[#Headers],[Horror]],"*")),1,0)</f>
        <v>0</v>
      </c>
      <c r="T70">
        <f>IF(COUNTIF($E70, _xlfn.CONCAT("*",Table13[[#Headers],[Music]],"*")),1,0)</f>
        <v>0</v>
      </c>
      <c r="U70">
        <f>IF(COUNTIF($E70, _xlfn.CONCAT("*",Table13[[#Headers],[Mystery]],"*")),1,0)</f>
        <v>0</v>
      </c>
      <c r="V70">
        <f>IF(COUNTIF($E70, _xlfn.CONCAT("*",Table13[[#Headers],[Romance]],"*")),1,0)</f>
        <v>0</v>
      </c>
      <c r="W70">
        <f>IF(COUNTIF($E70, _xlfn.CONCAT("*",Table13[[#Headers],[Science Fiction]],"*")),1,0)</f>
        <v>0</v>
      </c>
      <c r="X70">
        <f>IF(COUNTIF($E70, _xlfn.CONCAT("*",Table13[[#Headers],[TV Movie]],"*")),1,0)</f>
        <v>0</v>
      </c>
      <c r="Y70">
        <f>IF(COUNTIF($E70, _xlfn.CONCAT("*",Table13[[#Headers],[Thriller]],"*")),1,0)</f>
        <v>0</v>
      </c>
      <c r="Z70">
        <f>IF(COUNTIF($E70, _xlfn.CONCAT("*",Table13[[#Headers],[War]],"*")),1,0)</f>
        <v>1</v>
      </c>
      <c r="AA70">
        <f>IF(COUNTIF($E70, _xlfn.CONCAT("*",Table13[[#Headers],[Western]],"*")),1,0)</f>
        <v>0</v>
      </c>
    </row>
    <row r="71" spans="1:27">
      <c r="A71" t="s">
        <v>119</v>
      </c>
      <c r="B71">
        <v>195</v>
      </c>
      <c r="C71">
        <f>MAX(Table13[Rank])-Table13[[#This Row],[Rank]]</f>
        <v>69</v>
      </c>
      <c r="D71" t="s">
        <v>7</v>
      </c>
      <c r="E71" t="s">
        <v>21</v>
      </c>
      <c r="F71" s="1">
        <v>30879</v>
      </c>
      <c r="G71">
        <f>YEAR(Table13[[#This Row],[Date]])</f>
        <v>1984</v>
      </c>
      <c r="H71" t="s">
        <v>119</v>
      </c>
      <c r="I71">
        <f>IF(COUNTIF($E71, _xlfn.CONCAT("*",Table13[[#Headers],[Action]],"*")),1,0)</f>
        <v>0</v>
      </c>
      <c r="J71">
        <f>IF(COUNTIF($E71, _xlfn.CONCAT("*",Table13[[#Headers],[Adventure]],"*")),1,0)</f>
        <v>0</v>
      </c>
      <c r="K71">
        <f>IF(COUNTIF($E71, _xlfn.CONCAT("*",Table13[[#Headers],[Animation]],"*")),1,0)</f>
        <v>0</v>
      </c>
      <c r="L71">
        <f>IF(COUNTIF($E71, _xlfn.CONCAT("*",Table13[[#Headers],[Comedy]],"*")),1,0)</f>
        <v>0</v>
      </c>
      <c r="M71">
        <f>IF(COUNTIF($E71, _xlfn.CONCAT("*",Table13[[#Headers],[Crime]],"*")),1,0)</f>
        <v>0</v>
      </c>
      <c r="N71">
        <f>IF(COUNTIF($E71, _xlfn.CONCAT("*",Table13[[#Headers],[Documentary]],"*")),1,0)</f>
        <v>0</v>
      </c>
      <c r="O71">
        <f>IF(COUNTIF($E71, _xlfn.CONCAT("*",Table13[[#Headers],[Drama]],"*")),1,0)</f>
        <v>1</v>
      </c>
      <c r="P71">
        <f>IF(COUNTIF($E71, _xlfn.CONCAT("*",Table13[[#Headers],[Family]],"*")),1,0)</f>
        <v>0</v>
      </c>
      <c r="Q71">
        <f>IF(COUNTIF($E71, _xlfn.CONCAT("*",Table13[[#Headers],[Fantasy]],"*")),1,0)</f>
        <v>0</v>
      </c>
      <c r="R71">
        <f>IF(COUNTIF($E71, _xlfn.CONCAT("*",Table13[[#Headers],[History]],"*")),1,0)</f>
        <v>0</v>
      </c>
      <c r="S71">
        <f>IF(COUNTIF($E71, _xlfn.CONCAT("*",Table13[[#Headers],[Horror]],"*")),1,0)</f>
        <v>0</v>
      </c>
      <c r="T71">
        <f>IF(COUNTIF($E71, _xlfn.CONCAT("*",Table13[[#Headers],[Music]],"*")),1,0)</f>
        <v>0</v>
      </c>
      <c r="U71">
        <f>IF(COUNTIF($E71, _xlfn.CONCAT("*",Table13[[#Headers],[Mystery]],"*")),1,0)</f>
        <v>0</v>
      </c>
      <c r="V71">
        <f>IF(COUNTIF($E71, _xlfn.CONCAT("*",Table13[[#Headers],[Romance]],"*")),1,0)</f>
        <v>0</v>
      </c>
      <c r="W71">
        <f>IF(COUNTIF($E71, _xlfn.CONCAT("*",Table13[[#Headers],[Science Fiction]],"*")),1,0)</f>
        <v>0</v>
      </c>
      <c r="X71">
        <f>IF(COUNTIF($E71, _xlfn.CONCAT("*",Table13[[#Headers],[TV Movie]],"*")),1,0)</f>
        <v>0</v>
      </c>
      <c r="Y71">
        <f>IF(COUNTIF($E71, _xlfn.CONCAT("*",Table13[[#Headers],[Thriller]],"*")),1,0)</f>
        <v>0</v>
      </c>
      <c r="Z71">
        <f>IF(COUNTIF($E71, _xlfn.CONCAT("*",Table13[[#Headers],[War]],"*")),1,0)</f>
        <v>0</v>
      </c>
      <c r="AA71">
        <f>IF(COUNTIF($E71, _xlfn.CONCAT("*",Table13[[#Headers],[Western]],"*")),1,0)</f>
        <v>0</v>
      </c>
    </row>
    <row r="72" spans="1:27">
      <c r="A72" t="s">
        <v>120</v>
      </c>
      <c r="B72">
        <v>194</v>
      </c>
      <c r="C72">
        <f>MAX(Table13[Rank])-Table13[[#This Row],[Rank]]</f>
        <v>70</v>
      </c>
      <c r="D72" t="s">
        <v>7</v>
      </c>
      <c r="E72" t="s">
        <v>121</v>
      </c>
      <c r="F72" s="1">
        <v>24539</v>
      </c>
      <c r="G72">
        <f>YEAR(Table13[[#This Row],[Date]])</f>
        <v>1967</v>
      </c>
      <c r="H72" t="s">
        <v>856</v>
      </c>
      <c r="I72">
        <f>IF(COUNTIF($E72, _xlfn.CONCAT("*",Table13[[#Headers],[Action]],"*")),1,0)</f>
        <v>0</v>
      </c>
      <c r="J72">
        <f>IF(COUNTIF($E72, _xlfn.CONCAT("*",Table13[[#Headers],[Adventure]],"*")),1,0)</f>
        <v>0</v>
      </c>
      <c r="K72">
        <f>IF(COUNTIF($E72, _xlfn.CONCAT("*",Table13[[#Headers],[Animation]],"*")),1,0)</f>
        <v>0</v>
      </c>
      <c r="L72">
        <f>IF(COUNTIF($E72, _xlfn.CONCAT("*",Table13[[#Headers],[Comedy]],"*")),1,0)</f>
        <v>1</v>
      </c>
      <c r="M72">
        <f>IF(COUNTIF($E72, _xlfn.CONCAT("*",Table13[[#Headers],[Crime]],"*")),1,0)</f>
        <v>0</v>
      </c>
      <c r="N72">
        <f>IF(COUNTIF($E72, _xlfn.CONCAT("*",Table13[[#Headers],[Documentary]],"*")),1,0)</f>
        <v>0</v>
      </c>
      <c r="O72">
        <f>IF(COUNTIF($E72, _xlfn.CONCAT("*",Table13[[#Headers],[Drama]],"*")),1,0)</f>
        <v>1</v>
      </c>
      <c r="P72">
        <f>IF(COUNTIF($E72, _xlfn.CONCAT("*",Table13[[#Headers],[Family]],"*")),1,0)</f>
        <v>0</v>
      </c>
      <c r="Q72">
        <f>IF(COUNTIF($E72, _xlfn.CONCAT("*",Table13[[#Headers],[Fantasy]],"*")),1,0)</f>
        <v>0</v>
      </c>
      <c r="R72">
        <f>IF(COUNTIF($E72, _xlfn.CONCAT("*",Table13[[#Headers],[History]],"*")),1,0)</f>
        <v>0</v>
      </c>
      <c r="S72">
        <f>IF(COUNTIF($E72, _xlfn.CONCAT("*",Table13[[#Headers],[Horror]],"*")),1,0)</f>
        <v>0</v>
      </c>
      <c r="T72">
        <f>IF(COUNTIF($E72, _xlfn.CONCAT("*",Table13[[#Headers],[Music]],"*")),1,0)</f>
        <v>0</v>
      </c>
      <c r="U72">
        <f>IF(COUNTIF($E72, _xlfn.CONCAT("*",Table13[[#Headers],[Mystery]],"*")),1,0)</f>
        <v>0</v>
      </c>
      <c r="V72">
        <f>IF(COUNTIF($E72, _xlfn.CONCAT("*",Table13[[#Headers],[Romance]],"*")),1,0)</f>
        <v>1</v>
      </c>
      <c r="W72">
        <f>IF(COUNTIF($E72, _xlfn.CONCAT("*",Table13[[#Headers],[Science Fiction]],"*")),1,0)</f>
        <v>0</v>
      </c>
      <c r="X72">
        <f>IF(COUNTIF($E72, _xlfn.CONCAT("*",Table13[[#Headers],[TV Movie]],"*")),1,0)</f>
        <v>0</v>
      </c>
      <c r="Y72">
        <f>IF(COUNTIF($E72, _xlfn.CONCAT("*",Table13[[#Headers],[Thriller]],"*")),1,0)</f>
        <v>0</v>
      </c>
      <c r="Z72">
        <f>IF(COUNTIF($E72, _xlfn.CONCAT("*",Table13[[#Headers],[War]],"*")),1,0)</f>
        <v>0</v>
      </c>
      <c r="AA72">
        <f>IF(COUNTIF($E72, _xlfn.CONCAT("*",Table13[[#Headers],[Western]],"*")),1,0)</f>
        <v>0</v>
      </c>
    </row>
    <row r="73" spans="1:27">
      <c r="A73" t="s">
        <v>122</v>
      </c>
      <c r="B73">
        <v>193</v>
      </c>
      <c r="C73">
        <f>MAX(Table13[Rank])-Table13[[#This Row],[Rank]]</f>
        <v>71</v>
      </c>
      <c r="D73" t="s">
        <v>7</v>
      </c>
      <c r="E73" t="s">
        <v>29</v>
      </c>
      <c r="F73" s="1">
        <v>23098</v>
      </c>
      <c r="G73">
        <f>YEAR(Table13[[#This Row],[Date]])</f>
        <v>1963</v>
      </c>
      <c r="H73" t="s">
        <v>122</v>
      </c>
      <c r="I73">
        <f>IF(COUNTIF($E73, _xlfn.CONCAT("*",Table13[[#Headers],[Action]],"*")),1,0)</f>
        <v>0</v>
      </c>
      <c r="J73">
        <f>IF(COUNTIF($E73, _xlfn.CONCAT("*",Table13[[#Headers],[Adventure]],"*")),1,0)</f>
        <v>0</v>
      </c>
      <c r="K73">
        <f>IF(COUNTIF($E73, _xlfn.CONCAT("*",Table13[[#Headers],[Animation]],"*")),1,0)</f>
        <v>0</v>
      </c>
      <c r="L73">
        <f>IF(COUNTIF($E73, _xlfn.CONCAT("*",Table13[[#Headers],[Comedy]],"*")),1,0)</f>
        <v>0</v>
      </c>
      <c r="M73">
        <f>IF(COUNTIF($E73, _xlfn.CONCAT("*",Table13[[#Headers],[Crime]],"*")),1,0)</f>
        <v>0</v>
      </c>
      <c r="N73">
        <f>IF(COUNTIF($E73, _xlfn.CONCAT("*",Table13[[#Headers],[Documentary]],"*")),1,0)</f>
        <v>0</v>
      </c>
      <c r="O73">
        <f>IF(COUNTIF($E73, _xlfn.CONCAT("*",Table13[[#Headers],[Drama]],"*")),1,0)</f>
        <v>0</v>
      </c>
      <c r="P73">
        <f>IF(COUNTIF($E73, _xlfn.CONCAT("*",Table13[[#Headers],[Family]],"*")),1,0)</f>
        <v>0</v>
      </c>
      <c r="Q73">
        <f>IF(COUNTIF($E73, _xlfn.CONCAT("*",Table13[[#Headers],[Fantasy]],"*")),1,0)</f>
        <v>0</v>
      </c>
      <c r="R73">
        <f>IF(COUNTIF($E73, _xlfn.CONCAT("*",Table13[[#Headers],[History]],"*")),1,0)</f>
        <v>0</v>
      </c>
      <c r="S73">
        <f>IF(COUNTIF($E73, _xlfn.CONCAT("*",Table13[[#Headers],[Horror]],"*")),1,0)</f>
        <v>1</v>
      </c>
      <c r="T73">
        <f>IF(COUNTIF($E73, _xlfn.CONCAT("*",Table13[[#Headers],[Music]],"*")),1,0)</f>
        <v>0</v>
      </c>
      <c r="U73">
        <f>IF(COUNTIF($E73, _xlfn.CONCAT("*",Table13[[#Headers],[Mystery]],"*")),1,0)</f>
        <v>0</v>
      </c>
      <c r="V73">
        <f>IF(COUNTIF($E73, _xlfn.CONCAT("*",Table13[[#Headers],[Romance]],"*")),1,0)</f>
        <v>0</v>
      </c>
      <c r="W73">
        <f>IF(COUNTIF($E73, _xlfn.CONCAT("*",Table13[[#Headers],[Science Fiction]],"*")),1,0)</f>
        <v>0</v>
      </c>
      <c r="X73">
        <f>IF(COUNTIF($E73, _xlfn.CONCAT("*",Table13[[#Headers],[TV Movie]],"*")),1,0)</f>
        <v>0</v>
      </c>
      <c r="Y73">
        <f>IF(COUNTIF($E73, _xlfn.CONCAT("*",Table13[[#Headers],[Thriller]],"*")),1,0)</f>
        <v>0</v>
      </c>
      <c r="Z73">
        <f>IF(COUNTIF($E73, _xlfn.CONCAT("*",Table13[[#Headers],[War]],"*")),1,0)</f>
        <v>0</v>
      </c>
      <c r="AA73">
        <f>IF(COUNTIF($E73, _xlfn.CONCAT("*",Table13[[#Headers],[Western]],"*")),1,0)</f>
        <v>0</v>
      </c>
    </row>
    <row r="74" spans="1:27">
      <c r="A74" t="s">
        <v>123</v>
      </c>
      <c r="B74">
        <v>192</v>
      </c>
      <c r="C74">
        <f>MAX(Table13[Rank])-Table13[[#This Row],[Rank]]</f>
        <v>72</v>
      </c>
      <c r="D74" t="s">
        <v>7</v>
      </c>
      <c r="E74" t="s">
        <v>21</v>
      </c>
      <c r="F74" s="1">
        <v>31017</v>
      </c>
      <c r="G74">
        <f>YEAR(Table13[[#This Row],[Date]])</f>
        <v>1984</v>
      </c>
      <c r="H74" t="s">
        <v>123</v>
      </c>
      <c r="I74">
        <f>IF(COUNTIF($E74, _xlfn.CONCAT("*",Table13[[#Headers],[Action]],"*")),1,0)</f>
        <v>0</v>
      </c>
      <c r="J74">
        <f>IF(COUNTIF($E74, _xlfn.CONCAT("*",Table13[[#Headers],[Adventure]],"*")),1,0)</f>
        <v>0</v>
      </c>
      <c r="K74">
        <f>IF(COUNTIF($E74, _xlfn.CONCAT("*",Table13[[#Headers],[Animation]],"*")),1,0)</f>
        <v>0</v>
      </c>
      <c r="L74">
        <f>IF(COUNTIF($E74, _xlfn.CONCAT("*",Table13[[#Headers],[Comedy]],"*")),1,0)</f>
        <v>0</v>
      </c>
      <c r="M74">
        <f>IF(COUNTIF($E74, _xlfn.CONCAT("*",Table13[[#Headers],[Crime]],"*")),1,0)</f>
        <v>0</v>
      </c>
      <c r="N74">
        <f>IF(COUNTIF($E74, _xlfn.CONCAT("*",Table13[[#Headers],[Documentary]],"*")),1,0)</f>
        <v>0</v>
      </c>
      <c r="O74">
        <f>IF(COUNTIF($E74, _xlfn.CONCAT("*",Table13[[#Headers],[Drama]],"*")),1,0)</f>
        <v>1</v>
      </c>
      <c r="P74">
        <f>IF(COUNTIF($E74, _xlfn.CONCAT("*",Table13[[#Headers],[Family]],"*")),1,0)</f>
        <v>0</v>
      </c>
      <c r="Q74">
        <f>IF(COUNTIF($E74, _xlfn.CONCAT("*",Table13[[#Headers],[Fantasy]],"*")),1,0)</f>
        <v>0</v>
      </c>
      <c r="R74">
        <f>IF(COUNTIF($E74, _xlfn.CONCAT("*",Table13[[#Headers],[History]],"*")),1,0)</f>
        <v>0</v>
      </c>
      <c r="S74">
        <f>IF(COUNTIF($E74, _xlfn.CONCAT("*",Table13[[#Headers],[Horror]],"*")),1,0)</f>
        <v>0</v>
      </c>
      <c r="T74">
        <f>IF(COUNTIF($E74, _xlfn.CONCAT("*",Table13[[#Headers],[Music]],"*")),1,0)</f>
        <v>0</v>
      </c>
      <c r="U74">
        <f>IF(COUNTIF($E74, _xlfn.CONCAT("*",Table13[[#Headers],[Mystery]],"*")),1,0)</f>
        <v>0</v>
      </c>
      <c r="V74">
        <f>IF(COUNTIF($E74, _xlfn.CONCAT("*",Table13[[#Headers],[Romance]],"*")),1,0)</f>
        <v>0</v>
      </c>
      <c r="W74">
        <f>IF(COUNTIF($E74, _xlfn.CONCAT("*",Table13[[#Headers],[Science Fiction]],"*")),1,0)</f>
        <v>0</v>
      </c>
      <c r="X74">
        <f>IF(COUNTIF($E74, _xlfn.CONCAT("*",Table13[[#Headers],[TV Movie]],"*")),1,0)</f>
        <v>0</v>
      </c>
      <c r="Y74">
        <f>IF(COUNTIF($E74, _xlfn.CONCAT("*",Table13[[#Headers],[Thriller]],"*")),1,0)</f>
        <v>0</v>
      </c>
      <c r="Z74">
        <f>IF(COUNTIF($E74, _xlfn.CONCAT("*",Table13[[#Headers],[War]],"*")),1,0)</f>
        <v>0</v>
      </c>
      <c r="AA74">
        <f>IF(COUNTIF($E74, _xlfn.CONCAT("*",Table13[[#Headers],[Western]],"*")),1,0)</f>
        <v>0</v>
      </c>
    </row>
    <row r="75" spans="1:27">
      <c r="A75" t="s">
        <v>124</v>
      </c>
      <c r="B75">
        <v>191</v>
      </c>
      <c r="C75">
        <f>MAX(Table13[Rank])-Table13[[#This Row],[Rank]]</f>
        <v>73</v>
      </c>
      <c r="D75" t="s">
        <v>7</v>
      </c>
      <c r="E75" t="s">
        <v>21</v>
      </c>
      <c r="F75" s="1">
        <v>22968</v>
      </c>
      <c r="G75">
        <f>YEAR(Table13[[#This Row],[Date]])</f>
        <v>1962</v>
      </c>
      <c r="H75" t="s">
        <v>124</v>
      </c>
      <c r="I75">
        <f>IF(COUNTIF($E75, _xlfn.CONCAT("*",Table13[[#Headers],[Action]],"*")),1,0)</f>
        <v>0</v>
      </c>
      <c r="J75">
        <f>IF(COUNTIF($E75, _xlfn.CONCAT("*",Table13[[#Headers],[Adventure]],"*")),1,0)</f>
        <v>0</v>
      </c>
      <c r="K75">
        <f>IF(COUNTIF($E75, _xlfn.CONCAT("*",Table13[[#Headers],[Animation]],"*")),1,0)</f>
        <v>0</v>
      </c>
      <c r="L75">
        <f>IF(COUNTIF($E75, _xlfn.CONCAT("*",Table13[[#Headers],[Comedy]],"*")),1,0)</f>
        <v>0</v>
      </c>
      <c r="M75">
        <f>IF(COUNTIF($E75, _xlfn.CONCAT("*",Table13[[#Headers],[Crime]],"*")),1,0)</f>
        <v>0</v>
      </c>
      <c r="N75">
        <f>IF(COUNTIF($E75, _xlfn.CONCAT("*",Table13[[#Headers],[Documentary]],"*")),1,0)</f>
        <v>0</v>
      </c>
      <c r="O75">
        <f>IF(COUNTIF($E75, _xlfn.CONCAT("*",Table13[[#Headers],[Drama]],"*")),1,0)</f>
        <v>1</v>
      </c>
      <c r="P75">
        <f>IF(COUNTIF($E75, _xlfn.CONCAT("*",Table13[[#Headers],[Family]],"*")),1,0)</f>
        <v>0</v>
      </c>
      <c r="Q75">
        <f>IF(COUNTIF($E75, _xlfn.CONCAT("*",Table13[[#Headers],[Fantasy]],"*")),1,0)</f>
        <v>0</v>
      </c>
      <c r="R75">
        <f>IF(COUNTIF($E75, _xlfn.CONCAT("*",Table13[[#Headers],[History]],"*")),1,0)</f>
        <v>0</v>
      </c>
      <c r="S75">
        <f>IF(COUNTIF($E75, _xlfn.CONCAT("*",Table13[[#Headers],[Horror]],"*")),1,0)</f>
        <v>0</v>
      </c>
      <c r="T75">
        <f>IF(COUNTIF($E75, _xlfn.CONCAT("*",Table13[[#Headers],[Music]],"*")),1,0)</f>
        <v>0</v>
      </c>
      <c r="U75">
        <f>IF(COUNTIF($E75, _xlfn.CONCAT("*",Table13[[#Headers],[Mystery]],"*")),1,0)</f>
        <v>0</v>
      </c>
      <c r="V75">
        <f>IF(COUNTIF($E75, _xlfn.CONCAT("*",Table13[[#Headers],[Romance]],"*")),1,0)</f>
        <v>0</v>
      </c>
      <c r="W75">
        <f>IF(COUNTIF($E75, _xlfn.CONCAT("*",Table13[[#Headers],[Science Fiction]],"*")),1,0)</f>
        <v>0</v>
      </c>
      <c r="X75">
        <f>IF(COUNTIF($E75, _xlfn.CONCAT("*",Table13[[#Headers],[TV Movie]],"*")),1,0)</f>
        <v>0</v>
      </c>
      <c r="Y75">
        <f>IF(COUNTIF($E75, _xlfn.CONCAT("*",Table13[[#Headers],[Thriller]],"*")),1,0)</f>
        <v>0</v>
      </c>
      <c r="Z75">
        <f>IF(COUNTIF($E75, _xlfn.CONCAT("*",Table13[[#Headers],[War]],"*")),1,0)</f>
        <v>0</v>
      </c>
      <c r="AA75">
        <f>IF(COUNTIF($E75, _xlfn.CONCAT("*",Table13[[#Headers],[Western]],"*")),1,0)</f>
        <v>0</v>
      </c>
    </row>
    <row r="76" spans="1:27">
      <c r="A76" t="s">
        <v>125</v>
      </c>
      <c r="B76">
        <v>190</v>
      </c>
      <c r="C76">
        <f>MAX(Table13[Rank])-Table13[[#This Row],[Rank]]</f>
        <v>74</v>
      </c>
      <c r="D76" t="s">
        <v>7</v>
      </c>
      <c r="E76" t="s">
        <v>21</v>
      </c>
      <c r="F76" s="1">
        <v>30732</v>
      </c>
      <c r="G76">
        <f>YEAR(Table13[[#This Row],[Date]])</f>
        <v>1984</v>
      </c>
      <c r="H76" t="s">
        <v>125</v>
      </c>
      <c r="I76">
        <f>IF(COUNTIF($E76, _xlfn.CONCAT("*",Table13[[#Headers],[Action]],"*")),1,0)</f>
        <v>0</v>
      </c>
      <c r="J76">
        <f>IF(COUNTIF($E76, _xlfn.CONCAT("*",Table13[[#Headers],[Adventure]],"*")),1,0)</f>
        <v>0</v>
      </c>
      <c r="K76">
        <f>IF(COUNTIF($E76, _xlfn.CONCAT("*",Table13[[#Headers],[Animation]],"*")),1,0)</f>
        <v>0</v>
      </c>
      <c r="L76">
        <f>IF(COUNTIF($E76, _xlfn.CONCAT("*",Table13[[#Headers],[Comedy]],"*")),1,0)</f>
        <v>0</v>
      </c>
      <c r="M76">
        <f>IF(COUNTIF($E76, _xlfn.CONCAT("*",Table13[[#Headers],[Crime]],"*")),1,0)</f>
        <v>0</v>
      </c>
      <c r="N76">
        <f>IF(COUNTIF($E76, _xlfn.CONCAT("*",Table13[[#Headers],[Documentary]],"*")),1,0)</f>
        <v>0</v>
      </c>
      <c r="O76">
        <f>IF(COUNTIF($E76, _xlfn.CONCAT("*",Table13[[#Headers],[Drama]],"*")),1,0)</f>
        <v>1</v>
      </c>
      <c r="P76">
        <f>IF(COUNTIF($E76, _xlfn.CONCAT("*",Table13[[#Headers],[Family]],"*")),1,0)</f>
        <v>0</v>
      </c>
      <c r="Q76">
        <f>IF(COUNTIF($E76, _xlfn.CONCAT("*",Table13[[#Headers],[Fantasy]],"*")),1,0)</f>
        <v>0</v>
      </c>
      <c r="R76">
        <f>IF(COUNTIF($E76, _xlfn.CONCAT("*",Table13[[#Headers],[History]],"*")),1,0)</f>
        <v>0</v>
      </c>
      <c r="S76">
        <f>IF(COUNTIF($E76, _xlfn.CONCAT("*",Table13[[#Headers],[Horror]],"*")),1,0)</f>
        <v>0</v>
      </c>
      <c r="T76">
        <f>IF(COUNTIF($E76, _xlfn.CONCAT("*",Table13[[#Headers],[Music]],"*")),1,0)</f>
        <v>0</v>
      </c>
      <c r="U76">
        <f>IF(COUNTIF($E76, _xlfn.CONCAT("*",Table13[[#Headers],[Mystery]],"*")),1,0)</f>
        <v>0</v>
      </c>
      <c r="V76">
        <f>IF(COUNTIF($E76, _xlfn.CONCAT("*",Table13[[#Headers],[Romance]],"*")),1,0)</f>
        <v>0</v>
      </c>
      <c r="W76">
        <f>IF(COUNTIF($E76, _xlfn.CONCAT("*",Table13[[#Headers],[Science Fiction]],"*")),1,0)</f>
        <v>0</v>
      </c>
      <c r="X76">
        <f>IF(COUNTIF($E76, _xlfn.CONCAT("*",Table13[[#Headers],[TV Movie]],"*")),1,0)</f>
        <v>0</v>
      </c>
      <c r="Y76">
        <f>IF(COUNTIF($E76, _xlfn.CONCAT("*",Table13[[#Headers],[Thriller]],"*")),1,0)</f>
        <v>0</v>
      </c>
      <c r="Z76">
        <f>IF(COUNTIF($E76, _xlfn.CONCAT("*",Table13[[#Headers],[War]],"*")),1,0)</f>
        <v>0</v>
      </c>
      <c r="AA76">
        <f>IF(COUNTIF($E76, _xlfn.CONCAT("*",Table13[[#Headers],[Western]],"*")),1,0)</f>
        <v>0</v>
      </c>
    </row>
    <row r="77" spans="1:27">
      <c r="A77" t="s">
        <v>126</v>
      </c>
      <c r="B77">
        <v>189</v>
      </c>
      <c r="C77">
        <f>MAX(Table13[Rank])-Table13[[#This Row],[Rank]]</f>
        <v>75</v>
      </c>
      <c r="D77" t="s">
        <v>7</v>
      </c>
      <c r="E77" t="s">
        <v>127</v>
      </c>
      <c r="F77" s="1">
        <v>23484</v>
      </c>
      <c r="G77">
        <f>YEAR(Table13[[#This Row],[Date]])</f>
        <v>1964</v>
      </c>
      <c r="H77" t="s">
        <v>1266</v>
      </c>
      <c r="I77">
        <f>IF(COUNTIF($E77, _xlfn.CONCAT("*",Table13[[#Headers],[Action]],"*")),1,0)</f>
        <v>1</v>
      </c>
      <c r="J77">
        <f>IF(COUNTIF($E77, _xlfn.CONCAT("*",Table13[[#Headers],[Adventure]],"*")),1,0)</f>
        <v>1</v>
      </c>
      <c r="K77">
        <f>IF(COUNTIF($E77, _xlfn.CONCAT("*",Table13[[#Headers],[Animation]],"*")),1,0)</f>
        <v>0</v>
      </c>
      <c r="L77">
        <f>IF(COUNTIF($E77, _xlfn.CONCAT("*",Table13[[#Headers],[Comedy]],"*")),1,0)</f>
        <v>1</v>
      </c>
      <c r="M77">
        <f>IF(COUNTIF($E77, _xlfn.CONCAT("*",Table13[[#Headers],[Crime]],"*")),1,0)</f>
        <v>0</v>
      </c>
      <c r="N77">
        <f>IF(COUNTIF($E77, _xlfn.CONCAT("*",Table13[[#Headers],[Documentary]],"*")),1,0)</f>
        <v>0</v>
      </c>
      <c r="O77">
        <f>IF(COUNTIF($E77, _xlfn.CONCAT("*",Table13[[#Headers],[Drama]],"*")),1,0)</f>
        <v>0</v>
      </c>
      <c r="P77">
        <f>IF(COUNTIF($E77, _xlfn.CONCAT("*",Table13[[#Headers],[Family]],"*")),1,0)</f>
        <v>0</v>
      </c>
      <c r="Q77">
        <f>IF(COUNTIF($E77, _xlfn.CONCAT("*",Table13[[#Headers],[Fantasy]],"*")),1,0)</f>
        <v>0</v>
      </c>
      <c r="R77">
        <f>IF(COUNTIF($E77, _xlfn.CONCAT("*",Table13[[#Headers],[History]],"*")),1,0)</f>
        <v>0</v>
      </c>
      <c r="S77">
        <f>IF(COUNTIF($E77, _xlfn.CONCAT("*",Table13[[#Headers],[Horror]],"*")),1,0)</f>
        <v>0</v>
      </c>
      <c r="T77">
        <f>IF(COUNTIF($E77, _xlfn.CONCAT("*",Table13[[#Headers],[Music]],"*")),1,0)</f>
        <v>0</v>
      </c>
      <c r="U77">
        <f>IF(COUNTIF($E77, _xlfn.CONCAT("*",Table13[[#Headers],[Mystery]],"*")),1,0)</f>
        <v>0</v>
      </c>
      <c r="V77">
        <f>IF(COUNTIF($E77, _xlfn.CONCAT("*",Table13[[#Headers],[Romance]],"*")),1,0)</f>
        <v>0</v>
      </c>
      <c r="W77">
        <f>IF(COUNTIF($E77, _xlfn.CONCAT("*",Table13[[#Headers],[Science Fiction]],"*")),1,0)</f>
        <v>0</v>
      </c>
      <c r="X77">
        <f>IF(COUNTIF($E77, _xlfn.CONCAT("*",Table13[[#Headers],[TV Movie]],"*")),1,0)</f>
        <v>0</v>
      </c>
      <c r="Y77">
        <f>IF(COUNTIF($E77, _xlfn.CONCAT("*",Table13[[#Headers],[Thriller]],"*")),1,0)</f>
        <v>0</v>
      </c>
      <c r="Z77">
        <f>IF(COUNTIF($E77, _xlfn.CONCAT("*",Table13[[#Headers],[War]],"*")),1,0)</f>
        <v>0</v>
      </c>
      <c r="AA77">
        <f>IF(COUNTIF($E77, _xlfn.CONCAT("*",Table13[[#Headers],[Western]],"*")),1,0)</f>
        <v>0</v>
      </c>
    </row>
    <row r="78" spans="1:27">
      <c r="A78" t="s">
        <v>128</v>
      </c>
      <c r="B78">
        <v>188</v>
      </c>
      <c r="C78">
        <f>MAX(Table13[Rank])-Table13[[#This Row],[Rank]]</f>
        <v>76</v>
      </c>
      <c r="D78" t="s">
        <v>7</v>
      </c>
      <c r="E78" t="s">
        <v>129</v>
      </c>
      <c r="F78" s="1">
        <v>43257</v>
      </c>
      <c r="G78">
        <f>YEAR(Table13[[#This Row],[Date]])</f>
        <v>2018</v>
      </c>
      <c r="H78" t="s">
        <v>128</v>
      </c>
      <c r="I78">
        <f>IF(COUNTIF($E78, _xlfn.CONCAT("*",Table13[[#Headers],[Action]],"*")),1,0)</f>
        <v>0</v>
      </c>
      <c r="J78">
        <f>IF(COUNTIF($E78, _xlfn.CONCAT("*",Table13[[#Headers],[Adventure]],"*")),1,0)</f>
        <v>0</v>
      </c>
      <c r="K78">
        <f>IF(COUNTIF($E78, _xlfn.CONCAT("*",Table13[[#Headers],[Animation]],"*")),1,0)</f>
        <v>0</v>
      </c>
      <c r="L78">
        <f>IF(COUNTIF($E78, _xlfn.CONCAT("*",Table13[[#Headers],[Comedy]],"*")),1,0)</f>
        <v>0</v>
      </c>
      <c r="M78">
        <f>IF(COUNTIF($E78, _xlfn.CONCAT("*",Table13[[#Headers],[Crime]],"*")),1,0)</f>
        <v>0</v>
      </c>
      <c r="N78">
        <f>IF(COUNTIF($E78, _xlfn.CONCAT("*",Table13[[#Headers],[Documentary]],"*")),1,0)</f>
        <v>0</v>
      </c>
      <c r="O78">
        <f>IF(COUNTIF($E78, _xlfn.CONCAT("*",Table13[[#Headers],[Drama]],"*")),1,0)</f>
        <v>0</v>
      </c>
      <c r="P78">
        <f>IF(COUNTIF($E78, _xlfn.CONCAT("*",Table13[[#Headers],[Family]],"*")),1,0)</f>
        <v>0</v>
      </c>
      <c r="Q78">
        <f>IF(COUNTIF($E78, _xlfn.CONCAT("*",Table13[[#Headers],[Fantasy]],"*")),1,0)</f>
        <v>0</v>
      </c>
      <c r="R78">
        <f>IF(COUNTIF($E78, _xlfn.CONCAT("*",Table13[[#Headers],[History]],"*")),1,0)</f>
        <v>0</v>
      </c>
      <c r="S78">
        <f>IF(COUNTIF($E78, _xlfn.CONCAT("*",Table13[[#Headers],[Horror]],"*")),1,0)</f>
        <v>0</v>
      </c>
      <c r="T78">
        <f>IF(COUNTIF($E78, _xlfn.CONCAT("*",Table13[[#Headers],[Music]],"*")),1,0)</f>
        <v>0</v>
      </c>
      <c r="U78">
        <f>IF(COUNTIF($E78, _xlfn.CONCAT("*",Table13[[#Headers],[Mystery]],"*")),1,0)</f>
        <v>0</v>
      </c>
      <c r="V78">
        <f>IF(COUNTIF($E78, _xlfn.CONCAT("*",Table13[[#Headers],[Romance]],"*")),1,0)</f>
        <v>0</v>
      </c>
      <c r="W78">
        <f>IF(COUNTIF($E78, _xlfn.CONCAT("*",Table13[[#Headers],[Science Fiction]],"*")),1,0)</f>
        <v>0</v>
      </c>
      <c r="X78">
        <f>IF(COUNTIF($E78, _xlfn.CONCAT("*",Table13[[#Headers],[TV Movie]],"*")),1,0)</f>
        <v>0</v>
      </c>
      <c r="Y78">
        <f>IF(COUNTIF($E78, _xlfn.CONCAT("*",Table13[[#Headers],[Thriller]],"*")),1,0)</f>
        <v>0</v>
      </c>
      <c r="Z78">
        <f>IF(COUNTIF($E78, _xlfn.CONCAT("*",Table13[[#Headers],[War]],"*")),1,0)</f>
        <v>0</v>
      </c>
      <c r="AA78">
        <f>IF(COUNTIF($E78, _xlfn.CONCAT("*",Table13[[#Headers],[Western]],"*")),1,0)</f>
        <v>0</v>
      </c>
    </row>
    <row r="79" spans="1:27">
      <c r="A79" t="s">
        <v>130</v>
      </c>
      <c r="B79">
        <v>187</v>
      </c>
      <c r="C79">
        <f>MAX(Table13[Rank])-Table13[[#This Row],[Rank]]</f>
        <v>77</v>
      </c>
      <c r="D79" t="s">
        <v>7</v>
      </c>
      <c r="E79" t="s">
        <v>35</v>
      </c>
      <c r="F79" s="1">
        <v>20870</v>
      </c>
      <c r="G79">
        <f>YEAR(Table13[[#This Row],[Date]])</f>
        <v>1957</v>
      </c>
      <c r="H79" t="s">
        <v>1267</v>
      </c>
      <c r="I79">
        <f>IF(COUNTIF($E79, _xlfn.CONCAT("*",Table13[[#Headers],[Action]],"*")),1,0)</f>
        <v>0</v>
      </c>
      <c r="J79">
        <f>IF(COUNTIF($E79, _xlfn.CONCAT("*",Table13[[#Headers],[Adventure]],"*")),1,0)</f>
        <v>0</v>
      </c>
      <c r="K79">
        <f>IF(COUNTIF($E79, _xlfn.CONCAT("*",Table13[[#Headers],[Animation]],"*")),1,0)</f>
        <v>0</v>
      </c>
      <c r="L79">
        <f>IF(COUNTIF($E79, _xlfn.CONCAT("*",Table13[[#Headers],[Comedy]],"*")),1,0)</f>
        <v>0</v>
      </c>
      <c r="M79">
        <f>IF(COUNTIF($E79, _xlfn.CONCAT("*",Table13[[#Headers],[Crime]],"*")),1,0)</f>
        <v>0</v>
      </c>
      <c r="N79">
        <f>IF(COUNTIF($E79, _xlfn.CONCAT("*",Table13[[#Headers],[Documentary]],"*")),1,0)</f>
        <v>0</v>
      </c>
      <c r="O79">
        <f>IF(COUNTIF($E79, _xlfn.CONCAT("*",Table13[[#Headers],[Drama]],"*")),1,0)</f>
        <v>1</v>
      </c>
      <c r="P79">
        <f>IF(COUNTIF($E79, _xlfn.CONCAT("*",Table13[[#Headers],[Family]],"*")),1,0)</f>
        <v>0</v>
      </c>
      <c r="Q79">
        <f>IF(COUNTIF($E79, _xlfn.CONCAT("*",Table13[[#Headers],[Fantasy]],"*")),1,0)</f>
        <v>0</v>
      </c>
      <c r="R79">
        <f>IF(COUNTIF($E79, _xlfn.CONCAT("*",Table13[[#Headers],[History]],"*")),1,0)</f>
        <v>0</v>
      </c>
      <c r="S79">
        <f>IF(COUNTIF($E79, _xlfn.CONCAT("*",Table13[[#Headers],[Horror]],"*")),1,0)</f>
        <v>0</v>
      </c>
      <c r="T79">
        <f>IF(COUNTIF($E79, _xlfn.CONCAT("*",Table13[[#Headers],[Music]],"*")),1,0)</f>
        <v>0</v>
      </c>
      <c r="U79">
        <f>IF(COUNTIF($E79, _xlfn.CONCAT("*",Table13[[#Headers],[Mystery]],"*")),1,0)</f>
        <v>0</v>
      </c>
      <c r="V79">
        <f>IF(COUNTIF($E79, _xlfn.CONCAT("*",Table13[[#Headers],[Romance]],"*")),1,0)</f>
        <v>1</v>
      </c>
      <c r="W79">
        <f>IF(COUNTIF($E79, _xlfn.CONCAT("*",Table13[[#Headers],[Science Fiction]],"*")),1,0)</f>
        <v>0</v>
      </c>
      <c r="X79">
        <f>IF(COUNTIF($E79, _xlfn.CONCAT("*",Table13[[#Headers],[TV Movie]],"*")),1,0)</f>
        <v>0</v>
      </c>
      <c r="Y79">
        <f>IF(COUNTIF($E79, _xlfn.CONCAT("*",Table13[[#Headers],[Thriller]],"*")),1,0)</f>
        <v>0</v>
      </c>
      <c r="Z79">
        <f>IF(COUNTIF($E79, _xlfn.CONCAT("*",Table13[[#Headers],[War]],"*")),1,0)</f>
        <v>0</v>
      </c>
      <c r="AA79">
        <f>IF(COUNTIF($E79, _xlfn.CONCAT("*",Table13[[#Headers],[Western]],"*")),1,0)</f>
        <v>0</v>
      </c>
    </row>
    <row r="80" spans="1:27">
      <c r="A80" t="s">
        <v>131</v>
      </c>
      <c r="B80">
        <v>186</v>
      </c>
      <c r="C80">
        <f>MAX(Table13[Rank])-Table13[[#This Row],[Rank]]</f>
        <v>78</v>
      </c>
      <c r="D80" t="s">
        <v>7</v>
      </c>
      <c r="E80" t="s">
        <v>132</v>
      </c>
      <c r="F80" s="1">
        <v>31914</v>
      </c>
      <c r="G80">
        <f>YEAR(Table13[[#This Row],[Date]])</f>
        <v>1987</v>
      </c>
      <c r="H80" t="s">
        <v>131</v>
      </c>
      <c r="I80">
        <f>IF(COUNTIF($E80, _xlfn.CONCAT("*",Table13[[#Headers],[Action]],"*")),1,0)</f>
        <v>0</v>
      </c>
      <c r="J80">
        <f>IF(COUNTIF($E80, _xlfn.CONCAT("*",Table13[[#Headers],[Adventure]],"*")),1,0)</f>
        <v>0</v>
      </c>
      <c r="K80">
        <f>IF(COUNTIF($E80, _xlfn.CONCAT("*",Table13[[#Headers],[Animation]],"*")),1,0)</f>
        <v>0</v>
      </c>
      <c r="L80">
        <f>IF(COUNTIF($E80, _xlfn.CONCAT("*",Table13[[#Headers],[Comedy]],"*")),1,0)</f>
        <v>0</v>
      </c>
      <c r="M80">
        <f>IF(COUNTIF($E80, _xlfn.CONCAT("*",Table13[[#Headers],[Crime]],"*")),1,0)</f>
        <v>0</v>
      </c>
      <c r="N80">
        <f>IF(COUNTIF($E80, _xlfn.CONCAT("*",Table13[[#Headers],[Documentary]],"*")),1,0)</f>
        <v>0</v>
      </c>
      <c r="O80">
        <f>IF(COUNTIF($E80, _xlfn.CONCAT("*",Table13[[#Headers],[Drama]],"*")),1,0)</f>
        <v>1</v>
      </c>
      <c r="P80">
        <f>IF(COUNTIF($E80, _xlfn.CONCAT("*",Table13[[#Headers],[Family]],"*")),1,0)</f>
        <v>0</v>
      </c>
      <c r="Q80">
        <f>IF(COUNTIF($E80, _xlfn.CONCAT("*",Table13[[#Headers],[Fantasy]],"*")),1,0)</f>
        <v>1</v>
      </c>
      <c r="R80">
        <f>IF(COUNTIF($E80, _xlfn.CONCAT("*",Table13[[#Headers],[History]],"*")),1,0)</f>
        <v>0</v>
      </c>
      <c r="S80">
        <f>IF(COUNTIF($E80, _xlfn.CONCAT("*",Table13[[#Headers],[Horror]],"*")),1,0)</f>
        <v>0</v>
      </c>
      <c r="T80">
        <f>IF(COUNTIF($E80, _xlfn.CONCAT("*",Table13[[#Headers],[Music]],"*")),1,0)</f>
        <v>0</v>
      </c>
      <c r="U80">
        <f>IF(COUNTIF($E80, _xlfn.CONCAT("*",Table13[[#Headers],[Mystery]],"*")),1,0)</f>
        <v>0</v>
      </c>
      <c r="V80">
        <f>IF(COUNTIF($E80, _xlfn.CONCAT("*",Table13[[#Headers],[Romance]],"*")),1,0)</f>
        <v>1</v>
      </c>
      <c r="W80">
        <f>IF(COUNTIF($E80, _xlfn.CONCAT("*",Table13[[#Headers],[Science Fiction]],"*")),1,0)</f>
        <v>0</v>
      </c>
      <c r="X80">
        <f>IF(COUNTIF($E80, _xlfn.CONCAT("*",Table13[[#Headers],[TV Movie]],"*")),1,0)</f>
        <v>0</v>
      </c>
      <c r="Y80">
        <f>IF(COUNTIF($E80, _xlfn.CONCAT("*",Table13[[#Headers],[Thriller]],"*")),1,0)</f>
        <v>0</v>
      </c>
      <c r="Z80">
        <f>IF(COUNTIF($E80, _xlfn.CONCAT("*",Table13[[#Headers],[War]],"*")),1,0)</f>
        <v>0</v>
      </c>
      <c r="AA80">
        <f>IF(COUNTIF($E80, _xlfn.CONCAT("*",Table13[[#Headers],[Western]],"*")),1,0)</f>
        <v>0</v>
      </c>
    </row>
    <row r="81" spans="1:27">
      <c r="A81" t="s">
        <v>133</v>
      </c>
      <c r="B81">
        <v>185</v>
      </c>
      <c r="C81">
        <f>MAX(Table13[Rank])-Table13[[#This Row],[Rank]]</f>
        <v>79</v>
      </c>
      <c r="D81" t="s">
        <v>7</v>
      </c>
      <c r="E81" t="s">
        <v>21</v>
      </c>
      <c r="F81" s="1">
        <v>36504</v>
      </c>
      <c r="G81">
        <f>YEAR(Table13[[#This Row],[Date]])</f>
        <v>1999</v>
      </c>
      <c r="H81" t="s">
        <v>133</v>
      </c>
      <c r="I81">
        <f>IF(COUNTIF($E81, _xlfn.CONCAT("*",Table13[[#Headers],[Action]],"*")),1,0)</f>
        <v>0</v>
      </c>
      <c r="J81">
        <f>IF(COUNTIF($E81, _xlfn.CONCAT("*",Table13[[#Headers],[Adventure]],"*")),1,0)</f>
        <v>0</v>
      </c>
      <c r="K81">
        <f>IF(COUNTIF($E81, _xlfn.CONCAT("*",Table13[[#Headers],[Animation]],"*")),1,0)</f>
        <v>0</v>
      </c>
      <c r="L81">
        <f>IF(COUNTIF($E81, _xlfn.CONCAT("*",Table13[[#Headers],[Comedy]],"*")),1,0)</f>
        <v>0</v>
      </c>
      <c r="M81">
        <f>IF(COUNTIF($E81, _xlfn.CONCAT("*",Table13[[#Headers],[Crime]],"*")),1,0)</f>
        <v>0</v>
      </c>
      <c r="N81">
        <f>IF(COUNTIF($E81, _xlfn.CONCAT("*",Table13[[#Headers],[Documentary]],"*")),1,0)</f>
        <v>0</v>
      </c>
      <c r="O81">
        <f>IF(COUNTIF($E81, _xlfn.CONCAT("*",Table13[[#Headers],[Drama]],"*")),1,0)</f>
        <v>1</v>
      </c>
      <c r="P81">
        <f>IF(COUNTIF($E81, _xlfn.CONCAT("*",Table13[[#Headers],[Family]],"*")),1,0)</f>
        <v>0</v>
      </c>
      <c r="Q81">
        <f>IF(COUNTIF($E81, _xlfn.CONCAT("*",Table13[[#Headers],[Fantasy]],"*")),1,0)</f>
        <v>0</v>
      </c>
      <c r="R81">
        <f>IF(COUNTIF($E81, _xlfn.CONCAT("*",Table13[[#Headers],[History]],"*")),1,0)</f>
        <v>0</v>
      </c>
      <c r="S81">
        <f>IF(COUNTIF($E81, _xlfn.CONCAT("*",Table13[[#Headers],[Horror]],"*")),1,0)</f>
        <v>0</v>
      </c>
      <c r="T81">
        <f>IF(COUNTIF($E81, _xlfn.CONCAT("*",Table13[[#Headers],[Music]],"*")),1,0)</f>
        <v>0</v>
      </c>
      <c r="U81">
        <f>IF(COUNTIF($E81, _xlfn.CONCAT("*",Table13[[#Headers],[Mystery]],"*")),1,0)</f>
        <v>0</v>
      </c>
      <c r="V81">
        <f>IF(COUNTIF($E81, _xlfn.CONCAT("*",Table13[[#Headers],[Romance]],"*")),1,0)</f>
        <v>0</v>
      </c>
      <c r="W81">
        <f>IF(COUNTIF($E81, _xlfn.CONCAT("*",Table13[[#Headers],[Science Fiction]],"*")),1,0)</f>
        <v>0</v>
      </c>
      <c r="X81">
        <f>IF(COUNTIF($E81, _xlfn.CONCAT("*",Table13[[#Headers],[TV Movie]],"*")),1,0)</f>
        <v>0</v>
      </c>
      <c r="Y81">
        <f>IF(COUNTIF($E81, _xlfn.CONCAT("*",Table13[[#Headers],[Thriller]],"*")),1,0)</f>
        <v>0</v>
      </c>
      <c r="Z81">
        <f>IF(COUNTIF($E81, _xlfn.CONCAT("*",Table13[[#Headers],[War]],"*")),1,0)</f>
        <v>0</v>
      </c>
      <c r="AA81">
        <f>IF(COUNTIF($E81, _xlfn.CONCAT("*",Table13[[#Headers],[Western]],"*")),1,0)</f>
        <v>0</v>
      </c>
    </row>
    <row r="82" spans="1:27">
      <c r="A82" t="s">
        <v>134</v>
      </c>
      <c r="B82">
        <v>184</v>
      </c>
      <c r="C82">
        <f>MAX(Table13[Rank])-Table13[[#This Row],[Rank]]</f>
        <v>80</v>
      </c>
      <c r="D82" t="s">
        <v>7</v>
      </c>
      <c r="E82" t="s">
        <v>135</v>
      </c>
      <c r="F82" s="1">
        <v>15532</v>
      </c>
      <c r="G82">
        <f>YEAR(Table13[[#This Row],[Date]])</f>
        <v>1942</v>
      </c>
      <c r="H82" t="s">
        <v>134</v>
      </c>
      <c r="I82">
        <f>IF(COUNTIF($E82, _xlfn.CONCAT("*",Table13[[#Headers],[Action]],"*")),1,0)</f>
        <v>0</v>
      </c>
      <c r="J82">
        <f>IF(COUNTIF($E82, _xlfn.CONCAT("*",Table13[[#Headers],[Adventure]],"*")),1,0)</f>
        <v>0</v>
      </c>
      <c r="K82">
        <f>IF(COUNTIF($E82, _xlfn.CONCAT("*",Table13[[#Headers],[Animation]],"*")),1,0)</f>
        <v>0</v>
      </c>
      <c r="L82">
        <f>IF(COUNTIF($E82, _xlfn.CONCAT("*",Table13[[#Headers],[Comedy]],"*")),1,0)</f>
        <v>0</v>
      </c>
      <c r="M82">
        <f>IF(COUNTIF($E82, _xlfn.CONCAT("*",Table13[[#Headers],[Crime]],"*")),1,0)</f>
        <v>0</v>
      </c>
      <c r="N82">
        <f>IF(COUNTIF($E82, _xlfn.CONCAT("*",Table13[[#Headers],[Documentary]],"*")),1,0)</f>
        <v>0</v>
      </c>
      <c r="O82">
        <f>IF(COUNTIF($E82, _xlfn.CONCAT("*",Table13[[#Headers],[Drama]],"*")),1,0)</f>
        <v>1</v>
      </c>
      <c r="P82">
        <f>IF(COUNTIF($E82, _xlfn.CONCAT("*",Table13[[#Headers],[Family]],"*")),1,0)</f>
        <v>0</v>
      </c>
      <c r="Q82">
        <f>IF(COUNTIF($E82, _xlfn.CONCAT("*",Table13[[#Headers],[Fantasy]],"*")),1,0)</f>
        <v>0</v>
      </c>
      <c r="R82">
        <f>IF(COUNTIF($E82, _xlfn.CONCAT("*",Table13[[#Headers],[History]],"*")),1,0)</f>
        <v>1</v>
      </c>
      <c r="S82">
        <f>IF(COUNTIF($E82, _xlfn.CONCAT("*",Table13[[#Headers],[Horror]],"*")),1,0)</f>
        <v>0</v>
      </c>
      <c r="T82">
        <f>IF(COUNTIF($E82, _xlfn.CONCAT("*",Table13[[#Headers],[Music]],"*")),1,0)</f>
        <v>0</v>
      </c>
      <c r="U82">
        <f>IF(COUNTIF($E82, _xlfn.CONCAT("*",Table13[[#Headers],[Mystery]],"*")),1,0)</f>
        <v>0</v>
      </c>
      <c r="V82">
        <f>IF(COUNTIF($E82, _xlfn.CONCAT("*",Table13[[#Headers],[Romance]],"*")),1,0)</f>
        <v>1</v>
      </c>
      <c r="W82">
        <f>IF(COUNTIF($E82, _xlfn.CONCAT("*",Table13[[#Headers],[Science Fiction]],"*")),1,0)</f>
        <v>0</v>
      </c>
      <c r="X82">
        <f>IF(COUNTIF($E82, _xlfn.CONCAT("*",Table13[[#Headers],[TV Movie]],"*")),1,0)</f>
        <v>0</v>
      </c>
      <c r="Y82">
        <f>IF(COUNTIF($E82, _xlfn.CONCAT("*",Table13[[#Headers],[Thriller]],"*")),1,0)</f>
        <v>0</v>
      </c>
      <c r="Z82">
        <f>IF(COUNTIF($E82, _xlfn.CONCAT("*",Table13[[#Headers],[War]],"*")),1,0)</f>
        <v>0</v>
      </c>
      <c r="AA82">
        <f>IF(COUNTIF($E82, _xlfn.CONCAT("*",Table13[[#Headers],[Western]],"*")),1,0)</f>
        <v>0</v>
      </c>
    </row>
    <row r="83" spans="1:27">
      <c r="A83" t="s">
        <v>136</v>
      </c>
      <c r="B83">
        <v>183</v>
      </c>
      <c r="C83">
        <f>MAX(Table13[Rank])-Table13[[#This Row],[Rank]]</f>
        <v>81</v>
      </c>
      <c r="D83" t="s">
        <v>7</v>
      </c>
      <c r="E83" t="s">
        <v>137</v>
      </c>
      <c r="F83" s="1">
        <v>21711</v>
      </c>
      <c r="G83">
        <f>YEAR(Table13[[#This Row],[Date]])</f>
        <v>1959</v>
      </c>
      <c r="H83" t="s">
        <v>1268</v>
      </c>
      <c r="I83">
        <f>IF(COUNTIF($E83, _xlfn.CONCAT("*",Table13[[#Headers],[Action]],"*")),1,0)</f>
        <v>0</v>
      </c>
      <c r="J83">
        <f>IF(COUNTIF($E83, _xlfn.CONCAT("*",Table13[[#Headers],[Adventure]],"*")),1,0)</f>
        <v>0</v>
      </c>
      <c r="K83">
        <f>IF(COUNTIF($E83, _xlfn.CONCAT("*",Table13[[#Headers],[Animation]],"*")),1,0)</f>
        <v>0</v>
      </c>
      <c r="L83">
        <f>IF(COUNTIF($E83, _xlfn.CONCAT("*",Table13[[#Headers],[Comedy]],"*")),1,0)</f>
        <v>0</v>
      </c>
      <c r="M83">
        <f>IF(COUNTIF($E83, _xlfn.CONCAT("*",Table13[[#Headers],[Crime]],"*")),1,0)</f>
        <v>0</v>
      </c>
      <c r="N83">
        <f>IF(COUNTIF($E83, _xlfn.CONCAT("*",Table13[[#Headers],[Documentary]],"*")),1,0)</f>
        <v>0</v>
      </c>
      <c r="O83">
        <f>IF(COUNTIF($E83, _xlfn.CONCAT("*",Table13[[#Headers],[Drama]],"*")),1,0)</f>
        <v>1</v>
      </c>
      <c r="P83">
        <f>IF(COUNTIF($E83, _xlfn.CONCAT("*",Table13[[#Headers],[Family]],"*")),1,0)</f>
        <v>0</v>
      </c>
      <c r="Q83">
        <f>IF(COUNTIF($E83, _xlfn.CONCAT("*",Table13[[#Headers],[Fantasy]],"*")),1,0)</f>
        <v>0</v>
      </c>
      <c r="R83">
        <f>IF(COUNTIF($E83, _xlfn.CONCAT("*",Table13[[#Headers],[History]],"*")),1,0)</f>
        <v>1</v>
      </c>
      <c r="S83">
        <f>IF(COUNTIF($E83, _xlfn.CONCAT("*",Table13[[#Headers],[Horror]],"*")),1,0)</f>
        <v>0</v>
      </c>
      <c r="T83">
        <f>IF(COUNTIF($E83, _xlfn.CONCAT("*",Table13[[#Headers],[Music]],"*")),1,0)</f>
        <v>0</v>
      </c>
      <c r="U83">
        <f>IF(COUNTIF($E83, _xlfn.CONCAT("*",Table13[[#Headers],[Mystery]],"*")),1,0)</f>
        <v>0</v>
      </c>
      <c r="V83">
        <f>IF(COUNTIF($E83, _xlfn.CONCAT("*",Table13[[#Headers],[Romance]],"*")),1,0)</f>
        <v>1</v>
      </c>
      <c r="W83">
        <f>IF(COUNTIF($E83, _xlfn.CONCAT("*",Table13[[#Headers],[Science Fiction]],"*")),1,0)</f>
        <v>0</v>
      </c>
      <c r="X83">
        <f>IF(COUNTIF($E83, _xlfn.CONCAT("*",Table13[[#Headers],[TV Movie]],"*")),1,0)</f>
        <v>0</v>
      </c>
      <c r="Y83">
        <f>IF(COUNTIF($E83, _xlfn.CONCAT("*",Table13[[#Headers],[Thriller]],"*")),1,0)</f>
        <v>0</v>
      </c>
      <c r="Z83">
        <f>IF(COUNTIF($E83, _xlfn.CONCAT("*",Table13[[#Headers],[War]],"*")),1,0)</f>
        <v>0</v>
      </c>
      <c r="AA83">
        <f>IF(COUNTIF($E83, _xlfn.CONCAT("*",Table13[[#Headers],[Western]],"*")),1,0)</f>
        <v>0</v>
      </c>
    </row>
    <row r="84" spans="1:27">
      <c r="A84" t="s">
        <v>138</v>
      </c>
      <c r="B84">
        <v>182</v>
      </c>
      <c r="C84">
        <f>MAX(Table13[Rank])-Table13[[#This Row],[Rank]]</f>
        <v>82</v>
      </c>
      <c r="D84" t="s">
        <v>7</v>
      </c>
      <c r="E84" t="s">
        <v>35</v>
      </c>
      <c r="F84" s="1">
        <v>17651</v>
      </c>
      <c r="G84">
        <f>YEAR(Table13[[#This Row],[Date]])</f>
        <v>1948</v>
      </c>
      <c r="H84" t="s">
        <v>138</v>
      </c>
      <c r="I84">
        <f>IF(COUNTIF($E84, _xlfn.CONCAT("*",Table13[[#Headers],[Action]],"*")),1,0)</f>
        <v>0</v>
      </c>
      <c r="J84">
        <f>IF(COUNTIF($E84, _xlfn.CONCAT("*",Table13[[#Headers],[Adventure]],"*")),1,0)</f>
        <v>0</v>
      </c>
      <c r="K84">
        <f>IF(COUNTIF($E84, _xlfn.CONCAT("*",Table13[[#Headers],[Animation]],"*")),1,0)</f>
        <v>0</v>
      </c>
      <c r="L84">
        <f>IF(COUNTIF($E84, _xlfn.CONCAT("*",Table13[[#Headers],[Comedy]],"*")),1,0)</f>
        <v>0</v>
      </c>
      <c r="M84">
        <f>IF(COUNTIF($E84, _xlfn.CONCAT("*",Table13[[#Headers],[Crime]],"*")),1,0)</f>
        <v>0</v>
      </c>
      <c r="N84">
        <f>IF(COUNTIF($E84, _xlfn.CONCAT("*",Table13[[#Headers],[Documentary]],"*")),1,0)</f>
        <v>0</v>
      </c>
      <c r="O84">
        <f>IF(COUNTIF($E84, _xlfn.CONCAT("*",Table13[[#Headers],[Drama]],"*")),1,0)</f>
        <v>1</v>
      </c>
      <c r="P84">
        <f>IF(COUNTIF($E84, _xlfn.CONCAT("*",Table13[[#Headers],[Family]],"*")),1,0)</f>
        <v>0</v>
      </c>
      <c r="Q84">
        <f>IF(COUNTIF($E84, _xlfn.CONCAT("*",Table13[[#Headers],[Fantasy]],"*")),1,0)</f>
        <v>0</v>
      </c>
      <c r="R84">
        <f>IF(COUNTIF($E84, _xlfn.CONCAT("*",Table13[[#Headers],[History]],"*")),1,0)</f>
        <v>0</v>
      </c>
      <c r="S84">
        <f>IF(COUNTIF($E84, _xlfn.CONCAT("*",Table13[[#Headers],[Horror]],"*")),1,0)</f>
        <v>0</v>
      </c>
      <c r="T84">
        <f>IF(COUNTIF($E84, _xlfn.CONCAT("*",Table13[[#Headers],[Music]],"*")),1,0)</f>
        <v>0</v>
      </c>
      <c r="U84">
        <f>IF(COUNTIF($E84, _xlfn.CONCAT("*",Table13[[#Headers],[Mystery]],"*")),1,0)</f>
        <v>0</v>
      </c>
      <c r="V84">
        <f>IF(COUNTIF($E84, _xlfn.CONCAT("*",Table13[[#Headers],[Romance]],"*")),1,0)</f>
        <v>1</v>
      </c>
      <c r="W84">
        <f>IF(COUNTIF($E84, _xlfn.CONCAT("*",Table13[[#Headers],[Science Fiction]],"*")),1,0)</f>
        <v>0</v>
      </c>
      <c r="X84">
        <f>IF(COUNTIF($E84, _xlfn.CONCAT("*",Table13[[#Headers],[TV Movie]],"*")),1,0)</f>
        <v>0</v>
      </c>
      <c r="Y84">
        <f>IF(COUNTIF($E84, _xlfn.CONCAT("*",Table13[[#Headers],[Thriller]],"*")),1,0)</f>
        <v>0</v>
      </c>
      <c r="Z84">
        <f>IF(COUNTIF($E84, _xlfn.CONCAT("*",Table13[[#Headers],[War]],"*")),1,0)</f>
        <v>0</v>
      </c>
      <c r="AA84">
        <f>IF(COUNTIF($E84, _xlfn.CONCAT("*",Table13[[#Headers],[Western]],"*")),1,0)</f>
        <v>0</v>
      </c>
    </row>
    <row r="85" spans="1:27">
      <c r="A85" t="s">
        <v>139</v>
      </c>
      <c r="B85">
        <v>181</v>
      </c>
      <c r="C85">
        <f>MAX(Table13[Rank])-Table13[[#This Row],[Rank]]</f>
        <v>83</v>
      </c>
      <c r="D85" t="s">
        <v>7</v>
      </c>
      <c r="E85" t="s">
        <v>35</v>
      </c>
      <c r="F85" s="1">
        <v>23484</v>
      </c>
      <c r="G85">
        <f>YEAR(Table13[[#This Row],[Date]])</f>
        <v>1964</v>
      </c>
      <c r="H85" t="s">
        <v>139</v>
      </c>
      <c r="I85">
        <f>IF(COUNTIF($E85, _xlfn.CONCAT("*",Table13[[#Headers],[Action]],"*")),1,0)</f>
        <v>0</v>
      </c>
      <c r="J85">
        <f>IF(COUNTIF($E85, _xlfn.CONCAT("*",Table13[[#Headers],[Adventure]],"*")),1,0)</f>
        <v>0</v>
      </c>
      <c r="K85">
        <f>IF(COUNTIF($E85, _xlfn.CONCAT("*",Table13[[#Headers],[Animation]],"*")),1,0)</f>
        <v>0</v>
      </c>
      <c r="L85">
        <f>IF(COUNTIF($E85, _xlfn.CONCAT("*",Table13[[#Headers],[Comedy]],"*")),1,0)</f>
        <v>0</v>
      </c>
      <c r="M85">
        <f>IF(COUNTIF($E85, _xlfn.CONCAT("*",Table13[[#Headers],[Crime]],"*")),1,0)</f>
        <v>0</v>
      </c>
      <c r="N85">
        <f>IF(COUNTIF($E85, _xlfn.CONCAT("*",Table13[[#Headers],[Documentary]],"*")),1,0)</f>
        <v>0</v>
      </c>
      <c r="O85">
        <f>IF(COUNTIF($E85, _xlfn.CONCAT("*",Table13[[#Headers],[Drama]],"*")),1,0)</f>
        <v>1</v>
      </c>
      <c r="P85">
        <f>IF(COUNTIF($E85, _xlfn.CONCAT("*",Table13[[#Headers],[Family]],"*")),1,0)</f>
        <v>0</v>
      </c>
      <c r="Q85">
        <f>IF(COUNTIF($E85, _xlfn.CONCAT("*",Table13[[#Headers],[Fantasy]],"*")),1,0)</f>
        <v>0</v>
      </c>
      <c r="R85">
        <f>IF(COUNTIF($E85, _xlfn.CONCAT("*",Table13[[#Headers],[History]],"*")),1,0)</f>
        <v>0</v>
      </c>
      <c r="S85">
        <f>IF(COUNTIF($E85, _xlfn.CONCAT("*",Table13[[#Headers],[Horror]],"*")),1,0)</f>
        <v>0</v>
      </c>
      <c r="T85">
        <f>IF(COUNTIF($E85, _xlfn.CONCAT("*",Table13[[#Headers],[Music]],"*")),1,0)</f>
        <v>0</v>
      </c>
      <c r="U85">
        <f>IF(COUNTIF($E85, _xlfn.CONCAT("*",Table13[[#Headers],[Mystery]],"*")),1,0)</f>
        <v>0</v>
      </c>
      <c r="V85">
        <f>IF(COUNTIF($E85, _xlfn.CONCAT("*",Table13[[#Headers],[Romance]],"*")),1,0)</f>
        <v>1</v>
      </c>
      <c r="W85">
        <f>IF(COUNTIF($E85, _xlfn.CONCAT("*",Table13[[#Headers],[Science Fiction]],"*")),1,0)</f>
        <v>0</v>
      </c>
      <c r="X85">
        <f>IF(COUNTIF($E85, _xlfn.CONCAT("*",Table13[[#Headers],[TV Movie]],"*")),1,0)</f>
        <v>0</v>
      </c>
      <c r="Y85">
        <f>IF(COUNTIF($E85, _xlfn.CONCAT("*",Table13[[#Headers],[Thriller]],"*")),1,0)</f>
        <v>0</v>
      </c>
      <c r="Z85">
        <f>IF(COUNTIF($E85, _xlfn.CONCAT("*",Table13[[#Headers],[War]],"*")),1,0)</f>
        <v>0</v>
      </c>
      <c r="AA85">
        <f>IF(COUNTIF($E85, _xlfn.CONCAT("*",Table13[[#Headers],[Western]],"*")),1,0)</f>
        <v>0</v>
      </c>
    </row>
    <row r="86" spans="1:27">
      <c r="A86" t="s">
        <v>140</v>
      </c>
      <c r="B86">
        <v>180</v>
      </c>
      <c r="C86">
        <f>MAX(Table13[Rank])-Table13[[#This Row],[Rank]]</f>
        <v>84</v>
      </c>
      <c r="D86" t="s">
        <v>7</v>
      </c>
      <c r="E86" t="s">
        <v>141</v>
      </c>
      <c r="F86" s="1">
        <v>24464</v>
      </c>
      <c r="G86">
        <f>YEAR(Table13[[#This Row],[Date]])</f>
        <v>1966</v>
      </c>
      <c r="H86" t="s">
        <v>140</v>
      </c>
      <c r="I86">
        <f>IF(COUNTIF($E86, _xlfn.CONCAT("*",Table13[[#Headers],[Action]],"*")),1,0)</f>
        <v>0</v>
      </c>
      <c r="J86">
        <f>IF(COUNTIF($E86, _xlfn.CONCAT("*",Table13[[#Headers],[Adventure]],"*")),1,0)</f>
        <v>0</v>
      </c>
      <c r="K86">
        <f>IF(COUNTIF($E86, _xlfn.CONCAT("*",Table13[[#Headers],[Animation]],"*")),1,0)</f>
        <v>0</v>
      </c>
      <c r="L86">
        <f>IF(COUNTIF($E86, _xlfn.CONCAT("*",Table13[[#Headers],[Comedy]],"*")),1,0)</f>
        <v>0</v>
      </c>
      <c r="M86">
        <f>IF(COUNTIF($E86, _xlfn.CONCAT("*",Table13[[#Headers],[Crime]],"*")),1,0)</f>
        <v>0</v>
      </c>
      <c r="N86">
        <f>IF(COUNTIF($E86, _xlfn.CONCAT("*",Table13[[#Headers],[Documentary]],"*")),1,0)</f>
        <v>0</v>
      </c>
      <c r="O86">
        <f>IF(COUNTIF($E86, _xlfn.CONCAT("*",Table13[[#Headers],[Drama]],"*")),1,0)</f>
        <v>0</v>
      </c>
      <c r="P86">
        <f>IF(COUNTIF($E86, _xlfn.CONCAT("*",Table13[[#Headers],[Family]],"*")),1,0)</f>
        <v>0</v>
      </c>
      <c r="Q86">
        <f>IF(COUNTIF($E86, _xlfn.CONCAT("*",Table13[[#Headers],[Fantasy]],"*")),1,0)</f>
        <v>0</v>
      </c>
      <c r="R86">
        <f>IF(COUNTIF($E86, _xlfn.CONCAT("*",Table13[[#Headers],[History]],"*")),1,0)</f>
        <v>0</v>
      </c>
      <c r="S86">
        <f>IF(COUNTIF($E86, _xlfn.CONCAT("*",Table13[[#Headers],[Horror]],"*")),1,0)</f>
        <v>0</v>
      </c>
      <c r="T86">
        <f>IF(COUNTIF($E86, _xlfn.CONCAT("*",Table13[[#Headers],[Music]],"*")),1,0)</f>
        <v>0</v>
      </c>
      <c r="U86">
        <f>IF(COUNTIF($E86, _xlfn.CONCAT("*",Table13[[#Headers],[Mystery]],"*")),1,0)</f>
        <v>0</v>
      </c>
      <c r="V86">
        <f>IF(COUNTIF($E86, _xlfn.CONCAT("*",Table13[[#Headers],[Romance]],"*")),1,0)</f>
        <v>0</v>
      </c>
      <c r="W86">
        <f>IF(COUNTIF($E86, _xlfn.CONCAT("*",Table13[[#Headers],[Science Fiction]],"*")),1,0)</f>
        <v>0</v>
      </c>
      <c r="X86">
        <f>IF(COUNTIF($E86, _xlfn.CONCAT("*",Table13[[#Headers],[TV Movie]],"*")),1,0)</f>
        <v>0</v>
      </c>
      <c r="Y86">
        <f>IF(COUNTIF($E86, _xlfn.CONCAT("*",Table13[[#Headers],[Thriller]],"*")),1,0)</f>
        <v>0</v>
      </c>
      <c r="Z86">
        <f>IF(COUNTIF($E86, _xlfn.CONCAT("*",Table13[[#Headers],[War]],"*")),1,0)</f>
        <v>0</v>
      </c>
      <c r="AA86">
        <f>IF(COUNTIF($E86, _xlfn.CONCAT("*",Table13[[#Headers],[Western]],"*")),1,0)</f>
        <v>1</v>
      </c>
    </row>
    <row r="87" spans="1:27">
      <c r="A87" t="s">
        <v>142</v>
      </c>
      <c r="B87">
        <v>179</v>
      </c>
      <c r="C87">
        <f>MAX(Table13[Rank])-Table13[[#This Row],[Rank]]</f>
        <v>85</v>
      </c>
      <c r="D87" t="s">
        <v>7</v>
      </c>
      <c r="E87" t="s">
        <v>21</v>
      </c>
      <c r="F87" s="1">
        <v>23624</v>
      </c>
      <c r="G87">
        <f>YEAR(Table13[[#This Row],[Date]])</f>
        <v>1964</v>
      </c>
      <c r="H87" t="s">
        <v>142</v>
      </c>
      <c r="I87">
        <f>IF(COUNTIF($E87, _xlfn.CONCAT("*",Table13[[#Headers],[Action]],"*")),1,0)</f>
        <v>0</v>
      </c>
      <c r="J87">
        <f>IF(COUNTIF($E87, _xlfn.CONCAT("*",Table13[[#Headers],[Adventure]],"*")),1,0)</f>
        <v>0</v>
      </c>
      <c r="K87">
        <f>IF(COUNTIF($E87, _xlfn.CONCAT("*",Table13[[#Headers],[Animation]],"*")),1,0)</f>
        <v>0</v>
      </c>
      <c r="L87">
        <f>IF(COUNTIF($E87, _xlfn.CONCAT("*",Table13[[#Headers],[Comedy]],"*")),1,0)</f>
        <v>0</v>
      </c>
      <c r="M87">
        <f>IF(COUNTIF($E87, _xlfn.CONCAT("*",Table13[[#Headers],[Crime]],"*")),1,0)</f>
        <v>0</v>
      </c>
      <c r="N87">
        <f>IF(COUNTIF($E87, _xlfn.CONCAT("*",Table13[[#Headers],[Documentary]],"*")),1,0)</f>
        <v>0</v>
      </c>
      <c r="O87">
        <f>IF(COUNTIF($E87, _xlfn.CONCAT("*",Table13[[#Headers],[Drama]],"*")),1,0)</f>
        <v>1</v>
      </c>
      <c r="P87">
        <f>IF(COUNTIF($E87, _xlfn.CONCAT("*",Table13[[#Headers],[Family]],"*")),1,0)</f>
        <v>0</v>
      </c>
      <c r="Q87">
        <f>IF(COUNTIF($E87, _xlfn.CONCAT("*",Table13[[#Headers],[Fantasy]],"*")),1,0)</f>
        <v>0</v>
      </c>
      <c r="R87">
        <f>IF(COUNTIF($E87, _xlfn.CONCAT("*",Table13[[#Headers],[History]],"*")),1,0)</f>
        <v>0</v>
      </c>
      <c r="S87">
        <f>IF(COUNTIF($E87, _xlfn.CONCAT("*",Table13[[#Headers],[Horror]],"*")),1,0)</f>
        <v>0</v>
      </c>
      <c r="T87">
        <f>IF(COUNTIF($E87, _xlfn.CONCAT("*",Table13[[#Headers],[Music]],"*")),1,0)</f>
        <v>0</v>
      </c>
      <c r="U87">
        <f>IF(COUNTIF($E87, _xlfn.CONCAT("*",Table13[[#Headers],[Mystery]],"*")),1,0)</f>
        <v>0</v>
      </c>
      <c r="V87">
        <f>IF(COUNTIF($E87, _xlfn.CONCAT("*",Table13[[#Headers],[Romance]],"*")),1,0)</f>
        <v>0</v>
      </c>
      <c r="W87">
        <f>IF(COUNTIF($E87, _xlfn.CONCAT("*",Table13[[#Headers],[Science Fiction]],"*")),1,0)</f>
        <v>0</v>
      </c>
      <c r="X87">
        <f>IF(COUNTIF($E87, _xlfn.CONCAT("*",Table13[[#Headers],[TV Movie]],"*")),1,0)</f>
        <v>0</v>
      </c>
      <c r="Y87">
        <f>IF(COUNTIF($E87, _xlfn.CONCAT("*",Table13[[#Headers],[Thriller]],"*")),1,0)</f>
        <v>0</v>
      </c>
      <c r="Z87">
        <f>IF(COUNTIF($E87, _xlfn.CONCAT("*",Table13[[#Headers],[War]],"*")),1,0)</f>
        <v>0</v>
      </c>
      <c r="AA87">
        <f>IF(COUNTIF($E87, _xlfn.CONCAT("*",Table13[[#Headers],[Western]],"*")),1,0)</f>
        <v>0</v>
      </c>
    </row>
    <row r="88" spans="1:27">
      <c r="A88" t="s">
        <v>143</v>
      </c>
      <c r="B88">
        <v>178</v>
      </c>
      <c r="C88">
        <f>MAX(Table13[Rank])-Table13[[#This Row],[Rank]]</f>
        <v>86</v>
      </c>
      <c r="D88" t="s">
        <v>7</v>
      </c>
      <c r="E88" t="s">
        <v>21</v>
      </c>
      <c r="F88" s="1">
        <v>17313</v>
      </c>
      <c r="G88">
        <f>YEAR(Table13[[#This Row],[Date]])</f>
        <v>1947</v>
      </c>
      <c r="H88" t="s">
        <v>143</v>
      </c>
      <c r="I88">
        <f>IF(COUNTIF($E88, _xlfn.CONCAT("*",Table13[[#Headers],[Action]],"*")),1,0)</f>
        <v>0</v>
      </c>
      <c r="J88">
        <f>IF(COUNTIF($E88, _xlfn.CONCAT("*",Table13[[#Headers],[Adventure]],"*")),1,0)</f>
        <v>0</v>
      </c>
      <c r="K88">
        <f>IF(COUNTIF($E88, _xlfn.CONCAT("*",Table13[[#Headers],[Animation]],"*")),1,0)</f>
        <v>0</v>
      </c>
      <c r="L88">
        <f>IF(COUNTIF($E88, _xlfn.CONCAT("*",Table13[[#Headers],[Comedy]],"*")),1,0)</f>
        <v>0</v>
      </c>
      <c r="M88">
        <f>IF(COUNTIF($E88, _xlfn.CONCAT("*",Table13[[#Headers],[Crime]],"*")),1,0)</f>
        <v>0</v>
      </c>
      <c r="N88">
        <f>IF(COUNTIF($E88, _xlfn.CONCAT("*",Table13[[#Headers],[Documentary]],"*")),1,0)</f>
        <v>0</v>
      </c>
      <c r="O88">
        <f>IF(COUNTIF($E88, _xlfn.CONCAT("*",Table13[[#Headers],[Drama]],"*")),1,0)</f>
        <v>1</v>
      </c>
      <c r="P88">
        <f>IF(COUNTIF($E88, _xlfn.CONCAT("*",Table13[[#Headers],[Family]],"*")),1,0)</f>
        <v>0</v>
      </c>
      <c r="Q88">
        <f>IF(COUNTIF($E88, _xlfn.CONCAT("*",Table13[[#Headers],[Fantasy]],"*")),1,0)</f>
        <v>0</v>
      </c>
      <c r="R88">
        <f>IF(COUNTIF($E88, _xlfn.CONCAT("*",Table13[[#Headers],[History]],"*")),1,0)</f>
        <v>0</v>
      </c>
      <c r="S88">
        <f>IF(COUNTIF($E88, _xlfn.CONCAT("*",Table13[[#Headers],[Horror]],"*")),1,0)</f>
        <v>0</v>
      </c>
      <c r="T88">
        <f>IF(COUNTIF($E88, _xlfn.CONCAT("*",Table13[[#Headers],[Music]],"*")),1,0)</f>
        <v>0</v>
      </c>
      <c r="U88">
        <f>IF(COUNTIF($E88, _xlfn.CONCAT("*",Table13[[#Headers],[Mystery]],"*")),1,0)</f>
        <v>0</v>
      </c>
      <c r="V88">
        <f>IF(COUNTIF($E88, _xlfn.CONCAT("*",Table13[[#Headers],[Romance]],"*")),1,0)</f>
        <v>0</v>
      </c>
      <c r="W88">
        <f>IF(COUNTIF($E88, _xlfn.CONCAT("*",Table13[[#Headers],[Science Fiction]],"*")),1,0)</f>
        <v>0</v>
      </c>
      <c r="X88">
        <f>IF(COUNTIF($E88, _xlfn.CONCAT("*",Table13[[#Headers],[TV Movie]],"*")),1,0)</f>
        <v>0</v>
      </c>
      <c r="Y88">
        <f>IF(COUNTIF($E88, _xlfn.CONCAT("*",Table13[[#Headers],[Thriller]],"*")),1,0)</f>
        <v>0</v>
      </c>
      <c r="Z88">
        <f>IF(COUNTIF($E88, _xlfn.CONCAT("*",Table13[[#Headers],[War]],"*")),1,0)</f>
        <v>0</v>
      </c>
      <c r="AA88">
        <f>IF(COUNTIF($E88, _xlfn.CONCAT("*",Table13[[#Headers],[Western]],"*")),1,0)</f>
        <v>0</v>
      </c>
    </row>
    <row r="89" spans="1:27">
      <c r="A89" t="s">
        <v>144</v>
      </c>
      <c r="B89">
        <v>177</v>
      </c>
      <c r="C89">
        <f>MAX(Table13[Rank])-Table13[[#This Row],[Rank]]</f>
        <v>87</v>
      </c>
      <c r="D89" t="s">
        <v>7</v>
      </c>
      <c r="E89" t="s">
        <v>21</v>
      </c>
      <c r="F89" s="1">
        <v>25069</v>
      </c>
      <c r="G89">
        <f>YEAR(Table13[[#This Row],[Date]])</f>
        <v>1968</v>
      </c>
      <c r="H89" t="s">
        <v>144</v>
      </c>
      <c r="I89">
        <f>IF(COUNTIF($E89, _xlfn.CONCAT("*",Table13[[#Headers],[Action]],"*")),1,0)</f>
        <v>0</v>
      </c>
      <c r="J89">
        <f>IF(COUNTIF($E89, _xlfn.CONCAT("*",Table13[[#Headers],[Adventure]],"*")),1,0)</f>
        <v>0</v>
      </c>
      <c r="K89">
        <f>IF(COUNTIF($E89, _xlfn.CONCAT("*",Table13[[#Headers],[Animation]],"*")),1,0)</f>
        <v>0</v>
      </c>
      <c r="L89">
        <f>IF(COUNTIF($E89, _xlfn.CONCAT("*",Table13[[#Headers],[Comedy]],"*")),1,0)</f>
        <v>0</v>
      </c>
      <c r="M89">
        <f>IF(COUNTIF($E89, _xlfn.CONCAT("*",Table13[[#Headers],[Crime]],"*")),1,0)</f>
        <v>0</v>
      </c>
      <c r="N89">
        <f>IF(COUNTIF($E89, _xlfn.CONCAT("*",Table13[[#Headers],[Documentary]],"*")),1,0)</f>
        <v>0</v>
      </c>
      <c r="O89">
        <f>IF(COUNTIF($E89, _xlfn.CONCAT("*",Table13[[#Headers],[Drama]],"*")),1,0)</f>
        <v>1</v>
      </c>
      <c r="P89">
        <f>IF(COUNTIF($E89, _xlfn.CONCAT("*",Table13[[#Headers],[Family]],"*")),1,0)</f>
        <v>0</v>
      </c>
      <c r="Q89">
        <f>IF(COUNTIF($E89, _xlfn.CONCAT("*",Table13[[#Headers],[Fantasy]],"*")),1,0)</f>
        <v>0</v>
      </c>
      <c r="R89">
        <f>IF(COUNTIF($E89, _xlfn.CONCAT("*",Table13[[#Headers],[History]],"*")),1,0)</f>
        <v>0</v>
      </c>
      <c r="S89">
        <f>IF(COUNTIF($E89, _xlfn.CONCAT("*",Table13[[#Headers],[Horror]],"*")),1,0)</f>
        <v>0</v>
      </c>
      <c r="T89">
        <f>IF(COUNTIF($E89, _xlfn.CONCAT("*",Table13[[#Headers],[Music]],"*")),1,0)</f>
        <v>0</v>
      </c>
      <c r="U89">
        <f>IF(COUNTIF($E89, _xlfn.CONCAT("*",Table13[[#Headers],[Mystery]],"*")),1,0)</f>
        <v>0</v>
      </c>
      <c r="V89">
        <f>IF(COUNTIF($E89, _xlfn.CONCAT("*",Table13[[#Headers],[Romance]],"*")),1,0)</f>
        <v>0</v>
      </c>
      <c r="W89">
        <f>IF(COUNTIF($E89, _xlfn.CONCAT("*",Table13[[#Headers],[Science Fiction]],"*")),1,0)</f>
        <v>0</v>
      </c>
      <c r="X89">
        <f>IF(COUNTIF($E89, _xlfn.CONCAT("*",Table13[[#Headers],[TV Movie]],"*")),1,0)</f>
        <v>0</v>
      </c>
      <c r="Y89">
        <f>IF(COUNTIF($E89, _xlfn.CONCAT("*",Table13[[#Headers],[Thriller]],"*")),1,0)</f>
        <v>0</v>
      </c>
      <c r="Z89">
        <f>IF(COUNTIF($E89, _xlfn.CONCAT("*",Table13[[#Headers],[War]],"*")),1,0)</f>
        <v>0</v>
      </c>
      <c r="AA89">
        <f>IF(COUNTIF($E89, _xlfn.CONCAT("*",Table13[[#Headers],[Western]],"*")),1,0)</f>
        <v>0</v>
      </c>
    </row>
    <row r="90" spans="1:27">
      <c r="A90" t="s">
        <v>145</v>
      </c>
      <c r="B90">
        <v>176</v>
      </c>
      <c r="C90">
        <f>MAX(Table13[Rank])-Table13[[#This Row],[Rank]]</f>
        <v>88</v>
      </c>
      <c r="D90" t="s">
        <v>7</v>
      </c>
      <c r="E90" t="s">
        <v>113</v>
      </c>
      <c r="F90" s="1">
        <v>38973</v>
      </c>
      <c r="G90">
        <f>YEAR(Table13[[#This Row],[Date]])</f>
        <v>2006</v>
      </c>
      <c r="H90" t="s">
        <v>1269</v>
      </c>
      <c r="I90">
        <f>IF(COUNTIF($E90, _xlfn.CONCAT("*",Table13[[#Headers],[Action]],"*")),1,0)</f>
        <v>0</v>
      </c>
      <c r="J90">
        <f>IF(COUNTIF($E90, _xlfn.CONCAT("*",Table13[[#Headers],[Adventure]],"*")),1,0)</f>
        <v>0</v>
      </c>
      <c r="K90">
        <f>IF(COUNTIF($E90, _xlfn.CONCAT("*",Table13[[#Headers],[Animation]],"*")),1,0)</f>
        <v>0</v>
      </c>
      <c r="L90">
        <f>IF(COUNTIF($E90, _xlfn.CONCAT("*",Table13[[#Headers],[Comedy]],"*")),1,0)</f>
        <v>0</v>
      </c>
      <c r="M90">
        <f>IF(COUNTIF($E90, _xlfn.CONCAT("*",Table13[[#Headers],[Crime]],"*")),1,0)</f>
        <v>0</v>
      </c>
      <c r="N90">
        <f>IF(COUNTIF($E90, _xlfn.CONCAT("*",Table13[[#Headers],[Documentary]],"*")),1,0)</f>
        <v>0</v>
      </c>
      <c r="O90">
        <f>IF(COUNTIF($E90, _xlfn.CONCAT("*",Table13[[#Headers],[Drama]],"*")),1,0)</f>
        <v>1</v>
      </c>
      <c r="P90">
        <f>IF(COUNTIF($E90, _xlfn.CONCAT("*",Table13[[#Headers],[Family]],"*")),1,0)</f>
        <v>0</v>
      </c>
      <c r="Q90">
        <f>IF(COUNTIF($E90, _xlfn.CONCAT("*",Table13[[#Headers],[Fantasy]],"*")),1,0)</f>
        <v>1</v>
      </c>
      <c r="R90">
        <f>IF(COUNTIF($E90, _xlfn.CONCAT("*",Table13[[#Headers],[History]],"*")),1,0)</f>
        <v>0</v>
      </c>
      <c r="S90">
        <f>IF(COUNTIF($E90, _xlfn.CONCAT("*",Table13[[#Headers],[Horror]],"*")),1,0)</f>
        <v>0</v>
      </c>
      <c r="T90">
        <f>IF(COUNTIF($E90, _xlfn.CONCAT("*",Table13[[#Headers],[Music]],"*")),1,0)</f>
        <v>0</v>
      </c>
      <c r="U90">
        <f>IF(COUNTIF($E90, _xlfn.CONCAT("*",Table13[[#Headers],[Mystery]],"*")),1,0)</f>
        <v>0</v>
      </c>
      <c r="V90">
        <f>IF(COUNTIF($E90, _xlfn.CONCAT("*",Table13[[#Headers],[Romance]],"*")),1,0)</f>
        <v>0</v>
      </c>
      <c r="W90">
        <f>IF(COUNTIF($E90, _xlfn.CONCAT("*",Table13[[#Headers],[Science Fiction]],"*")),1,0)</f>
        <v>0</v>
      </c>
      <c r="X90">
        <f>IF(COUNTIF($E90, _xlfn.CONCAT("*",Table13[[#Headers],[TV Movie]],"*")),1,0)</f>
        <v>0</v>
      </c>
      <c r="Y90">
        <f>IF(COUNTIF($E90, _xlfn.CONCAT("*",Table13[[#Headers],[Thriller]],"*")),1,0)</f>
        <v>0</v>
      </c>
      <c r="Z90">
        <f>IF(COUNTIF($E90, _xlfn.CONCAT("*",Table13[[#Headers],[War]],"*")),1,0)</f>
        <v>0</v>
      </c>
      <c r="AA90">
        <f>IF(COUNTIF($E90, _xlfn.CONCAT("*",Table13[[#Headers],[Western]],"*")),1,0)</f>
        <v>0</v>
      </c>
    </row>
    <row r="91" spans="1:27">
      <c r="A91" t="s">
        <v>146</v>
      </c>
      <c r="B91">
        <v>175</v>
      </c>
      <c r="C91">
        <f>MAX(Table13[Rank])-Table13[[#This Row],[Rank]]</f>
        <v>89</v>
      </c>
      <c r="D91" t="s">
        <v>7</v>
      </c>
      <c r="E91" t="s">
        <v>147</v>
      </c>
      <c r="F91" s="1">
        <v>41712</v>
      </c>
      <c r="G91">
        <f>YEAR(Table13[[#This Row],[Date]])</f>
        <v>2014</v>
      </c>
      <c r="H91" t="s">
        <v>146</v>
      </c>
      <c r="I91">
        <f>IF(COUNTIF($E91, _xlfn.CONCAT("*",Table13[[#Headers],[Action]],"*")),1,0)</f>
        <v>0</v>
      </c>
      <c r="J91">
        <f>IF(COUNTIF($E91, _xlfn.CONCAT("*",Table13[[#Headers],[Adventure]],"*")),1,0)</f>
        <v>0</v>
      </c>
      <c r="K91">
        <f>IF(COUNTIF($E91, _xlfn.CONCAT("*",Table13[[#Headers],[Animation]],"*")),1,0)</f>
        <v>0</v>
      </c>
      <c r="L91">
        <f>IF(COUNTIF($E91, _xlfn.CONCAT("*",Table13[[#Headers],[Comedy]],"*")),1,0)</f>
        <v>0</v>
      </c>
      <c r="M91">
        <f>IF(COUNTIF($E91, _xlfn.CONCAT("*",Table13[[#Headers],[Crime]],"*")),1,0)</f>
        <v>0</v>
      </c>
      <c r="N91">
        <f>IF(COUNTIF($E91, _xlfn.CONCAT("*",Table13[[#Headers],[Documentary]],"*")),1,0)</f>
        <v>0</v>
      </c>
      <c r="O91">
        <f>IF(COUNTIF($E91, _xlfn.CONCAT("*",Table13[[#Headers],[Drama]],"*")),1,0)</f>
        <v>1</v>
      </c>
      <c r="P91">
        <f>IF(COUNTIF($E91, _xlfn.CONCAT("*",Table13[[#Headers],[Family]],"*")),1,0)</f>
        <v>0</v>
      </c>
      <c r="Q91">
        <f>IF(COUNTIF($E91, _xlfn.CONCAT("*",Table13[[#Headers],[Fantasy]],"*")),1,0)</f>
        <v>0</v>
      </c>
      <c r="R91">
        <f>IF(COUNTIF($E91, _xlfn.CONCAT("*",Table13[[#Headers],[History]],"*")),1,0)</f>
        <v>0</v>
      </c>
      <c r="S91">
        <f>IF(COUNTIF($E91, _xlfn.CONCAT("*",Table13[[#Headers],[Horror]],"*")),1,0)</f>
        <v>0</v>
      </c>
      <c r="T91">
        <f>IF(COUNTIF($E91, _xlfn.CONCAT("*",Table13[[#Headers],[Music]],"*")),1,0)</f>
        <v>0</v>
      </c>
      <c r="U91">
        <f>IF(COUNTIF($E91, _xlfn.CONCAT("*",Table13[[#Headers],[Mystery]],"*")),1,0)</f>
        <v>0</v>
      </c>
      <c r="V91">
        <f>IF(COUNTIF($E91, _xlfn.CONCAT("*",Table13[[#Headers],[Romance]],"*")),1,0)</f>
        <v>0</v>
      </c>
      <c r="W91">
        <f>IF(COUNTIF($E91, _xlfn.CONCAT("*",Table13[[#Headers],[Science Fiction]],"*")),1,0)</f>
        <v>1</v>
      </c>
      <c r="X91">
        <f>IF(COUNTIF($E91, _xlfn.CONCAT("*",Table13[[#Headers],[TV Movie]],"*")),1,0)</f>
        <v>0</v>
      </c>
      <c r="Y91">
        <f>IF(COUNTIF($E91, _xlfn.CONCAT("*",Table13[[#Headers],[Thriller]],"*")),1,0)</f>
        <v>1</v>
      </c>
      <c r="Z91">
        <f>IF(COUNTIF($E91, _xlfn.CONCAT("*",Table13[[#Headers],[War]],"*")),1,0)</f>
        <v>0</v>
      </c>
      <c r="AA91">
        <f>IF(COUNTIF($E91, _xlfn.CONCAT("*",Table13[[#Headers],[Western]],"*")),1,0)</f>
        <v>0</v>
      </c>
    </row>
    <row r="92" spans="1:27">
      <c r="A92" t="s">
        <v>148</v>
      </c>
      <c r="B92">
        <v>174</v>
      </c>
      <c r="C92">
        <f>MAX(Table13[Rank])-Table13[[#This Row],[Rank]]</f>
        <v>90</v>
      </c>
      <c r="D92" t="s">
        <v>7</v>
      </c>
      <c r="E92" t="s">
        <v>149</v>
      </c>
      <c r="F92" s="1">
        <v>32116</v>
      </c>
      <c r="G92">
        <f>YEAR(Table13[[#This Row],[Date]])</f>
        <v>1987</v>
      </c>
      <c r="H92" t="s">
        <v>1270</v>
      </c>
      <c r="I92">
        <f>IF(COUNTIF($E92, _xlfn.CONCAT("*",Table13[[#Headers],[Action]],"*")),1,0)</f>
        <v>1</v>
      </c>
      <c r="J92">
        <f>IF(COUNTIF($E92, _xlfn.CONCAT("*",Table13[[#Headers],[Adventure]],"*")),1,0)</f>
        <v>0</v>
      </c>
      <c r="K92">
        <f>IF(COUNTIF($E92, _xlfn.CONCAT("*",Table13[[#Headers],[Animation]],"*")),1,0)</f>
        <v>0</v>
      </c>
      <c r="L92">
        <f>IF(COUNTIF($E92, _xlfn.CONCAT("*",Table13[[#Headers],[Comedy]],"*")),1,0)</f>
        <v>0</v>
      </c>
      <c r="M92">
        <f>IF(COUNTIF($E92, _xlfn.CONCAT("*",Table13[[#Headers],[Crime]],"*")),1,0)</f>
        <v>1</v>
      </c>
      <c r="N92">
        <f>IF(COUNTIF($E92, _xlfn.CONCAT("*",Table13[[#Headers],[Documentary]],"*")),1,0)</f>
        <v>0</v>
      </c>
      <c r="O92">
        <f>IF(COUNTIF($E92, _xlfn.CONCAT("*",Table13[[#Headers],[Drama]],"*")),1,0)</f>
        <v>0</v>
      </c>
      <c r="P92">
        <f>IF(COUNTIF($E92, _xlfn.CONCAT("*",Table13[[#Headers],[Family]],"*")),1,0)</f>
        <v>0</v>
      </c>
      <c r="Q92">
        <f>IF(COUNTIF($E92, _xlfn.CONCAT("*",Table13[[#Headers],[Fantasy]],"*")),1,0)</f>
        <v>0</v>
      </c>
      <c r="R92">
        <f>IF(COUNTIF($E92, _xlfn.CONCAT("*",Table13[[#Headers],[History]],"*")),1,0)</f>
        <v>0</v>
      </c>
      <c r="S92">
        <f>IF(COUNTIF($E92, _xlfn.CONCAT("*",Table13[[#Headers],[Horror]],"*")),1,0)</f>
        <v>0</v>
      </c>
      <c r="T92">
        <f>IF(COUNTIF($E92, _xlfn.CONCAT("*",Table13[[#Headers],[Music]],"*")),1,0)</f>
        <v>0</v>
      </c>
      <c r="U92">
        <f>IF(COUNTIF($E92, _xlfn.CONCAT("*",Table13[[#Headers],[Mystery]],"*")),1,0)</f>
        <v>0</v>
      </c>
      <c r="V92">
        <f>IF(COUNTIF($E92, _xlfn.CONCAT("*",Table13[[#Headers],[Romance]],"*")),1,0)</f>
        <v>0</v>
      </c>
      <c r="W92">
        <f>IF(COUNTIF($E92, _xlfn.CONCAT("*",Table13[[#Headers],[Science Fiction]],"*")),1,0)</f>
        <v>0</v>
      </c>
      <c r="X92">
        <f>IF(COUNTIF($E92, _xlfn.CONCAT("*",Table13[[#Headers],[TV Movie]],"*")),1,0)</f>
        <v>0</v>
      </c>
      <c r="Y92">
        <f>IF(COUNTIF($E92, _xlfn.CONCAT("*",Table13[[#Headers],[Thriller]],"*")),1,0)</f>
        <v>1</v>
      </c>
      <c r="Z92">
        <f>IF(COUNTIF($E92, _xlfn.CONCAT("*",Table13[[#Headers],[War]],"*")),1,0)</f>
        <v>0</v>
      </c>
      <c r="AA92">
        <f>IF(COUNTIF($E92, _xlfn.CONCAT("*",Table13[[#Headers],[Western]],"*")),1,0)</f>
        <v>0</v>
      </c>
    </row>
    <row r="93" spans="1:27">
      <c r="A93" t="s">
        <v>150</v>
      </c>
      <c r="B93">
        <v>173</v>
      </c>
      <c r="C93">
        <f>MAX(Table13[Rank])-Table13[[#This Row],[Rank]]</f>
        <v>91</v>
      </c>
      <c r="D93" t="s">
        <v>7</v>
      </c>
      <c r="E93" t="s">
        <v>17</v>
      </c>
      <c r="F93" s="1">
        <v>25139</v>
      </c>
      <c r="G93">
        <f>YEAR(Table13[[#This Row],[Date]])</f>
        <v>1968</v>
      </c>
      <c r="H93" t="s">
        <v>150</v>
      </c>
      <c r="I93">
        <f>IF(COUNTIF($E93, _xlfn.CONCAT("*",Table13[[#Headers],[Action]],"*")),1,0)</f>
        <v>0</v>
      </c>
      <c r="J93">
        <f>IF(COUNTIF($E93, _xlfn.CONCAT("*",Table13[[#Headers],[Adventure]],"*")),1,0)</f>
        <v>0</v>
      </c>
      <c r="K93">
        <f>IF(COUNTIF($E93, _xlfn.CONCAT("*",Table13[[#Headers],[Animation]],"*")),1,0)</f>
        <v>0</v>
      </c>
      <c r="L93">
        <f>IF(COUNTIF($E93, _xlfn.CONCAT("*",Table13[[#Headers],[Comedy]],"*")),1,0)</f>
        <v>0</v>
      </c>
      <c r="M93">
        <f>IF(COUNTIF($E93, _xlfn.CONCAT("*",Table13[[#Headers],[Crime]],"*")),1,0)</f>
        <v>0</v>
      </c>
      <c r="N93">
        <f>IF(COUNTIF($E93, _xlfn.CONCAT("*",Table13[[#Headers],[Documentary]],"*")),1,0)</f>
        <v>1</v>
      </c>
      <c r="O93">
        <f>IF(COUNTIF($E93, _xlfn.CONCAT("*",Table13[[#Headers],[Drama]],"*")),1,0)</f>
        <v>0</v>
      </c>
      <c r="P93">
        <f>IF(COUNTIF($E93, _xlfn.CONCAT("*",Table13[[#Headers],[Family]],"*")),1,0)</f>
        <v>0</v>
      </c>
      <c r="Q93">
        <f>IF(COUNTIF($E93, _xlfn.CONCAT("*",Table13[[#Headers],[Fantasy]],"*")),1,0)</f>
        <v>0</v>
      </c>
      <c r="R93">
        <f>IF(COUNTIF($E93, _xlfn.CONCAT("*",Table13[[#Headers],[History]],"*")),1,0)</f>
        <v>0</v>
      </c>
      <c r="S93">
        <f>IF(COUNTIF($E93, _xlfn.CONCAT("*",Table13[[#Headers],[Horror]],"*")),1,0)</f>
        <v>0</v>
      </c>
      <c r="T93">
        <f>IF(COUNTIF($E93, _xlfn.CONCAT("*",Table13[[#Headers],[Music]],"*")),1,0)</f>
        <v>0</v>
      </c>
      <c r="U93">
        <f>IF(COUNTIF($E93, _xlfn.CONCAT("*",Table13[[#Headers],[Mystery]],"*")),1,0)</f>
        <v>0</v>
      </c>
      <c r="V93">
        <f>IF(COUNTIF($E93, _xlfn.CONCAT("*",Table13[[#Headers],[Romance]],"*")),1,0)</f>
        <v>0</v>
      </c>
      <c r="W93">
        <f>IF(COUNTIF($E93, _xlfn.CONCAT("*",Table13[[#Headers],[Science Fiction]],"*")),1,0)</f>
        <v>0</v>
      </c>
      <c r="X93">
        <f>IF(COUNTIF($E93, _xlfn.CONCAT("*",Table13[[#Headers],[TV Movie]],"*")),1,0)</f>
        <v>0</v>
      </c>
      <c r="Y93">
        <f>IF(COUNTIF($E93, _xlfn.CONCAT("*",Table13[[#Headers],[Thriller]],"*")),1,0)</f>
        <v>0</v>
      </c>
      <c r="Z93">
        <f>IF(COUNTIF($E93, _xlfn.CONCAT("*",Table13[[#Headers],[War]],"*")),1,0)</f>
        <v>0</v>
      </c>
      <c r="AA93">
        <f>IF(COUNTIF($E93, _xlfn.CONCAT("*",Table13[[#Headers],[Western]],"*")),1,0)</f>
        <v>0</v>
      </c>
    </row>
    <row r="94" spans="1:27">
      <c r="A94" t="s">
        <v>151</v>
      </c>
      <c r="B94">
        <v>172</v>
      </c>
      <c r="C94">
        <f>MAX(Table13[Rank])-Table13[[#This Row],[Rank]]</f>
        <v>92</v>
      </c>
      <c r="D94" t="s">
        <v>7</v>
      </c>
      <c r="E94" t="s">
        <v>152</v>
      </c>
      <c r="F94" s="1">
        <v>26215</v>
      </c>
      <c r="G94">
        <f>YEAR(Table13[[#This Row],[Date]])</f>
        <v>1971</v>
      </c>
      <c r="H94" t="s">
        <v>151</v>
      </c>
      <c r="I94">
        <f>IF(COUNTIF($E94, _xlfn.CONCAT("*",Table13[[#Headers],[Action]],"*")),1,0)</f>
        <v>0</v>
      </c>
      <c r="J94">
        <f>IF(COUNTIF($E94, _xlfn.CONCAT("*",Table13[[#Headers],[Adventure]],"*")),1,0)</f>
        <v>0</v>
      </c>
      <c r="K94">
        <f>IF(COUNTIF($E94, _xlfn.CONCAT("*",Table13[[#Headers],[Animation]],"*")),1,0)</f>
        <v>0</v>
      </c>
      <c r="L94">
        <f>IF(COUNTIF($E94, _xlfn.CONCAT("*",Table13[[#Headers],[Comedy]],"*")),1,0)</f>
        <v>0</v>
      </c>
      <c r="M94">
        <f>IF(COUNTIF($E94, _xlfn.CONCAT("*",Table13[[#Headers],[Crime]],"*")),1,0)</f>
        <v>0</v>
      </c>
      <c r="N94">
        <f>IF(COUNTIF($E94, _xlfn.CONCAT("*",Table13[[#Headers],[Documentary]],"*")),1,0)</f>
        <v>0</v>
      </c>
      <c r="O94">
        <f>IF(COUNTIF($E94, _xlfn.CONCAT("*",Table13[[#Headers],[Drama]],"*")),1,0)</f>
        <v>1</v>
      </c>
      <c r="P94">
        <f>IF(COUNTIF($E94, _xlfn.CONCAT("*",Table13[[#Headers],[Family]],"*")),1,0)</f>
        <v>0</v>
      </c>
      <c r="Q94">
        <f>IF(COUNTIF($E94, _xlfn.CONCAT("*",Table13[[#Headers],[Fantasy]],"*")),1,0)</f>
        <v>0</v>
      </c>
      <c r="R94">
        <f>IF(COUNTIF($E94, _xlfn.CONCAT("*",Table13[[#Headers],[History]],"*")),1,0)</f>
        <v>0</v>
      </c>
      <c r="S94">
        <f>IF(COUNTIF($E94, _xlfn.CONCAT("*",Table13[[#Headers],[Horror]],"*")),1,0)</f>
        <v>0</v>
      </c>
      <c r="T94">
        <f>IF(COUNTIF($E94, _xlfn.CONCAT("*",Table13[[#Headers],[Music]],"*")),1,0)</f>
        <v>0</v>
      </c>
      <c r="U94">
        <f>IF(COUNTIF($E94, _xlfn.CONCAT("*",Table13[[#Headers],[Mystery]],"*")),1,0)</f>
        <v>1</v>
      </c>
      <c r="V94">
        <f>IF(COUNTIF($E94, _xlfn.CONCAT("*",Table13[[#Headers],[Romance]],"*")),1,0)</f>
        <v>0</v>
      </c>
      <c r="W94">
        <f>IF(COUNTIF($E94, _xlfn.CONCAT("*",Table13[[#Headers],[Science Fiction]],"*")),1,0)</f>
        <v>0</v>
      </c>
      <c r="X94">
        <f>IF(COUNTIF($E94, _xlfn.CONCAT("*",Table13[[#Headers],[TV Movie]],"*")),1,0)</f>
        <v>0</v>
      </c>
      <c r="Y94">
        <f>IF(COUNTIF($E94, _xlfn.CONCAT("*",Table13[[#Headers],[Thriller]],"*")),1,0)</f>
        <v>0</v>
      </c>
      <c r="Z94">
        <f>IF(COUNTIF($E94, _xlfn.CONCAT("*",Table13[[#Headers],[War]],"*")),1,0)</f>
        <v>0</v>
      </c>
      <c r="AA94">
        <f>IF(COUNTIF($E94, _xlfn.CONCAT("*",Table13[[#Headers],[Western]],"*")),1,0)</f>
        <v>0</v>
      </c>
    </row>
    <row r="95" spans="1:27">
      <c r="A95" t="s">
        <v>153</v>
      </c>
      <c r="B95">
        <v>171</v>
      </c>
      <c r="C95">
        <f>MAX(Table13[Rank])-Table13[[#This Row],[Rank]]</f>
        <v>93</v>
      </c>
      <c r="D95" t="s">
        <v>7</v>
      </c>
      <c r="E95" t="s">
        <v>154</v>
      </c>
      <c r="F95" s="1">
        <v>10749</v>
      </c>
      <c r="G95">
        <f>YEAR(Table13[[#This Row],[Date]])</f>
        <v>1929</v>
      </c>
      <c r="H95" t="s">
        <v>1271</v>
      </c>
      <c r="I95">
        <f>IF(COUNTIF($E95, _xlfn.CONCAT("*",Table13[[#Headers],[Action]],"*")),1,0)</f>
        <v>0</v>
      </c>
      <c r="J95">
        <f>IF(COUNTIF($E95, _xlfn.CONCAT("*",Table13[[#Headers],[Adventure]],"*")),1,0)</f>
        <v>0</v>
      </c>
      <c r="K95">
        <f>IF(COUNTIF($E95, _xlfn.CONCAT("*",Table13[[#Headers],[Animation]],"*")),1,0)</f>
        <v>0</v>
      </c>
      <c r="L95">
        <f>IF(COUNTIF($E95, _xlfn.CONCAT("*",Table13[[#Headers],[Comedy]],"*")),1,0)</f>
        <v>0</v>
      </c>
      <c r="M95">
        <f>IF(COUNTIF($E95, _xlfn.CONCAT("*",Table13[[#Headers],[Crime]],"*")),1,0)</f>
        <v>0</v>
      </c>
      <c r="N95">
        <f>IF(COUNTIF($E95, _xlfn.CONCAT("*",Table13[[#Headers],[Documentary]],"*")),1,0)</f>
        <v>0</v>
      </c>
      <c r="O95">
        <f>IF(COUNTIF($E95, _xlfn.CONCAT("*",Table13[[#Headers],[Drama]],"*")),1,0)</f>
        <v>0</v>
      </c>
      <c r="P95">
        <f>IF(COUNTIF($E95, _xlfn.CONCAT("*",Table13[[#Headers],[Family]],"*")),1,0)</f>
        <v>0</v>
      </c>
      <c r="Q95">
        <f>IF(COUNTIF($E95, _xlfn.CONCAT("*",Table13[[#Headers],[Fantasy]],"*")),1,0)</f>
        <v>1</v>
      </c>
      <c r="R95">
        <f>IF(COUNTIF($E95, _xlfn.CONCAT("*",Table13[[#Headers],[History]],"*")),1,0)</f>
        <v>0</v>
      </c>
      <c r="S95">
        <f>IF(COUNTIF($E95, _xlfn.CONCAT("*",Table13[[#Headers],[Horror]],"*")),1,0)</f>
        <v>1</v>
      </c>
      <c r="T95">
        <f>IF(COUNTIF($E95, _xlfn.CONCAT("*",Table13[[#Headers],[Music]],"*")),1,0)</f>
        <v>0</v>
      </c>
      <c r="U95">
        <f>IF(COUNTIF($E95, _xlfn.CONCAT("*",Table13[[#Headers],[Mystery]],"*")),1,0)</f>
        <v>0</v>
      </c>
      <c r="V95">
        <f>IF(COUNTIF($E95, _xlfn.CONCAT("*",Table13[[#Headers],[Romance]],"*")),1,0)</f>
        <v>0</v>
      </c>
      <c r="W95">
        <f>IF(COUNTIF($E95, _xlfn.CONCAT("*",Table13[[#Headers],[Science Fiction]],"*")),1,0)</f>
        <v>0</v>
      </c>
      <c r="X95">
        <f>IF(COUNTIF($E95, _xlfn.CONCAT("*",Table13[[#Headers],[TV Movie]],"*")),1,0)</f>
        <v>0</v>
      </c>
      <c r="Y95">
        <f>IF(COUNTIF($E95, _xlfn.CONCAT("*",Table13[[#Headers],[Thriller]],"*")),1,0)</f>
        <v>0</v>
      </c>
      <c r="Z95">
        <f>IF(COUNTIF($E95, _xlfn.CONCAT("*",Table13[[#Headers],[War]],"*")),1,0)</f>
        <v>0</v>
      </c>
      <c r="AA95">
        <f>IF(COUNTIF($E95, _xlfn.CONCAT("*",Table13[[#Headers],[Western]],"*")),1,0)</f>
        <v>0</v>
      </c>
    </row>
    <row r="96" spans="1:27">
      <c r="A96" t="s">
        <v>155</v>
      </c>
      <c r="B96">
        <v>170</v>
      </c>
      <c r="C96">
        <f>MAX(Table13[Rank])-Table13[[#This Row],[Rank]]</f>
        <v>94</v>
      </c>
      <c r="D96" t="s">
        <v>7</v>
      </c>
      <c r="E96" t="s">
        <v>156</v>
      </c>
      <c r="F96" s="1">
        <v>30452</v>
      </c>
      <c r="G96">
        <f>YEAR(Table13[[#This Row],[Date]])</f>
        <v>1983</v>
      </c>
      <c r="H96" t="s">
        <v>155</v>
      </c>
      <c r="I96">
        <f>IF(COUNTIF($E96, _xlfn.CONCAT("*",Table13[[#Headers],[Action]],"*")),1,0)</f>
        <v>0</v>
      </c>
      <c r="J96">
        <f>IF(COUNTIF($E96, _xlfn.CONCAT("*",Table13[[#Headers],[Adventure]],"*")),1,0)</f>
        <v>0</v>
      </c>
      <c r="K96">
        <f>IF(COUNTIF($E96, _xlfn.CONCAT("*",Table13[[#Headers],[Animation]],"*")),1,0)</f>
        <v>0</v>
      </c>
      <c r="L96">
        <f>IF(COUNTIF($E96, _xlfn.CONCAT("*",Table13[[#Headers],[Comedy]],"*")),1,0)</f>
        <v>0</v>
      </c>
      <c r="M96">
        <f>IF(COUNTIF($E96, _xlfn.CONCAT("*",Table13[[#Headers],[Crime]],"*")),1,0)</f>
        <v>1</v>
      </c>
      <c r="N96">
        <f>IF(COUNTIF($E96, _xlfn.CONCAT("*",Table13[[#Headers],[Documentary]],"*")),1,0)</f>
        <v>0</v>
      </c>
      <c r="O96">
        <f>IF(COUNTIF($E96, _xlfn.CONCAT("*",Table13[[#Headers],[Drama]],"*")),1,0)</f>
        <v>1</v>
      </c>
      <c r="P96">
        <f>IF(COUNTIF($E96, _xlfn.CONCAT("*",Table13[[#Headers],[Family]],"*")),1,0)</f>
        <v>0</v>
      </c>
      <c r="Q96">
        <f>IF(COUNTIF($E96, _xlfn.CONCAT("*",Table13[[#Headers],[Fantasy]],"*")),1,0)</f>
        <v>0</v>
      </c>
      <c r="R96">
        <f>IF(COUNTIF($E96, _xlfn.CONCAT("*",Table13[[#Headers],[History]],"*")),1,0)</f>
        <v>0</v>
      </c>
      <c r="S96">
        <f>IF(COUNTIF($E96, _xlfn.CONCAT("*",Table13[[#Headers],[Horror]],"*")),1,0)</f>
        <v>0</v>
      </c>
      <c r="T96">
        <f>IF(COUNTIF($E96, _xlfn.CONCAT("*",Table13[[#Headers],[Music]],"*")),1,0)</f>
        <v>0</v>
      </c>
      <c r="U96">
        <f>IF(COUNTIF($E96, _xlfn.CONCAT("*",Table13[[#Headers],[Mystery]],"*")),1,0)</f>
        <v>0</v>
      </c>
      <c r="V96">
        <f>IF(COUNTIF($E96, _xlfn.CONCAT("*",Table13[[#Headers],[Romance]],"*")),1,0)</f>
        <v>0</v>
      </c>
      <c r="W96">
        <f>IF(COUNTIF($E96, _xlfn.CONCAT("*",Table13[[#Headers],[Science Fiction]],"*")),1,0)</f>
        <v>0</v>
      </c>
      <c r="X96">
        <f>IF(COUNTIF($E96, _xlfn.CONCAT("*",Table13[[#Headers],[TV Movie]],"*")),1,0)</f>
        <v>0</v>
      </c>
      <c r="Y96">
        <f>IF(COUNTIF($E96, _xlfn.CONCAT("*",Table13[[#Headers],[Thriller]],"*")),1,0)</f>
        <v>0</v>
      </c>
      <c r="Z96">
        <f>IF(COUNTIF($E96, _xlfn.CONCAT("*",Table13[[#Headers],[War]],"*")),1,0)</f>
        <v>0</v>
      </c>
      <c r="AA96">
        <f>IF(COUNTIF($E96, _xlfn.CONCAT("*",Table13[[#Headers],[Western]],"*")),1,0)</f>
        <v>0</v>
      </c>
    </row>
    <row r="97" spans="1:27">
      <c r="A97" t="s">
        <v>157</v>
      </c>
      <c r="B97">
        <v>169</v>
      </c>
      <c r="C97">
        <f>MAX(Table13[Rank])-Table13[[#This Row],[Rank]]</f>
        <v>95</v>
      </c>
      <c r="D97" t="s">
        <v>7</v>
      </c>
      <c r="E97" t="s">
        <v>35</v>
      </c>
      <c r="F97" s="1">
        <v>22426</v>
      </c>
      <c r="G97">
        <f>YEAR(Table13[[#This Row],[Date]])</f>
        <v>1961</v>
      </c>
      <c r="H97" t="s">
        <v>1272</v>
      </c>
      <c r="I97">
        <f>IF(COUNTIF($E97, _xlfn.CONCAT("*",Table13[[#Headers],[Action]],"*")),1,0)</f>
        <v>0</v>
      </c>
      <c r="J97">
        <f>IF(COUNTIF($E97, _xlfn.CONCAT("*",Table13[[#Headers],[Adventure]],"*")),1,0)</f>
        <v>0</v>
      </c>
      <c r="K97">
        <f>IF(COUNTIF($E97, _xlfn.CONCAT("*",Table13[[#Headers],[Animation]],"*")),1,0)</f>
        <v>0</v>
      </c>
      <c r="L97">
        <f>IF(COUNTIF($E97, _xlfn.CONCAT("*",Table13[[#Headers],[Comedy]],"*")),1,0)</f>
        <v>0</v>
      </c>
      <c r="M97">
        <f>IF(COUNTIF($E97, _xlfn.CONCAT("*",Table13[[#Headers],[Crime]],"*")),1,0)</f>
        <v>0</v>
      </c>
      <c r="N97">
        <f>IF(COUNTIF($E97, _xlfn.CONCAT("*",Table13[[#Headers],[Documentary]],"*")),1,0)</f>
        <v>0</v>
      </c>
      <c r="O97">
        <f>IF(COUNTIF($E97, _xlfn.CONCAT("*",Table13[[#Headers],[Drama]],"*")),1,0)</f>
        <v>1</v>
      </c>
      <c r="P97">
        <f>IF(COUNTIF($E97, _xlfn.CONCAT("*",Table13[[#Headers],[Family]],"*")),1,0)</f>
        <v>0</v>
      </c>
      <c r="Q97">
        <f>IF(COUNTIF($E97, _xlfn.CONCAT("*",Table13[[#Headers],[Fantasy]],"*")),1,0)</f>
        <v>0</v>
      </c>
      <c r="R97">
        <f>IF(COUNTIF($E97, _xlfn.CONCAT("*",Table13[[#Headers],[History]],"*")),1,0)</f>
        <v>0</v>
      </c>
      <c r="S97">
        <f>IF(COUNTIF($E97, _xlfn.CONCAT("*",Table13[[#Headers],[Horror]],"*")),1,0)</f>
        <v>0</v>
      </c>
      <c r="T97">
        <f>IF(COUNTIF($E97, _xlfn.CONCAT("*",Table13[[#Headers],[Music]],"*")),1,0)</f>
        <v>0</v>
      </c>
      <c r="U97">
        <f>IF(COUNTIF($E97, _xlfn.CONCAT("*",Table13[[#Headers],[Mystery]],"*")),1,0)</f>
        <v>0</v>
      </c>
      <c r="V97">
        <f>IF(COUNTIF($E97, _xlfn.CONCAT("*",Table13[[#Headers],[Romance]],"*")),1,0)</f>
        <v>1</v>
      </c>
      <c r="W97">
        <f>IF(COUNTIF($E97, _xlfn.CONCAT("*",Table13[[#Headers],[Science Fiction]],"*")),1,0)</f>
        <v>0</v>
      </c>
      <c r="X97">
        <f>IF(COUNTIF($E97, _xlfn.CONCAT("*",Table13[[#Headers],[TV Movie]],"*")),1,0)</f>
        <v>0</v>
      </c>
      <c r="Y97">
        <f>IF(COUNTIF($E97, _xlfn.CONCAT("*",Table13[[#Headers],[Thriller]],"*")),1,0)</f>
        <v>0</v>
      </c>
      <c r="Z97">
        <f>IF(COUNTIF($E97, _xlfn.CONCAT("*",Table13[[#Headers],[War]],"*")),1,0)</f>
        <v>0</v>
      </c>
      <c r="AA97">
        <f>IF(COUNTIF($E97, _xlfn.CONCAT("*",Table13[[#Headers],[Western]],"*")),1,0)</f>
        <v>0</v>
      </c>
    </row>
    <row r="98" spans="1:27">
      <c r="A98" t="s">
        <v>158</v>
      </c>
      <c r="B98">
        <v>168</v>
      </c>
      <c r="C98">
        <f>MAX(Table13[Rank])-Table13[[#This Row],[Rank]]</f>
        <v>96</v>
      </c>
      <c r="D98" t="s">
        <v>7</v>
      </c>
      <c r="E98" t="s">
        <v>156</v>
      </c>
      <c r="F98" s="1">
        <v>18606</v>
      </c>
      <c r="G98">
        <f>YEAR(Table13[[#This Row],[Date]])</f>
        <v>1950</v>
      </c>
      <c r="H98" t="s">
        <v>1273</v>
      </c>
      <c r="I98">
        <f>IF(COUNTIF($E98, _xlfn.CONCAT("*",Table13[[#Headers],[Action]],"*")),1,0)</f>
        <v>0</v>
      </c>
      <c r="J98">
        <f>IF(COUNTIF($E98, _xlfn.CONCAT("*",Table13[[#Headers],[Adventure]],"*")),1,0)</f>
        <v>0</v>
      </c>
      <c r="K98">
        <f>IF(COUNTIF($E98, _xlfn.CONCAT("*",Table13[[#Headers],[Animation]],"*")),1,0)</f>
        <v>0</v>
      </c>
      <c r="L98">
        <f>IF(COUNTIF($E98, _xlfn.CONCAT("*",Table13[[#Headers],[Comedy]],"*")),1,0)</f>
        <v>0</v>
      </c>
      <c r="M98">
        <f>IF(COUNTIF($E98, _xlfn.CONCAT("*",Table13[[#Headers],[Crime]],"*")),1,0)</f>
        <v>1</v>
      </c>
      <c r="N98">
        <f>IF(COUNTIF($E98, _xlfn.CONCAT("*",Table13[[#Headers],[Documentary]],"*")),1,0)</f>
        <v>0</v>
      </c>
      <c r="O98">
        <f>IF(COUNTIF($E98, _xlfn.CONCAT("*",Table13[[#Headers],[Drama]],"*")),1,0)</f>
        <v>1</v>
      </c>
      <c r="P98">
        <f>IF(COUNTIF($E98, _xlfn.CONCAT("*",Table13[[#Headers],[Family]],"*")),1,0)</f>
        <v>0</v>
      </c>
      <c r="Q98">
        <f>IF(COUNTIF($E98, _xlfn.CONCAT("*",Table13[[#Headers],[Fantasy]],"*")),1,0)</f>
        <v>0</v>
      </c>
      <c r="R98">
        <f>IF(COUNTIF($E98, _xlfn.CONCAT("*",Table13[[#Headers],[History]],"*")),1,0)</f>
        <v>0</v>
      </c>
      <c r="S98">
        <f>IF(COUNTIF($E98, _xlfn.CONCAT("*",Table13[[#Headers],[Horror]],"*")),1,0)</f>
        <v>0</v>
      </c>
      <c r="T98">
        <f>IF(COUNTIF($E98, _xlfn.CONCAT("*",Table13[[#Headers],[Music]],"*")),1,0)</f>
        <v>0</v>
      </c>
      <c r="U98">
        <f>IF(COUNTIF($E98, _xlfn.CONCAT("*",Table13[[#Headers],[Mystery]],"*")),1,0)</f>
        <v>0</v>
      </c>
      <c r="V98">
        <f>IF(COUNTIF($E98, _xlfn.CONCAT("*",Table13[[#Headers],[Romance]],"*")),1,0)</f>
        <v>0</v>
      </c>
      <c r="W98">
        <f>IF(COUNTIF($E98, _xlfn.CONCAT("*",Table13[[#Headers],[Science Fiction]],"*")),1,0)</f>
        <v>0</v>
      </c>
      <c r="X98">
        <f>IF(COUNTIF($E98, _xlfn.CONCAT("*",Table13[[#Headers],[TV Movie]],"*")),1,0)</f>
        <v>0</v>
      </c>
      <c r="Y98">
        <f>IF(COUNTIF($E98, _xlfn.CONCAT("*",Table13[[#Headers],[Thriller]],"*")),1,0)</f>
        <v>0</v>
      </c>
      <c r="Z98">
        <f>IF(COUNTIF($E98, _xlfn.CONCAT("*",Table13[[#Headers],[War]],"*")),1,0)</f>
        <v>0</v>
      </c>
      <c r="AA98">
        <f>IF(COUNTIF($E98, _xlfn.CONCAT("*",Table13[[#Headers],[Western]],"*")),1,0)</f>
        <v>0</v>
      </c>
    </row>
    <row r="99" spans="1:27">
      <c r="A99" t="s">
        <v>159</v>
      </c>
      <c r="B99">
        <v>167</v>
      </c>
      <c r="C99">
        <f>MAX(Table13[Rank])-Table13[[#This Row],[Rank]]</f>
        <v>97</v>
      </c>
      <c r="D99" t="s">
        <v>7</v>
      </c>
      <c r="E99" t="s">
        <v>21</v>
      </c>
      <c r="F99" s="1">
        <v>19276</v>
      </c>
      <c r="G99">
        <f>YEAR(Table13[[#This Row],[Date]])</f>
        <v>1952</v>
      </c>
      <c r="H99" t="s">
        <v>159</v>
      </c>
      <c r="I99">
        <f>IF(COUNTIF($E99, _xlfn.CONCAT("*",Table13[[#Headers],[Action]],"*")),1,0)</f>
        <v>0</v>
      </c>
      <c r="J99">
        <f>IF(COUNTIF($E99, _xlfn.CONCAT("*",Table13[[#Headers],[Adventure]],"*")),1,0)</f>
        <v>0</v>
      </c>
      <c r="K99">
        <f>IF(COUNTIF($E99, _xlfn.CONCAT("*",Table13[[#Headers],[Animation]],"*")),1,0)</f>
        <v>0</v>
      </c>
      <c r="L99">
        <f>IF(COUNTIF($E99, _xlfn.CONCAT("*",Table13[[#Headers],[Comedy]],"*")),1,0)</f>
        <v>0</v>
      </c>
      <c r="M99">
        <f>IF(COUNTIF($E99, _xlfn.CONCAT("*",Table13[[#Headers],[Crime]],"*")),1,0)</f>
        <v>0</v>
      </c>
      <c r="N99">
        <f>IF(COUNTIF($E99, _xlfn.CONCAT("*",Table13[[#Headers],[Documentary]],"*")),1,0)</f>
        <v>0</v>
      </c>
      <c r="O99">
        <f>IF(COUNTIF($E99, _xlfn.CONCAT("*",Table13[[#Headers],[Drama]],"*")),1,0)</f>
        <v>1</v>
      </c>
      <c r="P99">
        <f>IF(COUNTIF($E99, _xlfn.CONCAT("*",Table13[[#Headers],[Family]],"*")),1,0)</f>
        <v>0</v>
      </c>
      <c r="Q99">
        <f>IF(COUNTIF($E99, _xlfn.CONCAT("*",Table13[[#Headers],[Fantasy]],"*")),1,0)</f>
        <v>0</v>
      </c>
      <c r="R99">
        <f>IF(COUNTIF($E99, _xlfn.CONCAT("*",Table13[[#Headers],[History]],"*")),1,0)</f>
        <v>0</v>
      </c>
      <c r="S99">
        <f>IF(COUNTIF($E99, _xlfn.CONCAT("*",Table13[[#Headers],[Horror]],"*")),1,0)</f>
        <v>0</v>
      </c>
      <c r="T99">
        <f>IF(COUNTIF($E99, _xlfn.CONCAT("*",Table13[[#Headers],[Music]],"*")),1,0)</f>
        <v>0</v>
      </c>
      <c r="U99">
        <f>IF(COUNTIF($E99, _xlfn.CONCAT("*",Table13[[#Headers],[Mystery]],"*")),1,0)</f>
        <v>0</v>
      </c>
      <c r="V99">
        <f>IF(COUNTIF($E99, _xlfn.CONCAT("*",Table13[[#Headers],[Romance]],"*")),1,0)</f>
        <v>0</v>
      </c>
      <c r="W99">
        <f>IF(COUNTIF($E99, _xlfn.CONCAT("*",Table13[[#Headers],[Science Fiction]],"*")),1,0)</f>
        <v>0</v>
      </c>
      <c r="X99">
        <f>IF(COUNTIF($E99, _xlfn.CONCAT("*",Table13[[#Headers],[TV Movie]],"*")),1,0)</f>
        <v>0</v>
      </c>
      <c r="Y99">
        <f>IF(COUNTIF($E99, _xlfn.CONCAT("*",Table13[[#Headers],[Thriller]],"*")),1,0)</f>
        <v>0</v>
      </c>
      <c r="Z99">
        <f>IF(COUNTIF($E99, _xlfn.CONCAT("*",Table13[[#Headers],[War]],"*")),1,0)</f>
        <v>0</v>
      </c>
      <c r="AA99">
        <f>IF(COUNTIF($E99, _xlfn.CONCAT("*",Table13[[#Headers],[Western]],"*")),1,0)</f>
        <v>0</v>
      </c>
    </row>
    <row r="100" spans="1:27">
      <c r="A100" t="s">
        <v>160</v>
      </c>
      <c r="B100">
        <v>166</v>
      </c>
      <c r="C100">
        <f>MAX(Table13[Rank])-Table13[[#This Row],[Rank]]</f>
        <v>98</v>
      </c>
      <c r="D100" t="s">
        <v>7</v>
      </c>
      <c r="E100" t="s">
        <v>161</v>
      </c>
      <c r="F100" s="1">
        <v>17496</v>
      </c>
      <c r="G100">
        <f>YEAR(Table13[[#This Row],[Date]])</f>
        <v>1947</v>
      </c>
      <c r="H100" t="s">
        <v>160</v>
      </c>
      <c r="I100">
        <f>IF(COUNTIF($E100, _xlfn.CONCAT("*",Table13[[#Headers],[Action]],"*")),1,0)</f>
        <v>0</v>
      </c>
      <c r="J100">
        <f>IF(COUNTIF($E100, _xlfn.CONCAT("*",Table13[[#Headers],[Adventure]],"*")),1,0)</f>
        <v>0</v>
      </c>
      <c r="K100">
        <f>IF(COUNTIF($E100, _xlfn.CONCAT("*",Table13[[#Headers],[Animation]],"*")),1,0)</f>
        <v>0</v>
      </c>
      <c r="L100">
        <f>IF(COUNTIF($E100, _xlfn.CONCAT("*",Table13[[#Headers],[Comedy]],"*")),1,0)</f>
        <v>0</v>
      </c>
      <c r="M100">
        <f>IF(COUNTIF($E100, _xlfn.CONCAT("*",Table13[[#Headers],[Crime]],"*")),1,0)</f>
        <v>1</v>
      </c>
      <c r="N100">
        <f>IF(COUNTIF($E100, _xlfn.CONCAT("*",Table13[[#Headers],[Documentary]],"*")),1,0)</f>
        <v>0</v>
      </c>
      <c r="O100">
        <f>IF(COUNTIF($E100, _xlfn.CONCAT("*",Table13[[#Headers],[Drama]],"*")),1,0)</f>
        <v>1</v>
      </c>
      <c r="P100">
        <f>IF(COUNTIF($E100, _xlfn.CONCAT("*",Table13[[#Headers],[Family]],"*")),1,0)</f>
        <v>0</v>
      </c>
      <c r="Q100">
        <f>IF(COUNTIF($E100, _xlfn.CONCAT("*",Table13[[#Headers],[Fantasy]],"*")),1,0)</f>
        <v>0</v>
      </c>
      <c r="R100">
        <f>IF(COUNTIF($E100, _xlfn.CONCAT("*",Table13[[#Headers],[History]],"*")),1,0)</f>
        <v>0</v>
      </c>
      <c r="S100">
        <f>IF(COUNTIF($E100, _xlfn.CONCAT("*",Table13[[#Headers],[Horror]],"*")),1,0)</f>
        <v>0</v>
      </c>
      <c r="T100">
        <f>IF(COUNTIF($E100, _xlfn.CONCAT("*",Table13[[#Headers],[Music]],"*")),1,0)</f>
        <v>0</v>
      </c>
      <c r="U100">
        <f>IF(COUNTIF($E100, _xlfn.CONCAT("*",Table13[[#Headers],[Mystery]],"*")),1,0)</f>
        <v>0</v>
      </c>
      <c r="V100">
        <f>IF(COUNTIF($E100, _xlfn.CONCAT("*",Table13[[#Headers],[Romance]],"*")),1,0)</f>
        <v>1</v>
      </c>
      <c r="W100">
        <f>IF(COUNTIF($E100, _xlfn.CONCAT("*",Table13[[#Headers],[Science Fiction]],"*")),1,0)</f>
        <v>0</v>
      </c>
      <c r="X100">
        <f>IF(COUNTIF($E100, _xlfn.CONCAT("*",Table13[[#Headers],[TV Movie]],"*")),1,0)</f>
        <v>0</v>
      </c>
      <c r="Y100">
        <f>IF(COUNTIF($E100, _xlfn.CONCAT("*",Table13[[#Headers],[Thriller]],"*")),1,0)</f>
        <v>1</v>
      </c>
      <c r="Z100">
        <f>IF(COUNTIF($E100, _xlfn.CONCAT("*",Table13[[#Headers],[War]],"*")),1,0)</f>
        <v>0</v>
      </c>
      <c r="AA100">
        <f>IF(COUNTIF($E100, _xlfn.CONCAT("*",Table13[[#Headers],[Western]],"*")),1,0)</f>
        <v>0</v>
      </c>
    </row>
    <row r="101" spans="1:27">
      <c r="A101" t="s">
        <v>162</v>
      </c>
      <c r="B101">
        <v>165</v>
      </c>
      <c r="C101">
        <f>MAX(Table13[Rank])-Table13[[#This Row],[Rank]]</f>
        <v>99</v>
      </c>
      <c r="D101" t="s">
        <v>7</v>
      </c>
      <c r="E101" t="s">
        <v>21</v>
      </c>
      <c r="F101" s="1">
        <v>22909</v>
      </c>
      <c r="G101">
        <f>YEAR(Table13[[#This Row],[Date]])</f>
        <v>1962</v>
      </c>
      <c r="H101" t="s">
        <v>1274</v>
      </c>
      <c r="I101">
        <f>IF(COUNTIF($E101, _xlfn.CONCAT("*",Table13[[#Headers],[Action]],"*")),1,0)</f>
        <v>0</v>
      </c>
      <c r="J101">
        <f>IF(COUNTIF($E101, _xlfn.CONCAT("*",Table13[[#Headers],[Adventure]],"*")),1,0)</f>
        <v>0</v>
      </c>
      <c r="K101">
        <f>IF(COUNTIF($E101, _xlfn.CONCAT("*",Table13[[#Headers],[Animation]],"*")),1,0)</f>
        <v>0</v>
      </c>
      <c r="L101">
        <f>IF(COUNTIF($E101, _xlfn.CONCAT("*",Table13[[#Headers],[Comedy]],"*")),1,0)</f>
        <v>0</v>
      </c>
      <c r="M101">
        <f>IF(COUNTIF($E101, _xlfn.CONCAT("*",Table13[[#Headers],[Crime]],"*")),1,0)</f>
        <v>0</v>
      </c>
      <c r="N101">
        <f>IF(COUNTIF($E101, _xlfn.CONCAT("*",Table13[[#Headers],[Documentary]],"*")),1,0)</f>
        <v>0</v>
      </c>
      <c r="O101">
        <f>IF(COUNTIF($E101, _xlfn.CONCAT("*",Table13[[#Headers],[Drama]],"*")),1,0)</f>
        <v>1</v>
      </c>
      <c r="P101">
        <f>IF(COUNTIF($E101, _xlfn.CONCAT("*",Table13[[#Headers],[Family]],"*")),1,0)</f>
        <v>0</v>
      </c>
      <c r="Q101">
        <f>IF(COUNTIF($E101, _xlfn.CONCAT("*",Table13[[#Headers],[Fantasy]],"*")),1,0)</f>
        <v>0</v>
      </c>
      <c r="R101">
        <f>IF(COUNTIF($E101, _xlfn.CONCAT("*",Table13[[#Headers],[History]],"*")),1,0)</f>
        <v>0</v>
      </c>
      <c r="S101">
        <f>IF(COUNTIF($E101, _xlfn.CONCAT("*",Table13[[#Headers],[Horror]],"*")),1,0)</f>
        <v>0</v>
      </c>
      <c r="T101">
        <f>IF(COUNTIF($E101, _xlfn.CONCAT("*",Table13[[#Headers],[Music]],"*")),1,0)</f>
        <v>0</v>
      </c>
      <c r="U101">
        <f>IF(COUNTIF($E101, _xlfn.CONCAT("*",Table13[[#Headers],[Mystery]],"*")),1,0)</f>
        <v>0</v>
      </c>
      <c r="V101">
        <f>IF(COUNTIF($E101, _xlfn.CONCAT("*",Table13[[#Headers],[Romance]],"*")),1,0)</f>
        <v>0</v>
      </c>
      <c r="W101">
        <f>IF(COUNTIF($E101, _xlfn.CONCAT("*",Table13[[#Headers],[Science Fiction]],"*")),1,0)</f>
        <v>0</v>
      </c>
      <c r="X101">
        <f>IF(COUNTIF($E101, _xlfn.CONCAT("*",Table13[[#Headers],[TV Movie]],"*")),1,0)</f>
        <v>0</v>
      </c>
      <c r="Y101">
        <f>IF(COUNTIF($E101, _xlfn.CONCAT("*",Table13[[#Headers],[Thriller]],"*")),1,0)</f>
        <v>0</v>
      </c>
      <c r="Z101">
        <f>IF(COUNTIF($E101, _xlfn.CONCAT("*",Table13[[#Headers],[War]],"*")),1,0)</f>
        <v>0</v>
      </c>
      <c r="AA101">
        <f>IF(COUNTIF($E101, _xlfn.CONCAT("*",Table13[[#Headers],[Western]],"*")),1,0)</f>
        <v>0</v>
      </c>
    </row>
    <row r="102" spans="1:27">
      <c r="A102" t="s">
        <v>163</v>
      </c>
      <c r="B102">
        <v>164</v>
      </c>
      <c r="C102">
        <f>MAX(Table13[Rank])-Table13[[#This Row],[Rank]]</f>
        <v>100</v>
      </c>
      <c r="D102" t="s">
        <v>7</v>
      </c>
      <c r="E102" t="s">
        <v>164</v>
      </c>
      <c r="F102" s="1">
        <v>27016</v>
      </c>
      <c r="G102">
        <f>YEAR(Table13[[#This Row],[Date]])</f>
        <v>1973</v>
      </c>
      <c r="H102" t="s">
        <v>163</v>
      </c>
      <c r="I102">
        <f>IF(COUNTIF($E102, _xlfn.CONCAT("*",Table13[[#Headers],[Action]],"*")),1,0)</f>
        <v>0</v>
      </c>
      <c r="J102">
        <f>IF(COUNTIF($E102, _xlfn.CONCAT("*",Table13[[#Headers],[Adventure]],"*")),1,0)</f>
        <v>0</v>
      </c>
      <c r="K102">
        <f>IF(COUNTIF($E102, _xlfn.CONCAT("*",Table13[[#Headers],[Animation]],"*")),1,0)</f>
        <v>0</v>
      </c>
      <c r="L102">
        <f>IF(COUNTIF($E102, _xlfn.CONCAT("*",Table13[[#Headers],[Comedy]],"*")),1,0)</f>
        <v>1</v>
      </c>
      <c r="M102">
        <f>IF(COUNTIF($E102, _xlfn.CONCAT("*",Table13[[#Headers],[Crime]],"*")),1,0)</f>
        <v>0</v>
      </c>
      <c r="N102">
        <f>IF(COUNTIF($E102, _xlfn.CONCAT("*",Table13[[#Headers],[Documentary]],"*")),1,0)</f>
        <v>0</v>
      </c>
      <c r="O102">
        <f>IF(COUNTIF($E102, _xlfn.CONCAT("*",Table13[[#Headers],[Drama]],"*")),1,0)</f>
        <v>1</v>
      </c>
      <c r="P102">
        <f>IF(COUNTIF($E102, _xlfn.CONCAT("*",Table13[[#Headers],[Family]],"*")),1,0)</f>
        <v>0</v>
      </c>
      <c r="Q102">
        <f>IF(COUNTIF($E102, _xlfn.CONCAT("*",Table13[[#Headers],[Fantasy]],"*")),1,0)</f>
        <v>0</v>
      </c>
      <c r="R102">
        <f>IF(COUNTIF($E102, _xlfn.CONCAT("*",Table13[[#Headers],[History]],"*")),1,0)</f>
        <v>0</v>
      </c>
      <c r="S102">
        <f>IF(COUNTIF($E102, _xlfn.CONCAT("*",Table13[[#Headers],[Horror]],"*")),1,0)</f>
        <v>0</v>
      </c>
      <c r="T102">
        <f>IF(COUNTIF($E102, _xlfn.CONCAT("*",Table13[[#Headers],[Music]],"*")),1,0)</f>
        <v>0</v>
      </c>
      <c r="U102">
        <f>IF(COUNTIF($E102, _xlfn.CONCAT("*",Table13[[#Headers],[Mystery]],"*")),1,0)</f>
        <v>0</v>
      </c>
      <c r="V102">
        <f>IF(COUNTIF($E102, _xlfn.CONCAT("*",Table13[[#Headers],[Romance]],"*")),1,0)</f>
        <v>0</v>
      </c>
      <c r="W102">
        <f>IF(COUNTIF($E102, _xlfn.CONCAT("*",Table13[[#Headers],[Science Fiction]],"*")),1,0)</f>
        <v>0</v>
      </c>
      <c r="X102">
        <f>IF(COUNTIF($E102, _xlfn.CONCAT("*",Table13[[#Headers],[TV Movie]],"*")),1,0)</f>
        <v>0</v>
      </c>
      <c r="Y102">
        <f>IF(COUNTIF($E102, _xlfn.CONCAT("*",Table13[[#Headers],[Thriller]],"*")),1,0)</f>
        <v>0</v>
      </c>
      <c r="Z102">
        <f>IF(COUNTIF($E102, _xlfn.CONCAT("*",Table13[[#Headers],[War]],"*")),1,0)</f>
        <v>0</v>
      </c>
      <c r="AA102">
        <f>IF(COUNTIF($E102, _xlfn.CONCAT("*",Table13[[#Headers],[Western]],"*")),1,0)</f>
        <v>0</v>
      </c>
    </row>
    <row r="103" spans="1:27">
      <c r="A103" t="s">
        <v>165</v>
      </c>
      <c r="B103">
        <v>163</v>
      </c>
      <c r="C103">
        <f>MAX(Table13[Rank])-Table13[[#This Row],[Rank]]</f>
        <v>101</v>
      </c>
      <c r="D103" t="s">
        <v>7</v>
      </c>
      <c r="E103" t="s">
        <v>166</v>
      </c>
      <c r="F103" s="1">
        <v>30825</v>
      </c>
      <c r="G103">
        <f>YEAR(Table13[[#This Row],[Date]])</f>
        <v>1984</v>
      </c>
      <c r="H103" t="s">
        <v>167</v>
      </c>
      <c r="I103">
        <f>IF(COUNTIF($E103, _xlfn.CONCAT("*",Table13[[#Headers],[Action]],"*")),1,0)</f>
        <v>0</v>
      </c>
      <c r="J103">
        <f>IF(COUNTIF($E103, _xlfn.CONCAT("*",Table13[[#Headers],[Adventure]],"*")),1,0)</f>
        <v>0</v>
      </c>
      <c r="K103">
        <f>IF(COUNTIF($E103, _xlfn.CONCAT("*",Table13[[#Headers],[Animation]],"*")),1,0)</f>
        <v>0</v>
      </c>
      <c r="L103">
        <f>IF(COUNTIF($E103, _xlfn.CONCAT("*",Table13[[#Headers],[Comedy]],"*")),1,0)</f>
        <v>0</v>
      </c>
      <c r="M103">
        <f>IF(COUNTIF($E103, _xlfn.CONCAT("*",Table13[[#Headers],[Crime]],"*")),1,0)</f>
        <v>1</v>
      </c>
      <c r="N103">
        <f>IF(COUNTIF($E103, _xlfn.CONCAT("*",Table13[[#Headers],[Documentary]],"*")),1,0)</f>
        <v>0</v>
      </c>
      <c r="O103">
        <f>IF(COUNTIF($E103, _xlfn.CONCAT("*",Table13[[#Headers],[Drama]],"*")),1,0)</f>
        <v>1</v>
      </c>
      <c r="P103">
        <f>IF(COUNTIF($E103, _xlfn.CONCAT("*",Table13[[#Headers],[Family]],"*")),1,0)</f>
        <v>0</v>
      </c>
      <c r="Q103">
        <f>IF(COUNTIF($E103, _xlfn.CONCAT("*",Table13[[#Headers],[Fantasy]],"*")),1,0)</f>
        <v>0</v>
      </c>
      <c r="R103">
        <f>IF(COUNTIF($E103, _xlfn.CONCAT("*",Table13[[#Headers],[History]],"*")),1,0)</f>
        <v>0</v>
      </c>
      <c r="S103">
        <f>IF(COUNTIF($E103, _xlfn.CONCAT("*",Table13[[#Headers],[Horror]],"*")),1,0)</f>
        <v>0</v>
      </c>
      <c r="T103">
        <f>IF(COUNTIF($E103, _xlfn.CONCAT("*",Table13[[#Headers],[Music]],"*")),1,0)</f>
        <v>0</v>
      </c>
      <c r="U103">
        <f>IF(COUNTIF($E103, _xlfn.CONCAT("*",Table13[[#Headers],[Mystery]],"*")),1,0)</f>
        <v>0</v>
      </c>
      <c r="V103">
        <f>IF(COUNTIF($E103, _xlfn.CONCAT("*",Table13[[#Headers],[Romance]],"*")),1,0)</f>
        <v>0</v>
      </c>
      <c r="W103">
        <f>IF(COUNTIF($E103, _xlfn.CONCAT("*",Table13[[#Headers],[Science Fiction]],"*")),1,0)</f>
        <v>0</v>
      </c>
      <c r="X103">
        <f>IF(COUNTIF($E103, _xlfn.CONCAT("*",Table13[[#Headers],[TV Movie]],"*")),1,0)</f>
        <v>0</v>
      </c>
      <c r="Y103">
        <f>IF(COUNTIF($E103, _xlfn.CONCAT("*",Table13[[#Headers],[Thriller]],"*")),1,0)</f>
        <v>0</v>
      </c>
      <c r="Z103">
        <f>IF(COUNTIF($E103, _xlfn.CONCAT("*",Table13[[#Headers],[War]],"*")),1,0)</f>
        <v>0</v>
      </c>
      <c r="AA103">
        <f>IF(COUNTIF($E103, _xlfn.CONCAT("*",Table13[[#Headers],[Western]],"*")),1,0)</f>
        <v>0</v>
      </c>
    </row>
    <row r="104" spans="1:27">
      <c r="A104" t="s">
        <v>168</v>
      </c>
      <c r="B104">
        <v>162</v>
      </c>
      <c r="C104">
        <f>MAX(Table13[Rank])-Table13[[#This Row],[Rank]]</f>
        <v>102</v>
      </c>
      <c r="D104" t="s">
        <v>7</v>
      </c>
      <c r="E104" t="s">
        <v>169</v>
      </c>
      <c r="F104" s="1">
        <v>26744</v>
      </c>
      <c r="G104">
        <f>YEAR(Table13[[#This Row],[Date]])</f>
        <v>1973</v>
      </c>
      <c r="H104" t="s">
        <v>1275</v>
      </c>
      <c r="I104">
        <f>IF(COUNTIF($E104, _xlfn.CONCAT("*",Table13[[#Headers],[Action]],"*")),1,0)</f>
        <v>0</v>
      </c>
      <c r="J104">
        <f>IF(COUNTIF($E104, _xlfn.CONCAT("*",Table13[[#Headers],[Adventure]],"*")),1,0)</f>
        <v>0</v>
      </c>
      <c r="K104">
        <f>IF(COUNTIF($E104, _xlfn.CONCAT("*",Table13[[#Headers],[Animation]],"*")),1,0)</f>
        <v>0</v>
      </c>
      <c r="L104">
        <f>IF(COUNTIF($E104, _xlfn.CONCAT("*",Table13[[#Headers],[Comedy]],"*")),1,0)</f>
        <v>1</v>
      </c>
      <c r="M104">
        <f>IF(COUNTIF($E104, _xlfn.CONCAT("*",Table13[[#Headers],[Crime]],"*")),1,0)</f>
        <v>0</v>
      </c>
      <c r="N104">
        <f>IF(COUNTIF($E104, _xlfn.CONCAT("*",Table13[[#Headers],[Documentary]],"*")),1,0)</f>
        <v>0</v>
      </c>
      <c r="O104">
        <f>IF(COUNTIF($E104, _xlfn.CONCAT("*",Table13[[#Headers],[Drama]],"*")),1,0)</f>
        <v>0</v>
      </c>
      <c r="P104">
        <f>IF(COUNTIF($E104, _xlfn.CONCAT("*",Table13[[#Headers],[Family]],"*")),1,0)</f>
        <v>1</v>
      </c>
      <c r="Q104">
        <f>IF(COUNTIF($E104, _xlfn.CONCAT("*",Table13[[#Headers],[Fantasy]],"*")),1,0)</f>
        <v>0</v>
      </c>
      <c r="R104">
        <f>IF(COUNTIF($E104, _xlfn.CONCAT("*",Table13[[#Headers],[History]],"*")),1,0)</f>
        <v>0</v>
      </c>
      <c r="S104">
        <f>IF(COUNTIF($E104, _xlfn.CONCAT("*",Table13[[#Headers],[Horror]],"*")),1,0)</f>
        <v>0</v>
      </c>
      <c r="T104">
        <f>IF(COUNTIF($E104, _xlfn.CONCAT("*",Table13[[#Headers],[Music]],"*")),1,0)</f>
        <v>1</v>
      </c>
      <c r="U104">
        <f>IF(COUNTIF($E104, _xlfn.CONCAT("*",Table13[[#Headers],[Mystery]],"*")),1,0)</f>
        <v>0</v>
      </c>
      <c r="V104">
        <f>IF(COUNTIF($E104, _xlfn.CONCAT("*",Table13[[#Headers],[Romance]],"*")),1,0)</f>
        <v>0</v>
      </c>
      <c r="W104">
        <f>IF(COUNTIF($E104, _xlfn.CONCAT("*",Table13[[#Headers],[Science Fiction]],"*")),1,0)</f>
        <v>0</v>
      </c>
      <c r="X104">
        <f>IF(COUNTIF($E104, _xlfn.CONCAT("*",Table13[[#Headers],[TV Movie]],"*")),1,0)</f>
        <v>0</v>
      </c>
      <c r="Y104">
        <f>IF(COUNTIF($E104, _xlfn.CONCAT("*",Table13[[#Headers],[Thriller]],"*")),1,0)</f>
        <v>0</v>
      </c>
      <c r="Z104">
        <f>IF(COUNTIF($E104, _xlfn.CONCAT("*",Table13[[#Headers],[War]],"*")),1,0)</f>
        <v>0</v>
      </c>
      <c r="AA104">
        <f>IF(COUNTIF($E104, _xlfn.CONCAT("*",Table13[[#Headers],[Western]],"*")),1,0)</f>
        <v>0</v>
      </c>
    </row>
    <row r="105" spans="1:27">
      <c r="A105" t="s">
        <v>170</v>
      </c>
      <c r="B105">
        <v>161</v>
      </c>
      <c r="C105">
        <f>MAX(Table13[Rank])-Table13[[#This Row],[Rank]]</f>
        <v>103</v>
      </c>
      <c r="D105" t="s">
        <v>7</v>
      </c>
      <c r="E105" t="s">
        <v>171</v>
      </c>
      <c r="F105" s="1">
        <v>31959</v>
      </c>
      <c r="G105">
        <f>YEAR(Table13[[#This Row],[Date]])</f>
        <v>1987</v>
      </c>
      <c r="H105" t="s">
        <v>1276</v>
      </c>
      <c r="I105">
        <f>IF(COUNTIF($E105, _xlfn.CONCAT("*",Table13[[#Headers],[Action]],"*")),1,0)</f>
        <v>0</v>
      </c>
      <c r="J105">
        <f>IF(COUNTIF($E105, _xlfn.CONCAT("*",Table13[[#Headers],[Adventure]],"*")),1,0)</f>
        <v>0</v>
      </c>
      <c r="K105">
        <f>IF(COUNTIF($E105, _xlfn.CONCAT("*",Table13[[#Headers],[Animation]],"*")),1,0)</f>
        <v>0</v>
      </c>
      <c r="L105">
        <f>IF(COUNTIF($E105, _xlfn.CONCAT("*",Table13[[#Headers],[Comedy]],"*")),1,0)</f>
        <v>0</v>
      </c>
      <c r="M105">
        <f>IF(COUNTIF($E105, _xlfn.CONCAT("*",Table13[[#Headers],[Crime]],"*")),1,0)</f>
        <v>0</v>
      </c>
      <c r="N105">
        <f>IF(COUNTIF($E105, _xlfn.CONCAT("*",Table13[[#Headers],[Documentary]],"*")),1,0)</f>
        <v>0</v>
      </c>
      <c r="O105">
        <f>IF(COUNTIF($E105, _xlfn.CONCAT("*",Table13[[#Headers],[Drama]],"*")),1,0)</f>
        <v>1</v>
      </c>
      <c r="P105">
        <f>IF(COUNTIF($E105, _xlfn.CONCAT("*",Table13[[#Headers],[Family]],"*")),1,0)</f>
        <v>1</v>
      </c>
      <c r="Q105">
        <f>IF(COUNTIF($E105, _xlfn.CONCAT("*",Table13[[#Headers],[Fantasy]],"*")),1,0)</f>
        <v>0</v>
      </c>
      <c r="R105">
        <f>IF(COUNTIF($E105, _xlfn.CONCAT("*",Table13[[#Headers],[History]],"*")),1,0)</f>
        <v>0</v>
      </c>
      <c r="S105">
        <f>IF(COUNTIF($E105, _xlfn.CONCAT("*",Table13[[#Headers],[Horror]],"*")),1,0)</f>
        <v>0</v>
      </c>
      <c r="T105">
        <f>IF(COUNTIF($E105, _xlfn.CONCAT("*",Table13[[#Headers],[Music]],"*")),1,0)</f>
        <v>0</v>
      </c>
      <c r="U105">
        <f>IF(COUNTIF($E105, _xlfn.CONCAT("*",Table13[[#Headers],[Mystery]],"*")),1,0)</f>
        <v>0</v>
      </c>
      <c r="V105">
        <f>IF(COUNTIF($E105, _xlfn.CONCAT("*",Table13[[#Headers],[Romance]],"*")),1,0)</f>
        <v>0</v>
      </c>
      <c r="W105">
        <f>IF(COUNTIF($E105, _xlfn.CONCAT("*",Table13[[#Headers],[Science Fiction]],"*")),1,0)</f>
        <v>0</v>
      </c>
      <c r="X105">
        <f>IF(COUNTIF($E105, _xlfn.CONCAT("*",Table13[[#Headers],[TV Movie]],"*")),1,0)</f>
        <v>0</v>
      </c>
      <c r="Y105">
        <f>IF(COUNTIF($E105, _xlfn.CONCAT("*",Table13[[#Headers],[Thriller]],"*")),1,0)</f>
        <v>0</v>
      </c>
      <c r="Z105">
        <f>IF(COUNTIF($E105, _xlfn.CONCAT("*",Table13[[#Headers],[War]],"*")),1,0)</f>
        <v>0</v>
      </c>
      <c r="AA105">
        <f>IF(COUNTIF($E105, _xlfn.CONCAT("*",Table13[[#Headers],[Western]],"*")),1,0)</f>
        <v>0</v>
      </c>
    </row>
    <row r="106" spans="1:27">
      <c r="A106" t="s">
        <v>172</v>
      </c>
      <c r="B106">
        <v>160</v>
      </c>
      <c r="C106">
        <f>MAX(Table13[Rank])-Table13[[#This Row],[Rank]]</f>
        <v>104</v>
      </c>
      <c r="D106" t="s">
        <v>7</v>
      </c>
      <c r="E106" t="s">
        <v>164</v>
      </c>
      <c r="F106" s="1">
        <v>36266</v>
      </c>
      <c r="G106">
        <f>YEAR(Table13[[#This Row],[Date]])</f>
        <v>1999</v>
      </c>
      <c r="H106" t="s">
        <v>1277</v>
      </c>
      <c r="I106">
        <f>IF(COUNTIF($E106, _xlfn.CONCAT("*",Table13[[#Headers],[Action]],"*")),1,0)</f>
        <v>0</v>
      </c>
      <c r="J106">
        <f>IF(COUNTIF($E106, _xlfn.CONCAT("*",Table13[[#Headers],[Adventure]],"*")),1,0)</f>
        <v>0</v>
      </c>
      <c r="K106">
        <f>IF(COUNTIF($E106, _xlfn.CONCAT("*",Table13[[#Headers],[Animation]],"*")),1,0)</f>
        <v>0</v>
      </c>
      <c r="L106">
        <f>IF(COUNTIF($E106, _xlfn.CONCAT("*",Table13[[#Headers],[Comedy]],"*")),1,0)</f>
        <v>1</v>
      </c>
      <c r="M106">
        <f>IF(COUNTIF($E106, _xlfn.CONCAT("*",Table13[[#Headers],[Crime]],"*")),1,0)</f>
        <v>0</v>
      </c>
      <c r="N106">
        <f>IF(COUNTIF($E106, _xlfn.CONCAT("*",Table13[[#Headers],[Documentary]],"*")),1,0)</f>
        <v>0</v>
      </c>
      <c r="O106">
        <f>IF(COUNTIF($E106, _xlfn.CONCAT("*",Table13[[#Headers],[Drama]],"*")),1,0)</f>
        <v>1</v>
      </c>
      <c r="P106">
        <f>IF(COUNTIF($E106, _xlfn.CONCAT("*",Table13[[#Headers],[Family]],"*")),1,0)</f>
        <v>0</v>
      </c>
      <c r="Q106">
        <f>IF(COUNTIF($E106, _xlfn.CONCAT("*",Table13[[#Headers],[Fantasy]],"*")),1,0)</f>
        <v>0</v>
      </c>
      <c r="R106">
        <f>IF(COUNTIF($E106, _xlfn.CONCAT("*",Table13[[#Headers],[History]],"*")),1,0)</f>
        <v>0</v>
      </c>
      <c r="S106">
        <f>IF(COUNTIF($E106, _xlfn.CONCAT("*",Table13[[#Headers],[Horror]],"*")),1,0)</f>
        <v>0</v>
      </c>
      <c r="T106">
        <f>IF(COUNTIF($E106, _xlfn.CONCAT("*",Table13[[#Headers],[Music]],"*")),1,0)</f>
        <v>0</v>
      </c>
      <c r="U106">
        <f>IF(COUNTIF($E106, _xlfn.CONCAT("*",Table13[[#Headers],[Mystery]],"*")),1,0)</f>
        <v>0</v>
      </c>
      <c r="V106">
        <f>IF(COUNTIF($E106, _xlfn.CONCAT("*",Table13[[#Headers],[Romance]],"*")),1,0)</f>
        <v>0</v>
      </c>
      <c r="W106">
        <f>IF(COUNTIF($E106, _xlfn.CONCAT("*",Table13[[#Headers],[Science Fiction]],"*")),1,0)</f>
        <v>0</v>
      </c>
      <c r="X106">
        <f>IF(COUNTIF($E106, _xlfn.CONCAT("*",Table13[[#Headers],[TV Movie]],"*")),1,0)</f>
        <v>0</v>
      </c>
      <c r="Y106">
        <f>IF(COUNTIF($E106, _xlfn.CONCAT("*",Table13[[#Headers],[Thriller]],"*")),1,0)</f>
        <v>0</v>
      </c>
      <c r="Z106">
        <f>IF(COUNTIF($E106, _xlfn.CONCAT("*",Table13[[#Headers],[War]],"*")),1,0)</f>
        <v>0</v>
      </c>
      <c r="AA106">
        <f>IF(COUNTIF($E106, _xlfn.CONCAT("*",Table13[[#Headers],[Western]],"*")),1,0)</f>
        <v>0</v>
      </c>
    </row>
    <row r="107" spans="1:27">
      <c r="A107" t="s">
        <v>173</v>
      </c>
      <c r="B107">
        <v>159</v>
      </c>
      <c r="C107">
        <f>MAX(Table13[Rank])-Table13[[#This Row],[Rank]]</f>
        <v>105</v>
      </c>
      <c r="D107" t="s">
        <v>7</v>
      </c>
      <c r="E107" t="s">
        <v>109</v>
      </c>
      <c r="F107" s="1">
        <v>32802</v>
      </c>
      <c r="G107">
        <f>YEAR(Table13[[#This Row],[Date]])</f>
        <v>1989</v>
      </c>
      <c r="H107" t="s">
        <v>173</v>
      </c>
      <c r="I107">
        <f>IF(COUNTIF($E107, _xlfn.CONCAT("*",Table13[[#Headers],[Action]],"*")),1,0)</f>
        <v>0</v>
      </c>
      <c r="J107">
        <f>IF(COUNTIF($E107, _xlfn.CONCAT("*",Table13[[#Headers],[Adventure]],"*")),1,0)</f>
        <v>0</v>
      </c>
      <c r="K107">
        <f>IF(COUNTIF($E107, _xlfn.CONCAT("*",Table13[[#Headers],[Animation]],"*")),1,0)</f>
        <v>0</v>
      </c>
      <c r="L107">
        <f>IF(COUNTIF($E107, _xlfn.CONCAT("*",Table13[[#Headers],[Comedy]],"*")),1,0)</f>
        <v>0</v>
      </c>
      <c r="M107">
        <f>IF(COUNTIF($E107, _xlfn.CONCAT("*",Table13[[#Headers],[Crime]],"*")),1,0)</f>
        <v>0</v>
      </c>
      <c r="N107">
        <f>IF(COUNTIF($E107, _xlfn.CONCAT("*",Table13[[#Headers],[Documentary]],"*")),1,0)</f>
        <v>0</v>
      </c>
      <c r="O107">
        <f>IF(COUNTIF($E107, _xlfn.CONCAT("*",Table13[[#Headers],[Drama]],"*")),1,0)</f>
        <v>1</v>
      </c>
      <c r="P107">
        <f>IF(COUNTIF($E107, _xlfn.CONCAT("*",Table13[[#Headers],[Family]],"*")),1,0)</f>
        <v>0</v>
      </c>
      <c r="Q107">
        <f>IF(COUNTIF($E107, _xlfn.CONCAT("*",Table13[[#Headers],[Fantasy]],"*")),1,0)</f>
        <v>0</v>
      </c>
      <c r="R107">
        <f>IF(COUNTIF($E107, _xlfn.CONCAT("*",Table13[[#Headers],[History]],"*")),1,0)</f>
        <v>1</v>
      </c>
      <c r="S107">
        <f>IF(COUNTIF($E107, _xlfn.CONCAT("*",Table13[[#Headers],[Horror]],"*")),1,0)</f>
        <v>0</v>
      </c>
      <c r="T107">
        <f>IF(COUNTIF($E107, _xlfn.CONCAT("*",Table13[[#Headers],[Music]],"*")),1,0)</f>
        <v>0</v>
      </c>
      <c r="U107">
        <f>IF(COUNTIF($E107, _xlfn.CONCAT("*",Table13[[#Headers],[Mystery]],"*")),1,0)</f>
        <v>0</v>
      </c>
      <c r="V107">
        <f>IF(COUNTIF($E107, _xlfn.CONCAT("*",Table13[[#Headers],[Romance]],"*")),1,0)</f>
        <v>0</v>
      </c>
      <c r="W107">
        <f>IF(COUNTIF($E107, _xlfn.CONCAT("*",Table13[[#Headers],[Science Fiction]],"*")),1,0)</f>
        <v>0</v>
      </c>
      <c r="X107">
        <f>IF(COUNTIF($E107, _xlfn.CONCAT("*",Table13[[#Headers],[TV Movie]],"*")),1,0)</f>
        <v>0</v>
      </c>
      <c r="Y107">
        <f>IF(COUNTIF($E107, _xlfn.CONCAT("*",Table13[[#Headers],[Thriller]],"*")),1,0)</f>
        <v>0</v>
      </c>
      <c r="Z107">
        <f>IF(COUNTIF($E107, _xlfn.CONCAT("*",Table13[[#Headers],[War]],"*")),1,0)</f>
        <v>0</v>
      </c>
      <c r="AA107">
        <f>IF(COUNTIF($E107, _xlfn.CONCAT("*",Table13[[#Headers],[Western]],"*")),1,0)</f>
        <v>0</v>
      </c>
    </row>
    <row r="108" spans="1:27">
      <c r="A108" t="s">
        <v>174</v>
      </c>
      <c r="B108">
        <v>158</v>
      </c>
      <c r="C108">
        <f>MAX(Table13[Rank])-Table13[[#This Row],[Rank]]</f>
        <v>106</v>
      </c>
      <c r="D108" t="s">
        <v>7</v>
      </c>
      <c r="E108" t="s">
        <v>113</v>
      </c>
      <c r="F108" s="1">
        <v>33949</v>
      </c>
      <c r="G108">
        <f>YEAR(Table13[[#This Row],[Date]])</f>
        <v>1992</v>
      </c>
      <c r="H108" t="s">
        <v>174</v>
      </c>
      <c r="I108">
        <f>IF(COUNTIF($E108, _xlfn.CONCAT("*",Table13[[#Headers],[Action]],"*")),1,0)</f>
        <v>0</v>
      </c>
      <c r="J108">
        <f>IF(COUNTIF($E108, _xlfn.CONCAT("*",Table13[[#Headers],[Adventure]],"*")),1,0)</f>
        <v>0</v>
      </c>
      <c r="K108">
        <f>IF(COUNTIF($E108, _xlfn.CONCAT("*",Table13[[#Headers],[Animation]],"*")),1,0)</f>
        <v>0</v>
      </c>
      <c r="L108">
        <f>IF(COUNTIF($E108, _xlfn.CONCAT("*",Table13[[#Headers],[Comedy]],"*")),1,0)</f>
        <v>0</v>
      </c>
      <c r="M108">
        <f>IF(COUNTIF($E108, _xlfn.CONCAT("*",Table13[[#Headers],[Crime]],"*")),1,0)</f>
        <v>0</v>
      </c>
      <c r="N108">
        <f>IF(COUNTIF($E108, _xlfn.CONCAT("*",Table13[[#Headers],[Documentary]],"*")),1,0)</f>
        <v>0</v>
      </c>
      <c r="O108">
        <f>IF(COUNTIF($E108, _xlfn.CONCAT("*",Table13[[#Headers],[Drama]],"*")),1,0)</f>
        <v>1</v>
      </c>
      <c r="P108">
        <f>IF(COUNTIF($E108, _xlfn.CONCAT("*",Table13[[#Headers],[Family]],"*")),1,0)</f>
        <v>0</v>
      </c>
      <c r="Q108">
        <f>IF(COUNTIF($E108, _xlfn.CONCAT("*",Table13[[#Headers],[Fantasy]],"*")),1,0)</f>
        <v>1</v>
      </c>
      <c r="R108">
        <f>IF(COUNTIF($E108, _xlfn.CONCAT("*",Table13[[#Headers],[History]],"*")),1,0)</f>
        <v>0</v>
      </c>
      <c r="S108">
        <f>IF(COUNTIF($E108, _xlfn.CONCAT("*",Table13[[#Headers],[Horror]],"*")),1,0)</f>
        <v>0</v>
      </c>
      <c r="T108">
        <f>IF(COUNTIF($E108, _xlfn.CONCAT("*",Table13[[#Headers],[Music]],"*")),1,0)</f>
        <v>0</v>
      </c>
      <c r="U108">
        <f>IF(COUNTIF($E108, _xlfn.CONCAT("*",Table13[[#Headers],[Mystery]],"*")),1,0)</f>
        <v>0</v>
      </c>
      <c r="V108">
        <f>IF(COUNTIF($E108, _xlfn.CONCAT("*",Table13[[#Headers],[Romance]],"*")),1,0)</f>
        <v>0</v>
      </c>
      <c r="W108">
        <f>IF(COUNTIF($E108, _xlfn.CONCAT("*",Table13[[#Headers],[Science Fiction]],"*")),1,0)</f>
        <v>0</v>
      </c>
      <c r="X108">
        <f>IF(COUNTIF($E108, _xlfn.CONCAT("*",Table13[[#Headers],[TV Movie]],"*")),1,0)</f>
        <v>0</v>
      </c>
      <c r="Y108">
        <f>IF(COUNTIF($E108, _xlfn.CONCAT("*",Table13[[#Headers],[Thriller]],"*")),1,0)</f>
        <v>0</v>
      </c>
      <c r="Z108">
        <f>IF(COUNTIF($E108, _xlfn.CONCAT("*",Table13[[#Headers],[War]],"*")),1,0)</f>
        <v>0</v>
      </c>
      <c r="AA108">
        <f>IF(COUNTIF($E108, _xlfn.CONCAT("*",Table13[[#Headers],[Western]],"*")),1,0)</f>
        <v>0</v>
      </c>
    </row>
    <row r="109" spans="1:27">
      <c r="A109" t="s">
        <v>175</v>
      </c>
      <c r="B109">
        <v>157</v>
      </c>
      <c r="C109">
        <f>MAX(Table13[Rank])-Table13[[#This Row],[Rank]]</f>
        <v>107</v>
      </c>
      <c r="D109" t="s">
        <v>7</v>
      </c>
      <c r="E109" t="s">
        <v>17</v>
      </c>
      <c r="F109" s="1">
        <v>37372</v>
      </c>
      <c r="G109">
        <f>YEAR(Table13[[#This Row],[Date]])</f>
        <v>2002</v>
      </c>
      <c r="H109" t="s">
        <v>1278</v>
      </c>
      <c r="I109">
        <f>IF(COUNTIF($E109, _xlfn.CONCAT("*",Table13[[#Headers],[Action]],"*")),1,0)</f>
        <v>0</v>
      </c>
      <c r="J109">
        <f>IF(COUNTIF($E109, _xlfn.CONCAT("*",Table13[[#Headers],[Adventure]],"*")),1,0)</f>
        <v>0</v>
      </c>
      <c r="K109">
        <f>IF(COUNTIF($E109, _xlfn.CONCAT("*",Table13[[#Headers],[Animation]],"*")),1,0)</f>
        <v>0</v>
      </c>
      <c r="L109">
        <f>IF(COUNTIF($E109, _xlfn.CONCAT("*",Table13[[#Headers],[Comedy]],"*")),1,0)</f>
        <v>0</v>
      </c>
      <c r="M109">
        <f>IF(COUNTIF($E109, _xlfn.CONCAT("*",Table13[[#Headers],[Crime]],"*")),1,0)</f>
        <v>0</v>
      </c>
      <c r="N109">
        <f>IF(COUNTIF($E109, _xlfn.CONCAT("*",Table13[[#Headers],[Documentary]],"*")),1,0)</f>
        <v>1</v>
      </c>
      <c r="O109">
        <f>IF(COUNTIF($E109, _xlfn.CONCAT("*",Table13[[#Headers],[Drama]],"*")),1,0)</f>
        <v>0</v>
      </c>
      <c r="P109">
        <f>IF(COUNTIF($E109, _xlfn.CONCAT("*",Table13[[#Headers],[Family]],"*")),1,0)</f>
        <v>0</v>
      </c>
      <c r="Q109">
        <f>IF(COUNTIF($E109, _xlfn.CONCAT("*",Table13[[#Headers],[Fantasy]],"*")),1,0)</f>
        <v>0</v>
      </c>
      <c r="R109">
        <f>IF(COUNTIF($E109, _xlfn.CONCAT("*",Table13[[#Headers],[History]],"*")),1,0)</f>
        <v>0</v>
      </c>
      <c r="S109">
        <f>IF(COUNTIF($E109, _xlfn.CONCAT("*",Table13[[#Headers],[Horror]],"*")),1,0)</f>
        <v>0</v>
      </c>
      <c r="T109">
        <f>IF(COUNTIF($E109, _xlfn.CONCAT("*",Table13[[#Headers],[Music]],"*")),1,0)</f>
        <v>0</v>
      </c>
      <c r="U109">
        <f>IF(COUNTIF($E109, _xlfn.CONCAT("*",Table13[[#Headers],[Mystery]],"*")),1,0)</f>
        <v>0</v>
      </c>
      <c r="V109">
        <f>IF(COUNTIF($E109, _xlfn.CONCAT("*",Table13[[#Headers],[Romance]],"*")),1,0)</f>
        <v>0</v>
      </c>
      <c r="W109">
        <f>IF(COUNTIF($E109, _xlfn.CONCAT("*",Table13[[#Headers],[Science Fiction]],"*")),1,0)</f>
        <v>0</v>
      </c>
      <c r="X109">
        <f>IF(COUNTIF($E109, _xlfn.CONCAT("*",Table13[[#Headers],[TV Movie]],"*")),1,0)</f>
        <v>0</v>
      </c>
      <c r="Y109">
        <f>IF(COUNTIF($E109, _xlfn.CONCAT("*",Table13[[#Headers],[Thriller]],"*")),1,0)</f>
        <v>0</v>
      </c>
      <c r="Z109">
        <f>IF(COUNTIF($E109, _xlfn.CONCAT("*",Table13[[#Headers],[War]],"*")),1,0)</f>
        <v>0</v>
      </c>
      <c r="AA109">
        <f>IF(COUNTIF($E109, _xlfn.CONCAT("*",Table13[[#Headers],[Western]],"*")),1,0)</f>
        <v>0</v>
      </c>
    </row>
    <row r="110" spans="1:27">
      <c r="A110" t="s">
        <v>176</v>
      </c>
      <c r="B110">
        <v>156</v>
      </c>
      <c r="C110">
        <f>MAX(Table13[Rank])-Table13[[#This Row],[Rank]]</f>
        <v>108</v>
      </c>
      <c r="D110" t="s">
        <v>7</v>
      </c>
      <c r="E110" t="s">
        <v>35</v>
      </c>
      <c r="F110" s="1">
        <v>23783</v>
      </c>
      <c r="G110">
        <f>YEAR(Table13[[#This Row],[Date]])</f>
        <v>1965</v>
      </c>
      <c r="H110" t="s">
        <v>1279</v>
      </c>
      <c r="I110">
        <f>IF(COUNTIF($E110, _xlfn.CONCAT("*",Table13[[#Headers],[Action]],"*")),1,0)</f>
        <v>0</v>
      </c>
      <c r="J110">
        <f>IF(COUNTIF($E110, _xlfn.CONCAT("*",Table13[[#Headers],[Adventure]],"*")),1,0)</f>
        <v>0</v>
      </c>
      <c r="K110">
        <f>IF(COUNTIF($E110, _xlfn.CONCAT("*",Table13[[#Headers],[Animation]],"*")),1,0)</f>
        <v>0</v>
      </c>
      <c r="L110">
        <f>IF(COUNTIF($E110, _xlfn.CONCAT("*",Table13[[#Headers],[Comedy]],"*")),1,0)</f>
        <v>0</v>
      </c>
      <c r="M110">
        <f>IF(COUNTIF($E110, _xlfn.CONCAT("*",Table13[[#Headers],[Crime]],"*")),1,0)</f>
        <v>0</v>
      </c>
      <c r="N110">
        <f>IF(COUNTIF($E110, _xlfn.CONCAT("*",Table13[[#Headers],[Documentary]],"*")),1,0)</f>
        <v>0</v>
      </c>
      <c r="O110">
        <f>IF(COUNTIF($E110, _xlfn.CONCAT("*",Table13[[#Headers],[Drama]],"*")),1,0)</f>
        <v>1</v>
      </c>
      <c r="P110">
        <f>IF(COUNTIF($E110, _xlfn.CONCAT("*",Table13[[#Headers],[Family]],"*")),1,0)</f>
        <v>0</v>
      </c>
      <c r="Q110">
        <f>IF(COUNTIF($E110, _xlfn.CONCAT("*",Table13[[#Headers],[Fantasy]],"*")),1,0)</f>
        <v>0</v>
      </c>
      <c r="R110">
        <f>IF(COUNTIF($E110, _xlfn.CONCAT("*",Table13[[#Headers],[History]],"*")),1,0)</f>
        <v>0</v>
      </c>
      <c r="S110">
        <f>IF(COUNTIF($E110, _xlfn.CONCAT("*",Table13[[#Headers],[Horror]],"*")),1,0)</f>
        <v>0</v>
      </c>
      <c r="T110">
        <f>IF(COUNTIF($E110, _xlfn.CONCAT("*",Table13[[#Headers],[Music]],"*")),1,0)</f>
        <v>0</v>
      </c>
      <c r="U110">
        <f>IF(COUNTIF($E110, _xlfn.CONCAT("*",Table13[[#Headers],[Mystery]],"*")),1,0)</f>
        <v>0</v>
      </c>
      <c r="V110">
        <f>IF(COUNTIF($E110, _xlfn.CONCAT("*",Table13[[#Headers],[Romance]],"*")),1,0)</f>
        <v>1</v>
      </c>
      <c r="W110">
        <f>IF(COUNTIF($E110, _xlfn.CONCAT("*",Table13[[#Headers],[Science Fiction]],"*")),1,0)</f>
        <v>0</v>
      </c>
      <c r="X110">
        <f>IF(COUNTIF($E110, _xlfn.CONCAT("*",Table13[[#Headers],[TV Movie]],"*")),1,0)</f>
        <v>0</v>
      </c>
      <c r="Y110">
        <f>IF(COUNTIF($E110, _xlfn.CONCAT("*",Table13[[#Headers],[Thriller]],"*")),1,0)</f>
        <v>0</v>
      </c>
      <c r="Z110">
        <f>IF(COUNTIF($E110, _xlfn.CONCAT("*",Table13[[#Headers],[War]],"*")),1,0)</f>
        <v>0</v>
      </c>
      <c r="AA110">
        <f>IF(COUNTIF($E110, _xlfn.CONCAT("*",Table13[[#Headers],[Western]],"*")),1,0)</f>
        <v>0</v>
      </c>
    </row>
    <row r="111" spans="1:27">
      <c r="A111" t="s">
        <v>177</v>
      </c>
      <c r="B111">
        <v>155</v>
      </c>
      <c r="C111">
        <f>MAX(Table13[Rank])-Table13[[#This Row],[Rank]]</f>
        <v>109</v>
      </c>
      <c r="D111" t="s">
        <v>7</v>
      </c>
      <c r="E111" t="s">
        <v>21</v>
      </c>
      <c r="F111" s="1">
        <v>41439</v>
      </c>
      <c r="G111">
        <f>YEAR(Table13[[#This Row],[Date]])</f>
        <v>2013</v>
      </c>
      <c r="H111" t="s">
        <v>1280</v>
      </c>
      <c r="I111">
        <f>IF(COUNTIF($E111, _xlfn.CONCAT("*",Table13[[#Headers],[Action]],"*")),1,0)</f>
        <v>0</v>
      </c>
      <c r="J111">
        <f>IF(COUNTIF($E111, _xlfn.CONCAT("*",Table13[[#Headers],[Adventure]],"*")),1,0)</f>
        <v>0</v>
      </c>
      <c r="K111">
        <f>IF(COUNTIF($E111, _xlfn.CONCAT("*",Table13[[#Headers],[Animation]],"*")),1,0)</f>
        <v>0</v>
      </c>
      <c r="L111">
        <f>IF(COUNTIF($E111, _xlfn.CONCAT("*",Table13[[#Headers],[Comedy]],"*")),1,0)</f>
        <v>0</v>
      </c>
      <c r="M111">
        <f>IF(COUNTIF($E111, _xlfn.CONCAT("*",Table13[[#Headers],[Crime]],"*")),1,0)</f>
        <v>0</v>
      </c>
      <c r="N111">
        <f>IF(COUNTIF($E111, _xlfn.CONCAT("*",Table13[[#Headers],[Documentary]],"*")),1,0)</f>
        <v>0</v>
      </c>
      <c r="O111">
        <f>IF(COUNTIF($E111, _xlfn.CONCAT("*",Table13[[#Headers],[Drama]],"*")),1,0)</f>
        <v>1</v>
      </c>
      <c r="P111">
        <f>IF(COUNTIF($E111, _xlfn.CONCAT("*",Table13[[#Headers],[Family]],"*")),1,0)</f>
        <v>0</v>
      </c>
      <c r="Q111">
        <f>IF(COUNTIF($E111, _xlfn.CONCAT("*",Table13[[#Headers],[Fantasy]],"*")),1,0)</f>
        <v>0</v>
      </c>
      <c r="R111">
        <f>IF(COUNTIF($E111, _xlfn.CONCAT("*",Table13[[#Headers],[History]],"*")),1,0)</f>
        <v>0</v>
      </c>
      <c r="S111">
        <f>IF(COUNTIF($E111, _xlfn.CONCAT("*",Table13[[#Headers],[Horror]],"*")),1,0)</f>
        <v>0</v>
      </c>
      <c r="T111">
        <f>IF(COUNTIF($E111, _xlfn.CONCAT("*",Table13[[#Headers],[Music]],"*")),1,0)</f>
        <v>0</v>
      </c>
      <c r="U111">
        <f>IF(COUNTIF($E111, _xlfn.CONCAT("*",Table13[[#Headers],[Mystery]],"*")),1,0)</f>
        <v>0</v>
      </c>
      <c r="V111">
        <f>IF(COUNTIF($E111, _xlfn.CONCAT("*",Table13[[#Headers],[Romance]],"*")),1,0)</f>
        <v>0</v>
      </c>
      <c r="W111">
        <f>IF(COUNTIF($E111, _xlfn.CONCAT("*",Table13[[#Headers],[Science Fiction]],"*")),1,0)</f>
        <v>0</v>
      </c>
      <c r="X111">
        <f>IF(COUNTIF($E111, _xlfn.CONCAT("*",Table13[[#Headers],[TV Movie]],"*")),1,0)</f>
        <v>0</v>
      </c>
      <c r="Y111">
        <f>IF(COUNTIF($E111, _xlfn.CONCAT("*",Table13[[#Headers],[Thriller]],"*")),1,0)</f>
        <v>0</v>
      </c>
      <c r="Z111">
        <f>IF(COUNTIF($E111, _xlfn.CONCAT("*",Table13[[#Headers],[War]],"*")),1,0)</f>
        <v>0</v>
      </c>
      <c r="AA111">
        <f>IF(COUNTIF($E111, _xlfn.CONCAT("*",Table13[[#Headers],[Western]],"*")),1,0)</f>
        <v>0</v>
      </c>
    </row>
    <row r="112" spans="1:27">
      <c r="A112" t="s">
        <v>178</v>
      </c>
      <c r="B112">
        <v>154</v>
      </c>
      <c r="C112">
        <f>MAX(Table13[Rank])-Table13[[#This Row],[Rank]]</f>
        <v>110</v>
      </c>
      <c r="D112" t="s">
        <v>7</v>
      </c>
      <c r="E112" t="s">
        <v>35</v>
      </c>
      <c r="F112" s="1">
        <v>28746</v>
      </c>
      <c r="G112">
        <f>YEAR(Table13[[#This Row],[Date]])</f>
        <v>1978</v>
      </c>
      <c r="H112" t="s">
        <v>178</v>
      </c>
      <c r="I112">
        <f>IF(COUNTIF($E112, _xlfn.CONCAT("*",Table13[[#Headers],[Action]],"*")),1,0)</f>
        <v>0</v>
      </c>
      <c r="J112">
        <f>IF(COUNTIF($E112, _xlfn.CONCAT("*",Table13[[#Headers],[Adventure]],"*")),1,0)</f>
        <v>0</v>
      </c>
      <c r="K112">
        <f>IF(COUNTIF($E112, _xlfn.CONCAT("*",Table13[[#Headers],[Animation]],"*")),1,0)</f>
        <v>0</v>
      </c>
      <c r="L112">
        <f>IF(COUNTIF($E112, _xlfn.CONCAT("*",Table13[[#Headers],[Comedy]],"*")),1,0)</f>
        <v>0</v>
      </c>
      <c r="M112">
        <f>IF(COUNTIF($E112, _xlfn.CONCAT("*",Table13[[#Headers],[Crime]],"*")),1,0)</f>
        <v>0</v>
      </c>
      <c r="N112">
        <f>IF(COUNTIF($E112, _xlfn.CONCAT("*",Table13[[#Headers],[Documentary]],"*")),1,0)</f>
        <v>0</v>
      </c>
      <c r="O112">
        <f>IF(COUNTIF($E112, _xlfn.CONCAT("*",Table13[[#Headers],[Drama]],"*")),1,0)</f>
        <v>1</v>
      </c>
      <c r="P112">
        <f>IF(COUNTIF($E112, _xlfn.CONCAT("*",Table13[[#Headers],[Family]],"*")),1,0)</f>
        <v>0</v>
      </c>
      <c r="Q112">
        <f>IF(COUNTIF($E112, _xlfn.CONCAT("*",Table13[[#Headers],[Fantasy]],"*")),1,0)</f>
        <v>0</v>
      </c>
      <c r="R112">
        <f>IF(COUNTIF($E112, _xlfn.CONCAT("*",Table13[[#Headers],[History]],"*")),1,0)</f>
        <v>0</v>
      </c>
      <c r="S112">
        <f>IF(COUNTIF($E112, _xlfn.CONCAT("*",Table13[[#Headers],[Horror]],"*")),1,0)</f>
        <v>0</v>
      </c>
      <c r="T112">
        <f>IF(COUNTIF($E112, _xlfn.CONCAT("*",Table13[[#Headers],[Music]],"*")),1,0)</f>
        <v>0</v>
      </c>
      <c r="U112">
        <f>IF(COUNTIF($E112, _xlfn.CONCAT("*",Table13[[#Headers],[Mystery]],"*")),1,0)</f>
        <v>0</v>
      </c>
      <c r="V112">
        <f>IF(COUNTIF($E112, _xlfn.CONCAT("*",Table13[[#Headers],[Romance]],"*")),1,0)</f>
        <v>1</v>
      </c>
      <c r="W112">
        <f>IF(COUNTIF($E112, _xlfn.CONCAT("*",Table13[[#Headers],[Science Fiction]],"*")),1,0)</f>
        <v>0</v>
      </c>
      <c r="X112">
        <f>IF(COUNTIF($E112, _xlfn.CONCAT("*",Table13[[#Headers],[TV Movie]],"*")),1,0)</f>
        <v>0</v>
      </c>
      <c r="Y112">
        <f>IF(COUNTIF($E112, _xlfn.CONCAT("*",Table13[[#Headers],[Thriller]],"*")),1,0)</f>
        <v>0</v>
      </c>
      <c r="Z112">
        <f>IF(COUNTIF($E112, _xlfn.CONCAT("*",Table13[[#Headers],[War]],"*")),1,0)</f>
        <v>0</v>
      </c>
      <c r="AA112">
        <f>IF(COUNTIF($E112, _xlfn.CONCAT("*",Table13[[#Headers],[Western]],"*")),1,0)</f>
        <v>0</v>
      </c>
    </row>
    <row r="113" spans="1:27">
      <c r="A113" t="s">
        <v>179</v>
      </c>
      <c r="B113">
        <v>153</v>
      </c>
      <c r="C113">
        <f>MAX(Table13[Rank])-Table13[[#This Row],[Rank]]</f>
        <v>111</v>
      </c>
      <c r="D113" t="s">
        <v>7</v>
      </c>
      <c r="E113" t="s">
        <v>180</v>
      </c>
      <c r="F113" t="s">
        <v>180</v>
      </c>
      <c r="G113" t="e">
        <f>YEAR(Table13[[#This Row],[Date]])</f>
        <v>#VALUE!</v>
      </c>
      <c r="H113" t="s">
        <v>180</v>
      </c>
      <c r="I113">
        <f>IF(COUNTIF($E113, _xlfn.CONCAT("*",Table13[[#Headers],[Action]],"*")),1,0)</f>
        <v>0</v>
      </c>
      <c r="J113">
        <f>IF(COUNTIF($E113, _xlfn.CONCAT("*",Table13[[#Headers],[Adventure]],"*")),1,0)</f>
        <v>0</v>
      </c>
      <c r="K113">
        <f>IF(COUNTIF($E113, _xlfn.CONCAT("*",Table13[[#Headers],[Animation]],"*")),1,0)</f>
        <v>0</v>
      </c>
      <c r="L113">
        <f>IF(COUNTIF($E113, _xlfn.CONCAT("*",Table13[[#Headers],[Comedy]],"*")),1,0)</f>
        <v>0</v>
      </c>
      <c r="M113">
        <f>IF(COUNTIF($E113, _xlfn.CONCAT("*",Table13[[#Headers],[Crime]],"*")),1,0)</f>
        <v>0</v>
      </c>
      <c r="N113">
        <f>IF(COUNTIF($E113, _xlfn.CONCAT("*",Table13[[#Headers],[Documentary]],"*")),1,0)</f>
        <v>0</v>
      </c>
      <c r="O113">
        <f>IF(COUNTIF($E113, _xlfn.CONCAT("*",Table13[[#Headers],[Drama]],"*")),1,0)</f>
        <v>0</v>
      </c>
      <c r="P113">
        <f>IF(COUNTIF($E113, _xlfn.CONCAT("*",Table13[[#Headers],[Family]],"*")),1,0)</f>
        <v>0</v>
      </c>
      <c r="Q113">
        <f>IF(COUNTIF($E113, _xlfn.CONCAT("*",Table13[[#Headers],[Fantasy]],"*")),1,0)</f>
        <v>0</v>
      </c>
      <c r="R113">
        <f>IF(COUNTIF($E113, _xlfn.CONCAT("*",Table13[[#Headers],[History]],"*")),1,0)</f>
        <v>0</v>
      </c>
      <c r="S113">
        <f>IF(COUNTIF($E113, _xlfn.CONCAT("*",Table13[[#Headers],[Horror]],"*")),1,0)</f>
        <v>0</v>
      </c>
      <c r="T113">
        <f>IF(COUNTIF($E113, _xlfn.CONCAT("*",Table13[[#Headers],[Music]],"*")),1,0)</f>
        <v>0</v>
      </c>
      <c r="U113">
        <f>IF(COUNTIF($E113, _xlfn.CONCAT("*",Table13[[#Headers],[Mystery]],"*")),1,0)</f>
        <v>0</v>
      </c>
      <c r="V113">
        <f>IF(COUNTIF($E113, _xlfn.CONCAT("*",Table13[[#Headers],[Romance]],"*")),1,0)</f>
        <v>0</v>
      </c>
      <c r="W113">
        <f>IF(COUNTIF($E113, _xlfn.CONCAT("*",Table13[[#Headers],[Science Fiction]],"*")),1,0)</f>
        <v>0</v>
      </c>
      <c r="X113">
        <f>IF(COUNTIF($E113, _xlfn.CONCAT("*",Table13[[#Headers],[TV Movie]],"*")),1,0)</f>
        <v>0</v>
      </c>
      <c r="Y113">
        <f>IF(COUNTIF($E113, _xlfn.CONCAT("*",Table13[[#Headers],[Thriller]],"*")),1,0)</f>
        <v>0</v>
      </c>
      <c r="Z113">
        <f>IF(COUNTIF($E113, _xlfn.CONCAT("*",Table13[[#Headers],[War]],"*")),1,0)</f>
        <v>0</v>
      </c>
      <c r="AA113">
        <f>IF(COUNTIF($E113, _xlfn.CONCAT("*",Table13[[#Headers],[Western]],"*")),1,0)</f>
        <v>0</v>
      </c>
    </row>
    <row r="114" spans="1:27">
      <c r="A114" t="s">
        <v>181</v>
      </c>
      <c r="B114">
        <v>152</v>
      </c>
      <c r="C114">
        <f>MAX(Table13[Rank])-Table13[[#This Row],[Rank]]</f>
        <v>112</v>
      </c>
      <c r="D114" t="s">
        <v>7</v>
      </c>
      <c r="E114" t="s">
        <v>17</v>
      </c>
      <c r="F114" s="1">
        <v>43074</v>
      </c>
      <c r="G114">
        <f>YEAR(Table13[[#This Row],[Date]])</f>
        <v>2017</v>
      </c>
      <c r="H114" t="s">
        <v>182</v>
      </c>
      <c r="I114">
        <f>IF(COUNTIF($E114, _xlfn.CONCAT("*",Table13[[#Headers],[Action]],"*")),1,0)</f>
        <v>0</v>
      </c>
      <c r="J114">
        <f>IF(COUNTIF($E114, _xlfn.CONCAT("*",Table13[[#Headers],[Adventure]],"*")),1,0)</f>
        <v>0</v>
      </c>
      <c r="K114">
        <f>IF(COUNTIF($E114, _xlfn.CONCAT("*",Table13[[#Headers],[Animation]],"*")),1,0)</f>
        <v>0</v>
      </c>
      <c r="L114">
        <f>IF(COUNTIF($E114, _xlfn.CONCAT("*",Table13[[#Headers],[Comedy]],"*")),1,0)</f>
        <v>0</v>
      </c>
      <c r="M114">
        <f>IF(COUNTIF($E114, _xlfn.CONCAT("*",Table13[[#Headers],[Crime]],"*")),1,0)</f>
        <v>0</v>
      </c>
      <c r="N114">
        <f>IF(COUNTIF($E114, _xlfn.CONCAT("*",Table13[[#Headers],[Documentary]],"*")),1,0)</f>
        <v>1</v>
      </c>
      <c r="O114">
        <f>IF(COUNTIF($E114, _xlfn.CONCAT("*",Table13[[#Headers],[Drama]],"*")),1,0)</f>
        <v>0</v>
      </c>
      <c r="P114">
        <f>IF(COUNTIF($E114, _xlfn.CONCAT("*",Table13[[#Headers],[Family]],"*")),1,0)</f>
        <v>0</v>
      </c>
      <c r="Q114">
        <f>IF(COUNTIF($E114, _xlfn.CONCAT("*",Table13[[#Headers],[Fantasy]],"*")),1,0)</f>
        <v>0</v>
      </c>
      <c r="R114">
        <f>IF(COUNTIF($E114, _xlfn.CONCAT("*",Table13[[#Headers],[History]],"*")),1,0)</f>
        <v>0</v>
      </c>
      <c r="S114">
        <f>IF(COUNTIF($E114, _xlfn.CONCAT("*",Table13[[#Headers],[Horror]],"*")),1,0)</f>
        <v>0</v>
      </c>
      <c r="T114">
        <f>IF(COUNTIF($E114, _xlfn.CONCAT("*",Table13[[#Headers],[Music]],"*")),1,0)</f>
        <v>0</v>
      </c>
      <c r="U114">
        <f>IF(COUNTIF($E114, _xlfn.CONCAT("*",Table13[[#Headers],[Mystery]],"*")),1,0)</f>
        <v>0</v>
      </c>
      <c r="V114">
        <f>IF(COUNTIF($E114, _xlfn.CONCAT("*",Table13[[#Headers],[Romance]],"*")),1,0)</f>
        <v>0</v>
      </c>
      <c r="W114">
        <f>IF(COUNTIF($E114, _xlfn.CONCAT("*",Table13[[#Headers],[Science Fiction]],"*")),1,0)</f>
        <v>0</v>
      </c>
      <c r="X114">
        <f>IF(COUNTIF($E114, _xlfn.CONCAT("*",Table13[[#Headers],[TV Movie]],"*")),1,0)</f>
        <v>0</v>
      </c>
      <c r="Y114">
        <f>IF(COUNTIF($E114, _xlfn.CONCAT("*",Table13[[#Headers],[Thriller]],"*")),1,0)</f>
        <v>0</v>
      </c>
      <c r="Z114">
        <f>IF(COUNTIF($E114, _xlfn.CONCAT("*",Table13[[#Headers],[War]],"*")),1,0)</f>
        <v>0</v>
      </c>
      <c r="AA114">
        <f>IF(COUNTIF($E114, _xlfn.CONCAT("*",Table13[[#Headers],[Western]],"*")),1,0)</f>
        <v>0</v>
      </c>
    </row>
    <row r="115" spans="1:27">
      <c r="A115" t="s">
        <v>183</v>
      </c>
      <c r="B115">
        <v>151</v>
      </c>
      <c r="C115">
        <f>MAX(Table13[Rank])-Table13[[#This Row],[Rank]]</f>
        <v>113</v>
      </c>
      <c r="D115" t="s">
        <v>7</v>
      </c>
      <c r="E115" t="s">
        <v>184</v>
      </c>
      <c r="F115" s="1">
        <v>27200</v>
      </c>
      <c r="G115">
        <f>YEAR(Table13[[#This Row],[Date]])</f>
        <v>1974</v>
      </c>
      <c r="H115" t="s">
        <v>183</v>
      </c>
      <c r="I115">
        <f>IF(COUNTIF($E115, _xlfn.CONCAT("*",Table13[[#Headers],[Action]],"*")),1,0)</f>
        <v>0</v>
      </c>
      <c r="J115">
        <f>IF(COUNTIF($E115, _xlfn.CONCAT("*",Table13[[#Headers],[Adventure]],"*")),1,0)</f>
        <v>0</v>
      </c>
      <c r="K115">
        <f>IF(COUNTIF($E115, _xlfn.CONCAT("*",Table13[[#Headers],[Animation]],"*")),1,0)</f>
        <v>0</v>
      </c>
      <c r="L115">
        <f>IF(COUNTIF($E115, _xlfn.CONCAT("*",Table13[[#Headers],[Comedy]],"*")),1,0)</f>
        <v>0</v>
      </c>
      <c r="M115">
        <f>IF(COUNTIF($E115, _xlfn.CONCAT("*",Table13[[#Headers],[Crime]],"*")),1,0)</f>
        <v>1</v>
      </c>
      <c r="N115">
        <f>IF(COUNTIF($E115, _xlfn.CONCAT("*",Table13[[#Headers],[Documentary]],"*")),1,0)</f>
        <v>0</v>
      </c>
      <c r="O115">
        <f>IF(COUNTIF($E115, _xlfn.CONCAT("*",Table13[[#Headers],[Drama]],"*")),1,0)</f>
        <v>1</v>
      </c>
      <c r="P115">
        <f>IF(COUNTIF($E115, _xlfn.CONCAT("*",Table13[[#Headers],[Family]],"*")),1,0)</f>
        <v>0</v>
      </c>
      <c r="Q115">
        <f>IF(COUNTIF($E115, _xlfn.CONCAT("*",Table13[[#Headers],[Fantasy]],"*")),1,0)</f>
        <v>0</v>
      </c>
      <c r="R115">
        <f>IF(COUNTIF($E115, _xlfn.CONCAT("*",Table13[[#Headers],[History]],"*")),1,0)</f>
        <v>0</v>
      </c>
      <c r="S115">
        <f>IF(COUNTIF($E115, _xlfn.CONCAT("*",Table13[[#Headers],[Horror]],"*")),1,0)</f>
        <v>0</v>
      </c>
      <c r="T115">
        <f>IF(COUNTIF($E115, _xlfn.CONCAT("*",Table13[[#Headers],[Music]],"*")),1,0)</f>
        <v>0</v>
      </c>
      <c r="U115">
        <f>IF(COUNTIF($E115, _xlfn.CONCAT("*",Table13[[#Headers],[Mystery]],"*")),1,0)</f>
        <v>1</v>
      </c>
      <c r="V115">
        <f>IF(COUNTIF($E115, _xlfn.CONCAT("*",Table13[[#Headers],[Romance]],"*")),1,0)</f>
        <v>0</v>
      </c>
      <c r="W115">
        <f>IF(COUNTIF($E115, _xlfn.CONCAT("*",Table13[[#Headers],[Science Fiction]],"*")),1,0)</f>
        <v>0</v>
      </c>
      <c r="X115">
        <f>IF(COUNTIF($E115, _xlfn.CONCAT("*",Table13[[#Headers],[TV Movie]],"*")),1,0)</f>
        <v>0</v>
      </c>
      <c r="Y115">
        <f>IF(COUNTIF($E115, _xlfn.CONCAT("*",Table13[[#Headers],[Thriller]],"*")),1,0)</f>
        <v>1</v>
      </c>
      <c r="Z115">
        <f>IF(COUNTIF($E115, _xlfn.CONCAT("*",Table13[[#Headers],[War]],"*")),1,0)</f>
        <v>0</v>
      </c>
      <c r="AA115">
        <f>IF(COUNTIF($E115, _xlfn.CONCAT("*",Table13[[#Headers],[Western]],"*")),1,0)</f>
        <v>0</v>
      </c>
    </row>
    <row r="116" spans="1:27">
      <c r="A116" t="s">
        <v>185</v>
      </c>
      <c r="B116">
        <v>150</v>
      </c>
      <c r="C116">
        <f>MAX(Table13[Rank])-Table13[[#This Row],[Rank]]</f>
        <v>114</v>
      </c>
      <c r="D116" t="s">
        <v>7</v>
      </c>
      <c r="E116" t="s">
        <v>186</v>
      </c>
      <c r="F116" s="1">
        <v>13670</v>
      </c>
      <c r="G116">
        <f>YEAR(Table13[[#This Row],[Date]])</f>
        <v>1937</v>
      </c>
      <c r="H116" t="s">
        <v>1281</v>
      </c>
      <c r="I116">
        <f>IF(COUNTIF($E116, _xlfn.CONCAT("*",Table13[[#Headers],[Action]],"*")),1,0)</f>
        <v>0</v>
      </c>
      <c r="J116">
        <f>IF(COUNTIF($E116, _xlfn.CONCAT("*",Table13[[#Headers],[Adventure]],"*")),1,0)</f>
        <v>0</v>
      </c>
      <c r="K116">
        <f>IF(COUNTIF($E116, _xlfn.CONCAT("*",Table13[[#Headers],[Animation]],"*")),1,0)</f>
        <v>0</v>
      </c>
      <c r="L116">
        <f>IF(COUNTIF($E116, _xlfn.CONCAT("*",Table13[[#Headers],[Comedy]],"*")),1,0)</f>
        <v>0</v>
      </c>
      <c r="M116">
        <f>IF(COUNTIF($E116, _xlfn.CONCAT("*",Table13[[#Headers],[Crime]],"*")),1,0)</f>
        <v>0</v>
      </c>
      <c r="N116">
        <f>IF(COUNTIF($E116, _xlfn.CONCAT("*",Table13[[#Headers],[Documentary]],"*")),1,0)</f>
        <v>0</v>
      </c>
      <c r="O116">
        <f>IF(COUNTIF($E116, _xlfn.CONCAT("*",Table13[[#Headers],[Drama]],"*")),1,0)</f>
        <v>1</v>
      </c>
      <c r="P116">
        <f>IF(COUNTIF($E116, _xlfn.CONCAT("*",Table13[[#Headers],[Family]],"*")),1,0)</f>
        <v>0</v>
      </c>
      <c r="Q116">
        <f>IF(COUNTIF($E116, _xlfn.CONCAT("*",Table13[[#Headers],[Fantasy]],"*")),1,0)</f>
        <v>0</v>
      </c>
      <c r="R116">
        <f>IF(COUNTIF($E116, _xlfn.CONCAT("*",Table13[[#Headers],[History]],"*")),1,0)</f>
        <v>1</v>
      </c>
      <c r="S116">
        <f>IF(COUNTIF($E116, _xlfn.CONCAT("*",Table13[[#Headers],[Horror]],"*")),1,0)</f>
        <v>0</v>
      </c>
      <c r="T116">
        <f>IF(COUNTIF($E116, _xlfn.CONCAT("*",Table13[[#Headers],[Music]],"*")),1,0)</f>
        <v>0</v>
      </c>
      <c r="U116">
        <f>IF(COUNTIF($E116, _xlfn.CONCAT("*",Table13[[#Headers],[Mystery]],"*")),1,0)</f>
        <v>0</v>
      </c>
      <c r="V116">
        <f>IF(COUNTIF($E116, _xlfn.CONCAT("*",Table13[[#Headers],[Romance]],"*")),1,0)</f>
        <v>0</v>
      </c>
      <c r="W116">
        <f>IF(COUNTIF($E116, _xlfn.CONCAT("*",Table13[[#Headers],[Science Fiction]],"*")),1,0)</f>
        <v>0</v>
      </c>
      <c r="X116">
        <f>IF(COUNTIF($E116, _xlfn.CONCAT("*",Table13[[#Headers],[TV Movie]],"*")),1,0)</f>
        <v>0</v>
      </c>
      <c r="Y116">
        <f>IF(COUNTIF($E116, _xlfn.CONCAT("*",Table13[[#Headers],[Thriller]],"*")),1,0)</f>
        <v>0</v>
      </c>
      <c r="Z116">
        <f>IF(COUNTIF($E116, _xlfn.CONCAT("*",Table13[[#Headers],[War]],"*")),1,0)</f>
        <v>1</v>
      </c>
      <c r="AA116">
        <f>IF(COUNTIF($E116, _xlfn.CONCAT("*",Table13[[#Headers],[Western]],"*")),1,0)</f>
        <v>0</v>
      </c>
    </row>
    <row r="117" spans="1:27">
      <c r="A117" t="s">
        <v>187</v>
      </c>
      <c r="B117">
        <v>149</v>
      </c>
      <c r="C117">
        <f>MAX(Table13[Rank])-Table13[[#This Row],[Rank]]</f>
        <v>115</v>
      </c>
      <c r="D117" t="s">
        <v>7</v>
      </c>
      <c r="E117" t="s">
        <v>35</v>
      </c>
      <c r="F117" s="1">
        <v>27549</v>
      </c>
      <c r="G117">
        <f>YEAR(Table13[[#This Row],[Date]])</f>
        <v>1975</v>
      </c>
      <c r="H117" t="s">
        <v>187</v>
      </c>
      <c r="I117">
        <f>IF(COUNTIF($E117, _xlfn.CONCAT("*",Table13[[#Headers],[Action]],"*")),1,0)</f>
        <v>0</v>
      </c>
      <c r="J117">
        <f>IF(COUNTIF($E117, _xlfn.CONCAT("*",Table13[[#Headers],[Adventure]],"*")),1,0)</f>
        <v>0</v>
      </c>
      <c r="K117">
        <f>IF(COUNTIF($E117, _xlfn.CONCAT("*",Table13[[#Headers],[Animation]],"*")),1,0)</f>
        <v>0</v>
      </c>
      <c r="L117">
        <f>IF(COUNTIF($E117, _xlfn.CONCAT("*",Table13[[#Headers],[Comedy]],"*")),1,0)</f>
        <v>0</v>
      </c>
      <c r="M117">
        <f>IF(COUNTIF($E117, _xlfn.CONCAT("*",Table13[[#Headers],[Crime]],"*")),1,0)</f>
        <v>0</v>
      </c>
      <c r="N117">
        <f>IF(COUNTIF($E117, _xlfn.CONCAT("*",Table13[[#Headers],[Documentary]],"*")),1,0)</f>
        <v>0</v>
      </c>
      <c r="O117">
        <f>IF(COUNTIF($E117, _xlfn.CONCAT("*",Table13[[#Headers],[Drama]],"*")),1,0)</f>
        <v>1</v>
      </c>
      <c r="P117">
        <f>IF(COUNTIF($E117, _xlfn.CONCAT("*",Table13[[#Headers],[Family]],"*")),1,0)</f>
        <v>0</v>
      </c>
      <c r="Q117">
        <f>IF(COUNTIF($E117, _xlfn.CONCAT("*",Table13[[#Headers],[Fantasy]],"*")),1,0)</f>
        <v>0</v>
      </c>
      <c r="R117">
        <f>IF(COUNTIF($E117, _xlfn.CONCAT("*",Table13[[#Headers],[History]],"*")),1,0)</f>
        <v>0</v>
      </c>
      <c r="S117">
        <f>IF(COUNTIF($E117, _xlfn.CONCAT("*",Table13[[#Headers],[Horror]],"*")),1,0)</f>
        <v>0</v>
      </c>
      <c r="T117">
        <f>IF(COUNTIF($E117, _xlfn.CONCAT("*",Table13[[#Headers],[Music]],"*")),1,0)</f>
        <v>0</v>
      </c>
      <c r="U117">
        <f>IF(COUNTIF($E117, _xlfn.CONCAT("*",Table13[[#Headers],[Mystery]],"*")),1,0)</f>
        <v>0</v>
      </c>
      <c r="V117">
        <f>IF(COUNTIF($E117, _xlfn.CONCAT("*",Table13[[#Headers],[Romance]],"*")),1,0)</f>
        <v>1</v>
      </c>
      <c r="W117">
        <f>IF(COUNTIF($E117, _xlfn.CONCAT("*",Table13[[#Headers],[Science Fiction]],"*")),1,0)</f>
        <v>0</v>
      </c>
      <c r="X117">
        <f>IF(COUNTIF($E117, _xlfn.CONCAT("*",Table13[[#Headers],[TV Movie]],"*")),1,0)</f>
        <v>0</v>
      </c>
      <c r="Y117">
        <f>IF(COUNTIF($E117, _xlfn.CONCAT("*",Table13[[#Headers],[Thriller]],"*")),1,0)</f>
        <v>0</v>
      </c>
      <c r="Z117">
        <f>IF(COUNTIF($E117, _xlfn.CONCAT("*",Table13[[#Headers],[War]],"*")),1,0)</f>
        <v>0</v>
      </c>
      <c r="AA117">
        <f>IF(COUNTIF($E117, _xlfn.CONCAT("*",Table13[[#Headers],[Western]],"*")),1,0)</f>
        <v>0</v>
      </c>
    </row>
    <row r="118" spans="1:27">
      <c r="A118" t="s">
        <v>188</v>
      </c>
      <c r="B118">
        <v>148</v>
      </c>
      <c r="C118">
        <f>MAX(Table13[Rank])-Table13[[#This Row],[Rank]]</f>
        <v>116</v>
      </c>
      <c r="D118" t="s">
        <v>7</v>
      </c>
      <c r="E118" t="s">
        <v>189</v>
      </c>
      <c r="F118" s="1">
        <v>29000</v>
      </c>
      <c r="G118">
        <f>YEAR(Table13[[#This Row],[Date]])</f>
        <v>1979</v>
      </c>
      <c r="H118" t="s">
        <v>188</v>
      </c>
      <c r="I118">
        <f>IF(COUNTIF($E118, _xlfn.CONCAT("*",Table13[[#Headers],[Action]],"*")),1,0)</f>
        <v>0</v>
      </c>
      <c r="J118">
        <f>IF(COUNTIF($E118, _xlfn.CONCAT("*",Table13[[#Headers],[Adventure]],"*")),1,0)</f>
        <v>0</v>
      </c>
      <c r="K118">
        <f>IF(COUNTIF($E118, _xlfn.CONCAT("*",Table13[[#Headers],[Animation]],"*")),1,0)</f>
        <v>0</v>
      </c>
      <c r="L118">
        <f>IF(COUNTIF($E118, _xlfn.CONCAT("*",Table13[[#Headers],[Comedy]],"*")),1,0)</f>
        <v>0</v>
      </c>
      <c r="M118">
        <f>IF(COUNTIF($E118, _xlfn.CONCAT("*",Table13[[#Headers],[Crime]],"*")),1,0)</f>
        <v>0</v>
      </c>
      <c r="N118">
        <f>IF(COUNTIF($E118, _xlfn.CONCAT("*",Table13[[#Headers],[Documentary]],"*")),1,0)</f>
        <v>0</v>
      </c>
      <c r="O118">
        <f>IF(COUNTIF($E118, _xlfn.CONCAT("*",Table13[[#Headers],[Drama]],"*")),1,0)</f>
        <v>0</v>
      </c>
      <c r="P118">
        <f>IF(COUNTIF($E118, _xlfn.CONCAT("*",Table13[[#Headers],[Family]],"*")),1,0)</f>
        <v>0</v>
      </c>
      <c r="Q118">
        <f>IF(COUNTIF($E118, _xlfn.CONCAT("*",Table13[[#Headers],[Fantasy]],"*")),1,0)</f>
        <v>0</v>
      </c>
      <c r="R118">
        <f>IF(COUNTIF($E118, _xlfn.CONCAT("*",Table13[[#Headers],[History]],"*")),1,0)</f>
        <v>0</v>
      </c>
      <c r="S118">
        <f>IF(COUNTIF($E118, _xlfn.CONCAT("*",Table13[[#Headers],[Horror]],"*")),1,0)</f>
        <v>1</v>
      </c>
      <c r="T118">
        <f>IF(COUNTIF($E118, _xlfn.CONCAT("*",Table13[[#Headers],[Music]],"*")),1,0)</f>
        <v>0</v>
      </c>
      <c r="U118">
        <f>IF(COUNTIF($E118, _xlfn.CONCAT("*",Table13[[#Headers],[Mystery]],"*")),1,0)</f>
        <v>0</v>
      </c>
      <c r="V118">
        <f>IF(COUNTIF($E118, _xlfn.CONCAT("*",Table13[[#Headers],[Romance]],"*")),1,0)</f>
        <v>0</v>
      </c>
      <c r="W118">
        <f>IF(COUNTIF($E118, _xlfn.CONCAT("*",Table13[[#Headers],[Science Fiction]],"*")),1,0)</f>
        <v>1</v>
      </c>
      <c r="X118">
        <f>IF(COUNTIF($E118, _xlfn.CONCAT("*",Table13[[#Headers],[TV Movie]],"*")),1,0)</f>
        <v>0</v>
      </c>
      <c r="Y118">
        <f>IF(COUNTIF($E118, _xlfn.CONCAT("*",Table13[[#Headers],[Thriller]],"*")),1,0)</f>
        <v>0</v>
      </c>
      <c r="Z118">
        <f>IF(COUNTIF($E118, _xlfn.CONCAT("*",Table13[[#Headers],[War]],"*")),1,0)</f>
        <v>0</v>
      </c>
      <c r="AA118">
        <f>IF(COUNTIF($E118, _xlfn.CONCAT("*",Table13[[#Headers],[Western]],"*")),1,0)</f>
        <v>0</v>
      </c>
    </row>
    <row r="119" spans="1:27">
      <c r="A119" t="s">
        <v>190</v>
      </c>
      <c r="B119">
        <v>147</v>
      </c>
      <c r="C119">
        <f>MAX(Table13[Rank])-Table13[[#This Row],[Rank]]</f>
        <v>117</v>
      </c>
      <c r="D119" t="s">
        <v>7</v>
      </c>
      <c r="E119" t="s">
        <v>191</v>
      </c>
      <c r="F119" s="1">
        <v>32509</v>
      </c>
      <c r="G119">
        <f>YEAR(Table13[[#This Row],[Date]])</f>
        <v>1989</v>
      </c>
      <c r="H119" t="s">
        <v>192</v>
      </c>
      <c r="I119">
        <f>IF(COUNTIF($E119, _xlfn.CONCAT("*",Table13[[#Headers],[Action]],"*")),1,0)</f>
        <v>0</v>
      </c>
      <c r="J119">
        <f>IF(COUNTIF($E119, _xlfn.CONCAT("*",Table13[[#Headers],[Adventure]],"*")),1,0)</f>
        <v>0</v>
      </c>
      <c r="K119">
        <f>IF(COUNTIF($E119, _xlfn.CONCAT("*",Table13[[#Headers],[Animation]],"*")),1,0)</f>
        <v>0</v>
      </c>
      <c r="L119">
        <f>IF(COUNTIF($E119, _xlfn.CONCAT("*",Table13[[#Headers],[Comedy]],"*")),1,0)</f>
        <v>0</v>
      </c>
      <c r="M119">
        <f>IF(COUNTIF($E119, _xlfn.CONCAT("*",Table13[[#Headers],[Crime]],"*")),1,0)</f>
        <v>0</v>
      </c>
      <c r="N119">
        <f>IF(COUNTIF($E119, _xlfn.CONCAT("*",Table13[[#Headers],[Documentary]],"*")),1,0)</f>
        <v>0</v>
      </c>
      <c r="O119">
        <f>IF(COUNTIF($E119, _xlfn.CONCAT("*",Table13[[#Headers],[Drama]],"*")),1,0)</f>
        <v>0</v>
      </c>
      <c r="P119">
        <f>IF(COUNTIF($E119, _xlfn.CONCAT("*",Table13[[#Headers],[Family]],"*")),1,0)</f>
        <v>0</v>
      </c>
      <c r="Q119">
        <f>IF(COUNTIF($E119, _xlfn.CONCAT("*",Table13[[#Headers],[Fantasy]],"*")),1,0)</f>
        <v>0</v>
      </c>
      <c r="R119">
        <f>IF(COUNTIF($E119, _xlfn.CONCAT("*",Table13[[#Headers],[History]],"*")),1,0)</f>
        <v>0</v>
      </c>
      <c r="S119">
        <f>IF(COUNTIF($E119, _xlfn.CONCAT("*",Table13[[#Headers],[Horror]],"*")),1,0)</f>
        <v>1</v>
      </c>
      <c r="T119">
        <f>IF(COUNTIF($E119, _xlfn.CONCAT("*",Table13[[#Headers],[Music]],"*")),1,0)</f>
        <v>0</v>
      </c>
      <c r="U119">
        <f>IF(COUNTIF($E119, _xlfn.CONCAT("*",Table13[[#Headers],[Mystery]],"*")),1,0)</f>
        <v>1</v>
      </c>
      <c r="V119">
        <f>IF(COUNTIF($E119, _xlfn.CONCAT("*",Table13[[#Headers],[Romance]],"*")),1,0)</f>
        <v>0</v>
      </c>
      <c r="W119">
        <f>IF(COUNTIF($E119, _xlfn.CONCAT("*",Table13[[#Headers],[Science Fiction]],"*")),1,0)</f>
        <v>0</v>
      </c>
      <c r="X119">
        <f>IF(COUNTIF($E119, _xlfn.CONCAT("*",Table13[[#Headers],[TV Movie]],"*")),1,0)</f>
        <v>1</v>
      </c>
      <c r="Y119">
        <f>IF(COUNTIF($E119, _xlfn.CONCAT("*",Table13[[#Headers],[Thriller]],"*")),1,0)</f>
        <v>0</v>
      </c>
      <c r="Z119">
        <f>IF(COUNTIF($E119, _xlfn.CONCAT("*",Table13[[#Headers],[War]],"*")),1,0)</f>
        <v>0</v>
      </c>
      <c r="AA119">
        <f>IF(COUNTIF($E119, _xlfn.CONCAT("*",Table13[[#Headers],[Western]],"*")),1,0)</f>
        <v>0</v>
      </c>
    </row>
    <row r="120" spans="1:27">
      <c r="A120" t="s">
        <v>193</v>
      </c>
      <c r="B120">
        <v>146</v>
      </c>
      <c r="C120">
        <f>MAX(Table13[Rank])-Table13[[#This Row],[Rank]]</f>
        <v>118</v>
      </c>
      <c r="D120" t="s">
        <v>7</v>
      </c>
      <c r="E120" t="s">
        <v>194</v>
      </c>
      <c r="F120" s="1">
        <v>35102</v>
      </c>
      <c r="G120">
        <f>YEAR(Table13[[#This Row],[Date]])</f>
        <v>1996</v>
      </c>
      <c r="H120" t="s">
        <v>193</v>
      </c>
      <c r="I120">
        <f>IF(COUNTIF($E120, _xlfn.CONCAT("*",Table13[[#Headers],[Action]],"*")),1,0)</f>
        <v>0</v>
      </c>
      <c r="J120">
        <f>IF(COUNTIF($E120, _xlfn.CONCAT("*",Table13[[#Headers],[Adventure]],"*")),1,0)</f>
        <v>0</v>
      </c>
      <c r="K120">
        <f>IF(COUNTIF($E120, _xlfn.CONCAT("*",Table13[[#Headers],[Animation]],"*")),1,0)</f>
        <v>0</v>
      </c>
      <c r="L120">
        <f>IF(COUNTIF($E120, _xlfn.CONCAT("*",Table13[[#Headers],[Comedy]],"*")),1,0)</f>
        <v>1</v>
      </c>
      <c r="M120">
        <f>IF(COUNTIF($E120, _xlfn.CONCAT("*",Table13[[#Headers],[Crime]],"*")),1,0)</f>
        <v>0</v>
      </c>
      <c r="N120">
        <f>IF(COUNTIF($E120, _xlfn.CONCAT("*",Table13[[#Headers],[Documentary]],"*")),1,0)</f>
        <v>0</v>
      </c>
      <c r="O120">
        <f>IF(COUNTIF($E120, _xlfn.CONCAT("*",Table13[[#Headers],[Drama]],"*")),1,0)</f>
        <v>1</v>
      </c>
      <c r="P120">
        <f>IF(COUNTIF($E120, _xlfn.CONCAT("*",Table13[[#Headers],[Family]],"*")),1,0)</f>
        <v>0</v>
      </c>
      <c r="Q120">
        <f>IF(COUNTIF($E120, _xlfn.CONCAT("*",Table13[[#Headers],[Fantasy]],"*")),1,0)</f>
        <v>0</v>
      </c>
      <c r="R120">
        <f>IF(COUNTIF($E120, _xlfn.CONCAT("*",Table13[[#Headers],[History]],"*")),1,0)</f>
        <v>0</v>
      </c>
      <c r="S120">
        <f>IF(COUNTIF($E120, _xlfn.CONCAT("*",Table13[[#Headers],[Horror]],"*")),1,0)</f>
        <v>0</v>
      </c>
      <c r="T120">
        <f>IF(COUNTIF($E120, _xlfn.CONCAT("*",Table13[[#Headers],[Music]],"*")),1,0)</f>
        <v>0</v>
      </c>
      <c r="U120">
        <f>IF(COUNTIF($E120, _xlfn.CONCAT("*",Table13[[#Headers],[Mystery]],"*")),1,0)</f>
        <v>0</v>
      </c>
      <c r="V120">
        <f>IF(COUNTIF($E120, _xlfn.CONCAT("*",Table13[[#Headers],[Romance]],"*")),1,0)</f>
        <v>1</v>
      </c>
      <c r="W120">
        <f>IF(COUNTIF($E120, _xlfn.CONCAT("*",Table13[[#Headers],[Science Fiction]],"*")),1,0)</f>
        <v>0</v>
      </c>
      <c r="X120">
        <f>IF(COUNTIF($E120, _xlfn.CONCAT("*",Table13[[#Headers],[TV Movie]],"*")),1,0)</f>
        <v>0</v>
      </c>
      <c r="Y120">
        <f>IF(COUNTIF($E120, _xlfn.CONCAT("*",Table13[[#Headers],[Thriller]],"*")),1,0)</f>
        <v>0</v>
      </c>
      <c r="Z120">
        <f>IF(COUNTIF($E120, _xlfn.CONCAT("*",Table13[[#Headers],[War]],"*")),1,0)</f>
        <v>0</v>
      </c>
      <c r="AA120">
        <f>IF(COUNTIF($E120, _xlfn.CONCAT("*",Table13[[#Headers],[Western]],"*")),1,0)</f>
        <v>0</v>
      </c>
    </row>
    <row r="121" spans="1:27">
      <c r="A121" t="s">
        <v>195</v>
      </c>
      <c r="B121">
        <v>145</v>
      </c>
      <c r="C121">
        <f>MAX(Table13[Rank])-Table13[[#This Row],[Rank]]</f>
        <v>119</v>
      </c>
      <c r="D121" t="s">
        <v>7</v>
      </c>
      <c r="E121" t="s">
        <v>35</v>
      </c>
      <c r="F121" s="1">
        <v>23730</v>
      </c>
      <c r="G121">
        <f>YEAR(Table13[[#This Row],[Date]])</f>
        <v>1964</v>
      </c>
      <c r="H121" t="s">
        <v>195</v>
      </c>
      <c r="I121">
        <f>IF(COUNTIF($E121, _xlfn.CONCAT("*",Table13[[#Headers],[Action]],"*")),1,0)</f>
        <v>0</v>
      </c>
      <c r="J121">
        <f>IF(COUNTIF($E121, _xlfn.CONCAT("*",Table13[[#Headers],[Adventure]],"*")),1,0)</f>
        <v>0</v>
      </c>
      <c r="K121">
        <f>IF(COUNTIF($E121, _xlfn.CONCAT("*",Table13[[#Headers],[Animation]],"*")),1,0)</f>
        <v>0</v>
      </c>
      <c r="L121">
        <f>IF(COUNTIF($E121, _xlfn.CONCAT("*",Table13[[#Headers],[Comedy]],"*")),1,0)</f>
        <v>0</v>
      </c>
      <c r="M121">
        <f>IF(COUNTIF($E121, _xlfn.CONCAT("*",Table13[[#Headers],[Crime]],"*")),1,0)</f>
        <v>0</v>
      </c>
      <c r="N121">
        <f>IF(COUNTIF($E121, _xlfn.CONCAT("*",Table13[[#Headers],[Documentary]],"*")),1,0)</f>
        <v>0</v>
      </c>
      <c r="O121">
        <f>IF(COUNTIF($E121, _xlfn.CONCAT("*",Table13[[#Headers],[Drama]],"*")),1,0)</f>
        <v>1</v>
      </c>
      <c r="P121">
        <f>IF(COUNTIF($E121, _xlfn.CONCAT("*",Table13[[#Headers],[Family]],"*")),1,0)</f>
        <v>0</v>
      </c>
      <c r="Q121">
        <f>IF(COUNTIF($E121, _xlfn.CONCAT("*",Table13[[#Headers],[Fantasy]],"*")),1,0)</f>
        <v>0</v>
      </c>
      <c r="R121">
        <f>IF(COUNTIF($E121, _xlfn.CONCAT("*",Table13[[#Headers],[History]],"*")),1,0)</f>
        <v>0</v>
      </c>
      <c r="S121">
        <f>IF(COUNTIF($E121, _xlfn.CONCAT("*",Table13[[#Headers],[Horror]],"*")),1,0)</f>
        <v>0</v>
      </c>
      <c r="T121">
        <f>IF(COUNTIF($E121, _xlfn.CONCAT("*",Table13[[#Headers],[Music]],"*")),1,0)</f>
        <v>0</v>
      </c>
      <c r="U121">
        <f>IF(COUNTIF($E121, _xlfn.CONCAT("*",Table13[[#Headers],[Mystery]],"*")),1,0)</f>
        <v>0</v>
      </c>
      <c r="V121">
        <f>IF(COUNTIF($E121, _xlfn.CONCAT("*",Table13[[#Headers],[Romance]],"*")),1,0)</f>
        <v>1</v>
      </c>
      <c r="W121">
        <f>IF(COUNTIF($E121, _xlfn.CONCAT("*",Table13[[#Headers],[Science Fiction]],"*")),1,0)</f>
        <v>0</v>
      </c>
      <c r="X121">
        <f>IF(COUNTIF($E121, _xlfn.CONCAT("*",Table13[[#Headers],[TV Movie]],"*")),1,0)</f>
        <v>0</v>
      </c>
      <c r="Y121">
        <f>IF(COUNTIF($E121, _xlfn.CONCAT("*",Table13[[#Headers],[Thriller]],"*")),1,0)</f>
        <v>0</v>
      </c>
      <c r="Z121">
        <f>IF(COUNTIF($E121, _xlfn.CONCAT("*",Table13[[#Headers],[War]],"*")),1,0)</f>
        <v>0</v>
      </c>
      <c r="AA121">
        <f>IF(COUNTIF($E121, _xlfn.CONCAT("*",Table13[[#Headers],[Western]],"*")),1,0)</f>
        <v>0</v>
      </c>
    </row>
    <row r="122" spans="1:27">
      <c r="A122" t="s">
        <v>196</v>
      </c>
      <c r="B122">
        <v>144</v>
      </c>
      <c r="C122">
        <f>MAX(Table13[Rank])-Table13[[#This Row],[Rank]]</f>
        <v>120</v>
      </c>
      <c r="D122" t="s">
        <v>7</v>
      </c>
      <c r="E122" t="s">
        <v>35</v>
      </c>
      <c r="F122" s="1">
        <v>20448</v>
      </c>
      <c r="G122">
        <f>YEAR(Table13[[#This Row],[Date]])</f>
        <v>1955</v>
      </c>
      <c r="H122" t="s">
        <v>196</v>
      </c>
      <c r="I122">
        <f>IF(COUNTIF($E122, _xlfn.CONCAT("*",Table13[[#Headers],[Action]],"*")),1,0)</f>
        <v>0</v>
      </c>
      <c r="J122">
        <f>IF(COUNTIF($E122, _xlfn.CONCAT("*",Table13[[#Headers],[Adventure]],"*")),1,0)</f>
        <v>0</v>
      </c>
      <c r="K122">
        <f>IF(COUNTIF($E122, _xlfn.CONCAT("*",Table13[[#Headers],[Animation]],"*")),1,0)</f>
        <v>0</v>
      </c>
      <c r="L122">
        <f>IF(COUNTIF($E122, _xlfn.CONCAT("*",Table13[[#Headers],[Comedy]],"*")),1,0)</f>
        <v>0</v>
      </c>
      <c r="M122">
        <f>IF(COUNTIF($E122, _xlfn.CONCAT("*",Table13[[#Headers],[Crime]],"*")),1,0)</f>
        <v>0</v>
      </c>
      <c r="N122">
        <f>IF(COUNTIF($E122, _xlfn.CONCAT("*",Table13[[#Headers],[Documentary]],"*")),1,0)</f>
        <v>0</v>
      </c>
      <c r="O122">
        <f>IF(COUNTIF($E122, _xlfn.CONCAT("*",Table13[[#Headers],[Drama]],"*")),1,0)</f>
        <v>1</v>
      </c>
      <c r="P122">
        <f>IF(COUNTIF($E122, _xlfn.CONCAT("*",Table13[[#Headers],[Family]],"*")),1,0)</f>
        <v>0</v>
      </c>
      <c r="Q122">
        <f>IF(COUNTIF($E122, _xlfn.CONCAT("*",Table13[[#Headers],[Fantasy]],"*")),1,0)</f>
        <v>0</v>
      </c>
      <c r="R122">
        <f>IF(COUNTIF($E122, _xlfn.CONCAT("*",Table13[[#Headers],[History]],"*")),1,0)</f>
        <v>0</v>
      </c>
      <c r="S122">
        <f>IF(COUNTIF($E122, _xlfn.CONCAT("*",Table13[[#Headers],[Horror]],"*")),1,0)</f>
        <v>0</v>
      </c>
      <c r="T122">
        <f>IF(COUNTIF($E122, _xlfn.CONCAT("*",Table13[[#Headers],[Music]],"*")),1,0)</f>
        <v>0</v>
      </c>
      <c r="U122">
        <f>IF(COUNTIF($E122, _xlfn.CONCAT("*",Table13[[#Headers],[Mystery]],"*")),1,0)</f>
        <v>0</v>
      </c>
      <c r="V122">
        <f>IF(COUNTIF($E122, _xlfn.CONCAT("*",Table13[[#Headers],[Romance]],"*")),1,0)</f>
        <v>1</v>
      </c>
      <c r="W122">
        <f>IF(COUNTIF($E122, _xlfn.CONCAT("*",Table13[[#Headers],[Science Fiction]],"*")),1,0)</f>
        <v>0</v>
      </c>
      <c r="X122">
        <f>IF(COUNTIF($E122, _xlfn.CONCAT("*",Table13[[#Headers],[TV Movie]],"*")),1,0)</f>
        <v>0</v>
      </c>
      <c r="Y122">
        <f>IF(COUNTIF($E122, _xlfn.CONCAT("*",Table13[[#Headers],[Thriller]],"*")),1,0)</f>
        <v>0</v>
      </c>
      <c r="Z122">
        <f>IF(COUNTIF($E122, _xlfn.CONCAT("*",Table13[[#Headers],[War]],"*")),1,0)</f>
        <v>0</v>
      </c>
      <c r="AA122">
        <f>IF(COUNTIF($E122, _xlfn.CONCAT("*",Table13[[#Headers],[Western]],"*")),1,0)</f>
        <v>0</v>
      </c>
    </row>
    <row r="123" spans="1:27">
      <c r="A123" t="s">
        <v>197</v>
      </c>
      <c r="B123">
        <v>143</v>
      </c>
      <c r="C123">
        <f>MAX(Table13[Rank])-Table13[[#This Row],[Rank]]</f>
        <v>121</v>
      </c>
      <c r="D123" t="s">
        <v>7</v>
      </c>
      <c r="E123" t="s">
        <v>198</v>
      </c>
      <c r="F123" s="1">
        <v>17066</v>
      </c>
      <c r="G123">
        <f>YEAR(Table13[[#This Row],[Date]])</f>
        <v>1946</v>
      </c>
      <c r="H123" t="s">
        <v>1282</v>
      </c>
      <c r="I123">
        <f>IF(COUNTIF($E123, _xlfn.CONCAT("*",Table13[[#Headers],[Action]],"*")),1,0)</f>
        <v>0</v>
      </c>
      <c r="J123">
        <f>IF(COUNTIF($E123, _xlfn.CONCAT("*",Table13[[#Headers],[Adventure]],"*")),1,0)</f>
        <v>0</v>
      </c>
      <c r="K123">
        <f>IF(COUNTIF($E123, _xlfn.CONCAT("*",Table13[[#Headers],[Animation]],"*")),1,0)</f>
        <v>0</v>
      </c>
      <c r="L123">
        <f>IF(COUNTIF($E123, _xlfn.CONCAT("*",Table13[[#Headers],[Comedy]],"*")),1,0)</f>
        <v>1</v>
      </c>
      <c r="M123">
        <f>IF(COUNTIF($E123, _xlfn.CONCAT("*",Table13[[#Headers],[Crime]],"*")),1,0)</f>
        <v>0</v>
      </c>
      <c r="N123">
        <f>IF(COUNTIF($E123, _xlfn.CONCAT("*",Table13[[#Headers],[Documentary]],"*")),1,0)</f>
        <v>0</v>
      </c>
      <c r="O123">
        <f>IF(COUNTIF($E123, _xlfn.CONCAT("*",Table13[[#Headers],[Drama]],"*")),1,0)</f>
        <v>1</v>
      </c>
      <c r="P123">
        <f>IF(COUNTIF($E123, _xlfn.CONCAT("*",Table13[[#Headers],[Family]],"*")),1,0)</f>
        <v>0</v>
      </c>
      <c r="Q123">
        <f>IF(COUNTIF($E123, _xlfn.CONCAT("*",Table13[[#Headers],[Fantasy]],"*")),1,0)</f>
        <v>0</v>
      </c>
      <c r="R123">
        <f>IF(COUNTIF($E123, _xlfn.CONCAT("*",Table13[[#Headers],[History]],"*")),1,0)</f>
        <v>0</v>
      </c>
      <c r="S123">
        <f>IF(COUNTIF($E123, _xlfn.CONCAT("*",Table13[[#Headers],[Horror]],"*")),1,0)</f>
        <v>0</v>
      </c>
      <c r="T123">
        <f>IF(COUNTIF($E123, _xlfn.CONCAT("*",Table13[[#Headers],[Music]],"*")),1,0)</f>
        <v>0</v>
      </c>
      <c r="U123">
        <f>IF(COUNTIF($E123, _xlfn.CONCAT("*",Table13[[#Headers],[Mystery]],"*")),1,0)</f>
        <v>0</v>
      </c>
      <c r="V123">
        <f>IF(COUNTIF($E123, _xlfn.CONCAT("*",Table13[[#Headers],[Romance]],"*")),1,0)</f>
        <v>1</v>
      </c>
      <c r="W123">
        <f>IF(COUNTIF($E123, _xlfn.CONCAT("*",Table13[[#Headers],[Science Fiction]],"*")),1,0)</f>
        <v>0</v>
      </c>
      <c r="X123">
        <f>IF(COUNTIF($E123, _xlfn.CONCAT("*",Table13[[#Headers],[TV Movie]],"*")),1,0)</f>
        <v>0</v>
      </c>
      <c r="Y123">
        <f>IF(COUNTIF($E123, _xlfn.CONCAT("*",Table13[[#Headers],[Thriller]],"*")),1,0)</f>
        <v>0</v>
      </c>
      <c r="Z123">
        <f>IF(COUNTIF($E123, _xlfn.CONCAT("*",Table13[[#Headers],[War]],"*")),1,0)</f>
        <v>0</v>
      </c>
      <c r="AA123">
        <f>IF(COUNTIF($E123, _xlfn.CONCAT("*",Table13[[#Headers],[Western]],"*")),1,0)</f>
        <v>0</v>
      </c>
    </row>
    <row r="124" spans="1:27">
      <c r="A124" t="s">
        <v>199</v>
      </c>
      <c r="B124">
        <v>142</v>
      </c>
      <c r="C124">
        <f>MAX(Table13[Rank])-Table13[[#This Row],[Rank]]</f>
        <v>122</v>
      </c>
      <c r="D124" t="s">
        <v>7</v>
      </c>
      <c r="E124" t="s">
        <v>156</v>
      </c>
      <c r="F124" s="1">
        <v>21900</v>
      </c>
      <c r="G124">
        <f>YEAR(Table13[[#This Row],[Date]])</f>
        <v>1959</v>
      </c>
      <c r="H124" t="s">
        <v>199</v>
      </c>
      <c r="I124">
        <f>IF(COUNTIF($E124, _xlfn.CONCAT("*",Table13[[#Headers],[Action]],"*")),1,0)</f>
        <v>0</v>
      </c>
      <c r="J124">
        <f>IF(COUNTIF($E124, _xlfn.CONCAT("*",Table13[[#Headers],[Adventure]],"*")),1,0)</f>
        <v>0</v>
      </c>
      <c r="K124">
        <f>IF(COUNTIF($E124, _xlfn.CONCAT("*",Table13[[#Headers],[Animation]],"*")),1,0)</f>
        <v>0</v>
      </c>
      <c r="L124">
        <f>IF(COUNTIF($E124, _xlfn.CONCAT("*",Table13[[#Headers],[Comedy]],"*")),1,0)</f>
        <v>0</v>
      </c>
      <c r="M124">
        <f>IF(COUNTIF($E124, _xlfn.CONCAT("*",Table13[[#Headers],[Crime]],"*")),1,0)</f>
        <v>1</v>
      </c>
      <c r="N124">
        <f>IF(COUNTIF($E124, _xlfn.CONCAT("*",Table13[[#Headers],[Documentary]],"*")),1,0)</f>
        <v>0</v>
      </c>
      <c r="O124">
        <f>IF(COUNTIF($E124, _xlfn.CONCAT("*",Table13[[#Headers],[Drama]],"*")),1,0)</f>
        <v>1</v>
      </c>
      <c r="P124">
        <f>IF(COUNTIF($E124, _xlfn.CONCAT("*",Table13[[#Headers],[Family]],"*")),1,0)</f>
        <v>0</v>
      </c>
      <c r="Q124">
        <f>IF(COUNTIF($E124, _xlfn.CONCAT("*",Table13[[#Headers],[Fantasy]],"*")),1,0)</f>
        <v>0</v>
      </c>
      <c r="R124">
        <f>IF(COUNTIF($E124, _xlfn.CONCAT("*",Table13[[#Headers],[History]],"*")),1,0)</f>
        <v>0</v>
      </c>
      <c r="S124">
        <f>IF(COUNTIF($E124, _xlfn.CONCAT("*",Table13[[#Headers],[Horror]],"*")),1,0)</f>
        <v>0</v>
      </c>
      <c r="T124">
        <f>IF(COUNTIF($E124, _xlfn.CONCAT("*",Table13[[#Headers],[Music]],"*")),1,0)</f>
        <v>0</v>
      </c>
      <c r="U124">
        <f>IF(COUNTIF($E124, _xlfn.CONCAT("*",Table13[[#Headers],[Mystery]],"*")),1,0)</f>
        <v>0</v>
      </c>
      <c r="V124">
        <f>IF(COUNTIF($E124, _xlfn.CONCAT("*",Table13[[#Headers],[Romance]],"*")),1,0)</f>
        <v>0</v>
      </c>
      <c r="W124">
        <f>IF(COUNTIF($E124, _xlfn.CONCAT("*",Table13[[#Headers],[Science Fiction]],"*")),1,0)</f>
        <v>0</v>
      </c>
      <c r="X124">
        <f>IF(COUNTIF($E124, _xlfn.CONCAT("*",Table13[[#Headers],[TV Movie]],"*")),1,0)</f>
        <v>0</v>
      </c>
      <c r="Y124">
        <f>IF(COUNTIF($E124, _xlfn.CONCAT("*",Table13[[#Headers],[Thriller]],"*")),1,0)</f>
        <v>0</v>
      </c>
      <c r="Z124">
        <f>IF(COUNTIF($E124, _xlfn.CONCAT("*",Table13[[#Headers],[War]],"*")),1,0)</f>
        <v>0</v>
      </c>
      <c r="AA124">
        <f>IF(COUNTIF($E124, _xlfn.CONCAT("*",Table13[[#Headers],[Western]],"*")),1,0)</f>
        <v>0</v>
      </c>
    </row>
    <row r="125" spans="1:27">
      <c r="A125" t="s">
        <v>200</v>
      </c>
      <c r="B125">
        <v>141</v>
      </c>
      <c r="C125">
        <f>MAX(Table13[Rank])-Table13[[#This Row],[Rank]]</f>
        <v>123</v>
      </c>
      <c r="D125" t="s">
        <v>7</v>
      </c>
      <c r="E125" t="s">
        <v>201</v>
      </c>
      <c r="F125" s="1">
        <v>20867</v>
      </c>
      <c r="G125">
        <f>YEAR(Table13[[#This Row],[Date]])</f>
        <v>1957</v>
      </c>
      <c r="H125" t="s">
        <v>200</v>
      </c>
      <c r="I125">
        <f>IF(COUNTIF($E125, _xlfn.CONCAT("*",Table13[[#Headers],[Action]],"*")),1,0)</f>
        <v>0</v>
      </c>
      <c r="J125">
        <f>IF(COUNTIF($E125, _xlfn.CONCAT("*",Table13[[#Headers],[Adventure]],"*")),1,0)</f>
        <v>0</v>
      </c>
      <c r="K125">
        <f>IF(COUNTIF($E125, _xlfn.CONCAT("*",Table13[[#Headers],[Animation]],"*")),1,0)</f>
        <v>0</v>
      </c>
      <c r="L125">
        <f>IF(COUNTIF($E125, _xlfn.CONCAT("*",Table13[[#Headers],[Comedy]],"*")),1,0)</f>
        <v>0</v>
      </c>
      <c r="M125">
        <f>IF(COUNTIF($E125, _xlfn.CONCAT("*",Table13[[#Headers],[Crime]],"*")),1,0)</f>
        <v>0</v>
      </c>
      <c r="N125">
        <f>IF(COUNTIF($E125, _xlfn.CONCAT("*",Table13[[#Headers],[Documentary]],"*")),1,0)</f>
        <v>0</v>
      </c>
      <c r="O125">
        <f>IF(COUNTIF($E125, _xlfn.CONCAT("*",Table13[[#Headers],[Drama]],"*")),1,0)</f>
        <v>1</v>
      </c>
      <c r="P125">
        <f>IF(COUNTIF($E125, _xlfn.CONCAT("*",Table13[[#Headers],[Family]],"*")),1,0)</f>
        <v>0</v>
      </c>
      <c r="Q125">
        <f>IF(COUNTIF($E125, _xlfn.CONCAT("*",Table13[[#Headers],[Fantasy]],"*")),1,0)</f>
        <v>1</v>
      </c>
      <c r="R125">
        <f>IF(COUNTIF($E125, _xlfn.CONCAT("*",Table13[[#Headers],[History]],"*")),1,0)</f>
        <v>0</v>
      </c>
      <c r="S125">
        <f>IF(COUNTIF($E125, _xlfn.CONCAT("*",Table13[[#Headers],[Horror]],"*")),1,0)</f>
        <v>0</v>
      </c>
      <c r="T125">
        <f>IF(COUNTIF($E125, _xlfn.CONCAT("*",Table13[[#Headers],[Music]],"*")),1,0)</f>
        <v>0</v>
      </c>
      <c r="U125">
        <f>IF(COUNTIF($E125, _xlfn.CONCAT("*",Table13[[#Headers],[Mystery]],"*")),1,0)</f>
        <v>0</v>
      </c>
      <c r="V125">
        <f>IF(COUNTIF($E125, _xlfn.CONCAT("*",Table13[[#Headers],[Romance]],"*")),1,0)</f>
        <v>0</v>
      </c>
      <c r="W125">
        <f>IF(COUNTIF($E125, _xlfn.CONCAT("*",Table13[[#Headers],[Science Fiction]],"*")),1,0)</f>
        <v>0</v>
      </c>
      <c r="X125">
        <f>IF(COUNTIF($E125, _xlfn.CONCAT("*",Table13[[#Headers],[TV Movie]],"*")),1,0)</f>
        <v>0</v>
      </c>
      <c r="Y125">
        <f>IF(COUNTIF($E125, _xlfn.CONCAT("*",Table13[[#Headers],[Thriller]],"*")),1,0)</f>
        <v>0</v>
      </c>
      <c r="Z125">
        <f>IF(COUNTIF($E125, _xlfn.CONCAT("*",Table13[[#Headers],[War]],"*")),1,0)</f>
        <v>0</v>
      </c>
      <c r="AA125">
        <f>IF(COUNTIF($E125, _xlfn.CONCAT("*",Table13[[#Headers],[Western]],"*")),1,0)</f>
        <v>0</v>
      </c>
    </row>
    <row r="126" spans="1:27">
      <c r="A126" t="s">
        <v>202</v>
      </c>
      <c r="B126">
        <v>140</v>
      </c>
      <c r="C126">
        <f>MAX(Table13[Rank])-Table13[[#This Row],[Rank]]</f>
        <v>124</v>
      </c>
      <c r="D126" t="s">
        <v>7</v>
      </c>
      <c r="E126" t="s">
        <v>203</v>
      </c>
      <c r="F126" s="1">
        <v>11992</v>
      </c>
      <c r="G126">
        <f>YEAR(Table13[[#This Row],[Date]])</f>
        <v>1932</v>
      </c>
      <c r="H126" t="s">
        <v>204</v>
      </c>
      <c r="I126">
        <f>IF(COUNTIF($E126, _xlfn.CONCAT("*",Table13[[#Headers],[Action]],"*")),1,0)</f>
        <v>0</v>
      </c>
      <c r="J126">
        <f>IF(COUNTIF($E126, _xlfn.CONCAT("*",Table13[[#Headers],[Adventure]],"*")),1,0)</f>
        <v>0</v>
      </c>
      <c r="K126">
        <f>IF(COUNTIF($E126, _xlfn.CONCAT("*",Table13[[#Headers],[Animation]],"*")),1,0)</f>
        <v>0</v>
      </c>
      <c r="L126">
        <f>IF(COUNTIF($E126, _xlfn.CONCAT("*",Table13[[#Headers],[Comedy]],"*")),1,0)</f>
        <v>1</v>
      </c>
      <c r="M126">
        <f>IF(COUNTIF($E126, _xlfn.CONCAT("*",Table13[[#Headers],[Crime]],"*")),1,0)</f>
        <v>1</v>
      </c>
      <c r="N126">
        <f>IF(COUNTIF($E126, _xlfn.CONCAT("*",Table13[[#Headers],[Documentary]],"*")),1,0)</f>
        <v>0</v>
      </c>
      <c r="O126">
        <f>IF(COUNTIF($E126, _xlfn.CONCAT("*",Table13[[#Headers],[Drama]],"*")),1,0)</f>
        <v>0</v>
      </c>
      <c r="P126">
        <f>IF(COUNTIF($E126, _xlfn.CONCAT("*",Table13[[#Headers],[Family]],"*")),1,0)</f>
        <v>0</v>
      </c>
      <c r="Q126">
        <f>IF(COUNTIF($E126, _xlfn.CONCAT("*",Table13[[#Headers],[Fantasy]],"*")),1,0)</f>
        <v>0</v>
      </c>
      <c r="R126">
        <f>IF(COUNTIF($E126, _xlfn.CONCAT("*",Table13[[#Headers],[History]],"*")),1,0)</f>
        <v>0</v>
      </c>
      <c r="S126">
        <f>IF(COUNTIF($E126, _xlfn.CONCAT("*",Table13[[#Headers],[Horror]],"*")),1,0)</f>
        <v>0</v>
      </c>
      <c r="T126">
        <f>IF(COUNTIF($E126, _xlfn.CONCAT("*",Table13[[#Headers],[Music]],"*")),1,0)</f>
        <v>0</v>
      </c>
      <c r="U126">
        <f>IF(COUNTIF($E126, _xlfn.CONCAT("*",Table13[[#Headers],[Mystery]],"*")),1,0)</f>
        <v>0</v>
      </c>
      <c r="V126">
        <f>IF(COUNTIF($E126, _xlfn.CONCAT("*",Table13[[#Headers],[Romance]],"*")),1,0)</f>
        <v>1</v>
      </c>
      <c r="W126">
        <f>IF(COUNTIF($E126, _xlfn.CONCAT("*",Table13[[#Headers],[Science Fiction]],"*")),1,0)</f>
        <v>0</v>
      </c>
      <c r="X126">
        <f>IF(COUNTIF($E126, _xlfn.CONCAT("*",Table13[[#Headers],[TV Movie]],"*")),1,0)</f>
        <v>0</v>
      </c>
      <c r="Y126">
        <f>IF(COUNTIF($E126, _xlfn.CONCAT("*",Table13[[#Headers],[Thriller]],"*")),1,0)</f>
        <v>0</v>
      </c>
      <c r="Z126">
        <f>IF(COUNTIF($E126, _xlfn.CONCAT("*",Table13[[#Headers],[War]],"*")),1,0)</f>
        <v>0</v>
      </c>
      <c r="AA126">
        <f>IF(COUNTIF($E126, _xlfn.CONCAT("*",Table13[[#Headers],[Western]],"*")),1,0)</f>
        <v>0</v>
      </c>
    </row>
    <row r="127" spans="1:27">
      <c r="A127" t="s">
        <v>205</v>
      </c>
      <c r="B127">
        <v>139</v>
      </c>
      <c r="C127">
        <f>MAX(Table13[Rank])-Table13[[#This Row],[Rank]]</f>
        <v>125</v>
      </c>
      <c r="D127" t="s">
        <v>7</v>
      </c>
      <c r="E127" t="s">
        <v>21</v>
      </c>
      <c r="F127" s="1">
        <v>26780</v>
      </c>
      <c r="G127">
        <f>YEAR(Table13[[#This Row],[Date]])</f>
        <v>1973</v>
      </c>
      <c r="H127" t="s">
        <v>205</v>
      </c>
      <c r="I127">
        <f>IF(COUNTIF($E127, _xlfn.CONCAT("*",Table13[[#Headers],[Action]],"*")),1,0)</f>
        <v>0</v>
      </c>
      <c r="J127">
        <f>IF(COUNTIF($E127, _xlfn.CONCAT("*",Table13[[#Headers],[Adventure]],"*")),1,0)</f>
        <v>0</v>
      </c>
      <c r="K127">
        <f>IF(COUNTIF($E127, _xlfn.CONCAT("*",Table13[[#Headers],[Animation]],"*")),1,0)</f>
        <v>0</v>
      </c>
      <c r="L127">
        <f>IF(COUNTIF($E127, _xlfn.CONCAT("*",Table13[[#Headers],[Comedy]],"*")),1,0)</f>
        <v>0</v>
      </c>
      <c r="M127">
        <f>IF(COUNTIF($E127, _xlfn.CONCAT("*",Table13[[#Headers],[Crime]],"*")),1,0)</f>
        <v>0</v>
      </c>
      <c r="N127">
        <f>IF(COUNTIF($E127, _xlfn.CONCAT("*",Table13[[#Headers],[Documentary]],"*")),1,0)</f>
        <v>0</v>
      </c>
      <c r="O127">
        <f>IF(COUNTIF($E127, _xlfn.CONCAT("*",Table13[[#Headers],[Drama]],"*")),1,0)</f>
        <v>1</v>
      </c>
      <c r="P127">
        <f>IF(COUNTIF($E127, _xlfn.CONCAT("*",Table13[[#Headers],[Family]],"*")),1,0)</f>
        <v>0</v>
      </c>
      <c r="Q127">
        <f>IF(COUNTIF($E127, _xlfn.CONCAT("*",Table13[[#Headers],[Fantasy]],"*")),1,0)</f>
        <v>0</v>
      </c>
      <c r="R127">
        <f>IF(COUNTIF($E127, _xlfn.CONCAT("*",Table13[[#Headers],[History]],"*")),1,0)</f>
        <v>0</v>
      </c>
      <c r="S127">
        <f>IF(COUNTIF($E127, _xlfn.CONCAT("*",Table13[[#Headers],[Horror]],"*")),1,0)</f>
        <v>0</v>
      </c>
      <c r="T127">
        <f>IF(COUNTIF($E127, _xlfn.CONCAT("*",Table13[[#Headers],[Music]],"*")),1,0)</f>
        <v>0</v>
      </c>
      <c r="U127">
        <f>IF(COUNTIF($E127, _xlfn.CONCAT("*",Table13[[#Headers],[Mystery]],"*")),1,0)</f>
        <v>0</v>
      </c>
      <c r="V127">
        <f>IF(COUNTIF($E127, _xlfn.CONCAT("*",Table13[[#Headers],[Romance]],"*")),1,0)</f>
        <v>0</v>
      </c>
      <c r="W127">
        <f>IF(COUNTIF($E127, _xlfn.CONCAT("*",Table13[[#Headers],[Science Fiction]],"*")),1,0)</f>
        <v>0</v>
      </c>
      <c r="X127">
        <f>IF(COUNTIF($E127, _xlfn.CONCAT("*",Table13[[#Headers],[TV Movie]],"*")),1,0)</f>
        <v>0</v>
      </c>
      <c r="Y127">
        <f>IF(COUNTIF($E127, _xlfn.CONCAT("*",Table13[[#Headers],[Thriller]],"*")),1,0)</f>
        <v>0</v>
      </c>
      <c r="Z127">
        <f>IF(COUNTIF($E127, _xlfn.CONCAT("*",Table13[[#Headers],[War]],"*")),1,0)</f>
        <v>0</v>
      </c>
      <c r="AA127">
        <f>IF(COUNTIF($E127, _xlfn.CONCAT("*",Table13[[#Headers],[Western]],"*")),1,0)</f>
        <v>0</v>
      </c>
    </row>
    <row r="128" spans="1:27">
      <c r="A128" t="s">
        <v>206</v>
      </c>
      <c r="B128">
        <v>138</v>
      </c>
      <c r="C128">
        <f>MAX(Table13[Rank])-Table13[[#This Row],[Rank]]</f>
        <v>126</v>
      </c>
      <c r="D128" t="s">
        <v>7</v>
      </c>
      <c r="E128" t="s">
        <v>141</v>
      </c>
      <c r="F128" s="1">
        <v>25373</v>
      </c>
      <c r="G128">
        <f>YEAR(Table13[[#This Row],[Date]])</f>
        <v>1969</v>
      </c>
      <c r="H128" t="s">
        <v>206</v>
      </c>
      <c r="I128">
        <f>IF(COUNTIF($E128, _xlfn.CONCAT("*",Table13[[#Headers],[Action]],"*")),1,0)</f>
        <v>0</v>
      </c>
      <c r="J128">
        <f>IF(COUNTIF($E128, _xlfn.CONCAT("*",Table13[[#Headers],[Adventure]],"*")),1,0)</f>
        <v>0</v>
      </c>
      <c r="K128">
        <f>IF(COUNTIF($E128, _xlfn.CONCAT("*",Table13[[#Headers],[Animation]],"*")),1,0)</f>
        <v>0</v>
      </c>
      <c r="L128">
        <f>IF(COUNTIF($E128, _xlfn.CONCAT("*",Table13[[#Headers],[Comedy]],"*")),1,0)</f>
        <v>0</v>
      </c>
      <c r="M128">
        <f>IF(COUNTIF($E128, _xlfn.CONCAT("*",Table13[[#Headers],[Crime]],"*")),1,0)</f>
        <v>0</v>
      </c>
      <c r="N128">
        <f>IF(COUNTIF($E128, _xlfn.CONCAT("*",Table13[[#Headers],[Documentary]],"*")),1,0)</f>
        <v>0</v>
      </c>
      <c r="O128">
        <f>IF(COUNTIF($E128, _xlfn.CONCAT("*",Table13[[#Headers],[Drama]],"*")),1,0)</f>
        <v>0</v>
      </c>
      <c r="P128">
        <f>IF(COUNTIF($E128, _xlfn.CONCAT("*",Table13[[#Headers],[Family]],"*")),1,0)</f>
        <v>0</v>
      </c>
      <c r="Q128">
        <f>IF(COUNTIF($E128, _xlfn.CONCAT("*",Table13[[#Headers],[Fantasy]],"*")),1,0)</f>
        <v>0</v>
      </c>
      <c r="R128">
        <f>IF(COUNTIF($E128, _xlfn.CONCAT("*",Table13[[#Headers],[History]],"*")),1,0)</f>
        <v>0</v>
      </c>
      <c r="S128">
        <f>IF(COUNTIF($E128, _xlfn.CONCAT("*",Table13[[#Headers],[Horror]],"*")),1,0)</f>
        <v>0</v>
      </c>
      <c r="T128">
        <f>IF(COUNTIF($E128, _xlfn.CONCAT("*",Table13[[#Headers],[Music]],"*")),1,0)</f>
        <v>0</v>
      </c>
      <c r="U128">
        <f>IF(COUNTIF($E128, _xlfn.CONCAT("*",Table13[[#Headers],[Mystery]],"*")),1,0)</f>
        <v>0</v>
      </c>
      <c r="V128">
        <f>IF(COUNTIF($E128, _xlfn.CONCAT("*",Table13[[#Headers],[Romance]],"*")),1,0)</f>
        <v>0</v>
      </c>
      <c r="W128">
        <f>IF(COUNTIF($E128, _xlfn.CONCAT("*",Table13[[#Headers],[Science Fiction]],"*")),1,0)</f>
        <v>0</v>
      </c>
      <c r="X128">
        <f>IF(COUNTIF($E128, _xlfn.CONCAT("*",Table13[[#Headers],[TV Movie]],"*")),1,0)</f>
        <v>0</v>
      </c>
      <c r="Y128">
        <f>IF(COUNTIF($E128, _xlfn.CONCAT("*",Table13[[#Headers],[Thriller]],"*")),1,0)</f>
        <v>0</v>
      </c>
      <c r="Z128">
        <f>IF(COUNTIF($E128, _xlfn.CONCAT("*",Table13[[#Headers],[War]],"*")),1,0)</f>
        <v>0</v>
      </c>
      <c r="AA128">
        <f>IF(COUNTIF($E128, _xlfn.CONCAT("*",Table13[[#Headers],[Western]],"*")),1,0)</f>
        <v>1</v>
      </c>
    </row>
    <row r="129" spans="1:27">
      <c r="A129" t="s">
        <v>207</v>
      </c>
      <c r="B129">
        <v>137</v>
      </c>
      <c r="C129">
        <f>MAX(Table13[Rank])-Table13[[#This Row],[Rank]]</f>
        <v>127</v>
      </c>
      <c r="D129" t="s">
        <v>7</v>
      </c>
      <c r="E129" t="s">
        <v>35</v>
      </c>
      <c r="F129" s="1">
        <v>16511</v>
      </c>
      <c r="G129">
        <f>YEAR(Table13[[#This Row],[Date]])</f>
        <v>1945</v>
      </c>
      <c r="H129" t="s">
        <v>896</v>
      </c>
      <c r="I129">
        <f>IF(COUNTIF($E129, _xlfn.CONCAT("*",Table13[[#Headers],[Action]],"*")),1,0)</f>
        <v>0</v>
      </c>
      <c r="J129">
        <f>IF(COUNTIF($E129, _xlfn.CONCAT("*",Table13[[#Headers],[Adventure]],"*")),1,0)</f>
        <v>0</v>
      </c>
      <c r="K129">
        <f>IF(COUNTIF($E129, _xlfn.CONCAT("*",Table13[[#Headers],[Animation]],"*")),1,0)</f>
        <v>0</v>
      </c>
      <c r="L129">
        <f>IF(COUNTIF($E129, _xlfn.CONCAT("*",Table13[[#Headers],[Comedy]],"*")),1,0)</f>
        <v>0</v>
      </c>
      <c r="M129">
        <f>IF(COUNTIF($E129, _xlfn.CONCAT("*",Table13[[#Headers],[Crime]],"*")),1,0)</f>
        <v>0</v>
      </c>
      <c r="N129">
        <f>IF(COUNTIF($E129, _xlfn.CONCAT("*",Table13[[#Headers],[Documentary]],"*")),1,0)</f>
        <v>0</v>
      </c>
      <c r="O129">
        <f>IF(COUNTIF($E129, _xlfn.CONCAT("*",Table13[[#Headers],[Drama]],"*")),1,0)</f>
        <v>1</v>
      </c>
      <c r="P129">
        <f>IF(COUNTIF($E129, _xlfn.CONCAT("*",Table13[[#Headers],[Family]],"*")),1,0)</f>
        <v>0</v>
      </c>
      <c r="Q129">
        <f>IF(COUNTIF($E129, _xlfn.CONCAT("*",Table13[[#Headers],[Fantasy]],"*")),1,0)</f>
        <v>0</v>
      </c>
      <c r="R129">
        <f>IF(COUNTIF($E129, _xlfn.CONCAT("*",Table13[[#Headers],[History]],"*")),1,0)</f>
        <v>0</v>
      </c>
      <c r="S129">
        <f>IF(COUNTIF($E129, _xlfn.CONCAT("*",Table13[[#Headers],[Horror]],"*")),1,0)</f>
        <v>0</v>
      </c>
      <c r="T129">
        <f>IF(COUNTIF($E129, _xlfn.CONCAT("*",Table13[[#Headers],[Music]],"*")),1,0)</f>
        <v>0</v>
      </c>
      <c r="U129">
        <f>IF(COUNTIF($E129, _xlfn.CONCAT("*",Table13[[#Headers],[Mystery]],"*")),1,0)</f>
        <v>0</v>
      </c>
      <c r="V129">
        <f>IF(COUNTIF($E129, _xlfn.CONCAT("*",Table13[[#Headers],[Romance]],"*")),1,0)</f>
        <v>1</v>
      </c>
      <c r="W129">
        <f>IF(COUNTIF($E129, _xlfn.CONCAT("*",Table13[[#Headers],[Science Fiction]],"*")),1,0)</f>
        <v>0</v>
      </c>
      <c r="X129">
        <f>IF(COUNTIF($E129, _xlfn.CONCAT("*",Table13[[#Headers],[TV Movie]],"*")),1,0)</f>
        <v>0</v>
      </c>
      <c r="Y129">
        <f>IF(COUNTIF($E129, _xlfn.CONCAT("*",Table13[[#Headers],[Thriller]],"*")),1,0)</f>
        <v>0</v>
      </c>
      <c r="Z129">
        <f>IF(COUNTIF($E129, _xlfn.CONCAT("*",Table13[[#Headers],[War]],"*")),1,0)</f>
        <v>0</v>
      </c>
      <c r="AA129">
        <f>IF(COUNTIF($E129, _xlfn.CONCAT("*",Table13[[#Headers],[Western]],"*")),1,0)</f>
        <v>0</v>
      </c>
    </row>
    <row r="130" spans="1:27">
      <c r="A130" t="s">
        <v>208</v>
      </c>
      <c r="B130">
        <v>136</v>
      </c>
      <c r="C130">
        <f>MAX(Table13[Rank])-Table13[[#This Row],[Rank]]</f>
        <v>128</v>
      </c>
      <c r="D130" t="s">
        <v>7</v>
      </c>
      <c r="E130" t="s">
        <v>21</v>
      </c>
      <c r="F130" s="1">
        <v>36993</v>
      </c>
      <c r="G130">
        <f>YEAR(Table13[[#This Row],[Date]])</f>
        <v>2001</v>
      </c>
      <c r="H130" t="s">
        <v>209</v>
      </c>
      <c r="I130">
        <f>IF(COUNTIF($E130, _xlfn.CONCAT("*",Table13[[#Headers],[Action]],"*")),1,0)</f>
        <v>0</v>
      </c>
      <c r="J130">
        <f>IF(COUNTIF($E130, _xlfn.CONCAT("*",Table13[[#Headers],[Adventure]],"*")),1,0)</f>
        <v>0</v>
      </c>
      <c r="K130">
        <f>IF(COUNTIF($E130, _xlfn.CONCAT("*",Table13[[#Headers],[Animation]],"*")),1,0)</f>
        <v>0</v>
      </c>
      <c r="L130">
        <f>IF(COUNTIF($E130, _xlfn.CONCAT("*",Table13[[#Headers],[Comedy]],"*")),1,0)</f>
        <v>0</v>
      </c>
      <c r="M130">
        <f>IF(COUNTIF($E130, _xlfn.CONCAT("*",Table13[[#Headers],[Crime]],"*")),1,0)</f>
        <v>0</v>
      </c>
      <c r="N130">
        <f>IF(COUNTIF($E130, _xlfn.CONCAT("*",Table13[[#Headers],[Documentary]],"*")),1,0)</f>
        <v>0</v>
      </c>
      <c r="O130">
        <f>IF(COUNTIF($E130, _xlfn.CONCAT("*",Table13[[#Headers],[Drama]],"*")),1,0)</f>
        <v>1</v>
      </c>
      <c r="P130">
        <f>IF(COUNTIF($E130, _xlfn.CONCAT("*",Table13[[#Headers],[Family]],"*")),1,0)</f>
        <v>0</v>
      </c>
      <c r="Q130">
        <f>IF(COUNTIF($E130, _xlfn.CONCAT("*",Table13[[#Headers],[Fantasy]],"*")),1,0)</f>
        <v>0</v>
      </c>
      <c r="R130">
        <f>IF(COUNTIF($E130, _xlfn.CONCAT("*",Table13[[#Headers],[History]],"*")),1,0)</f>
        <v>0</v>
      </c>
      <c r="S130">
        <f>IF(COUNTIF($E130, _xlfn.CONCAT("*",Table13[[#Headers],[Horror]],"*")),1,0)</f>
        <v>0</v>
      </c>
      <c r="T130">
        <f>IF(COUNTIF($E130, _xlfn.CONCAT("*",Table13[[#Headers],[Music]],"*")),1,0)</f>
        <v>0</v>
      </c>
      <c r="U130">
        <f>IF(COUNTIF($E130, _xlfn.CONCAT("*",Table13[[#Headers],[Mystery]],"*")),1,0)</f>
        <v>0</v>
      </c>
      <c r="V130">
        <f>IF(COUNTIF($E130, _xlfn.CONCAT("*",Table13[[#Headers],[Romance]],"*")),1,0)</f>
        <v>0</v>
      </c>
      <c r="W130">
        <f>IF(COUNTIF($E130, _xlfn.CONCAT("*",Table13[[#Headers],[Science Fiction]],"*")),1,0)</f>
        <v>0</v>
      </c>
      <c r="X130">
        <f>IF(COUNTIF($E130, _xlfn.CONCAT("*",Table13[[#Headers],[TV Movie]],"*")),1,0)</f>
        <v>0</v>
      </c>
      <c r="Y130">
        <f>IF(COUNTIF($E130, _xlfn.CONCAT("*",Table13[[#Headers],[Thriller]],"*")),1,0)</f>
        <v>0</v>
      </c>
      <c r="Z130">
        <f>IF(COUNTIF($E130, _xlfn.CONCAT("*",Table13[[#Headers],[War]],"*")),1,0)</f>
        <v>0</v>
      </c>
      <c r="AA130">
        <f>IF(COUNTIF($E130, _xlfn.CONCAT("*",Table13[[#Headers],[Western]],"*")),1,0)</f>
        <v>0</v>
      </c>
    </row>
    <row r="131" spans="1:27">
      <c r="A131" t="s">
        <v>210</v>
      </c>
      <c r="B131">
        <v>135</v>
      </c>
      <c r="C131">
        <f>MAX(Table13[Rank])-Table13[[#This Row],[Rank]]</f>
        <v>129</v>
      </c>
      <c r="D131" t="s">
        <v>7</v>
      </c>
      <c r="E131" t="s">
        <v>211</v>
      </c>
      <c r="F131" s="1">
        <v>17156</v>
      </c>
      <c r="G131">
        <f>YEAR(Table13[[#This Row],[Date]])</f>
        <v>1946</v>
      </c>
      <c r="H131" t="s">
        <v>210</v>
      </c>
      <c r="I131">
        <f>IF(COUNTIF($E131, _xlfn.CONCAT("*",Table13[[#Headers],[Action]],"*")),1,0)</f>
        <v>0</v>
      </c>
      <c r="J131">
        <f>IF(COUNTIF($E131, _xlfn.CONCAT("*",Table13[[#Headers],[Adventure]],"*")),1,0)</f>
        <v>0</v>
      </c>
      <c r="K131">
        <f>IF(COUNTIF($E131, _xlfn.CONCAT("*",Table13[[#Headers],[Animation]],"*")),1,0)</f>
        <v>0</v>
      </c>
      <c r="L131">
        <f>IF(COUNTIF($E131, _xlfn.CONCAT("*",Table13[[#Headers],[Comedy]],"*")),1,0)</f>
        <v>0</v>
      </c>
      <c r="M131">
        <f>IF(COUNTIF($E131, _xlfn.CONCAT("*",Table13[[#Headers],[Crime]],"*")),1,0)</f>
        <v>0</v>
      </c>
      <c r="N131">
        <f>IF(COUNTIF($E131, _xlfn.CONCAT("*",Table13[[#Headers],[Documentary]],"*")),1,0)</f>
        <v>0</v>
      </c>
      <c r="O131">
        <f>IF(COUNTIF($E131, _xlfn.CONCAT("*",Table13[[#Headers],[Drama]],"*")),1,0)</f>
        <v>1</v>
      </c>
      <c r="P131">
        <f>IF(COUNTIF($E131, _xlfn.CONCAT("*",Table13[[#Headers],[Family]],"*")),1,0)</f>
        <v>1</v>
      </c>
      <c r="Q131">
        <f>IF(COUNTIF($E131, _xlfn.CONCAT("*",Table13[[#Headers],[Fantasy]],"*")),1,0)</f>
        <v>1</v>
      </c>
      <c r="R131">
        <f>IF(COUNTIF($E131, _xlfn.CONCAT("*",Table13[[#Headers],[History]],"*")),1,0)</f>
        <v>0</v>
      </c>
      <c r="S131">
        <f>IF(COUNTIF($E131, _xlfn.CONCAT("*",Table13[[#Headers],[Horror]],"*")),1,0)</f>
        <v>0</v>
      </c>
      <c r="T131">
        <f>IF(COUNTIF($E131, _xlfn.CONCAT("*",Table13[[#Headers],[Music]],"*")),1,0)</f>
        <v>0</v>
      </c>
      <c r="U131">
        <f>IF(COUNTIF($E131, _xlfn.CONCAT("*",Table13[[#Headers],[Mystery]],"*")),1,0)</f>
        <v>0</v>
      </c>
      <c r="V131">
        <f>IF(COUNTIF($E131, _xlfn.CONCAT("*",Table13[[#Headers],[Romance]],"*")),1,0)</f>
        <v>0</v>
      </c>
      <c r="W131">
        <f>IF(COUNTIF($E131, _xlfn.CONCAT("*",Table13[[#Headers],[Science Fiction]],"*")),1,0)</f>
        <v>0</v>
      </c>
      <c r="X131">
        <f>IF(COUNTIF($E131, _xlfn.CONCAT("*",Table13[[#Headers],[TV Movie]],"*")),1,0)</f>
        <v>0</v>
      </c>
      <c r="Y131">
        <f>IF(COUNTIF($E131, _xlfn.CONCAT("*",Table13[[#Headers],[Thriller]],"*")),1,0)</f>
        <v>0</v>
      </c>
      <c r="Z131">
        <f>IF(COUNTIF($E131, _xlfn.CONCAT("*",Table13[[#Headers],[War]],"*")),1,0)</f>
        <v>0</v>
      </c>
      <c r="AA131">
        <f>IF(COUNTIF($E131, _xlfn.CONCAT("*",Table13[[#Headers],[Western]],"*")),1,0)</f>
        <v>0</v>
      </c>
    </row>
    <row r="132" spans="1:27">
      <c r="A132" t="s">
        <v>212</v>
      </c>
      <c r="B132">
        <v>134</v>
      </c>
      <c r="C132">
        <f>MAX(Table13[Rank])-Table13[[#This Row],[Rank]]</f>
        <v>130</v>
      </c>
      <c r="D132" t="s">
        <v>7</v>
      </c>
      <c r="E132" t="s">
        <v>213</v>
      </c>
      <c r="F132" s="1">
        <v>39829</v>
      </c>
      <c r="G132">
        <f>YEAR(Table13[[#This Row],[Date]])</f>
        <v>2009</v>
      </c>
      <c r="H132" t="s">
        <v>212</v>
      </c>
      <c r="I132">
        <f>IF(COUNTIF($E132, _xlfn.CONCAT("*",Table13[[#Headers],[Action]],"*")),1,0)</f>
        <v>0</v>
      </c>
      <c r="J132">
        <f>IF(COUNTIF($E132, _xlfn.CONCAT("*",Table13[[#Headers],[Adventure]],"*")),1,0)</f>
        <v>0</v>
      </c>
      <c r="K132">
        <f>IF(COUNTIF($E132, _xlfn.CONCAT("*",Table13[[#Headers],[Animation]],"*")),1,0)</f>
        <v>0</v>
      </c>
      <c r="L132">
        <f>IF(COUNTIF($E132, _xlfn.CONCAT("*",Table13[[#Headers],[Comedy]],"*")),1,0)</f>
        <v>0</v>
      </c>
      <c r="M132">
        <f>IF(COUNTIF($E132, _xlfn.CONCAT("*",Table13[[#Headers],[Crime]],"*")),1,0)</f>
        <v>0</v>
      </c>
      <c r="N132">
        <f>IF(COUNTIF($E132, _xlfn.CONCAT("*",Table13[[#Headers],[Documentary]],"*")),1,0)</f>
        <v>0</v>
      </c>
      <c r="O132">
        <f>IF(COUNTIF($E132, _xlfn.CONCAT("*",Table13[[#Headers],[Drama]],"*")),1,0)</f>
        <v>1</v>
      </c>
      <c r="P132">
        <f>IF(COUNTIF($E132, _xlfn.CONCAT("*",Table13[[#Headers],[Family]],"*")),1,0)</f>
        <v>0</v>
      </c>
      <c r="Q132">
        <f>IF(COUNTIF($E132, _xlfn.CONCAT("*",Table13[[#Headers],[Fantasy]],"*")),1,0)</f>
        <v>0</v>
      </c>
      <c r="R132">
        <f>IF(COUNTIF($E132, _xlfn.CONCAT("*",Table13[[#Headers],[History]],"*")),1,0)</f>
        <v>1</v>
      </c>
      <c r="S132">
        <f>IF(COUNTIF($E132, _xlfn.CONCAT("*",Table13[[#Headers],[Horror]],"*")),1,0)</f>
        <v>0</v>
      </c>
      <c r="T132">
        <f>IF(COUNTIF($E132, _xlfn.CONCAT("*",Table13[[#Headers],[Music]],"*")),1,0)</f>
        <v>1</v>
      </c>
      <c r="U132">
        <f>IF(COUNTIF($E132, _xlfn.CONCAT("*",Table13[[#Headers],[Mystery]],"*")),1,0)</f>
        <v>0</v>
      </c>
      <c r="V132">
        <f>IF(COUNTIF($E132, _xlfn.CONCAT("*",Table13[[#Headers],[Romance]],"*")),1,0)</f>
        <v>0</v>
      </c>
      <c r="W132">
        <f>IF(COUNTIF($E132, _xlfn.CONCAT("*",Table13[[#Headers],[Science Fiction]],"*")),1,0)</f>
        <v>0</v>
      </c>
      <c r="X132">
        <f>IF(COUNTIF($E132, _xlfn.CONCAT("*",Table13[[#Headers],[TV Movie]],"*")),1,0)</f>
        <v>0</v>
      </c>
      <c r="Y132">
        <f>IF(COUNTIF($E132, _xlfn.CONCAT("*",Table13[[#Headers],[Thriller]],"*")),1,0)</f>
        <v>0</v>
      </c>
      <c r="Z132">
        <f>IF(COUNTIF($E132, _xlfn.CONCAT("*",Table13[[#Headers],[War]],"*")),1,0)</f>
        <v>0</v>
      </c>
      <c r="AA132">
        <f>IF(COUNTIF($E132, _xlfn.CONCAT("*",Table13[[#Headers],[Western]],"*")),1,0)</f>
        <v>0</v>
      </c>
    </row>
    <row r="133" spans="1:27">
      <c r="A133" t="s">
        <v>214</v>
      </c>
      <c r="B133">
        <v>133</v>
      </c>
      <c r="C133">
        <f>MAX(Table13[Rank])-Table13[[#This Row],[Rank]]</f>
        <v>131</v>
      </c>
      <c r="D133" t="s">
        <v>7</v>
      </c>
      <c r="E133" t="s">
        <v>215</v>
      </c>
      <c r="F133" s="1">
        <v>22991</v>
      </c>
      <c r="G133">
        <f>YEAR(Table13[[#This Row],[Date]])</f>
        <v>1962</v>
      </c>
      <c r="H133" t="s">
        <v>214</v>
      </c>
      <c r="I133">
        <f>IF(COUNTIF($E133, _xlfn.CONCAT("*",Table13[[#Headers],[Action]],"*")),1,0)</f>
        <v>0</v>
      </c>
      <c r="J133">
        <f>IF(COUNTIF($E133, _xlfn.CONCAT("*",Table13[[#Headers],[Adventure]],"*")),1,0)</f>
        <v>1</v>
      </c>
      <c r="K133">
        <f>IF(COUNTIF($E133, _xlfn.CONCAT("*",Table13[[#Headers],[Animation]],"*")),1,0)</f>
        <v>0</v>
      </c>
      <c r="L133">
        <f>IF(COUNTIF($E133, _xlfn.CONCAT("*",Table13[[#Headers],[Comedy]],"*")),1,0)</f>
        <v>0</v>
      </c>
      <c r="M133">
        <f>IF(COUNTIF($E133, _xlfn.CONCAT("*",Table13[[#Headers],[Crime]],"*")),1,0)</f>
        <v>0</v>
      </c>
      <c r="N133">
        <f>IF(COUNTIF($E133, _xlfn.CONCAT("*",Table13[[#Headers],[Documentary]],"*")),1,0)</f>
        <v>0</v>
      </c>
      <c r="O133">
        <f>IF(COUNTIF($E133, _xlfn.CONCAT("*",Table13[[#Headers],[Drama]],"*")),1,0)</f>
        <v>1</v>
      </c>
      <c r="P133">
        <f>IF(COUNTIF($E133, _xlfn.CONCAT("*",Table13[[#Headers],[Family]],"*")),1,0)</f>
        <v>0</v>
      </c>
      <c r="Q133">
        <f>IF(COUNTIF($E133, _xlfn.CONCAT("*",Table13[[#Headers],[Fantasy]],"*")),1,0)</f>
        <v>0</v>
      </c>
      <c r="R133">
        <f>IF(COUNTIF($E133, _xlfn.CONCAT("*",Table13[[#Headers],[History]],"*")),1,0)</f>
        <v>1</v>
      </c>
      <c r="S133">
        <f>IF(COUNTIF($E133, _xlfn.CONCAT("*",Table13[[#Headers],[Horror]],"*")),1,0)</f>
        <v>0</v>
      </c>
      <c r="T133">
        <f>IF(COUNTIF($E133, _xlfn.CONCAT("*",Table13[[#Headers],[Music]],"*")),1,0)</f>
        <v>0</v>
      </c>
      <c r="U133">
        <f>IF(COUNTIF($E133, _xlfn.CONCAT("*",Table13[[#Headers],[Mystery]],"*")),1,0)</f>
        <v>0</v>
      </c>
      <c r="V133">
        <f>IF(COUNTIF($E133, _xlfn.CONCAT("*",Table13[[#Headers],[Romance]],"*")),1,0)</f>
        <v>0</v>
      </c>
      <c r="W133">
        <f>IF(COUNTIF($E133, _xlfn.CONCAT("*",Table13[[#Headers],[Science Fiction]],"*")),1,0)</f>
        <v>0</v>
      </c>
      <c r="X133">
        <f>IF(COUNTIF($E133, _xlfn.CONCAT("*",Table13[[#Headers],[TV Movie]],"*")),1,0)</f>
        <v>0</v>
      </c>
      <c r="Y133">
        <f>IF(COUNTIF($E133, _xlfn.CONCAT("*",Table13[[#Headers],[Thriller]],"*")),1,0)</f>
        <v>0</v>
      </c>
      <c r="Z133">
        <f>IF(COUNTIF($E133, _xlfn.CONCAT("*",Table13[[#Headers],[War]],"*")),1,0)</f>
        <v>1</v>
      </c>
      <c r="AA133">
        <f>IF(COUNTIF($E133, _xlfn.CONCAT("*",Table13[[#Headers],[Western]],"*")),1,0)</f>
        <v>0</v>
      </c>
    </row>
    <row r="134" spans="1:27">
      <c r="A134" t="s">
        <v>216</v>
      </c>
      <c r="B134">
        <v>132</v>
      </c>
      <c r="C134">
        <f>MAX(Table13[Rank])-Table13[[#This Row],[Rank]]</f>
        <v>132</v>
      </c>
      <c r="D134" t="s">
        <v>7</v>
      </c>
      <c r="E134" t="s">
        <v>217</v>
      </c>
      <c r="F134" s="1">
        <v>34587</v>
      </c>
      <c r="G134">
        <f>YEAR(Table13[[#This Row],[Date]])</f>
        <v>1994</v>
      </c>
      <c r="H134" t="s">
        <v>216</v>
      </c>
      <c r="I134">
        <f>IF(COUNTIF($E134, _xlfn.CONCAT("*",Table13[[#Headers],[Action]],"*")),1,0)</f>
        <v>0</v>
      </c>
      <c r="J134">
        <f>IF(COUNTIF($E134, _xlfn.CONCAT("*",Table13[[#Headers],[Adventure]],"*")),1,0)</f>
        <v>0</v>
      </c>
      <c r="K134">
        <f>IF(COUNTIF($E134, _xlfn.CONCAT("*",Table13[[#Headers],[Animation]],"*")),1,0)</f>
        <v>0</v>
      </c>
      <c r="L134">
        <f>IF(COUNTIF($E134, _xlfn.CONCAT("*",Table13[[#Headers],[Comedy]],"*")),1,0)</f>
        <v>0</v>
      </c>
      <c r="M134">
        <f>IF(COUNTIF($E134, _xlfn.CONCAT("*",Table13[[#Headers],[Crime]],"*")),1,0)</f>
        <v>1</v>
      </c>
      <c r="N134">
        <f>IF(COUNTIF($E134, _xlfn.CONCAT("*",Table13[[#Headers],[Documentary]],"*")),1,0)</f>
        <v>0</v>
      </c>
      <c r="O134">
        <f>IF(COUNTIF($E134, _xlfn.CONCAT("*",Table13[[#Headers],[Drama]],"*")),1,0)</f>
        <v>0</v>
      </c>
      <c r="P134">
        <f>IF(COUNTIF($E134, _xlfn.CONCAT("*",Table13[[#Headers],[Family]],"*")),1,0)</f>
        <v>0</v>
      </c>
      <c r="Q134">
        <f>IF(COUNTIF($E134, _xlfn.CONCAT("*",Table13[[#Headers],[Fantasy]],"*")),1,0)</f>
        <v>0</v>
      </c>
      <c r="R134">
        <f>IF(COUNTIF($E134, _xlfn.CONCAT("*",Table13[[#Headers],[History]],"*")),1,0)</f>
        <v>0</v>
      </c>
      <c r="S134">
        <f>IF(COUNTIF($E134, _xlfn.CONCAT("*",Table13[[#Headers],[Horror]],"*")),1,0)</f>
        <v>0</v>
      </c>
      <c r="T134">
        <f>IF(COUNTIF($E134, _xlfn.CONCAT("*",Table13[[#Headers],[Music]],"*")),1,0)</f>
        <v>0</v>
      </c>
      <c r="U134">
        <f>IF(COUNTIF($E134, _xlfn.CONCAT("*",Table13[[#Headers],[Mystery]],"*")),1,0)</f>
        <v>0</v>
      </c>
      <c r="V134">
        <f>IF(COUNTIF($E134, _xlfn.CONCAT("*",Table13[[#Headers],[Romance]],"*")),1,0)</f>
        <v>0</v>
      </c>
      <c r="W134">
        <f>IF(COUNTIF($E134, _xlfn.CONCAT("*",Table13[[#Headers],[Science Fiction]],"*")),1,0)</f>
        <v>0</v>
      </c>
      <c r="X134">
        <f>IF(COUNTIF($E134, _xlfn.CONCAT("*",Table13[[#Headers],[TV Movie]],"*")),1,0)</f>
        <v>0</v>
      </c>
      <c r="Y134">
        <f>IF(COUNTIF($E134, _xlfn.CONCAT("*",Table13[[#Headers],[Thriller]],"*")),1,0)</f>
        <v>1</v>
      </c>
      <c r="Z134">
        <f>IF(COUNTIF($E134, _xlfn.CONCAT("*",Table13[[#Headers],[War]],"*")),1,0)</f>
        <v>0</v>
      </c>
      <c r="AA134">
        <f>IF(COUNTIF($E134, _xlfn.CONCAT("*",Table13[[#Headers],[Western]],"*")),1,0)</f>
        <v>0</v>
      </c>
    </row>
    <row r="135" spans="1:27">
      <c r="A135" t="s">
        <v>218</v>
      </c>
      <c r="B135">
        <v>131</v>
      </c>
      <c r="C135">
        <f>MAX(Table13[Rank])-Table13[[#This Row],[Rank]]</f>
        <v>133</v>
      </c>
      <c r="D135" t="s">
        <v>7</v>
      </c>
      <c r="E135" t="s">
        <v>21</v>
      </c>
      <c r="F135" s="1">
        <v>29539</v>
      </c>
      <c r="G135">
        <f>YEAR(Table13[[#This Row],[Date]])</f>
        <v>1980</v>
      </c>
      <c r="H135" t="s">
        <v>218</v>
      </c>
      <c r="I135">
        <f>IF(COUNTIF($E135, _xlfn.CONCAT("*",Table13[[#Headers],[Action]],"*")),1,0)</f>
        <v>0</v>
      </c>
      <c r="J135">
        <f>IF(COUNTIF($E135, _xlfn.CONCAT("*",Table13[[#Headers],[Adventure]],"*")),1,0)</f>
        <v>0</v>
      </c>
      <c r="K135">
        <f>IF(COUNTIF($E135, _xlfn.CONCAT("*",Table13[[#Headers],[Animation]],"*")),1,0)</f>
        <v>0</v>
      </c>
      <c r="L135">
        <f>IF(COUNTIF($E135, _xlfn.CONCAT("*",Table13[[#Headers],[Comedy]],"*")),1,0)</f>
        <v>0</v>
      </c>
      <c r="M135">
        <f>IF(COUNTIF($E135, _xlfn.CONCAT("*",Table13[[#Headers],[Crime]],"*")),1,0)</f>
        <v>0</v>
      </c>
      <c r="N135">
        <f>IF(COUNTIF($E135, _xlfn.CONCAT("*",Table13[[#Headers],[Documentary]],"*")),1,0)</f>
        <v>0</v>
      </c>
      <c r="O135">
        <f>IF(COUNTIF($E135, _xlfn.CONCAT("*",Table13[[#Headers],[Drama]],"*")),1,0)</f>
        <v>1</v>
      </c>
      <c r="P135">
        <f>IF(COUNTIF($E135, _xlfn.CONCAT("*",Table13[[#Headers],[Family]],"*")),1,0)</f>
        <v>0</v>
      </c>
      <c r="Q135">
        <f>IF(COUNTIF($E135, _xlfn.CONCAT("*",Table13[[#Headers],[Fantasy]],"*")),1,0)</f>
        <v>0</v>
      </c>
      <c r="R135">
        <f>IF(COUNTIF($E135, _xlfn.CONCAT("*",Table13[[#Headers],[History]],"*")),1,0)</f>
        <v>0</v>
      </c>
      <c r="S135">
        <f>IF(COUNTIF($E135, _xlfn.CONCAT("*",Table13[[#Headers],[Horror]],"*")),1,0)</f>
        <v>0</v>
      </c>
      <c r="T135">
        <f>IF(COUNTIF($E135, _xlfn.CONCAT("*",Table13[[#Headers],[Music]],"*")),1,0)</f>
        <v>0</v>
      </c>
      <c r="U135">
        <f>IF(COUNTIF($E135, _xlfn.CONCAT("*",Table13[[#Headers],[Mystery]],"*")),1,0)</f>
        <v>0</v>
      </c>
      <c r="V135">
        <f>IF(COUNTIF($E135, _xlfn.CONCAT("*",Table13[[#Headers],[Romance]],"*")),1,0)</f>
        <v>0</v>
      </c>
      <c r="W135">
        <f>IF(COUNTIF($E135, _xlfn.CONCAT("*",Table13[[#Headers],[Science Fiction]],"*")),1,0)</f>
        <v>0</v>
      </c>
      <c r="X135">
        <f>IF(COUNTIF($E135, _xlfn.CONCAT("*",Table13[[#Headers],[TV Movie]],"*")),1,0)</f>
        <v>0</v>
      </c>
      <c r="Y135">
        <f>IF(COUNTIF($E135, _xlfn.CONCAT("*",Table13[[#Headers],[Thriller]],"*")),1,0)</f>
        <v>0</v>
      </c>
      <c r="Z135">
        <f>IF(COUNTIF($E135, _xlfn.CONCAT("*",Table13[[#Headers],[War]],"*")),1,0)</f>
        <v>0</v>
      </c>
      <c r="AA135">
        <f>IF(COUNTIF($E135, _xlfn.CONCAT("*",Table13[[#Headers],[Western]],"*")),1,0)</f>
        <v>0</v>
      </c>
    </row>
    <row r="136" spans="1:27">
      <c r="A136" t="s">
        <v>219</v>
      </c>
      <c r="B136">
        <v>130</v>
      </c>
      <c r="C136">
        <f>MAX(Table13[Rank])-Table13[[#This Row],[Rank]]</f>
        <v>134</v>
      </c>
      <c r="D136" t="s">
        <v>7</v>
      </c>
      <c r="E136" t="s">
        <v>220</v>
      </c>
      <c r="F136" s="1">
        <v>14628</v>
      </c>
      <c r="G136">
        <f>YEAR(Table13[[#This Row],[Date]])</f>
        <v>1940</v>
      </c>
      <c r="H136" t="s">
        <v>219</v>
      </c>
      <c r="I136">
        <f>IF(COUNTIF($E136, _xlfn.CONCAT("*",Table13[[#Headers],[Action]],"*")),1,0)</f>
        <v>0</v>
      </c>
      <c r="J136">
        <f>IF(COUNTIF($E136, _xlfn.CONCAT("*",Table13[[#Headers],[Adventure]],"*")),1,0)</f>
        <v>0</v>
      </c>
      <c r="K136">
        <f>IF(COUNTIF($E136, _xlfn.CONCAT("*",Table13[[#Headers],[Animation]],"*")),1,0)</f>
        <v>0</v>
      </c>
      <c r="L136">
        <f>IF(COUNTIF($E136, _xlfn.CONCAT("*",Table13[[#Headers],[Comedy]],"*")),1,0)</f>
        <v>1</v>
      </c>
      <c r="M136">
        <f>IF(COUNTIF($E136, _xlfn.CONCAT("*",Table13[[#Headers],[Crime]],"*")),1,0)</f>
        <v>0</v>
      </c>
      <c r="N136">
        <f>IF(COUNTIF($E136, _xlfn.CONCAT("*",Table13[[#Headers],[Documentary]],"*")),1,0)</f>
        <v>0</v>
      </c>
      <c r="O136">
        <f>IF(COUNTIF($E136, _xlfn.CONCAT("*",Table13[[#Headers],[Drama]],"*")),1,0)</f>
        <v>0</v>
      </c>
      <c r="P136">
        <f>IF(COUNTIF($E136, _xlfn.CONCAT("*",Table13[[#Headers],[Family]],"*")),1,0)</f>
        <v>0</v>
      </c>
      <c r="Q136">
        <f>IF(COUNTIF($E136, _xlfn.CONCAT("*",Table13[[#Headers],[Fantasy]],"*")),1,0)</f>
        <v>0</v>
      </c>
      <c r="R136">
        <f>IF(COUNTIF($E136, _xlfn.CONCAT("*",Table13[[#Headers],[History]],"*")),1,0)</f>
        <v>0</v>
      </c>
      <c r="S136">
        <f>IF(COUNTIF($E136, _xlfn.CONCAT("*",Table13[[#Headers],[Horror]],"*")),1,0)</f>
        <v>0</v>
      </c>
      <c r="T136">
        <f>IF(COUNTIF($E136, _xlfn.CONCAT("*",Table13[[#Headers],[Music]],"*")),1,0)</f>
        <v>0</v>
      </c>
      <c r="U136">
        <f>IF(COUNTIF($E136, _xlfn.CONCAT("*",Table13[[#Headers],[Mystery]],"*")),1,0)</f>
        <v>0</v>
      </c>
      <c r="V136">
        <f>IF(COUNTIF($E136, _xlfn.CONCAT("*",Table13[[#Headers],[Romance]],"*")),1,0)</f>
        <v>1</v>
      </c>
      <c r="W136">
        <f>IF(COUNTIF($E136, _xlfn.CONCAT("*",Table13[[#Headers],[Science Fiction]],"*")),1,0)</f>
        <v>0</v>
      </c>
      <c r="X136">
        <f>IF(COUNTIF($E136, _xlfn.CONCAT("*",Table13[[#Headers],[TV Movie]],"*")),1,0)</f>
        <v>0</v>
      </c>
      <c r="Y136">
        <f>IF(COUNTIF($E136, _xlfn.CONCAT("*",Table13[[#Headers],[Thriller]],"*")),1,0)</f>
        <v>0</v>
      </c>
      <c r="Z136">
        <f>IF(COUNTIF($E136, _xlfn.CONCAT("*",Table13[[#Headers],[War]],"*")),1,0)</f>
        <v>0</v>
      </c>
      <c r="AA136">
        <f>IF(COUNTIF($E136, _xlfn.CONCAT("*",Table13[[#Headers],[Western]],"*")),1,0)</f>
        <v>0</v>
      </c>
    </row>
    <row r="137" spans="1:27">
      <c r="A137" t="s">
        <v>221</v>
      </c>
      <c r="B137">
        <v>129</v>
      </c>
      <c r="C137">
        <f>MAX(Table13[Rank])-Table13[[#This Row],[Rank]]</f>
        <v>135</v>
      </c>
      <c r="D137" t="s">
        <v>7</v>
      </c>
      <c r="E137" t="s">
        <v>222</v>
      </c>
      <c r="F137" s="1">
        <v>30302</v>
      </c>
      <c r="G137">
        <f>YEAR(Table13[[#This Row],[Date]])</f>
        <v>1982</v>
      </c>
      <c r="H137" t="s">
        <v>221</v>
      </c>
      <c r="I137">
        <f>IF(COUNTIF($E137, _xlfn.CONCAT("*",Table13[[#Headers],[Action]],"*")),1,0)</f>
        <v>0</v>
      </c>
      <c r="J137">
        <f>IF(COUNTIF($E137, _xlfn.CONCAT("*",Table13[[#Headers],[Adventure]],"*")),1,0)</f>
        <v>0</v>
      </c>
      <c r="K137">
        <f>IF(COUNTIF($E137, _xlfn.CONCAT("*",Table13[[#Headers],[Animation]],"*")),1,0)</f>
        <v>0</v>
      </c>
      <c r="L137">
        <f>IF(COUNTIF($E137, _xlfn.CONCAT("*",Table13[[#Headers],[Comedy]],"*")),1,0)</f>
        <v>0</v>
      </c>
      <c r="M137">
        <f>IF(COUNTIF($E137, _xlfn.CONCAT("*",Table13[[#Headers],[Crime]],"*")),1,0)</f>
        <v>0</v>
      </c>
      <c r="N137">
        <f>IF(COUNTIF($E137, _xlfn.CONCAT("*",Table13[[#Headers],[Documentary]],"*")),1,0)</f>
        <v>0</v>
      </c>
      <c r="O137">
        <f>IF(COUNTIF($E137, _xlfn.CONCAT("*",Table13[[#Headers],[Drama]],"*")),1,0)</f>
        <v>1</v>
      </c>
      <c r="P137">
        <f>IF(COUNTIF($E137, _xlfn.CONCAT("*",Table13[[#Headers],[Family]],"*")),1,0)</f>
        <v>0</v>
      </c>
      <c r="Q137">
        <f>IF(COUNTIF($E137, _xlfn.CONCAT("*",Table13[[#Headers],[Fantasy]],"*")),1,0)</f>
        <v>1</v>
      </c>
      <c r="R137">
        <f>IF(COUNTIF($E137, _xlfn.CONCAT("*",Table13[[#Headers],[History]],"*")),1,0)</f>
        <v>0</v>
      </c>
      <c r="S137">
        <f>IF(COUNTIF($E137, _xlfn.CONCAT("*",Table13[[#Headers],[Horror]],"*")),1,0)</f>
        <v>0</v>
      </c>
      <c r="T137">
        <f>IF(COUNTIF($E137, _xlfn.CONCAT("*",Table13[[#Headers],[Music]],"*")),1,0)</f>
        <v>0</v>
      </c>
      <c r="U137">
        <f>IF(COUNTIF($E137, _xlfn.CONCAT("*",Table13[[#Headers],[Mystery]],"*")),1,0)</f>
        <v>1</v>
      </c>
      <c r="V137">
        <f>IF(COUNTIF($E137, _xlfn.CONCAT("*",Table13[[#Headers],[Romance]],"*")),1,0)</f>
        <v>0</v>
      </c>
      <c r="W137">
        <f>IF(COUNTIF($E137, _xlfn.CONCAT("*",Table13[[#Headers],[Science Fiction]],"*")),1,0)</f>
        <v>0</v>
      </c>
      <c r="X137">
        <f>IF(COUNTIF($E137, _xlfn.CONCAT("*",Table13[[#Headers],[TV Movie]],"*")),1,0)</f>
        <v>0</v>
      </c>
      <c r="Y137">
        <f>IF(COUNTIF($E137, _xlfn.CONCAT("*",Table13[[#Headers],[Thriller]],"*")),1,0)</f>
        <v>0</v>
      </c>
      <c r="Z137">
        <f>IF(COUNTIF($E137, _xlfn.CONCAT("*",Table13[[#Headers],[War]],"*")),1,0)</f>
        <v>0</v>
      </c>
      <c r="AA137">
        <f>IF(COUNTIF($E137, _xlfn.CONCAT("*",Table13[[#Headers],[Western]],"*")),1,0)</f>
        <v>0</v>
      </c>
    </row>
    <row r="138" spans="1:27">
      <c r="A138" t="s">
        <v>223</v>
      </c>
      <c r="B138">
        <v>128</v>
      </c>
      <c r="C138">
        <f>MAX(Table13[Rank])-Table13[[#This Row],[Rank]]</f>
        <v>136</v>
      </c>
      <c r="D138" t="s">
        <v>7</v>
      </c>
      <c r="E138" t="s">
        <v>224</v>
      </c>
      <c r="F138" s="1">
        <v>43755</v>
      </c>
      <c r="G138">
        <f>YEAR(Table13[[#This Row],[Date]])</f>
        <v>2019</v>
      </c>
      <c r="H138" t="s">
        <v>223</v>
      </c>
      <c r="I138">
        <f>IF(COUNTIF($E138, _xlfn.CONCAT("*",Table13[[#Headers],[Action]],"*")),1,0)</f>
        <v>1</v>
      </c>
      <c r="J138">
        <f>IF(COUNTIF($E138, _xlfn.CONCAT("*",Table13[[#Headers],[Adventure]],"*")),1,0)</f>
        <v>0</v>
      </c>
      <c r="K138">
        <f>IF(COUNTIF($E138, _xlfn.CONCAT("*",Table13[[#Headers],[Animation]],"*")),1,0)</f>
        <v>0</v>
      </c>
      <c r="L138">
        <f>IF(COUNTIF($E138, _xlfn.CONCAT("*",Table13[[#Headers],[Comedy]],"*")),1,0)</f>
        <v>0</v>
      </c>
      <c r="M138">
        <f>IF(COUNTIF($E138, _xlfn.CONCAT("*",Table13[[#Headers],[Crime]],"*")),1,0)</f>
        <v>0</v>
      </c>
      <c r="N138">
        <f>IF(COUNTIF($E138, _xlfn.CONCAT("*",Table13[[#Headers],[Documentary]],"*")),1,0)</f>
        <v>0</v>
      </c>
      <c r="O138">
        <f>IF(COUNTIF($E138, _xlfn.CONCAT("*",Table13[[#Headers],[Drama]],"*")),1,0)</f>
        <v>0</v>
      </c>
      <c r="P138">
        <f>IF(COUNTIF($E138, _xlfn.CONCAT("*",Table13[[#Headers],[Family]],"*")),1,0)</f>
        <v>0</v>
      </c>
      <c r="Q138">
        <f>IF(COUNTIF($E138, _xlfn.CONCAT("*",Table13[[#Headers],[Fantasy]],"*")),1,0)</f>
        <v>0</v>
      </c>
      <c r="R138">
        <f>IF(COUNTIF($E138, _xlfn.CONCAT("*",Table13[[#Headers],[History]],"*")),1,0)</f>
        <v>0</v>
      </c>
      <c r="S138">
        <f>IF(COUNTIF($E138, _xlfn.CONCAT("*",Table13[[#Headers],[Horror]],"*")),1,0)</f>
        <v>1</v>
      </c>
      <c r="T138">
        <f>IF(COUNTIF($E138, _xlfn.CONCAT("*",Table13[[#Headers],[Music]],"*")),1,0)</f>
        <v>0</v>
      </c>
      <c r="U138">
        <f>IF(COUNTIF($E138, _xlfn.CONCAT("*",Table13[[#Headers],[Mystery]],"*")),1,0)</f>
        <v>0</v>
      </c>
      <c r="V138">
        <f>IF(COUNTIF($E138, _xlfn.CONCAT("*",Table13[[#Headers],[Romance]],"*")),1,0)</f>
        <v>0</v>
      </c>
      <c r="W138">
        <f>IF(COUNTIF($E138, _xlfn.CONCAT("*",Table13[[#Headers],[Science Fiction]],"*")),1,0)</f>
        <v>1</v>
      </c>
      <c r="X138">
        <f>IF(COUNTIF($E138, _xlfn.CONCAT("*",Table13[[#Headers],[TV Movie]],"*")),1,0)</f>
        <v>0</v>
      </c>
      <c r="Y138">
        <f>IF(COUNTIF($E138, _xlfn.CONCAT("*",Table13[[#Headers],[Thriller]],"*")),1,0)</f>
        <v>0</v>
      </c>
      <c r="Z138">
        <f>IF(COUNTIF($E138, _xlfn.CONCAT("*",Table13[[#Headers],[War]],"*")),1,0)</f>
        <v>0</v>
      </c>
      <c r="AA138">
        <f>IF(COUNTIF($E138, _xlfn.CONCAT("*",Table13[[#Headers],[Western]],"*")),1,0)</f>
        <v>0</v>
      </c>
    </row>
    <row r="139" spans="1:27">
      <c r="A139" t="s">
        <v>225</v>
      </c>
      <c r="B139">
        <v>127</v>
      </c>
      <c r="C139">
        <f>MAX(Table13[Rank])-Table13[[#This Row],[Rank]]</f>
        <v>137</v>
      </c>
      <c r="D139" t="s">
        <v>7</v>
      </c>
      <c r="E139" t="s">
        <v>226</v>
      </c>
      <c r="F139" s="1">
        <v>14380</v>
      </c>
      <c r="G139">
        <f>YEAR(Table13[[#This Row],[Date]])</f>
        <v>1939</v>
      </c>
      <c r="H139" t="s">
        <v>225</v>
      </c>
      <c r="I139">
        <f>IF(COUNTIF($E139, _xlfn.CONCAT("*",Table13[[#Headers],[Action]],"*")),1,0)</f>
        <v>0</v>
      </c>
      <c r="J139">
        <f>IF(COUNTIF($E139, _xlfn.CONCAT("*",Table13[[#Headers],[Adventure]],"*")),1,0)</f>
        <v>1</v>
      </c>
      <c r="K139">
        <f>IF(COUNTIF($E139, _xlfn.CONCAT("*",Table13[[#Headers],[Animation]],"*")),1,0)</f>
        <v>0</v>
      </c>
      <c r="L139">
        <f>IF(COUNTIF($E139, _xlfn.CONCAT("*",Table13[[#Headers],[Comedy]],"*")),1,0)</f>
        <v>0</v>
      </c>
      <c r="M139">
        <f>IF(COUNTIF($E139, _xlfn.CONCAT("*",Table13[[#Headers],[Crime]],"*")),1,0)</f>
        <v>0</v>
      </c>
      <c r="N139">
        <f>IF(COUNTIF($E139, _xlfn.CONCAT("*",Table13[[#Headers],[Documentary]],"*")),1,0)</f>
        <v>0</v>
      </c>
      <c r="O139">
        <f>IF(COUNTIF($E139, _xlfn.CONCAT("*",Table13[[#Headers],[Drama]],"*")),1,0)</f>
        <v>1</v>
      </c>
      <c r="P139">
        <f>IF(COUNTIF($E139, _xlfn.CONCAT("*",Table13[[#Headers],[Family]],"*")),1,0)</f>
        <v>0</v>
      </c>
      <c r="Q139">
        <f>IF(COUNTIF($E139, _xlfn.CONCAT("*",Table13[[#Headers],[Fantasy]],"*")),1,0)</f>
        <v>0</v>
      </c>
      <c r="R139">
        <f>IF(COUNTIF($E139, _xlfn.CONCAT("*",Table13[[#Headers],[History]],"*")),1,0)</f>
        <v>0</v>
      </c>
      <c r="S139">
        <f>IF(COUNTIF($E139, _xlfn.CONCAT("*",Table13[[#Headers],[Horror]],"*")),1,0)</f>
        <v>0</v>
      </c>
      <c r="T139">
        <f>IF(COUNTIF($E139, _xlfn.CONCAT("*",Table13[[#Headers],[Music]],"*")),1,0)</f>
        <v>0</v>
      </c>
      <c r="U139">
        <f>IF(COUNTIF($E139, _xlfn.CONCAT("*",Table13[[#Headers],[Mystery]],"*")),1,0)</f>
        <v>0</v>
      </c>
      <c r="V139">
        <f>IF(COUNTIF($E139, _xlfn.CONCAT("*",Table13[[#Headers],[Romance]],"*")),1,0)</f>
        <v>1</v>
      </c>
      <c r="W139">
        <f>IF(COUNTIF($E139, _xlfn.CONCAT("*",Table13[[#Headers],[Science Fiction]],"*")),1,0)</f>
        <v>0</v>
      </c>
      <c r="X139">
        <f>IF(COUNTIF($E139, _xlfn.CONCAT("*",Table13[[#Headers],[TV Movie]],"*")),1,0)</f>
        <v>0</v>
      </c>
      <c r="Y139">
        <f>IF(COUNTIF($E139, _xlfn.CONCAT("*",Table13[[#Headers],[Thriller]],"*")),1,0)</f>
        <v>0</v>
      </c>
      <c r="Z139">
        <f>IF(COUNTIF($E139, _xlfn.CONCAT("*",Table13[[#Headers],[War]],"*")),1,0)</f>
        <v>0</v>
      </c>
      <c r="AA139">
        <f>IF(COUNTIF($E139, _xlfn.CONCAT("*",Table13[[#Headers],[Western]],"*")),1,0)</f>
        <v>0</v>
      </c>
    </row>
    <row r="140" spans="1:27">
      <c r="A140" t="s">
        <v>227</v>
      </c>
      <c r="B140">
        <v>126</v>
      </c>
      <c r="C140">
        <f>MAX(Table13[Rank])-Table13[[#This Row],[Rank]]</f>
        <v>138</v>
      </c>
      <c r="D140" t="s">
        <v>7</v>
      </c>
      <c r="E140" t="s">
        <v>35</v>
      </c>
      <c r="F140" s="1">
        <v>23426</v>
      </c>
      <c r="G140">
        <f>YEAR(Table13[[#This Row],[Date]])</f>
        <v>1964</v>
      </c>
      <c r="H140" t="s">
        <v>227</v>
      </c>
      <c r="I140">
        <f>IF(COUNTIF($E140, _xlfn.CONCAT("*",Table13[[#Headers],[Action]],"*")),1,0)</f>
        <v>0</v>
      </c>
      <c r="J140">
        <f>IF(COUNTIF($E140, _xlfn.CONCAT("*",Table13[[#Headers],[Adventure]],"*")),1,0)</f>
        <v>0</v>
      </c>
      <c r="K140">
        <f>IF(COUNTIF($E140, _xlfn.CONCAT("*",Table13[[#Headers],[Animation]],"*")),1,0)</f>
        <v>0</v>
      </c>
      <c r="L140">
        <f>IF(COUNTIF($E140, _xlfn.CONCAT("*",Table13[[#Headers],[Comedy]],"*")),1,0)</f>
        <v>0</v>
      </c>
      <c r="M140">
        <f>IF(COUNTIF($E140, _xlfn.CONCAT("*",Table13[[#Headers],[Crime]],"*")),1,0)</f>
        <v>0</v>
      </c>
      <c r="N140">
        <f>IF(COUNTIF($E140, _xlfn.CONCAT("*",Table13[[#Headers],[Documentary]],"*")),1,0)</f>
        <v>0</v>
      </c>
      <c r="O140">
        <f>IF(COUNTIF($E140, _xlfn.CONCAT("*",Table13[[#Headers],[Drama]],"*")),1,0)</f>
        <v>1</v>
      </c>
      <c r="P140">
        <f>IF(COUNTIF($E140, _xlfn.CONCAT("*",Table13[[#Headers],[Family]],"*")),1,0)</f>
        <v>0</v>
      </c>
      <c r="Q140">
        <f>IF(COUNTIF($E140, _xlfn.CONCAT("*",Table13[[#Headers],[Fantasy]],"*")),1,0)</f>
        <v>0</v>
      </c>
      <c r="R140">
        <f>IF(COUNTIF($E140, _xlfn.CONCAT("*",Table13[[#Headers],[History]],"*")),1,0)</f>
        <v>0</v>
      </c>
      <c r="S140">
        <f>IF(COUNTIF($E140, _xlfn.CONCAT("*",Table13[[#Headers],[Horror]],"*")),1,0)</f>
        <v>0</v>
      </c>
      <c r="T140">
        <f>IF(COUNTIF($E140, _xlfn.CONCAT("*",Table13[[#Headers],[Music]],"*")),1,0)</f>
        <v>0</v>
      </c>
      <c r="U140">
        <f>IF(COUNTIF($E140, _xlfn.CONCAT("*",Table13[[#Headers],[Mystery]],"*")),1,0)</f>
        <v>0</v>
      </c>
      <c r="V140">
        <f>IF(COUNTIF($E140, _xlfn.CONCAT("*",Table13[[#Headers],[Romance]],"*")),1,0)</f>
        <v>1</v>
      </c>
      <c r="W140">
        <f>IF(COUNTIF($E140, _xlfn.CONCAT("*",Table13[[#Headers],[Science Fiction]],"*")),1,0)</f>
        <v>0</v>
      </c>
      <c r="X140">
        <f>IF(COUNTIF($E140, _xlfn.CONCAT("*",Table13[[#Headers],[TV Movie]],"*")),1,0)</f>
        <v>0</v>
      </c>
      <c r="Y140">
        <f>IF(COUNTIF($E140, _xlfn.CONCAT("*",Table13[[#Headers],[Thriller]],"*")),1,0)</f>
        <v>0</v>
      </c>
      <c r="Z140">
        <f>IF(COUNTIF($E140, _xlfn.CONCAT("*",Table13[[#Headers],[War]],"*")),1,0)</f>
        <v>0</v>
      </c>
      <c r="AA140">
        <f>IF(COUNTIF($E140, _xlfn.CONCAT("*",Table13[[#Headers],[Western]],"*")),1,0)</f>
        <v>0</v>
      </c>
    </row>
    <row r="141" spans="1:27">
      <c r="A141" t="s">
        <v>228</v>
      </c>
      <c r="B141">
        <v>125</v>
      </c>
      <c r="C141">
        <f>MAX(Table13[Rank])-Table13[[#This Row],[Rank]]</f>
        <v>139</v>
      </c>
      <c r="D141" t="s">
        <v>7</v>
      </c>
      <c r="E141" t="s">
        <v>229</v>
      </c>
      <c r="F141" s="1">
        <v>19870</v>
      </c>
      <c r="G141">
        <f>YEAR(Table13[[#This Row],[Date]])</f>
        <v>1954</v>
      </c>
      <c r="H141" t="s">
        <v>228</v>
      </c>
      <c r="I141">
        <f>IF(COUNTIF($E141, _xlfn.CONCAT("*",Table13[[#Headers],[Action]],"*")),1,0)</f>
        <v>0</v>
      </c>
      <c r="J141">
        <f>IF(COUNTIF($E141, _xlfn.CONCAT("*",Table13[[#Headers],[Adventure]],"*")),1,0)</f>
        <v>0</v>
      </c>
      <c r="K141">
        <f>IF(COUNTIF($E141, _xlfn.CONCAT("*",Table13[[#Headers],[Animation]],"*")),1,0)</f>
        <v>0</v>
      </c>
      <c r="L141">
        <f>IF(COUNTIF($E141, _xlfn.CONCAT("*",Table13[[#Headers],[Comedy]],"*")),1,0)</f>
        <v>0</v>
      </c>
      <c r="M141">
        <f>IF(COUNTIF($E141, _xlfn.CONCAT("*",Table13[[#Headers],[Crime]],"*")),1,0)</f>
        <v>0</v>
      </c>
      <c r="N141">
        <f>IF(COUNTIF($E141, _xlfn.CONCAT("*",Table13[[#Headers],[Documentary]],"*")),1,0)</f>
        <v>0</v>
      </c>
      <c r="O141">
        <f>IF(COUNTIF($E141, _xlfn.CONCAT("*",Table13[[#Headers],[Drama]],"*")),1,0)</f>
        <v>1</v>
      </c>
      <c r="P141">
        <f>IF(COUNTIF($E141, _xlfn.CONCAT("*",Table13[[#Headers],[Family]],"*")),1,0)</f>
        <v>0</v>
      </c>
      <c r="Q141">
        <f>IF(COUNTIF($E141, _xlfn.CONCAT("*",Table13[[#Headers],[Fantasy]],"*")),1,0)</f>
        <v>0</v>
      </c>
      <c r="R141">
        <f>IF(COUNTIF($E141, _xlfn.CONCAT("*",Table13[[#Headers],[History]],"*")),1,0)</f>
        <v>0</v>
      </c>
      <c r="S141">
        <f>IF(COUNTIF($E141, _xlfn.CONCAT("*",Table13[[#Headers],[Horror]],"*")),1,0)</f>
        <v>0</v>
      </c>
      <c r="T141">
        <f>IF(COUNTIF($E141, _xlfn.CONCAT("*",Table13[[#Headers],[Music]],"*")),1,0)</f>
        <v>0</v>
      </c>
      <c r="U141">
        <f>IF(COUNTIF($E141, _xlfn.CONCAT("*",Table13[[#Headers],[Mystery]],"*")),1,0)</f>
        <v>0</v>
      </c>
      <c r="V141">
        <f>IF(COUNTIF($E141, _xlfn.CONCAT("*",Table13[[#Headers],[Romance]],"*")),1,0)</f>
        <v>1</v>
      </c>
      <c r="W141">
        <f>IF(COUNTIF($E141, _xlfn.CONCAT("*",Table13[[#Headers],[Science Fiction]],"*")),1,0)</f>
        <v>0</v>
      </c>
      <c r="X141">
        <f>IF(COUNTIF($E141, _xlfn.CONCAT("*",Table13[[#Headers],[TV Movie]],"*")),1,0)</f>
        <v>0</v>
      </c>
      <c r="Y141">
        <f>IF(COUNTIF($E141, _xlfn.CONCAT("*",Table13[[#Headers],[Thriller]],"*")),1,0)</f>
        <v>0</v>
      </c>
      <c r="Z141">
        <f>IF(COUNTIF($E141, _xlfn.CONCAT("*",Table13[[#Headers],[War]],"*")),1,0)</f>
        <v>0</v>
      </c>
      <c r="AA141">
        <f>IF(COUNTIF($E141, _xlfn.CONCAT("*",Table13[[#Headers],[Western]],"*")),1,0)</f>
        <v>1</v>
      </c>
    </row>
    <row r="142" spans="1:27">
      <c r="A142" t="s">
        <v>230</v>
      </c>
      <c r="B142">
        <v>124</v>
      </c>
      <c r="C142">
        <f>MAX(Table13[Rank])-Table13[[#This Row],[Rank]]</f>
        <v>140</v>
      </c>
      <c r="D142" t="s">
        <v>7</v>
      </c>
      <c r="E142" t="s">
        <v>17</v>
      </c>
      <c r="F142" s="1">
        <v>40784</v>
      </c>
      <c r="G142">
        <f>YEAR(Table13[[#This Row],[Date]])</f>
        <v>2011</v>
      </c>
      <c r="H142" t="s">
        <v>231</v>
      </c>
      <c r="I142">
        <f>IF(COUNTIF($E142, _xlfn.CONCAT("*",Table13[[#Headers],[Action]],"*")),1,0)</f>
        <v>0</v>
      </c>
      <c r="J142">
        <f>IF(COUNTIF($E142, _xlfn.CONCAT("*",Table13[[#Headers],[Adventure]],"*")),1,0)</f>
        <v>0</v>
      </c>
      <c r="K142">
        <f>IF(COUNTIF($E142, _xlfn.CONCAT("*",Table13[[#Headers],[Animation]],"*")),1,0)</f>
        <v>0</v>
      </c>
      <c r="L142">
        <f>IF(COUNTIF($E142, _xlfn.CONCAT("*",Table13[[#Headers],[Comedy]],"*")),1,0)</f>
        <v>0</v>
      </c>
      <c r="M142">
        <f>IF(COUNTIF($E142, _xlfn.CONCAT("*",Table13[[#Headers],[Crime]],"*")),1,0)</f>
        <v>0</v>
      </c>
      <c r="N142">
        <f>IF(COUNTIF($E142, _xlfn.CONCAT("*",Table13[[#Headers],[Documentary]],"*")),1,0)</f>
        <v>1</v>
      </c>
      <c r="O142">
        <f>IF(COUNTIF($E142, _xlfn.CONCAT("*",Table13[[#Headers],[Drama]],"*")),1,0)</f>
        <v>0</v>
      </c>
      <c r="P142">
        <f>IF(COUNTIF($E142, _xlfn.CONCAT("*",Table13[[#Headers],[Family]],"*")),1,0)</f>
        <v>0</v>
      </c>
      <c r="Q142">
        <f>IF(COUNTIF($E142, _xlfn.CONCAT("*",Table13[[#Headers],[Fantasy]],"*")),1,0)</f>
        <v>0</v>
      </c>
      <c r="R142">
        <f>IF(COUNTIF($E142, _xlfn.CONCAT("*",Table13[[#Headers],[History]],"*")),1,0)</f>
        <v>0</v>
      </c>
      <c r="S142">
        <f>IF(COUNTIF($E142, _xlfn.CONCAT("*",Table13[[#Headers],[Horror]],"*")),1,0)</f>
        <v>0</v>
      </c>
      <c r="T142">
        <f>IF(COUNTIF($E142, _xlfn.CONCAT("*",Table13[[#Headers],[Music]],"*")),1,0)</f>
        <v>0</v>
      </c>
      <c r="U142">
        <f>IF(COUNTIF($E142, _xlfn.CONCAT("*",Table13[[#Headers],[Mystery]],"*")),1,0)</f>
        <v>0</v>
      </c>
      <c r="V142">
        <f>IF(COUNTIF($E142, _xlfn.CONCAT("*",Table13[[#Headers],[Romance]],"*")),1,0)</f>
        <v>0</v>
      </c>
      <c r="W142">
        <f>IF(COUNTIF($E142, _xlfn.CONCAT("*",Table13[[#Headers],[Science Fiction]],"*")),1,0)</f>
        <v>0</v>
      </c>
      <c r="X142">
        <f>IF(COUNTIF($E142, _xlfn.CONCAT("*",Table13[[#Headers],[TV Movie]],"*")),1,0)</f>
        <v>0</v>
      </c>
      <c r="Y142">
        <f>IF(COUNTIF($E142, _xlfn.CONCAT("*",Table13[[#Headers],[Thriller]],"*")),1,0)</f>
        <v>0</v>
      </c>
      <c r="Z142">
        <f>IF(COUNTIF($E142, _xlfn.CONCAT("*",Table13[[#Headers],[War]],"*")),1,0)</f>
        <v>0</v>
      </c>
      <c r="AA142">
        <f>IF(COUNTIF($E142, _xlfn.CONCAT("*",Table13[[#Headers],[Western]],"*")),1,0)</f>
        <v>0</v>
      </c>
    </row>
    <row r="143" spans="1:27">
      <c r="A143" t="s">
        <v>232</v>
      </c>
      <c r="B143">
        <v>123</v>
      </c>
      <c r="C143">
        <f>MAX(Table13[Rank])-Table13[[#This Row],[Rank]]</f>
        <v>141</v>
      </c>
      <c r="D143" t="s">
        <v>7</v>
      </c>
      <c r="E143" t="s">
        <v>233</v>
      </c>
      <c r="F143" s="1">
        <v>36249</v>
      </c>
      <c r="G143">
        <f>YEAR(Table13[[#This Row],[Date]])</f>
        <v>1999</v>
      </c>
      <c r="H143" t="s">
        <v>232</v>
      </c>
      <c r="I143">
        <f>IF(COUNTIF($E143, _xlfn.CONCAT("*",Table13[[#Headers],[Action]],"*")),1,0)</f>
        <v>1</v>
      </c>
      <c r="J143">
        <f>IF(COUNTIF($E143, _xlfn.CONCAT("*",Table13[[#Headers],[Adventure]],"*")),1,0)</f>
        <v>0</v>
      </c>
      <c r="K143">
        <f>IF(COUNTIF($E143, _xlfn.CONCAT("*",Table13[[#Headers],[Animation]],"*")),1,0)</f>
        <v>0</v>
      </c>
      <c r="L143">
        <f>IF(COUNTIF($E143, _xlfn.CONCAT("*",Table13[[#Headers],[Comedy]],"*")),1,0)</f>
        <v>0</v>
      </c>
      <c r="M143">
        <f>IF(COUNTIF($E143, _xlfn.CONCAT("*",Table13[[#Headers],[Crime]],"*")),1,0)</f>
        <v>0</v>
      </c>
      <c r="N143">
        <f>IF(COUNTIF($E143, _xlfn.CONCAT("*",Table13[[#Headers],[Documentary]],"*")),1,0)</f>
        <v>0</v>
      </c>
      <c r="O143">
        <f>IF(COUNTIF($E143, _xlfn.CONCAT("*",Table13[[#Headers],[Drama]],"*")),1,0)</f>
        <v>0</v>
      </c>
      <c r="P143">
        <f>IF(COUNTIF($E143, _xlfn.CONCAT("*",Table13[[#Headers],[Family]],"*")),1,0)</f>
        <v>0</v>
      </c>
      <c r="Q143">
        <f>IF(COUNTIF($E143, _xlfn.CONCAT("*",Table13[[#Headers],[Fantasy]],"*")),1,0)</f>
        <v>0</v>
      </c>
      <c r="R143">
        <f>IF(COUNTIF($E143, _xlfn.CONCAT("*",Table13[[#Headers],[History]],"*")),1,0)</f>
        <v>0</v>
      </c>
      <c r="S143">
        <f>IF(COUNTIF($E143, _xlfn.CONCAT("*",Table13[[#Headers],[Horror]],"*")),1,0)</f>
        <v>0</v>
      </c>
      <c r="T143">
        <f>IF(COUNTIF($E143, _xlfn.CONCAT("*",Table13[[#Headers],[Music]],"*")),1,0)</f>
        <v>0</v>
      </c>
      <c r="U143">
        <f>IF(COUNTIF($E143, _xlfn.CONCAT("*",Table13[[#Headers],[Mystery]],"*")),1,0)</f>
        <v>0</v>
      </c>
      <c r="V143">
        <f>IF(COUNTIF($E143, _xlfn.CONCAT("*",Table13[[#Headers],[Romance]],"*")),1,0)</f>
        <v>0</v>
      </c>
      <c r="W143">
        <f>IF(COUNTIF($E143, _xlfn.CONCAT("*",Table13[[#Headers],[Science Fiction]],"*")),1,0)</f>
        <v>1</v>
      </c>
      <c r="X143">
        <f>IF(COUNTIF($E143, _xlfn.CONCAT("*",Table13[[#Headers],[TV Movie]],"*")),1,0)</f>
        <v>0</v>
      </c>
      <c r="Y143">
        <f>IF(COUNTIF($E143, _xlfn.CONCAT("*",Table13[[#Headers],[Thriller]],"*")),1,0)</f>
        <v>0</v>
      </c>
      <c r="Z143">
        <f>IF(COUNTIF($E143, _xlfn.CONCAT("*",Table13[[#Headers],[War]],"*")),1,0)</f>
        <v>0</v>
      </c>
      <c r="AA143">
        <f>IF(COUNTIF($E143, _xlfn.CONCAT("*",Table13[[#Headers],[Western]],"*")),1,0)</f>
        <v>0</v>
      </c>
    </row>
    <row r="144" spans="1:27">
      <c r="A144" t="s">
        <v>234</v>
      </c>
      <c r="B144">
        <v>122</v>
      </c>
      <c r="C144">
        <f>MAX(Table13[Rank])-Table13[[#This Row],[Rank]]</f>
        <v>142</v>
      </c>
      <c r="D144" t="s">
        <v>7</v>
      </c>
      <c r="E144" t="s">
        <v>21</v>
      </c>
      <c r="F144" s="1">
        <v>39442</v>
      </c>
      <c r="G144">
        <f>YEAR(Table13[[#This Row],[Date]])</f>
        <v>2007</v>
      </c>
      <c r="H144" t="s">
        <v>234</v>
      </c>
      <c r="I144">
        <f>IF(COUNTIF($E144, _xlfn.CONCAT("*",Table13[[#Headers],[Action]],"*")),1,0)</f>
        <v>0</v>
      </c>
      <c r="J144">
        <f>IF(COUNTIF($E144, _xlfn.CONCAT("*",Table13[[#Headers],[Adventure]],"*")),1,0)</f>
        <v>0</v>
      </c>
      <c r="K144">
        <f>IF(COUNTIF($E144, _xlfn.CONCAT("*",Table13[[#Headers],[Animation]],"*")),1,0)</f>
        <v>0</v>
      </c>
      <c r="L144">
        <f>IF(COUNTIF($E144, _xlfn.CONCAT("*",Table13[[#Headers],[Comedy]],"*")),1,0)</f>
        <v>0</v>
      </c>
      <c r="M144">
        <f>IF(COUNTIF($E144, _xlfn.CONCAT("*",Table13[[#Headers],[Crime]],"*")),1,0)</f>
        <v>0</v>
      </c>
      <c r="N144">
        <f>IF(COUNTIF($E144, _xlfn.CONCAT("*",Table13[[#Headers],[Documentary]],"*")),1,0)</f>
        <v>0</v>
      </c>
      <c r="O144">
        <f>IF(COUNTIF($E144, _xlfn.CONCAT("*",Table13[[#Headers],[Drama]],"*")),1,0)</f>
        <v>1</v>
      </c>
      <c r="P144">
        <f>IF(COUNTIF($E144, _xlfn.CONCAT("*",Table13[[#Headers],[Family]],"*")),1,0)</f>
        <v>0</v>
      </c>
      <c r="Q144">
        <f>IF(COUNTIF($E144, _xlfn.CONCAT("*",Table13[[#Headers],[Fantasy]],"*")),1,0)</f>
        <v>0</v>
      </c>
      <c r="R144">
        <f>IF(COUNTIF($E144, _xlfn.CONCAT("*",Table13[[#Headers],[History]],"*")),1,0)</f>
        <v>0</v>
      </c>
      <c r="S144">
        <f>IF(COUNTIF($E144, _xlfn.CONCAT("*",Table13[[#Headers],[Horror]],"*")),1,0)</f>
        <v>0</v>
      </c>
      <c r="T144">
        <f>IF(COUNTIF($E144, _xlfn.CONCAT("*",Table13[[#Headers],[Music]],"*")),1,0)</f>
        <v>0</v>
      </c>
      <c r="U144">
        <f>IF(COUNTIF($E144, _xlfn.CONCAT("*",Table13[[#Headers],[Mystery]],"*")),1,0)</f>
        <v>0</v>
      </c>
      <c r="V144">
        <f>IF(COUNTIF($E144, _xlfn.CONCAT("*",Table13[[#Headers],[Romance]],"*")),1,0)</f>
        <v>0</v>
      </c>
      <c r="W144">
        <f>IF(COUNTIF($E144, _xlfn.CONCAT("*",Table13[[#Headers],[Science Fiction]],"*")),1,0)</f>
        <v>0</v>
      </c>
      <c r="X144">
        <f>IF(COUNTIF($E144, _xlfn.CONCAT("*",Table13[[#Headers],[TV Movie]],"*")),1,0)</f>
        <v>0</v>
      </c>
      <c r="Y144">
        <f>IF(COUNTIF($E144, _xlfn.CONCAT("*",Table13[[#Headers],[Thriller]],"*")),1,0)</f>
        <v>0</v>
      </c>
      <c r="Z144">
        <f>IF(COUNTIF($E144, _xlfn.CONCAT("*",Table13[[#Headers],[War]],"*")),1,0)</f>
        <v>0</v>
      </c>
      <c r="AA144">
        <f>IF(COUNTIF($E144, _xlfn.CONCAT("*",Table13[[#Headers],[Western]],"*")),1,0)</f>
        <v>0</v>
      </c>
    </row>
    <row r="145" spans="1:27">
      <c r="A145" t="s">
        <v>235</v>
      </c>
      <c r="B145">
        <v>121</v>
      </c>
      <c r="C145">
        <f>MAX(Table13[Rank])-Table13[[#This Row],[Rank]]</f>
        <v>143</v>
      </c>
      <c r="D145" t="s">
        <v>7</v>
      </c>
      <c r="E145" t="s">
        <v>236</v>
      </c>
      <c r="F145" s="1">
        <v>30127</v>
      </c>
      <c r="G145">
        <f>YEAR(Table13[[#This Row],[Date]])</f>
        <v>1982</v>
      </c>
      <c r="H145" t="s">
        <v>235</v>
      </c>
      <c r="I145">
        <f>IF(COUNTIF($E145, _xlfn.CONCAT("*",Table13[[#Headers],[Action]],"*")),1,0)</f>
        <v>0</v>
      </c>
      <c r="J145">
        <f>IF(COUNTIF($E145, _xlfn.CONCAT("*",Table13[[#Headers],[Adventure]],"*")),1,0)</f>
        <v>0</v>
      </c>
      <c r="K145">
        <f>IF(COUNTIF($E145, _xlfn.CONCAT("*",Table13[[#Headers],[Animation]],"*")),1,0)</f>
        <v>0</v>
      </c>
      <c r="L145">
        <f>IF(COUNTIF($E145, _xlfn.CONCAT("*",Table13[[#Headers],[Comedy]],"*")),1,0)</f>
        <v>0</v>
      </c>
      <c r="M145">
        <f>IF(COUNTIF($E145, _xlfn.CONCAT("*",Table13[[#Headers],[Crime]],"*")),1,0)</f>
        <v>0</v>
      </c>
      <c r="N145">
        <f>IF(COUNTIF($E145, _xlfn.CONCAT("*",Table13[[#Headers],[Documentary]],"*")),1,0)</f>
        <v>0</v>
      </c>
      <c r="O145">
        <f>IF(COUNTIF($E145, _xlfn.CONCAT("*",Table13[[#Headers],[Drama]],"*")),1,0)</f>
        <v>0</v>
      </c>
      <c r="P145">
        <f>IF(COUNTIF($E145, _xlfn.CONCAT("*",Table13[[#Headers],[Family]],"*")),1,0)</f>
        <v>0</v>
      </c>
      <c r="Q145">
        <f>IF(COUNTIF($E145, _xlfn.CONCAT("*",Table13[[#Headers],[Fantasy]],"*")),1,0)</f>
        <v>0</v>
      </c>
      <c r="R145">
        <f>IF(COUNTIF($E145, _xlfn.CONCAT("*",Table13[[#Headers],[History]],"*")),1,0)</f>
        <v>0</v>
      </c>
      <c r="S145">
        <f>IF(COUNTIF($E145, _xlfn.CONCAT("*",Table13[[#Headers],[Horror]],"*")),1,0)</f>
        <v>1</v>
      </c>
      <c r="T145">
        <f>IF(COUNTIF($E145, _xlfn.CONCAT("*",Table13[[#Headers],[Music]],"*")),1,0)</f>
        <v>0</v>
      </c>
      <c r="U145">
        <f>IF(COUNTIF($E145, _xlfn.CONCAT("*",Table13[[#Headers],[Mystery]],"*")),1,0)</f>
        <v>1</v>
      </c>
      <c r="V145">
        <f>IF(COUNTIF($E145, _xlfn.CONCAT("*",Table13[[#Headers],[Romance]],"*")),1,0)</f>
        <v>0</v>
      </c>
      <c r="W145">
        <f>IF(COUNTIF($E145, _xlfn.CONCAT("*",Table13[[#Headers],[Science Fiction]],"*")),1,0)</f>
        <v>1</v>
      </c>
      <c r="X145">
        <f>IF(COUNTIF($E145, _xlfn.CONCAT("*",Table13[[#Headers],[TV Movie]],"*")),1,0)</f>
        <v>0</v>
      </c>
      <c r="Y145">
        <f>IF(COUNTIF($E145, _xlfn.CONCAT("*",Table13[[#Headers],[Thriller]],"*")),1,0)</f>
        <v>0</v>
      </c>
      <c r="Z145">
        <f>IF(COUNTIF($E145, _xlfn.CONCAT("*",Table13[[#Headers],[War]],"*")),1,0)</f>
        <v>0</v>
      </c>
      <c r="AA145">
        <f>IF(COUNTIF($E145, _xlfn.CONCAT("*",Table13[[#Headers],[Western]],"*")),1,0)</f>
        <v>0</v>
      </c>
    </row>
    <row r="146" spans="1:27">
      <c r="A146" t="s">
        <v>237</v>
      </c>
      <c r="B146">
        <v>120</v>
      </c>
      <c r="C146">
        <f>MAX(Table13[Rank])-Table13[[#This Row],[Rank]]</f>
        <v>144</v>
      </c>
      <c r="D146" t="s">
        <v>7</v>
      </c>
      <c r="E146" t="s">
        <v>29</v>
      </c>
      <c r="F146" s="1">
        <v>27303</v>
      </c>
      <c r="G146">
        <f>YEAR(Table13[[#This Row],[Date]])</f>
        <v>1974</v>
      </c>
      <c r="H146" t="s">
        <v>237</v>
      </c>
      <c r="I146">
        <f>IF(COUNTIF($E146, _xlfn.CONCAT("*",Table13[[#Headers],[Action]],"*")),1,0)</f>
        <v>0</v>
      </c>
      <c r="J146">
        <f>IF(COUNTIF($E146, _xlfn.CONCAT("*",Table13[[#Headers],[Adventure]],"*")),1,0)</f>
        <v>0</v>
      </c>
      <c r="K146">
        <f>IF(COUNTIF($E146, _xlfn.CONCAT("*",Table13[[#Headers],[Animation]],"*")),1,0)</f>
        <v>0</v>
      </c>
      <c r="L146">
        <f>IF(COUNTIF($E146, _xlfn.CONCAT("*",Table13[[#Headers],[Comedy]],"*")),1,0)</f>
        <v>0</v>
      </c>
      <c r="M146">
        <f>IF(COUNTIF($E146, _xlfn.CONCAT("*",Table13[[#Headers],[Crime]],"*")),1,0)</f>
        <v>0</v>
      </c>
      <c r="N146">
        <f>IF(COUNTIF($E146, _xlfn.CONCAT("*",Table13[[#Headers],[Documentary]],"*")),1,0)</f>
        <v>0</v>
      </c>
      <c r="O146">
        <f>IF(COUNTIF($E146, _xlfn.CONCAT("*",Table13[[#Headers],[Drama]],"*")),1,0)</f>
        <v>0</v>
      </c>
      <c r="P146">
        <f>IF(COUNTIF($E146, _xlfn.CONCAT("*",Table13[[#Headers],[Family]],"*")),1,0)</f>
        <v>0</v>
      </c>
      <c r="Q146">
        <f>IF(COUNTIF($E146, _xlfn.CONCAT("*",Table13[[#Headers],[Fantasy]],"*")),1,0)</f>
        <v>0</v>
      </c>
      <c r="R146">
        <f>IF(COUNTIF($E146, _xlfn.CONCAT("*",Table13[[#Headers],[History]],"*")),1,0)</f>
        <v>0</v>
      </c>
      <c r="S146">
        <f>IF(COUNTIF($E146, _xlfn.CONCAT("*",Table13[[#Headers],[Horror]],"*")),1,0)</f>
        <v>1</v>
      </c>
      <c r="T146">
        <f>IF(COUNTIF($E146, _xlfn.CONCAT("*",Table13[[#Headers],[Music]],"*")),1,0)</f>
        <v>0</v>
      </c>
      <c r="U146">
        <f>IF(COUNTIF($E146, _xlfn.CONCAT("*",Table13[[#Headers],[Mystery]],"*")),1,0)</f>
        <v>0</v>
      </c>
      <c r="V146">
        <f>IF(COUNTIF($E146, _xlfn.CONCAT("*",Table13[[#Headers],[Romance]],"*")),1,0)</f>
        <v>0</v>
      </c>
      <c r="W146">
        <f>IF(COUNTIF($E146, _xlfn.CONCAT("*",Table13[[#Headers],[Science Fiction]],"*")),1,0)</f>
        <v>0</v>
      </c>
      <c r="X146">
        <f>IF(COUNTIF($E146, _xlfn.CONCAT("*",Table13[[#Headers],[TV Movie]],"*")),1,0)</f>
        <v>0</v>
      </c>
      <c r="Y146">
        <f>IF(COUNTIF($E146, _xlfn.CONCAT("*",Table13[[#Headers],[Thriller]],"*")),1,0)</f>
        <v>0</v>
      </c>
      <c r="Z146">
        <f>IF(COUNTIF($E146, _xlfn.CONCAT("*",Table13[[#Headers],[War]],"*")),1,0)</f>
        <v>0</v>
      </c>
      <c r="AA146">
        <f>IF(COUNTIF($E146, _xlfn.CONCAT("*",Table13[[#Headers],[Western]],"*")),1,0)</f>
        <v>0</v>
      </c>
    </row>
    <row r="147" spans="1:27">
      <c r="A147" t="s">
        <v>238</v>
      </c>
      <c r="B147">
        <v>119</v>
      </c>
      <c r="C147">
        <f>MAX(Table13[Rank])-Table13[[#This Row],[Rank]]</f>
        <v>145</v>
      </c>
      <c r="D147" t="s">
        <v>7</v>
      </c>
      <c r="E147" t="s">
        <v>21</v>
      </c>
      <c r="F147" s="1">
        <v>25962</v>
      </c>
      <c r="G147">
        <f>YEAR(Table13[[#This Row],[Date]])</f>
        <v>1971</v>
      </c>
      <c r="H147" t="s">
        <v>238</v>
      </c>
      <c r="I147">
        <f>IF(COUNTIF($E147, _xlfn.CONCAT("*",Table13[[#Headers],[Action]],"*")),1,0)</f>
        <v>0</v>
      </c>
      <c r="J147">
        <f>IF(COUNTIF($E147, _xlfn.CONCAT("*",Table13[[#Headers],[Adventure]],"*")),1,0)</f>
        <v>0</v>
      </c>
      <c r="K147">
        <f>IF(COUNTIF($E147, _xlfn.CONCAT("*",Table13[[#Headers],[Animation]],"*")),1,0)</f>
        <v>0</v>
      </c>
      <c r="L147">
        <f>IF(COUNTIF($E147, _xlfn.CONCAT("*",Table13[[#Headers],[Comedy]],"*")),1,0)</f>
        <v>0</v>
      </c>
      <c r="M147">
        <f>IF(COUNTIF($E147, _xlfn.CONCAT("*",Table13[[#Headers],[Crime]],"*")),1,0)</f>
        <v>0</v>
      </c>
      <c r="N147">
        <f>IF(COUNTIF($E147, _xlfn.CONCAT("*",Table13[[#Headers],[Documentary]],"*")),1,0)</f>
        <v>0</v>
      </c>
      <c r="O147">
        <f>IF(COUNTIF($E147, _xlfn.CONCAT("*",Table13[[#Headers],[Drama]],"*")),1,0)</f>
        <v>1</v>
      </c>
      <c r="P147">
        <f>IF(COUNTIF($E147, _xlfn.CONCAT("*",Table13[[#Headers],[Family]],"*")),1,0)</f>
        <v>0</v>
      </c>
      <c r="Q147">
        <f>IF(COUNTIF($E147, _xlfn.CONCAT("*",Table13[[#Headers],[Fantasy]],"*")),1,0)</f>
        <v>0</v>
      </c>
      <c r="R147">
        <f>IF(COUNTIF($E147, _xlfn.CONCAT("*",Table13[[#Headers],[History]],"*")),1,0)</f>
        <v>0</v>
      </c>
      <c r="S147">
        <f>IF(COUNTIF($E147, _xlfn.CONCAT("*",Table13[[#Headers],[Horror]],"*")),1,0)</f>
        <v>0</v>
      </c>
      <c r="T147">
        <f>IF(COUNTIF($E147, _xlfn.CONCAT("*",Table13[[#Headers],[Music]],"*")),1,0)</f>
        <v>0</v>
      </c>
      <c r="U147">
        <f>IF(COUNTIF($E147, _xlfn.CONCAT("*",Table13[[#Headers],[Mystery]],"*")),1,0)</f>
        <v>0</v>
      </c>
      <c r="V147">
        <f>IF(COUNTIF($E147, _xlfn.CONCAT("*",Table13[[#Headers],[Romance]],"*")),1,0)</f>
        <v>0</v>
      </c>
      <c r="W147">
        <f>IF(COUNTIF($E147, _xlfn.CONCAT("*",Table13[[#Headers],[Science Fiction]],"*")),1,0)</f>
        <v>0</v>
      </c>
      <c r="X147">
        <f>IF(COUNTIF($E147, _xlfn.CONCAT("*",Table13[[#Headers],[TV Movie]],"*")),1,0)</f>
        <v>0</v>
      </c>
      <c r="Y147">
        <f>IF(COUNTIF($E147, _xlfn.CONCAT("*",Table13[[#Headers],[Thriller]],"*")),1,0)</f>
        <v>0</v>
      </c>
      <c r="Z147">
        <f>IF(COUNTIF($E147, _xlfn.CONCAT("*",Table13[[#Headers],[War]],"*")),1,0)</f>
        <v>0</v>
      </c>
      <c r="AA147">
        <f>IF(COUNTIF($E147, _xlfn.CONCAT("*",Table13[[#Headers],[Western]],"*")),1,0)</f>
        <v>0</v>
      </c>
    </row>
    <row r="148" spans="1:27">
      <c r="A148" t="s">
        <v>239</v>
      </c>
      <c r="B148">
        <v>118</v>
      </c>
      <c r="C148">
        <f>MAX(Table13[Rank])-Table13[[#This Row],[Rank]]</f>
        <v>146</v>
      </c>
      <c r="D148" t="s">
        <v>7</v>
      </c>
      <c r="E148" t="s">
        <v>240</v>
      </c>
      <c r="F148" s="1">
        <v>26662</v>
      </c>
      <c r="G148">
        <f>YEAR(Table13[[#This Row],[Date]])</f>
        <v>1972</v>
      </c>
      <c r="H148" t="s">
        <v>1283</v>
      </c>
      <c r="I148">
        <f>IF(COUNTIF($E148, _xlfn.CONCAT("*",Table13[[#Headers],[Action]],"*")),1,0)</f>
        <v>0</v>
      </c>
      <c r="J148">
        <f>IF(COUNTIF($E148, _xlfn.CONCAT("*",Table13[[#Headers],[Adventure]],"*")),1,0)</f>
        <v>1</v>
      </c>
      <c r="K148">
        <f>IF(COUNTIF($E148, _xlfn.CONCAT("*",Table13[[#Headers],[Animation]],"*")),1,0)</f>
        <v>0</v>
      </c>
      <c r="L148">
        <f>IF(COUNTIF($E148, _xlfn.CONCAT("*",Table13[[#Headers],[Comedy]],"*")),1,0)</f>
        <v>0</v>
      </c>
      <c r="M148">
        <f>IF(COUNTIF($E148, _xlfn.CONCAT("*",Table13[[#Headers],[Crime]],"*")),1,0)</f>
        <v>0</v>
      </c>
      <c r="N148">
        <f>IF(COUNTIF($E148, _xlfn.CONCAT("*",Table13[[#Headers],[Documentary]],"*")),1,0)</f>
        <v>0</v>
      </c>
      <c r="O148">
        <f>IF(COUNTIF($E148, _xlfn.CONCAT("*",Table13[[#Headers],[Drama]],"*")),1,0)</f>
        <v>1</v>
      </c>
      <c r="P148">
        <f>IF(COUNTIF($E148, _xlfn.CONCAT("*",Table13[[#Headers],[Family]],"*")),1,0)</f>
        <v>0</v>
      </c>
      <c r="Q148">
        <f>IF(COUNTIF($E148, _xlfn.CONCAT("*",Table13[[#Headers],[Fantasy]],"*")),1,0)</f>
        <v>0</v>
      </c>
      <c r="R148">
        <f>IF(COUNTIF($E148, _xlfn.CONCAT("*",Table13[[#Headers],[History]],"*")),1,0)</f>
        <v>1</v>
      </c>
      <c r="S148">
        <f>IF(COUNTIF($E148, _xlfn.CONCAT("*",Table13[[#Headers],[Horror]],"*")),1,0)</f>
        <v>0</v>
      </c>
      <c r="T148">
        <f>IF(COUNTIF($E148, _xlfn.CONCAT("*",Table13[[#Headers],[Music]],"*")),1,0)</f>
        <v>0</v>
      </c>
      <c r="U148">
        <f>IF(COUNTIF($E148, _xlfn.CONCAT("*",Table13[[#Headers],[Mystery]],"*")),1,0)</f>
        <v>0</v>
      </c>
      <c r="V148">
        <f>IF(COUNTIF($E148, _xlfn.CONCAT("*",Table13[[#Headers],[Romance]],"*")),1,0)</f>
        <v>0</v>
      </c>
      <c r="W148">
        <f>IF(COUNTIF($E148, _xlfn.CONCAT("*",Table13[[#Headers],[Science Fiction]],"*")),1,0)</f>
        <v>0</v>
      </c>
      <c r="X148">
        <f>IF(COUNTIF($E148, _xlfn.CONCAT("*",Table13[[#Headers],[TV Movie]],"*")),1,0)</f>
        <v>0</v>
      </c>
      <c r="Y148">
        <f>IF(COUNTIF($E148, _xlfn.CONCAT("*",Table13[[#Headers],[Thriller]],"*")),1,0)</f>
        <v>0</v>
      </c>
      <c r="Z148">
        <f>IF(COUNTIF($E148, _xlfn.CONCAT("*",Table13[[#Headers],[War]],"*")),1,0)</f>
        <v>0</v>
      </c>
      <c r="AA148">
        <f>IF(COUNTIF($E148, _xlfn.CONCAT("*",Table13[[#Headers],[Western]],"*")),1,0)</f>
        <v>0</v>
      </c>
    </row>
    <row r="149" spans="1:27">
      <c r="A149" t="s">
        <v>241</v>
      </c>
      <c r="B149">
        <v>117</v>
      </c>
      <c r="C149">
        <f>MAX(Table13[Rank])-Table13[[#This Row],[Rank]]</f>
        <v>147</v>
      </c>
      <c r="D149" t="s">
        <v>7</v>
      </c>
      <c r="E149" t="s">
        <v>242</v>
      </c>
      <c r="F149" s="1">
        <v>26682</v>
      </c>
      <c r="G149">
        <f>YEAR(Table13[[#This Row],[Date]])</f>
        <v>1973</v>
      </c>
      <c r="H149" t="s">
        <v>241</v>
      </c>
      <c r="I149">
        <f>IF(COUNTIF($E149, _xlfn.CONCAT("*",Table13[[#Headers],[Action]],"*")),1,0)</f>
        <v>0</v>
      </c>
      <c r="J149">
        <f>IF(COUNTIF($E149, _xlfn.CONCAT("*",Table13[[#Headers],[Adventure]],"*")),1,0)</f>
        <v>0</v>
      </c>
      <c r="K149">
        <f>IF(COUNTIF($E149, _xlfn.CONCAT("*",Table13[[#Headers],[Animation]],"*")),1,0)</f>
        <v>0</v>
      </c>
      <c r="L149">
        <f>IF(COUNTIF($E149, _xlfn.CONCAT("*",Table13[[#Headers],[Comedy]],"*")),1,0)</f>
        <v>0</v>
      </c>
      <c r="M149">
        <f>IF(COUNTIF($E149, _xlfn.CONCAT("*",Table13[[#Headers],[Crime]],"*")),1,0)</f>
        <v>0</v>
      </c>
      <c r="N149">
        <f>IF(COUNTIF($E149, _xlfn.CONCAT("*",Table13[[#Headers],[Documentary]],"*")),1,0)</f>
        <v>0</v>
      </c>
      <c r="O149">
        <f>IF(COUNTIF($E149, _xlfn.CONCAT("*",Table13[[#Headers],[Drama]],"*")),1,0)</f>
        <v>1</v>
      </c>
      <c r="P149">
        <f>IF(COUNTIF($E149, _xlfn.CONCAT("*",Table13[[#Headers],[Family]],"*")),1,0)</f>
        <v>0</v>
      </c>
      <c r="Q149">
        <f>IF(COUNTIF($E149, _xlfn.CONCAT("*",Table13[[#Headers],[Fantasy]],"*")),1,0)</f>
        <v>0</v>
      </c>
      <c r="R149">
        <f>IF(COUNTIF($E149, _xlfn.CONCAT("*",Table13[[#Headers],[History]],"*")),1,0)</f>
        <v>0</v>
      </c>
      <c r="S149">
        <f>IF(COUNTIF($E149, _xlfn.CONCAT("*",Table13[[#Headers],[Horror]],"*")),1,0)</f>
        <v>1</v>
      </c>
      <c r="T149">
        <f>IF(COUNTIF($E149, _xlfn.CONCAT("*",Table13[[#Headers],[Music]],"*")),1,0)</f>
        <v>0</v>
      </c>
      <c r="U149">
        <f>IF(COUNTIF($E149, _xlfn.CONCAT("*",Table13[[#Headers],[Mystery]],"*")),1,0)</f>
        <v>0</v>
      </c>
      <c r="V149">
        <f>IF(COUNTIF($E149, _xlfn.CONCAT("*",Table13[[#Headers],[Romance]],"*")),1,0)</f>
        <v>0</v>
      </c>
      <c r="W149">
        <f>IF(COUNTIF($E149, _xlfn.CONCAT("*",Table13[[#Headers],[Science Fiction]],"*")),1,0)</f>
        <v>0</v>
      </c>
      <c r="X149">
        <f>IF(COUNTIF($E149, _xlfn.CONCAT("*",Table13[[#Headers],[TV Movie]],"*")),1,0)</f>
        <v>0</v>
      </c>
      <c r="Y149">
        <f>IF(COUNTIF($E149, _xlfn.CONCAT("*",Table13[[#Headers],[Thriller]],"*")),1,0)</f>
        <v>1</v>
      </c>
      <c r="Z149">
        <f>IF(COUNTIF($E149, _xlfn.CONCAT("*",Table13[[#Headers],[War]],"*")),1,0)</f>
        <v>0</v>
      </c>
      <c r="AA149">
        <f>IF(COUNTIF($E149, _xlfn.CONCAT("*",Table13[[#Headers],[Western]],"*")),1,0)</f>
        <v>0</v>
      </c>
    </row>
    <row r="150" spans="1:27">
      <c r="A150" t="s">
        <v>243</v>
      </c>
      <c r="B150">
        <v>116</v>
      </c>
      <c r="C150">
        <f>MAX(Table13[Rank])-Table13[[#This Row],[Rank]]</f>
        <v>148</v>
      </c>
      <c r="D150" t="s">
        <v>7</v>
      </c>
      <c r="E150" t="s">
        <v>244</v>
      </c>
      <c r="F150" s="1">
        <v>27556</v>
      </c>
      <c r="G150">
        <f>YEAR(Table13[[#This Row],[Date]])</f>
        <v>1975</v>
      </c>
      <c r="H150" t="s">
        <v>243</v>
      </c>
      <c r="I150">
        <f>IF(COUNTIF($E150, _xlfn.CONCAT("*",Table13[[#Headers],[Action]],"*")),1,0)</f>
        <v>0</v>
      </c>
      <c r="J150">
        <f>IF(COUNTIF($E150, _xlfn.CONCAT("*",Table13[[#Headers],[Adventure]],"*")),1,0)</f>
        <v>0</v>
      </c>
      <c r="K150">
        <f>IF(COUNTIF($E150, _xlfn.CONCAT("*",Table13[[#Headers],[Animation]],"*")),1,0)</f>
        <v>0</v>
      </c>
      <c r="L150">
        <f>IF(COUNTIF($E150, _xlfn.CONCAT("*",Table13[[#Headers],[Comedy]],"*")),1,0)</f>
        <v>1</v>
      </c>
      <c r="M150">
        <f>IF(COUNTIF($E150, _xlfn.CONCAT("*",Table13[[#Headers],[Crime]],"*")),1,0)</f>
        <v>0</v>
      </c>
      <c r="N150">
        <f>IF(COUNTIF($E150, _xlfn.CONCAT("*",Table13[[#Headers],[Documentary]],"*")),1,0)</f>
        <v>0</v>
      </c>
      <c r="O150">
        <f>IF(COUNTIF($E150, _xlfn.CONCAT("*",Table13[[#Headers],[Drama]],"*")),1,0)</f>
        <v>1</v>
      </c>
      <c r="P150">
        <f>IF(COUNTIF($E150, _xlfn.CONCAT("*",Table13[[#Headers],[Family]],"*")),1,0)</f>
        <v>0</v>
      </c>
      <c r="Q150">
        <f>IF(COUNTIF($E150, _xlfn.CONCAT("*",Table13[[#Headers],[Fantasy]],"*")),1,0)</f>
        <v>0</v>
      </c>
      <c r="R150">
        <f>IF(COUNTIF($E150, _xlfn.CONCAT("*",Table13[[#Headers],[History]],"*")),1,0)</f>
        <v>0</v>
      </c>
      <c r="S150">
        <f>IF(COUNTIF($E150, _xlfn.CONCAT("*",Table13[[#Headers],[Horror]],"*")),1,0)</f>
        <v>0</v>
      </c>
      <c r="T150">
        <f>IF(COUNTIF($E150, _xlfn.CONCAT("*",Table13[[#Headers],[Music]],"*")),1,0)</f>
        <v>1</v>
      </c>
      <c r="U150">
        <f>IF(COUNTIF($E150, _xlfn.CONCAT("*",Table13[[#Headers],[Mystery]],"*")),1,0)</f>
        <v>0</v>
      </c>
      <c r="V150">
        <f>IF(COUNTIF($E150, _xlfn.CONCAT("*",Table13[[#Headers],[Romance]],"*")),1,0)</f>
        <v>0</v>
      </c>
      <c r="W150">
        <f>IF(COUNTIF($E150, _xlfn.CONCAT("*",Table13[[#Headers],[Science Fiction]],"*")),1,0)</f>
        <v>0</v>
      </c>
      <c r="X150">
        <f>IF(COUNTIF($E150, _xlfn.CONCAT("*",Table13[[#Headers],[TV Movie]],"*")),1,0)</f>
        <v>0</v>
      </c>
      <c r="Y150">
        <f>IF(COUNTIF($E150, _xlfn.CONCAT("*",Table13[[#Headers],[Thriller]],"*")),1,0)</f>
        <v>0</v>
      </c>
      <c r="Z150">
        <f>IF(COUNTIF($E150, _xlfn.CONCAT("*",Table13[[#Headers],[War]],"*")),1,0)</f>
        <v>0</v>
      </c>
      <c r="AA150">
        <f>IF(COUNTIF($E150, _xlfn.CONCAT("*",Table13[[#Headers],[Western]],"*")),1,0)</f>
        <v>0</v>
      </c>
    </row>
    <row r="151" spans="1:27">
      <c r="A151" t="s">
        <v>245</v>
      </c>
      <c r="B151">
        <v>115</v>
      </c>
      <c r="C151">
        <f>MAX(Table13[Rank])-Table13[[#This Row],[Rank]]</f>
        <v>149</v>
      </c>
      <c r="D151" t="s">
        <v>7</v>
      </c>
      <c r="E151" t="s">
        <v>21</v>
      </c>
      <c r="F151" s="1">
        <v>27351</v>
      </c>
      <c r="G151">
        <f>YEAR(Table13[[#This Row],[Date]])</f>
        <v>1974</v>
      </c>
      <c r="H151" t="s">
        <v>246</v>
      </c>
      <c r="I151">
        <f>IF(COUNTIF($E151, _xlfn.CONCAT("*",Table13[[#Headers],[Action]],"*")),1,0)</f>
        <v>0</v>
      </c>
      <c r="J151">
        <f>IF(COUNTIF($E151, _xlfn.CONCAT("*",Table13[[#Headers],[Adventure]],"*")),1,0)</f>
        <v>0</v>
      </c>
      <c r="K151">
        <f>IF(COUNTIF($E151, _xlfn.CONCAT("*",Table13[[#Headers],[Animation]],"*")),1,0)</f>
        <v>0</v>
      </c>
      <c r="L151">
        <f>IF(COUNTIF($E151, _xlfn.CONCAT("*",Table13[[#Headers],[Comedy]],"*")),1,0)</f>
        <v>0</v>
      </c>
      <c r="M151">
        <f>IF(COUNTIF($E151, _xlfn.CONCAT("*",Table13[[#Headers],[Crime]],"*")),1,0)</f>
        <v>0</v>
      </c>
      <c r="N151">
        <f>IF(COUNTIF($E151, _xlfn.CONCAT("*",Table13[[#Headers],[Documentary]],"*")),1,0)</f>
        <v>0</v>
      </c>
      <c r="O151">
        <f>IF(COUNTIF($E151, _xlfn.CONCAT("*",Table13[[#Headers],[Drama]],"*")),1,0)</f>
        <v>1</v>
      </c>
      <c r="P151">
        <f>IF(COUNTIF($E151, _xlfn.CONCAT("*",Table13[[#Headers],[Family]],"*")),1,0)</f>
        <v>0</v>
      </c>
      <c r="Q151">
        <f>IF(COUNTIF($E151, _xlfn.CONCAT("*",Table13[[#Headers],[Fantasy]],"*")),1,0)</f>
        <v>0</v>
      </c>
      <c r="R151">
        <f>IF(COUNTIF($E151, _xlfn.CONCAT("*",Table13[[#Headers],[History]],"*")),1,0)</f>
        <v>0</v>
      </c>
      <c r="S151">
        <f>IF(COUNTIF($E151, _xlfn.CONCAT("*",Table13[[#Headers],[Horror]],"*")),1,0)</f>
        <v>0</v>
      </c>
      <c r="T151">
        <f>IF(COUNTIF($E151, _xlfn.CONCAT("*",Table13[[#Headers],[Music]],"*")),1,0)</f>
        <v>0</v>
      </c>
      <c r="U151">
        <f>IF(COUNTIF($E151, _xlfn.CONCAT("*",Table13[[#Headers],[Mystery]],"*")),1,0)</f>
        <v>0</v>
      </c>
      <c r="V151">
        <f>IF(COUNTIF($E151, _xlfn.CONCAT("*",Table13[[#Headers],[Romance]],"*")),1,0)</f>
        <v>0</v>
      </c>
      <c r="W151">
        <f>IF(COUNTIF($E151, _xlfn.CONCAT("*",Table13[[#Headers],[Science Fiction]],"*")),1,0)</f>
        <v>0</v>
      </c>
      <c r="X151">
        <f>IF(COUNTIF($E151, _xlfn.CONCAT("*",Table13[[#Headers],[TV Movie]],"*")),1,0)</f>
        <v>0</v>
      </c>
      <c r="Y151">
        <f>IF(COUNTIF($E151, _xlfn.CONCAT("*",Table13[[#Headers],[Thriller]],"*")),1,0)</f>
        <v>0</v>
      </c>
      <c r="Z151">
        <f>IF(COUNTIF($E151, _xlfn.CONCAT("*",Table13[[#Headers],[War]],"*")),1,0)</f>
        <v>0</v>
      </c>
      <c r="AA151">
        <f>IF(COUNTIF($E151, _xlfn.CONCAT("*",Table13[[#Headers],[Western]],"*")),1,0)</f>
        <v>0</v>
      </c>
    </row>
    <row r="152" spans="1:27">
      <c r="A152" t="s">
        <v>247</v>
      </c>
      <c r="B152">
        <v>114</v>
      </c>
      <c r="C152">
        <f>MAX(Table13[Rank])-Table13[[#This Row],[Rank]]</f>
        <v>150</v>
      </c>
      <c r="D152" t="s">
        <v>7</v>
      </c>
      <c r="E152" t="s">
        <v>44</v>
      </c>
      <c r="F152" s="1">
        <v>30666</v>
      </c>
      <c r="G152">
        <f>YEAR(Table13[[#This Row],[Date]])</f>
        <v>1983</v>
      </c>
      <c r="H152" t="s">
        <v>247</v>
      </c>
      <c r="I152">
        <f>IF(COUNTIF($E152, _xlfn.CONCAT("*",Table13[[#Headers],[Action]],"*")),1,0)</f>
        <v>0</v>
      </c>
      <c r="J152">
        <f>IF(COUNTIF($E152, _xlfn.CONCAT("*",Table13[[#Headers],[Adventure]],"*")),1,0)</f>
        <v>0</v>
      </c>
      <c r="K152">
        <f>IF(COUNTIF($E152, _xlfn.CONCAT("*",Table13[[#Headers],[Animation]],"*")),1,0)</f>
        <v>0</v>
      </c>
      <c r="L152">
        <f>IF(COUNTIF($E152, _xlfn.CONCAT("*",Table13[[#Headers],[Comedy]],"*")),1,0)</f>
        <v>1</v>
      </c>
      <c r="M152">
        <f>IF(COUNTIF($E152, _xlfn.CONCAT("*",Table13[[#Headers],[Crime]],"*")),1,0)</f>
        <v>0</v>
      </c>
      <c r="N152">
        <f>IF(COUNTIF($E152, _xlfn.CONCAT("*",Table13[[#Headers],[Documentary]],"*")),1,0)</f>
        <v>0</v>
      </c>
      <c r="O152">
        <f>IF(COUNTIF($E152, _xlfn.CONCAT("*",Table13[[#Headers],[Drama]],"*")),1,0)</f>
        <v>0</v>
      </c>
      <c r="P152">
        <f>IF(COUNTIF($E152, _xlfn.CONCAT("*",Table13[[#Headers],[Family]],"*")),1,0)</f>
        <v>0</v>
      </c>
      <c r="Q152">
        <f>IF(COUNTIF($E152, _xlfn.CONCAT("*",Table13[[#Headers],[Fantasy]],"*")),1,0)</f>
        <v>0</v>
      </c>
      <c r="R152">
        <f>IF(COUNTIF($E152, _xlfn.CONCAT("*",Table13[[#Headers],[History]],"*")),1,0)</f>
        <v>0</v>
      </c>
      <c r="S152">
        <f>IF(COUNTIF($E152, _xlfn.CONCAT("*",Table13[[#Headers],[Horror]],"*")),1,0)</f>
        <v>0</v>
      </c>
      <c r="T152">
        <f>IF(COUNTIF($E152, _xlfn.CONCAT("*",Table13[[#Headers],[Music]],"*")),1,0)</f>
        <v>0</v>
      </c>
      <c r="U152">
        <f>IF(COUNTIF($E152, _xlfn.CONCAT("*",Table13[[#Headers],[Mystery]],"*")),1,0)</f>
        <v>0</v>
      </c>
      <c r="V152">
        <f>IF(COUNTIF($E152, _xlfn.CONCAT("*",Table13[[#Headers],[Romance]],"*")),1,0)</f>
        <v>0</v>
      </c>
      <c r="W152">
        <f>IF(COUNTIF($E152, _xlfn.CONCAT("*",Table13[[#Headers],[Science Fiction]],"*")),1,0)</f>
        <v>0</v>
      </c>
      <c r="X152">
        <f>IF(COUNTIF($E152, _xlfn.CONCAT("*",Table13[[#Headers],[TV Movie]],"*")),1,0)</f>
        <v>0</v>
      </c>
      <c r="Y152">
        <f>IF(COUNTIF($E152, _xlfn.CONCAT("*",Table13[[#Headers],[Thriller]],"*")),1,0)</f>
        <v>0</v>
      </c>
      <c r="Z152">
        <f>IF(COUNTIF($E152, _xlfn.CONCAT("*",Table13[[#Headers],[War]],"*")),1,0)</f>
        <v>0</v>
      </c>
      <c r="AA152">
        <f>IF(COUNTIF($E152, _xlfn.CONCAT("*",Table13[[#Headers],[Western]],"*")),1,0)</f>
        <v>0</v>
      </c>
    </row>
    <row r="153" spans="1:27">
      <c r="A153" t="s">
        <v>248</v>
      </c>
      <c r="B153">
        <v>113</v>
      </c>
      <c r="C153">
        <f>MAX(Table13[Rank])-Table13[[#This Row],[Rank]]</f>
        <v>151</v>
      </c>
      <c r="D153" t="s">
        <v>7</v>
      </c>
      <c r="E153" t="s">
        <v>220</v>
      </c>
      <c r="F153" s="1">
        <v>13929</v>
      </c>
      <c r="G153">
        <f>YEAR(Table13[[#This Row],[Date]])</f>
        <v>1938</v>
      </c>
      <c r="H153" t="s">
        <v>248</v>
      </c>
      <c r="I153">
        <f>IF(COUNTIF($E153, _xlfn.CONCAT("*",Table13[[#Headers],[Action]],"*")),1,0)</f>
        <v>0</v>
      </c>
      <c r="J153">
        <f>IF(COUNTIF($E153, _xlfn.CONCAT("*",Table13[[#Headers],[Adventure]],"*")),1,0)</f>
        <v>0</v>
      </c>
      <c r="K153">
        <f>IF(COUNTIF($E153, _xlfn.CONCAT("*",Table13[[#Headers],[Animation]],"*")),1,0)</f>
        <v>0</v>
      </c>
      <c r="L153">
        <f>IF(COUNTIF($E153, _xlfn.CONCAT("*",Table13[[#Headers],[Comedy]],"*")),1,0)</f>
        <v>1</v>
      </c>
      <c r="M153">
        <f>IF(COUNTIF($E153, _xlfn.CONCAT("*",Table13[[#Headers],[Crime]],"*")),1,0)</f>
        <v>0</v>
      </c>
      <c r="N153">
        <f>IF(COUNTIF($E153, _xlfn.CONCAT("*",Table13[[#Headers],[Documentary]],"*")),1,0)</f>
        <v>0</v>
      </c>
      <c r="O153">
        <f>IF(COUNTIF($E153, _xlfn.CONCAT("*",Table13[[#Headers],[Drama]],"*")),1,0)</f>
        <v>0</v>
      </c>
      <c r="P153">
        <f>IF(COUNTIF($E153, _xlfn.CONCAT("*",Table13[[#Headers],[Family]],"*")),1,0)</f>
        <v>0</v>
      </c>
      <c r="Q153">
        <f>IF(COUNTIF($E153, _xlfn.CONCAT("*",Table13[[#Headers],[Fantasy]],"*")),1,0)</f>
        <v>0</v>
      </c>
      <c r="R153">
        <f>IF(COUNTIF($E153, _xlfn.CONCAT("*",Table13[[#Headers],[History]],"*")),1,0)</f>
        <v>0</v>
      </c>
      <c r="S153">
        <f>IF(COUNTIF($E153, _xlfn.CONCAT("*",Table13[[#Headers],[Horror]],"*")),1,0)</f>
        <v>0</v>
      </c>
      <c r="T153">
        <f>IF(COUNTIF($E153, _xlfn.CONCAT("*",Table13[[#Headers],[Music]],"*")),1,0)</f>
        <v>0</v>
      </c>
      <c r="U153">
        <f>IF(COUNTIF($E153, _xlfn.CONCAT("*",Table13[[#Headers],[Mystery]],"*")),1,0)</f>
        <v>0</v>
      </c>
      <c r="V153">
        <f>IF(COUNTIF($E153, _xlfn.CONCAT("*",Table13[[#Headers],[Romance]],"*")),1,0)</f>
        <v>1</v>
      </c>
      <c r="W153">
        <f>IF(COUNTIF($E153, _xlfn.CONCAT("*",Table13[[#Headers],[Science Fiction]],"*")),1,0)</f>
        <v>0</v>
      </c>
      <c r="X153">
        <f>IF(COUNTIF($E153, _xlfn.CONCAT("*",Table13[[#Headers],[TV Movie]],"*")),1,0)</f>
        <v>0</v>
      </c>
      <c r="Y153">
        <f>IF(COUNTIF($E153, _xlfn.CONCAT("*",Table13[[#Headers],[Thriller]],"*")),1,0)</f>
        <v>0</v>
      </c>
      <c r="Z153">
        <f>IF(COUNTIF($E153, _xlfn.CONCAT("*",Table13[[#Headers],[War]],"*")),1,0)</f>
        <v>0</v>
      </c>
      <c r="AA153">
        <f>IF(COUNTIF($E153, _xlfn.CONCAT("*",Table13[[#Headers],[Western]],"*")),1,0)</f>
        <v>0</v>
      </c>
    </row>
    <row r="154" spans="1:27">
      <c r="A154" t="s">
        <v>249</v>
      </c>
      <c r="B154">
        <v>112</v>
      </c>
      <c r="C154">
        <f>MAX(Table13[Rank])-Table13[[#This Row],[Rank]]</f>
        <v>152</v>
      </c>
      <c r="D154" t="s">
        <v>7</v>
      </c>
      <c r="E154" t="s">
        <v>141</v>
      </c>
      <c r="F154" s="1">
        <v>22749</v>
      </c>
      <c r="G154">
        <f>YEAR(Table13[[#This Row],[Date]])</f>
        <v>1962</v>
      </c>
      <c r="H154" t="s">
        <v>249</v>
      </c>
      <c r="I154">
        <f>IF(COUNTIF($E154, _xlfn.CONCAT("*",Table13[[#Headers],[Action]],"*")),1,0)</f>
        <v>0</v>
      </c>
      <c r="J154">
        <f>IF(COUNTIF($E154, _xlfn.CONCAT("*",Table13[[#Headers],[Adventure]],"*")),1,0)</f>
        <v>0</v>
      </c>
      <c r="K154">
        <f>IF(COUNTIF($E154, _xlfn.CONCAT("*",Table13[[#Headers],[Animation]],"*")),1,0)</f>
        <v>0</v>
      </c>
      <c r="L154">
        <f>IF(COUNTIF($E154, _xlfn.CONCAT("*",Table13[[#Headers],[Comedy]],"*")),1,0)</f>
        <v>0</v>
      </c>
      <c r="M154">
        <f>IF(COUNTIF($E154, _xlfn.CONCAT("*",Table13[[#Headers],[Crime]],"*")),1,0)</f>
        <v>0</v>
      </c>
      <c r="N154">
        <f>IF(COUNTIF($E154, _xlfn.CONCAT("*",Table13[[#Headers],[Documentary]],"*")),1,0)</f>
        <v>0</v>
      </c>
      <c r="O154">
        <f>IF(COUNTIF($E154, _xlfn.CONCAT("*",Table13[[#Headers],[Drama]],"*")),1,0)</f>
        <v>0</v>
      </c>
      <c r="P154">
        <f>IF(COUNTIF($E154, _xlfn.CONCAT("*",Table13[[#Headers],[Family]],"*")),1,0)</f>
        <v>0</v>
      </c>
      <c r="Q154">
        <f>IF(COUNTIF($E154, _xlfn.CONCAT("*",Table13[[#Headers],[Fantasy]],"*")),1,0)</f>
        <v>0</v>
      </c>
      <c r="R154">
        <f>IF(COUNTIF($E154, _xlfn.CONCAT("*",Table13[[#Headers],[History]],"*")),1,0)</f>
        <v>0</v>
      </c>
      <c r="S154">
        <f>IF(COUNTIF($E154, _xlfn.CONCAT("*",Table13[[#Headers],[Horror]],"*")),1,0)</f>
        <v>0</v>
      </c>
      <c r="T154">
        <f>IF(COUNTIF($E154, _xlfn.CONCAT("*",Table13[[#Headers],[Music]],"*")),1,0)</f>
        <v>0</v>
      </c>
      <c r="U154">
        <f>IF(COUNTIF($E154, _xlfn.CONCAT("*",Table13[[#Headers],[Mystery]],"*")),1,0)</f>
        <v>0</v>
      </c>
      <c r="V154">
        <f>IF(COUNTIF($E154, _xlfn.CONCAT("*",Table13[[#Headers],[Romance]],"*")),1,0)</f>
        <v>0</v>
      </c>
      <c r="W154">
        <f>IF(COUNTIF($E154, _xlfn.CONCAT("*",Table13[[#Headers],[Science Fiction]],"*")),1,0)</f>
        <v>0</v>
      </c>
      <c r="X154">
        <f>IF(COUNTIF($E154, _xlfn.CONCAT("*",Table13[[#Headers],[TV Movie]],"*")),1,0)</f>
        <v>0</v>
      </c>
      <c r="Y154">
        <f>IF(COUNTIF($E154, _xlfn.CONCAT("*",Table13[[#Headers],[Thriller]],"*")),1,0)</f>
        <v>0</v>
      </c>
      <c r="Z154">
        <f>IF(COUNTIF($E154, _xlfn.CONCAT("*",Table13[[#Headers],[War]],"*")),1,0)</f>
        <v>0</v>
      </c>
      <c r="AA154">
        <f>IF(COUNTIF($E154, _xlfn.CONCAT("*",Table13[[#Headers],[Western]],"*")),1,0)</f>
        <v>1</v>
      </c>
    </row>
    <row r="155" spans="1:27">
      <c r="A155" t="s">
        <v>250</v>
      </c>
      <c r="B155">
        <v>111</v>
      </c>
      <c r="C155">
        <f>MAX(Table13[Rank])-Table13[[#This Row],[Rank]]</f>
        <v>153</v>
      </c>
      <c r="D155" t="s">
        <v>7</v>
      </c>
      <c r="E155" t="s">
        <v>251</v>
      </c>
      <c r="F155" s="1">
        <v>21274</v>
      </c>
      <c r="G155">
        <f>YEAR(Table13[[#This Row],[Date]])</f>
        <v>1958</v>
      </c>
      <c r="H155" t="s">
        <v>250</v>
      </c>
      <c r="I155">
        <f>IF(COUNTIF($E155, _xlfn.CONCAT("*",Table13[[#Headers],[Action]],"*")),1,0)</f>
        <v>0</v>
      </c>
      <c r="J155">
        <f>IF(COUNTIF($E155, _xlfn.CONCAT("*",Table13[[#Headers],[Adventure]],"*")),1,0)</f>
        <v>0</v>
      </c>
      <c r="K155">
        <f>IF(COUNTIF($E155, _xlfn.CONCAT("*",Table13[[#Headers],[Animation]],"*")),1,0)</f>
        <v>0</v>
      </c>
      <c r="L155">
        <f>IF(COUNTIF($E155, _xlfn.CONCAT("*",Table13[[#Headers],[Comedy]],"*")),1,0)</f>
        <v>0</v>
      </c>
      <c r="M155">
        <f>IF(COUNTIF($E155, _xlfn.CONCAT("*",Table13[[#Headers],[Crime]],"*")),1,0)</f>
        <v>1</v>
      </c>
      <c r="N155">
        <f>IF(COUNTIF($E155, _xlfn.CONCAT("*",Table13[[#Headers],[Documentary]],"*")),1,0)</f>
        <v>0</v>
      </c>
      <c r="O155">
        <f>IF(COUNTIF($E155, _xlfn.CONCAT("*",Table13[[#Headers],[Drama]],"*")),1,0)</f>
        <v>0</v>
      </c>
      <c r="P155">
        <f>IF(COUNTIF($E155, _xlfn.CONCAT("*",Table13[[#Headers],[Family]],"*")),1,0)</f>
        <v>0</v>
      </c>
      <c r="Q155">
        <f>IF(COUNTIF($E155, _xlfn.CONCAT("*",Table13[[#Headers],[Fantasy]],"*")),1,0)</f>
        <v>0</v>
      </c>
      <c r="R155">
        <f>IF(COUNTIF($E155, _xlfn.CONCAT("*",Table13[[#Headers],[History]],"*")),1,0)</f>
        <v>0</v>
      </c>
      <c r="S155">
        <f>IF(COUNTIF($E155, _xlfn.CONCAT("*",Table13[[#Headers],[Horror]],"*")),1,0)</f>
        <v>0</v>
      </c>
      <c r="T155">
        <f>IF(COUNTIF($E155, _xlfn.CONCAT("*",Table13[[#Headers],[Music]],"*")),1,0)</f>
        <v>0</v>
      </c>
      <c r="U155">
        <f>IF(COUNTIF($E155, _xlfn.CONCAT("*",Table13[[#Headers],[Mystery]],"*")),1,0)</f>
        <v>1</v>
      </c>
      <c r="V155">
        <f>IF(COUNTIF($E155, _xlfn.CONCAT("*",Table13[[#Headers],[Romance]],"*")),1,0)</f>
        <v>0</v>
      </c>
      <c r="W155">
        <f>IF(COUNTIF($E155, _xlfn.CONCAT("*",Table13[[#Headers],[Science Fiction]],"*")),1,0)</f>
        <v>0</v>
      </c>
      <c r="X155">
        <f>IF(COUNTIF($E155, _xlfn.CONCAT("*",Table13[[#Headers],[TV Movie]],"*")),1,0)</f>
        <v>0</v>
      </c>
      <c r="Y155">
        <f>IF(COUNTIF($E155, _xlfn.CONCAT("*",Table13[[#Headers],[Thriller]],"*")),1,0)</f>
        <v>1</v>
      </c>
      <c r="Z155">
        <f>IF(COUNTIF($E155, _xlfn.CONCAT("*",Table13[[#Headers],[War]],"*")),1,0)</f>
        <v>0</v>
      </c>
      <c r="AA155">
        <f>IF(COUNTIF($E155, _xlfn.CONCAT("*",Table13[[#Headers],[Western]],"*")),1,0)</f>
        <v>0</v>
      </c>
    </row>
    <row r="156" spans="1:27">
      <c r="A156" t="s">
        <v>252</v>
      </c>
      <c r="B156">
        <v>110</v>
      </c>
      <c r="C156">
        <f>MAX(Table13[Rank])-Table13[[#This Row],[Rank]]</f>
        <v>154</v>
      </c>
      <c r="D156" t="s">
        <v>7</v>
      </c>
      <c r="E156" t="s">
        <v>21</v>
      </c>
      <c r="F156" s="1">
        <v>21180</v>
      </c>
      <c r="G156">
        <f>YEAR(Table13[[#This Row],[Date]])</f>
        <v>1957</v>
      </c>
      <c r="H156" t="s">
        <v>252</v>
      </c>
      <c r="I156">
        <f>IF(COUNTIF($E156, _xlfn.CONCAT("*",Table13[[#Headers],[Action]],"*")),1,0)</f>
        <v>0</v>
      </c>
      <c r="J156">
        <f>IF(COUNTIF($E156, _xlfn.CONCAT("*",Table13[[#Headers],[Adventure]],"*")),1,0)</f>
        <v>0</v>
      </c>
      <c r="K156">
        <f>IF(COUNTIF($E156, _xlfn.CONCAT("*",Table13[[#Headers],[Animation]],"*")),1,0)</f>
        <v>0</v>
      </c>
      <c r="L156">
        <f>IF(COUNTIF($E156, _xlfn.CONCAT("*",Table13[[#Headers],[Comedy]],"*")),1,0)</f>
        <v>0</v>
      </c>
      <c r="M156">
        <f>IF(COUNTIF($E156, _xlfn.CONCAT("*",Table13[[#Headers],[Crime]],"*")),1,0)</f>
        <v>0</v>
      </c>
      <c r="N156">
        <f>IF(COUNTIF($E156, _xlfn.CONCAT("*",Table13[[#Headers],[Documentary]],"*")),1,0)</f>
        <v>0</v>
      </c>
      <c r="O156">
        <f>IF(COUNTIF($E156, _xlfn.CONCAT("*",Table13[[#Headers],[Drama]],"*")),1,0)</f>
        <v>1</v>
      </c>
      <c r="P156">
        <f>IF(COUNTIF($E156, _xlfn.CONCAT("*",Table13[[#Headers],[Family]],"*")),1,0)</f>
        <v>0</v>
      </c>
      <c r="Q156">
        <f>IF(COUNTIF($E156, _xlfn.CONCAT("*",Table13[[#Headers],[Fantasy]],"*")),1,0)</f>
        <v>0</v>
      </c>
      <c r="R156">
        <f>IF(COUNTIF($E156, _xlfn.CONCAT("*",Table13[[#Headers],[History]],"*")),1,0)</f>
        <v>0</v>
      </c>
      <c r="S156">
        <f>IF(COUNTIF($E156, _xlfn.CONCAT("*",Table13[[#Headers],[Horror]],"*")),1,0)</f>
        <v>0</v>
      </c>
      <c r="T156">
        <f>IF(COUNTIF($E156, _xlfn.CONCAT("*",Table13[[#Headers],[Music]],"*")),1,0)</f>
        <v>0</v>
      </c>
      <c r="U156">
        <f>IF(COUNTIF($E156, _xlfn.CONCAT("*",Table13[[#Headers],[Mystery]],"*")),1,0)</f>
        <v>0</v>
      </c>
      <c r="V156">
        <f>IF(COUNTIF($E156, _xlfn.CONCAT("*",Table13[[#Headers],[Romance]],"*")),1,0)</f>
        <v>0</v>
      </c>
      <c r="W156">
        <f>IF(COUNTIF($E156, _xlfn.CONCAT("*",Table13[[#Headers],[Science Fiction]],"*")),1,0)</f>
        <v>0</v>
      </c>
      <c r="X156">
        <f>IF(COUNTIF($E156, _xlfn.CONCAT("*",Table13[[#Headers],[TV Movie]],"*")),1,0)</f>
        <v>0</v>
      </c>
      <c r="Y156">
        <f>IF(COUNTIF($E156, _xlfn.CONCAT("*",Table13[[#Headers],[Thriller]],"*")),1,0)</f>
        <v>0</v>
      </c>
      <c r="Z156">
        <f>IF(COUNTIF($E156, _xlfn.CONCAT("*",Table13[[#Headers],[War]],"*")),1,0)</f>
        <v>0</v>
      </c>
      <c r="AA156">
        <f>IF(COUNTIF($E156, _xlfn.CONCAT("*",Table13[[#Headers],[Western]],"*")),1,0)</f>
        <v>0</v>
      </c>
    </row>
    <row r="157" spans="1:27">
      <c r="A157" t="s">
        <v>253</v>
      </c>
      <c r="B157">
        <v>109</v>
      </c>
      <c r="C157">
        <f>MAX(Table13[Rank])-Table13[[#This Row],[Rank]]</f>
        <v>155</v>
      </c>
      <c r="D157" t="s">
        <v>7</v>
      </c>
      <c r="E157" t="s">
        <v>254</v>
      </c>
      <c r="F157" s="1">
        <v>14472</v>
      </c>
      <c r="G157">
        <f>YEAR(Table13[[#This Row],[Date]])</f>
        <v>1939</v>
      </c>
      <c r="H157" t="s">
        <v>253</v>
      </c>
      <c r="I157">
        <f>IF(COUNTIF($E157, _xlfn.CONCAT("*",Table13[[#Headers],[Action]],"*")),1,0)</f>
        <v>0</v>
      </c>
      <c r="J157">
        <f>IF(COUNTIF($E157, _xlfn.CONCAT("*",Table13[[#Headers],[Adventure]],"*")),1,0)</f>
        <v>1</v>
      </c>
      <c r="K157">
        <f>IF(COUNTIF($E157, _xlfn.CONCAT("*",Table13[[#Headers],[Animation]],"*")),1,0)</f>
        <v>0</v>
      </c>
      <c r="L157">
        <f>IF(COUNTIF($E157, _xlfn.CONCAT("*",Table13[[#Headers],[Comedy]],"*")),1,0)</f>
        <v>0</v>
      </c>
      <c r="M157">
        <f>IF(COUNTIF($E157, _xlfn.CONCAT("*",Table13[[#Headers],[Crime]],"*")),1,0)</f>
        <v>0</v>
      </c>
      <c r="N157">
        <f>IF(COUNTIF($E157, _xlfn.CONCAT("*",Table13[[#Headers],[Documentary]],"*")),1,0)</f>
        <v>0</v>
      </c>
      <c r="O157">
        <f>IF(COUNTIF($E157, _xlfn.CONCAT("*",Table13[[#Headers],[Drama]],"*")),1,0)</f>
        <v>0</v>
      </c>
      <c r="P157">
        <f>IF(COUNTIF($E157, _xlfn.CONCAT("*",Table13[[#Headers],[Family]],"*")),1,0)</f>
        <v>1</v>
      </c>
      <c r="Q157">
        <f>IF(COUNTIF($E157, _xlfn.CONCAT("*",Table13[[#Headers],[Fantasy]],"*")),1,0)</f>
        <v>1</v>
      </c>
      <c r="R157">
        <f>IF(COUNTIF($E157, _xlfn.CONCAT("*",Table13[[#Headers],[History]],"*")),1,0)</f>
        <v>0</v>
      </c>
      <c r="S157">
        <f>IF(COUNTIF($E157, _xlfn.CONCAT("*",Table13[[#Headers],[Horror]],"*")),1,0)</f>
        <v>0</v>
      </c>
      <c r="T157">
        <f>IF(COUNTIF($E157, _xlfn.CONCAT("*",Table13[[#Headers],[Music]],"*")),1,0)</f>
        <v>0</v>
      </c>
      <c r="U157">
        <f>IF(COUNTIF($E157, _xlfn.CONCAT("*",Table13[[#Headers],[Mystery]],"*")),1,0)</f>
        <v>0</v>
      </c>
      <c r="V157">
        <f>IF(COUNTIF($E157, _xlfn.CONCAT("*",Table13[[#Headers],[Romance]],"*")),1,0)</f>
        <v>0</v>
      </c>
      <c r="W157">
        <f>IF(COUNTIF($E157, _xlfn.CONCAT("*",Table13[[#Headers],[Science Fiction]],"*")),1,0)</f>
        <v>0</v>
      </c>
      <c r="X157">
        <f>IF(COUNTIF($E157, _xlfn.CONCAT("*",Table13[[#Headers],[TV Movie]],"*")),1,0)</f>
        <v>0</v>
      </c>
      <c r="Y157">
        <f>IF(COUNTIF($E157, _xlfn.CONCAT("*",Table13[[#Headers],[Thriller]],"*")),1,0)</f>
        <v>0</v>
      </c>
      <c r="Z157">
        <f>IF(COUNTIF($E157, _xlfn.CONCAT("*",Table13[[#Headers],[War]],"*")),1,0)</f>
        <v>0</v>
      </c>
      <c r="AA157">
        <f>IF(COUNTIF($E157, _xlfn.CONCAT("*",Table13[[#Headers],[Western]],"*")),1,0)</f>
        <v>0</v>
      </c>
    </row>
    <row r="158" spans="1:27">
      <c r="A158" t="s">
        <v>255</v>
      </c>
      <c r="B158">
        <v>108</v>
      </c>
      <c r="C158">
        <f>MAX(Table13[Rank])-Table13[[#This Row],[Rank]]</f>
        <v>156</v>
      </c>
      <c r="D158" t="s">
        <v>7</v>
      </c>
      <c r="E158" t="s">
        <v>256</v>
      </c>
      <c r="F158" s="1">
        <v>37967</v>
      </c>
      <c r="G158">
        <f>YEAR(Table13[[#This Row],[Date]])</f>
        <v>2003</v>
      </c>
      <c r="H158" t="s">
        <v>255</v>
      </c>
      <c r="I158">
        <f>IF(COUNTIF($E158, _xlfn.CONCAT("*",Table13[[#Headers],[Action]],"*")),1,0)</f>
        <v>0</v>
      </c>
      <c r="J158">
        <f>IF(COUNTIF($E158, _xlfn.CONCAT("*",Table13[[#Headers],[Adventure]],"*")),1,0)</f>
        <v>0</v>
      </c>
      <c r="K158">
        <f>IF(COUNTIF($E158, _xlfn.CONCAT("*",Table13[[#Headers],[Animation]],"*")),1,0)</f>
        <v>0</v>
      </c>
      <c r="L158">
        <f>IF(COUNTIF($E158, _xlfn.CONCAT("*",Table13[[#Headers],[Comedy]],"*")),1,0)</f>
        <v>1</v>
      </c>
      <c r="M158">
        <f>IF(COUNTIF($E158, _xlfn.CONCAT("*",Table13[[#Headers],[Crime]],"*")),1,0)</f>
        <v>0</v>
      </c>
      <c r="N158">
        <f>IF(COUNTIF($E158, _xlfn.CONCAT("*",Table13[[#Headers],[Documentary]],"*")),1,0)</f>
        <v>0</v>
      </c>
      <c r="O158">
        <f>IF(COUNTIF($E158, _xlfn.CONCAT("*",Table13[[#Headers],[Drama]],"*")),1,0)</f>
        <v>1</v>
      </c>
      <c r="P158">
        <f>IF(COUNTIF($E158, _xlfn.CONCAT("*",Table13[[#Headers],[Family]],"*")),1,0)</f>
        <v>0</v>
      </c>
      <c r="Q158">
        <f>IF(COUNTIF($E158, _xlfn.CONCAT("*",Table13[[#Headers],[Fantasy]],"*")),1,0)</f>
        <v>0</v>
      </c>
      <c r="R158">
        <f>IF(COUNTIF($E158, _xlfn.CONCAT("*",Table13[[#Headers],[History]],"*")),1,0)</f>
        <v>0</v>
      </c>
      <c r="S158">
        <f>IF(COUNTIF($E158, _xlfn.CONCAT("*",Table13[[#Headers],[Horror]],"*")),1,0)</f>
        <v>0</v>
      </c>
      <c r="T158">
        <f>IF(COUNTIF($E158, _xlfn.CONCAT("*",Table13[[#Headers],[Music]],"*")),1,0)</f>
        <v>0</v>
      </c>
      <c r="U158">
        <f>IF(COUNTIF($E158, _xlfn.CONCAT("*",Table13[[#Headers],[Mystery]],"*")),1,0)</f>
        <v>0</v>
      </c>
      <c r="V158">
        <f>IF(COUNTIF($E158, _xlfn.CONCAT("*",Table13[[#Headers],[Romance]],"*")),1,0)</f>
        <v>0</v>
      </c>
      <c r="W158">
        <f>IF(COUNTIF($E158, _xlfn.CONCAT("*",Table13[[#Headers],[Science Fiction]],"*")),1,0)</f>
        <v>0</v>
      </c>
      <c r="X158">
        <f>IF(COUNTIF($E158, _xlfn.CONCAT("*",Table13[[#Headers],[TV Movie]],"*")),1,0)</f>
        <v>0</v>
      </c>
      <c r="Y158">
        <f>IF(COUNTIF($E158, _xlfn.CONCAT("*",Table13[[#Headers],[Thriller]],"*")),1,0)</f>
        <v>0</v>
      </c>
      <c r="Z158">
        <f>IF(COUNTIF($E158, _xlfn.CONCAT("*",Table13[[#Headers],[War]],"*")),1,0)</f>
        <v>0</v>
      </c>
      <c r="AA158">
        <f>IF(COUNTIF($E158, _xlfn.CONCAT("*",Table13[[#Headers],[Western]],"*")),1,0)</f>
        <v>0</v>
      </c>
    </row>
    <row r="159" spans="1:27">
      <c r="A159" t="s">
        <v>257</v>
      </c>
      <c r="B159">
        <v>107</v>
      </c>
      <c r="C159">
        <f>MAX(Table13[Rank])-Table13[[#This Row],[Rank]]</f>
        <v>157</v>
      </c>
      <c r="D159" t="s">
        <v>7</v>
      </c>
      <c r="E159" t="s">
        <v>166</v>
      </c>
      <c r="F159" s="1">
        <v>27383</v>
      </c>
      <c r="G159">
        <f>YEAR(Table13[[#This Row],[Date]])</f>
        <v>1974</v>
      </c>
      <c r="H159" t="s">
        <v>257</v>
      </c>
      <c r="I159">
        <f>IF(COUNTIF($E159, _xlfn.CONCAT("*",Table13[[#Headers],[Action]],"*")),1,0)</f>
        <v>0</v>
      </c>
      <c r="J159">
        <f>IF(COUNTIF($E159, _xlfn.CONCAT("*",Table13[[#Headers],[Adventure]],"*")),1,0)</f>
        <v>0</v>
      </c>
      <c r="K159">
        <f>IF(COUNTIF($E159, _xlfn.CONCAT("*",Table13[[#Headers],[Animation]],"*")),1,0)</f>
        <v>0</v>
      </c>
      <c r="L159">
        <f>IF(COUNTIF($E159, _xlfn.CONCAT("*",Table13[[#Headers],[Comedy]],"*")),1,0)</f>
        <v>0</v>
      </c>
      <c r="M159">
        <f>IF(COUNTIF($E159, _xlfn.CONCAT("*",Table13[[#Headers],[Crime]],"*")),1,0)</f>
        <v>1</v>
      </c>
      <c r="N159">
        <f>IF(COUNTIF($E159, _xlfn.CONCAT("*",Table13[[#Headers],[Documentary]],"*")),1,0)</f>
        <v>0</v>
      </c>
      <c r="O159">
        <f>IF(COUNTIF($E159, _xlfn.CONCAT("*",Table13[[#Headers],[Drama]],"*")),1,0)</f>
        <v>1</v>
      </c>
      <c r="P159">
        <f>IF(COUNTIF($E159, _xlfn.CONCAT("*",Table13[[#Headers],[Family]],"*")),1,0)</f>
        <v>0</v>
      </c>
      <c r="Q159">
        <f>IF(COUNTIF($E159, _xlfn.CONCAT("*",Table13[[#Headers],[Fantasy]],"*")),1,0)</f>
        <v>0</v>
      </c>
      <c r="R159">
        <f>IF(COUNTIF($E159, _xlfn.CONCAT("*",Table13[[#Headers],[History]],"*")),1,0)</f>
        <v>0</v>
      </c>
      <c r="S159">
        <f>IF(COUNTIF($E159, _xlfn.CONCAT("*",Table13[[#Headers],[Horror]],"*")),1,0)</f>
        <v>0</v>
      </c>
      <c r="T159">
        <f>IF(COUNTIF($E159, _xlfn.CONCAT("*",Table13[[#Headers],[Music]],"*")),1,0)</f>
        <v>0</v>
      </c>
      <c r="U159">
        <f>IF(COUNTIF($E159, _xlfn.CONCAT("*",Table13[[#Headers],[Mystery]],"*")),1,0)</f>
        <v>0</v>
      </c>
      <c r="V159">
        <f>IF(COUNTIF($E159, _xlfn.CONCAT("*",Table13[[#Headers],[Romance]],"*")),1,0)</f>
        <v>0</v>
      </c>
      <c r="W159">
        <f>IF(COUNTIF($E159, _xlfn.CONCAT("*",Table13[[#Headers],[Science Fiction]],"*")),1,0)</f>
        <v>0</v>
      </c>
      <c r="X159">
        <f>IF(COUNTIF($E159, _xlfn.CONCAT("*",Table13[[#Headers],[TV Movie]],"*")),1,0)</f>
        <v>0</v>
      </c>
      <c r="Y159">
        <f>IF(COUNTIF($E159, _xlfn.CONCAT("*",Table13[[#Headers],[Thriller]],"*")),1,0)</f>
        <v>0</v>
      </c>
      <c r="Z159">
        <f>IF(COUNTIF($E159, _xlfn.CONCAT("*",Table13[[#Headers],[War]],"*")),1,0)</f>
        <v>0</v>
      </c>
      <c r="AA159">
        <f>IF(COUNTIF($E159, _xlfn.CONCAT("*",Table13[[#Headers],[Western]],"*")),1,0)</f>
        <v>0</v>
      </c>
    </row>
    <row r="160" spans="1:27">
      <c r="A160" t="s">
        <v>258</v>
      </c>
      <c r="B160">
        <v>106</v>
      </c>
      <c r="C160">
        <f>MAX(Table13[Rank])-Table13[[#This Row],[Rank]]</f>
        <v>158</v>
      </c>
      <c r="D160" t="s">
        <v>7</v>
      </c>
      <c r="E160" t="s">
        <v>259</v>
      </c>
      <c r="F160" s="1">
        <v>27565</v>
      </c>
      <c r="G160">
        <f>YEAR(Table13[[#This Row],[Date]])</f>
        <v>1975</v>
      </c>
      <c r="H160" t="s">
        <v>258</v>
      </c>
      <c r="I160">
        <f>IF(COUNTIF($E160, _xlfn.CONCAT("*",Table13[[#Headers],[Action]],"*")),1,0)</f>
        <v>0</v>
      </c>
      <c r="J160">
        <f>IF(COUNTIF($E160, _xlfn.CONCAT("*",Table13[[#Headers],[Adventure]],"*")),1,0)</f>
        <v>1</v>
      </c>
      <c r="K160">
        <f>IF(COUNTIF($E160, _xlfn.CONCAT("*",Table13[[#Headers],[Animation]],"*")),1,0)</f>
        <v>0</v>
      </c>
      <c r="L160">
        <f>IF(COUNTIF($E160, _xlfn.CONCAT("*",Table13[[#Headers],[Comedy]],"*")),1,0)</f>
        <v>0</v>
      </c>
      <c r="M160">
        <f>IF(COUNTIF($E160, _xlfn.CONCAT("*",Table13[[#Headers],[Crime]],"*")),1,0)</f>
        <v>0</v>
      </c>
      <c r="N160">
        <f>IF(COUNTIF($E160, _xlfn.CONCAT("*",Table13[[#Headers],[Documentary]],"*")),1,0)</f>
        <v>0</v>
      </c>
      <c r="O160">
        <f>IF(COUNTIF($E160, _xlfn.CONCAT("*",Table13[[#Headers],[Drama]],"*")),1,0)</f>
        <v>0</v>
      </c>
      <c r="P160">
        <f>IF(COUNTIF($E160, _xlfn.CONCAT("*",Table13[[#Headers],[Family]],"*")),1,0)</f>
        <v>0</v>
      </c>
      <c r="Q160">
        <f>IF(COUNTIF($E160, _xlfn.CONCAT("*",Table13[[#Headers],[Fantasy]],"*")),1,0)</f>
        <v>0</v>
      </c>
      <c r="R160">
        <f>IF(COUNTIF($E160, _xlfn.CONCAT("*",Table13[[#Headers],[History]],"*")),1,0)</f>
        <v>0</v>
      </c>
      <c r="S160">
        <f>IF(COUNTIF($E160, _xlfn.CONCAT("*",Table13[[#Headers],[Horror]],"*")),1,0)</f>
        <v>1</v>
      </c>
      <c r="T160">
        <f>IF(COUNTIF($E160, _xlfn.CONCAT("*",Table13[[#Headers],[Music]],"*")),1,0)</f>
        <v>0</v>
      </c>
      <c r="U160">
        <f>IF(COUNTIF($E160, _xlfn.CONCAT("*",Table13[[#Headers],[Mystery]],"*")),1,0)</f>
        <v>0</v>
      </c>
      <c r="V160">
        <f>IF(COUNTIF($E160, _xlfn.CONCAT("*",Table13[[#Headers],[Romance]],"*")),1,0)</f>
        <v>0</v>
      </c>
      <c r="W160">
        <f>IF(COUNTIF($E160, _xlfn.CONCAT("*",Table13[[#Headers],[Science Fiction]],"*")),1,0)</f>
        <v>0</v>
      </c>
      <c r="X160">
        <f>IF(COUNTIF($E160, _xlfn.CONCAT("*",Table13[[#Headers],[TV Movie]],"*")),1,0)</f>
        <v>0</v>
      </c>
      <c r="Y160">
        <f>IF(COUNTIF($E160, _xlfn.CONCAT("*",Table13[[#Headers],[Thriller]],"*")),1,0)</f>
        <v>1</v>
      </c>
      <c r="Z160">
        <f>IF(COUNTIF($E160, _xlfn.CONCAT("*",Table13[[#Headers],[War]],"*")),1,0)</f>
        <v>0</v>
      </c>
      <c r="AA160">
        <f>IF(COUNTIF($E160, _xlfn.CONCAT("*",Table13[[#Headers],[Western]],"*")),1,0)</f>
        <v>0</v>
      </c>
    </row>
    <row r="161" spans="1:27">
      <c r="A161" t="s">
        <v>260</v>
      </c>
      <c r="B161">
        <v>105</v>
      </c>
      <c r="C161">
        <f>MAX(Table13[Rank])-Table13[[#This Row],[Rank]]</f>
        <v>159</v>
      </c>
      <c r="D161" t="s">
        <v>7</v>
      </c>
      <c r="E161" t="s">
        <v>81</v>
      </c>
      <c r="F161" s="1">
        <v>31237</v>
      </c>
      <c r="G161">
        <f>YEAR(Table13[[#This Row],[Date]])</f>
        <v>1985</v>
      </c>
      <c r="H161" t="s">
        <v>260</v>
      </c>
      <c r="I161">
        <f>IF(COUNTIF($E161, _xlfn.CONCAT("*",Table13[[#Headers],[Action]],"*")),1,0)</f>
        <v>0</v>
      </c>
      <c r="J161">
        <f>IF(COUNTIF($E161, _xlfn.CONCAT("*",Table13[[#Headers],[Adventure]],"*")),1,0)</f>
        <v>0</v>
      </c>
      <c r="K161">
        <f>IF(COUNTIF($E161, _xlfn.CONCAT("*",Table13[[#Headers],[Animation]],"*")),1,0)</f>
        <v>0</v>
      </c>
      <c r="L161">
        <f>IF(COUNTIF($E161, _xlfn.CONCAT("*",Table13[[#Headers],[Comedy]],"*")),1,0)</f>
        <v>0</v>
      </c>
      <c r="M161">
        <f>IF(COUNTIF($E161, _xlfn.CONCAT("*",Table13[[#Headers],[Crime]],"*")),1,0)</f>
        <v>0</v>
      </c>
      <c r="N161">
        <f>IF(COUNTIF($E161, _xlfn.CONCAT("*",Table13[[#Headers],[Documentary]],"*")),1,0)</f>
        <v>0</v>
      </c>
      <c r="O161">
        <f>IF(COUNTIF($E161, _xlfn.CONCAT("*",Table13[[#Headers],[Drama]],"*")),1,0)</f>
        <v>1</v>
      </c>
      <c r="P161">
        <f>IF(COUNTIF($E161, _xlfn.CONCAT("*",Table13[[#Headers],[Family]],"*")),1,0)</f>
        <v>0</v>
      </c>
      <c r="Q161">
        <f>IF(COUNTIF($E161, _xlfn.CONCAT("*",Table13[[#Headers],[Fantasy]],"*")),1,0)</f>
        <v>0</v>
      </c>
      <c r="R161">
        <f>IF(COUNTIF($E161, _xlfn.CONCAT("*",Table13[[#Headers],[History]],"*")),1,0)</f>
        <v>0</v>
      </c>
      <c r="S161">
        <f>IF(COUNTIF($E161, _xlfn.CONCAT("*",Table13[[#Headers],[Horror]],"*")),1,0)</f>
        <v>0</v>
      </c>
      <c r="T161">
        <f>IF(COUNTIF($E161, _xlfn.CONCAT("*",Table13[[#Headers],[Music]],"*")),1,0)</f>
        <v>0</v>
      </c>
      <c r="U161">
        <f>IF(COUNTIF($E161, _xlfn.CONCAT("*",Table13[[#Headers],[Mystery]],"*")),1,0)</f>
        <v>0</v>
      </c>
      <c r="V161">
        <f>IF(COUNTIF($E161, _xlfn.CONCAT("*",Table13[[#Headers],[Romance]],"*")),1,0)</f>
        <v>0</v>
      </c>
      <c r="W161">
        <f>IF(COUNTIF($E161, _xlfn.CONCAT("*",Table13[[#Headers],[Science Fiction]],"*")),1,0)</f>
        <v>0</v>
      </c>
      <c r="X161">
        <f>IF(COUNTIF($E161, _xlfn.CONCAT("*",Table13[[#Headers],[TV Movie]],"*")),1,0)</f>
        <v>0</v>
      </c>
      <c r="Y161">
        <f>IF(COUNTIF($E161, _xlfn.CONCAT("*",Table13[[#Headers],[Thriller]],"*")),1,0)</f>
        <v>0</v>
      </c>
      <c r="Z161">
        <f>IF(COUNTIF($E161, _xlfn.CONCAT("*",Table13[[#Headers],[War]],"*")),1,0)</f>
        <v>1</v>
      </c>
      <c r="AA161">
        <f>IF(COUNTIF($E161, _xlfn.CONCAT("*",Table13[[#Headers],[Western]],"*")),1,0)</f>
        <v>0</v>
      </c>
    </row>
    <row r="162" spans="1:27">
      <c r="A162" t="s">
        <v>261</v>
      </c>
      <c r="B162">
        <v>104</v>
      </c>
      <c r="C162">
        <f>MAX(Table13[Rank])-Table13[[#This Row],[Rank]]</f>
        <v>160</v>
      </c>
      <c r="D162" t="s">
        <v>7</v>
      </c>
      <c r="E162" t="s">
        <v>198</v>
      </c>
      <c r="F162" s="1">
        <v>26785</v>
      </c>
      <c r="G162">
        <f>YEAR(Table13[[#This Row],[Date]])</f>
        <v>1973</v>
      </c>
      <c r="H162" t="s">
        <v>1284</v>
      </c>
      <c r="I162">
        <f>IF(COUNTIF($E162, _xlfn.CONCAT("*",Table13[[#Headers],[Action]],"*")),1,0)</f>
        <v>0</v>
      </c>
      <c r="J162">
        <f>IF(COUNTIF($E162, _xlfn.CONCAT("*",Table13[[#Headers],[Adventure]],"*")),1,0)</f>
        <v>0</v>
      </c>
      <c r="K162">
        <f>IF(COUNTIF($E162, _xlfn.CONCAT("*",Table13[[#Headers],[Animation]],"*")),1,0)</f>
        <v>0</v>
      </c>
      <c r="L162">
        <f>IF(COUNTIF($E162, _xlfn.CONCAT("*",Table13[[#Headers],[Comedy]],"*")),1,0)</f>
        <v>1</v>
      </c>
      <c r="M162">
        <f>IF(COUNTIF($E162, _xlfn.CONCAT("*",Table13[[#Headers],[Crime]],"*")),1,0)</f>
        <v>0</v>
      </c>
      <c r="N162">
        <f>IF(COUNTIF($E162, _xlfn.CONCAT("*",Table13[[#Headers],[Documentary]],"*")),1,0)</f>
        <v>0</v>
      </c>
      <c r="O162">
        <f>IF(COUNTIF($E162, _xlfn.CONCAT("*",Table13[[#Headers],[Drama]],"*")),1,0)</f>
        <v>1</v>
      </c>
      <c r="P162">
        <f>IF(COUNTIF($E162, _xlfn.CONCAT("*",Table13[[#Headers],[Family]],"*")),1,0)</f>
        <v>0</v>
      </c>
      <c r="Q162">
        <f>IF(COUNTIF($E162, _xlfn.CONCAT("*",Table13[[#Headers],[Fantasy]],"*")),1,0)</f>
        <v>0</v>
      </c>
      <c r="R162">
        <f>IF(COUNTIF($E162, _xlfn.CONCAT("*",Table13[[#Headers],[History]],"*")),1,0)</f>
        <v>0</v>
      </c>
      <c r="S162">
        <f>IF(COUNTIF($E162, _xlfn.CONCAT("*",Table13[[#Headers],[Horror]],"*")),1,0)</f>
        <v>0</v>
      </c>
      <c r="T162">
        <f>IF(COUNTIF($E162, _xlfn.CONCAT("*",Table13[[#Headers],[Music]],"*")),1,0)</f>
        <v>0</v>
      </c>
      <c r="U162">
        <f>IF(COUNTIF($E162, _xlfn.CONCAT("*",Table13[[#Headers],[Mystery]],"*")),1,0)</f>
        <v>0</v>
      </c>
      <c r="V162">
        <f>IF(COUNTIF($E162, _xlfn.CONCAT("*",Table13[[#Headers],[Romance]],"*")),1,0)</f>
        <v>1</v>
      </c>
      <c r="W162">
        <f>IF(COUNTIF($E162, _xlfn.CONCAT("*",Table13[[#Headers],[Science Fiction]],"*")),1,0)</f>
        <v>0</v>
      </c>
      <c r="X162">
        <f>IF(COUNTIF($E162, _xlfn.CONCAT("*",Table13[[#Headers],[TV Movie]],"*")),1,0)</f>
        <v>0</v>
      </c>
      <c r="Y162">
        <f>IF(COUNTIF($E162, _xlfn.CONCAT("*",Table13[[#Headers],[Thriller]],"*")),1,0)</f>
        <v>0</v>
      </c>
      <c r="Z162">
        <f>IF(COUNTIF($E162, _xlfn.CONCAT("*",Table13[[#Headers],[War]],"*")),1,0)</f>
        <v>0</v>
      </c>
      <c r="AA162">
        <f>IF(COUNTIF($E162, _xlfn.CONCAT("*",Table13[[#Headers],[Western]],"*")),1,0)</f>
        <v>0</v>
      </c>
    </row>
    <row r="163" spans="1:27">
      <c r="A163" t="s">
        <v>262</v>
      </c>
      <c r="B163">
        <v>103</v>
      </c>
      <c r="C163">
        <f>MAX(Table13[Rank])-Table13[[#This Row],[Rank]]</f>
        <v>161</v>
      </c>
      <c r="D163" t="s">
        <v>7</v>
      </c>
      <c r="E163" t="s">
        <v>164</v>
      </c>
      <c r="F163" s="1">
        <v>33912</v>
      </c>
      <c r="G163">
        <f>YEAR(Table13[[#This Row],[Date]])</f>
        <v>1992</v>
      </c>
      <c r="H163" t="s">
        <v>262</v>
      </c>
      <c r="I163">
        <f>IF(COUNTIF($E163, _xlfn.CONCAT("*",Table13[[#Headers],[Action]],"*")),1,0)</f>
        <v>0</v>
      </c>
      <c r="J163">
        <f>IF(COUNTIF($E163, _xlfn.CONCAT("*",Table13[[#Headers],[Adventure]],"*")),1,0)</f>
        <v>0</v>
      </c>
      <c r="K163">
        <f>IF(COUNTIF($E163, _xlfn.CONCAT("*",Table13[[#Headers],[Animation]],"*")),1,0)</f>
        <v>0</v>
      </c>
      <c r="L163">
        <f>IF(COUNTIF($E163, _xlfn.CONCAT("*",Table13[[#Headers],[Comedy]],"*")),1,0)</f>
        <v>1</v>
      </c>
      <c r="M163">
        <f>IF(COUNTIF($E163, _xlfn.CONCAT("*",Table13[[#Headers],[Crime]],"*")),1,0)</f>
        <v>0</v>
      </c>
      <c r="N163">
        <f>IF(COUNTIF($E163, _xlfn.CONCAT("*",Table13[[#Headers],[Documentary]],"*")),1,0)</f>
        <v>0</v>
      </c>
      <c r="O163">
        <f>IF(COUNTIF($E163, _xlfn.CONCAT("*",Table13[[#Headers],[Drama]],"*")),1,0)</f>
        <v>1</v>
      </c>
      <c r="P163">
        <f>IF(COUNTIF($E163, _xlfn.CONCAT("*",Table13[[#Headers],[Family]],"*")),1,0)</f>
        <v>0</v>
      </c>
      <c r="Q163">
        <f>IF(COUNTIF($E163, _xlfn.CONCAT("*",Table13[[#Headers],[Fantasy]],"*")),1,0)</f>
        <v>0</v>
      </c>
      <c r="R163">
        <f>IF(COUNTIF($E163, _xlfn.CONCAT("*",Table13[[#Headers],[History]],"*")),1,0)</f>
        <v>0</v>
      </c>
      <c r="S163">
        <f>IF(COUNTIF($E163, _xlfn.CONCAT("*",Table13[[#Headers],[Horror]],"*")),1,0)</f>
        <v>0</v>
      </c>
      <c r="T163">
        <f>IF(COUNTIF($E163, _xlfn.CONCAT("*",Table13[[#Headers],[Music]],"*")),1,0)</f>
        <v>0</v>
      </c>
      <c r="U163">
        <f>IF(COUNTIF($E163, _xlfn.CONCAT("*",Table13[[#Headers],[Mystery]],"*")),1,0)</f>
        <v>0</v>
      </c>
      <c r="V163">
        <f>IF(COUNTIF($E163, _xlfn.CONCAT("*",Table13[[#Headers],[Romance]],"*")),1,0)</f>
        <v>0</v>
      </c>
      <c r="W163">
        <f>IF(COUNTIF($E163, _xlfn.CONCAT("*",Table13[[#Headers],[Science Fiction]],"*")),1,0)</f>
        <v>0</v>
      </c>
      <c r="X163">
        <f>IF(COUNTIF($E163, _xlfn.CONCAT("*",Table13[[#Headers],[TV Movie]],"*")),1,0)</f>
        <v>0</v>
      </c>
      <c r="Y163">
        <f>IF(COUNTIF($E163, _xlfn.CONCAT("*",Table13[[#Headers],[Thriller]],"*")),1,0)</f>
        <v>0</v>
      </c>
      <c r="Z163">
        <f>IF(COUNTIF($E163, _xlfn.CONCAT("*",Table13[[#Headers],[War]],"*")),1,0)</f>
        <v>0</v>
      </c>
      <c r="AA163">
        <f>IF(COUNTIF($E163, _xlfn.CONCAT("*",Table13[[#Headers],[Western]],"*")),1,0)</f>
        <v>0</v>
      </c>
    </row>
    <row r="164" spans="1:27">
      <c r="A164" t="s">
        <v>263</v>
      </c>
      <c r="B164">
        <v>102</v>
      </c>
      <c r="C164">
        <f>MAX(Table13[Rank])-Table13[[#This Row],[Rank]]</f>
        <v>162</v>
      </c>
      <c r="D164" t="s">
        <v>7</v>
      </c>
      <c r="E164" t="s">
        <v>17</v>
      </c>
      <c r="F164" s="1">
        <v>23012</v>
      </c>
      <c r="G164">
        <f>YEAR(Table13[[#This Row],[Date]])</f>
        <v>1963</v>
      </c>
      <c r="H164" t="s">
        <v>263</v>
      </c>
      <c r="I164">
        <f>IF(COUNTIF($E164, _xlfn.CONCAT("*",Table13[[#Headers],[Action]],"*")),1,0)</f>
        <v>0</v>
      </c>
      <c r="J164">
        <f>IF(COUNTIF($E164, _xlfn.CONCAT("*",Table13[[#Headers],[Adventure]],"*")),1,0)</f>
        <v>0</v>
      </c>
      <c r="K164">
        <f>IF(COUNTIF($E164, _xlfn.CONCAT("*",Table13[[#Headers],[Animation]],"*")),1,0)</f>
        <v>0</v>
      </c>
      <c r="L164">
        <f>IF(COUNTIF($E164, _xlfn.CONCAT("*",Table13[[#Headers],[Comedy]],"*")),1,0)</f>
        <v>0</v>
      </c>
      <c r="M164">
        <f>IF(COUNTIF($E164, _xlfn.CONCAT("*",Table13[[#Headers],[Crime]],"*")),1,0)</f>
        <v>0</v>
      </c>
      <c r="N164">
        <f>IF(COUNTIF($E164, _xlfn.CONCAT("*",Table13[[#Headers],[Documentary]],"*")),1,0)</f>
        <v>1</v>
      </c>
      <c r="O164">
        <f>IF(COUNTIF($E164, _xlfn.CONCAT("*",Table13[[#Headers],[Drama]],"*")),1,0)</f>
        <v>0</v>
      </c>
      <c r="P164">
        <f>IF(COUNTIF($E164, _xlfn.CONCAT("*",Table13[[#Headers],[Family]],"*")),1,0)</f>
        <v>0</v>
      </c>
      <c r="Q164">
        <f>IF(COUNTIF($E164, _xlfn.CONCAT("*",Table13[[#Headers],[Fantasy]],"*")),1,0)</f>
        <v>0</v>
      </c>
      <c r="R164">
        <f>IF(COUNTIF($E164, _xlfn.CONCAT("*",Table13[[#Headers],[History]],"*")),1,0)</f>
        <v>0</v>
      </c>
      <c r="S164">
        <f>IF(COUNTIF($E164, _xlfn.CONCAT("*",Table13[[#Headers],[Horror]],"*")),1,0)</f>
        <v>0</v>
      </c>
      <c r="T164">
        <f>IF(COUNTIF($E164, _xlfn.CONCAT("*",Table13[[#Headers],[Music]],"*")),1,0)</f>
        <v>0</v>
      </c>
      <c r="U164">
        <f>IF(COUNTIF($E164, _xlfn.CONCAT("*",Table13[[#Headers],[Mystery]],"*")),1,0)</f>
        <v>0</v>
      </c>
      <c r="V164">
        <f>IF(COUNTIF($E164, _xlfn.CONCAT("*",Table13[[#Headers],[Romance]],"*")),1,0)</f>
        <v>0</v>
      </c>
      <c r="W164">
        <f>IF(COUNTIF($E164, _xlfn.CONCAT("*",Table13[[#Headers],[Science Fiction]],"*")),1,0)</f>
        <v>0</v>
      </c>
      <c r="X164">
        <f>IF(COUNTIF($E164, _xlfn.CONCAT("*",Table13[[#Headers],[TV Movie]],"*")),1,0)</f>
        <v>0</v>
      </c>
      <c r="Y164">
        <f>IF(COUNTIF($E164, _xlfn.CONCAT("*",Table13[[#Headers],[Thriller]],"*")),1,0)</f>
        <v>0</v>
      </c>
      <c r="Z164">
        <f>IF(COUNTIF($E164, _xlfn.CONCAT("*",Table13[[#Headers],[War]],"*")),1,0)</f>
        <v>0</v>
      </c>
      <c r="AA164">
        <f>IF(COUNTIF($E164, _xlfn.CONCAT("*",Table13[[#Headers],[Western]],"*")),1,0)</f>
        <v>0</v>
      </c>
    </row>
    <row r="165" spans="1:27">
      <c r="A165" t="s">
        <v>264</v>
      </c>
      <c r="B165">
        <v>101</v>
      </c>
      <c r="C165">
        <f>MAX(Table13[Rank])-Table13[[#This Row],[Rank]]</f>
        <v>163</v>
      </c>
      <c r="D165" t="s">
        <v>7</v>
      </c>
      <c r="E165" t="s">
        <v>141</v>
      </c>
      <c r="F165" s="1">
        <v>21627</v>
      </c>
      <c r="G165">
        <f>YEAR(Table13[[#This Row],[Date]])</f>
        <v>1959</v>
      </c>
      <c r="H165" t="s">
        <v>264</v>
      </c>
      <c r="I165">
        <f>IF(COUNTIF($E165, _xlfn.CONCAT("*",Table13[[#Headers],[Action]],"*")),1,0)</f>
        <v>0</v>
      </c>
      <c r="J165">
        <f>IF(COUNTIF($E165, _xlfn.CONCAT("*",Table13[[#Headers],[Adventure]],"*")),1,0)</f>
        <v>0</v>
      </c>
      <c r="K165">
        <f>IF(COUNTIF($E165, _xlfn.CONCAT("*",Table13[[#Headers],[Animation]],"*")),1,0)</f>
        <v>0</v>
      </c>
      <c r="L165">
        <f>IF(COUNTIF($E165, _xlfn.CONCAT("*",Table13[[#Headers],[Comedy]],"*")),1,0)</f>
        <v>0</v>
      </c>
      <c r="M165">
        <f>IF(COUNTIF($E165, _xlfn.CONCAT("*",Table13[[#Headers],[Crime]],"*")),1,0)</f>
        <v>0</v>
      </c>
      <c r="N165">
        <f>IF(COUNTIF($E165, _xlfn.CONCAT("*",Table13[[#Headers],[Documentary]],"*")),1,0)</f>
        <v>0</v>
      </c>
      <c r="O165">
        <f>IF(COUNTIF($E165, _xlfn.CONCAT("*",Table13[[#Headers],[Drama]],"*")),1,0)</f>
        <v>0</v>
      </c>
      <c r="P165">
        <f>IF(COUNTIF($E165, _xlfn.CONCAT("*",Table13[[#Headers],[Family]],"*")),1,0)</f>
        <v>0</v>
      </c>
      <c r="Q165">
        <f>IF(COUNTIF($E165, _xlfn.CONCAT("*",Table13[[#Headers],[Fantasy]],"*")),1,0)</f>
        <v>0</v>
      </c>
      <c r="R165">
        <f>IF(COUNTIF($E165, _xlfn.CONCAT("*",Table13[[#Headers],[History]],"*")),1,0)</f>
        <v>0</v>
      </c>
      <c r="S165">
        <f>IF(COUNTIF($E165, _xlfn.CONCAT("*",Table13[[#Headers],[Horror]],"*")),1,0)</f>
        <v>0</v>
      </c>
      <c r="T165">
        <f>IF(COUNTIF($E165, _xlfn.CONCAT("*",Table13[[#Headers],[Music]],"*")),1,0)</f>
        <v>0</v>
      </c>
      <c r="U165">
        <f>IF(COUNTIF($E165, _xlfn.CONCAT("*",Table13[[#Headers],[Mystery]],"*")),1,0)</f>
        <v>0</v>
      </c>
      <c r="V165">
        <f>IF(COUNTIF($E165, _xlfn.CONCAT("*",Table13[[#Headers],[Romance]],"*")),1,0)</f>
        <v>0</v>
      </c>
      <c r="W165">
        <f>IF(COUNTIF($E165, _xlfn.CONCAT("*",Table13[[#Headers],[Science Fiction]],"*")),1,0)</f>
        <v>0</v>
      </c>
      <c r="X165">
        <f>IF(COUNTIF($E165, _xlfn.CONCAT("*",Table13[[#Headers],[TV Movie]],"*")),1,0)</f>
        <v>0</v>
      </c>
      <c r="Y165">
        <f>IF(COUNTIF($E165, _xlfn.CONCAT("*",Table13[[#Headers],[Thriller]],"*")),1,0)</f>
        <v>0</v>
      </c>
      <c r="Z165">
        <f>IF(COUNTIF($E165, _xlfn.CONCAT("*",Table13[[#Headers],[War]],"*")),1,0)</f>
        <v>0</v>
      </c>
      <c r="AA165">
        <f>IF(COUNTIF($E165, _xlfn.CONCAT("*",Table13[[#Headers],[Western]],"*")),1,0)</f>
        <v>1</v>
      </c>
    </row>
    <row r="166" spans="1:27">
      <c r="A166" t="s">
        <v>265</v>
      </c>
      <c r="B166">
        <v>100</v>
      </c>
      <c r="C166">
        <f>MAX(Table13[Rank])-Table13[[#This Row],[Rank]]</f>
        <v>164</v>
      </c>
      <c r="D166" t="s">
        <v>7</v>
      </c>
      <c r="E166" t="s">
        <v>266</v>
      </c>
      <c r="F166" s="1">
        <v>25193</v>
      </c>
      <c r="G166">
        <f>YEAR(Table13[[#This Row],[Date]])</f>
        <v>1968</v>
      </c>
      <c r="H166" t="s">
        <v>807</v>
      </c>
      <c r="I166">
        <f>IF(COUNTIF($E166, _xlfn.CONCAT("*",Table13[[#Headers],[Action]],"*")),1,0)</f>
        <v>0</v>
      </c>
      <c r="J166">
        <f>IF(COUNTIF($E166, _xlfn.CONCAT("*",Table13[[#Headers],[Adventure]],"*")),1,0)</f>
        <v>0</v>
      </c>
      <c r="K166">
        <f>IF(COUNTIF($E166, _xlfn.CONCAT("*",Table13[[#Headers],[Animation]],"*")),1,0)</f>
        <v>0</v>
      </c>
      <c r="L166">
        <f>IF(COUNTIF($E166, _xlfn.CONCAT("*",Table13[[#Headers],[Comedy]],"*")),1,0)</f>
        <v>0</v>
      </c>
      <c r="M166">
        <f>IF(COUNTIF($E166, _xlfn.CONCAT("*",Table13[[#Headers],[Crime]],"*")),1,0)</f>
        <v>0</v>
      </c>
      <c r="N166">
        <f>IF(COUNTIF($E166, _xlfn.CONCAT("*",Table13[[#Headers],[Documentary]],"*")),1,0)</f>
        <v>0</v>
      </c>
      <c r="O166">
        <f>IF(COUNTIF($E166, _xlfn.CONCAT("*",Table13[[#Headers],[Drama]],"*")),1,0)</f>
        <v>1</v>
      </c>
      <c r="P166">
        <f>IF(COUNTIF($E166, _xlfn.CONCAT("*",Table13[[#Headers],[Family]],"*")),1,0)</f>
        <v>0</v>
      </c>
      <c r="Q166">
        <f>IF(COUNTIF($E166, _xlfn.CONCAT("*",Table13[[#Headers],[Fantasy]],"*")),1,0)</f>
        <v>0</v>
      </c>
      <c r="R166">
        <f>IF(COUNTIF($E166, _xlfn.CONCAT("*",Table13[[#Headers],[History]],"*")),1,0)</f>
        <v>0</v>
      </c>
      <c r="S166">
        <f>IF(COUNTIF($E166, _xlfn.CONCAT("*",Table13[[#Headers],[Horror]],"*")),1,0)</f>
        <v>0</v>
      </c>
      <c r="T166">
        <f>IF(COUNTIF($E166, _xlfn.CONCAT("*",Table13[[#Headers],[Music]],"*")),1,0)</f>
        <v>0</v>
      </c>
      <c r="U166">
        <f>IF(COUNTIF($E166, _xlfn.CONCAT("*",Table13[[#Headers],[Mystery]],"*")),1,0)</f>
        <v>0</v>
      </c>
      <c r="V166">
        <f>IF(COUNTIF($E166, _xlfn.CONCAT("*",Table13[[#Headers],[Romance]],"*")),1,0)</f>
        <v>0</v>
      </c>
      <c r="W166">
        <f>IF(COUNTIF($E166, _xlfn.CONCAT("*",Table13[[#Headers],[Science Fiction]],"*")),1,0)</f>
        <v>0</v>
      </c>
      <c r="X166">
        <f>IF(COUNTIF($E166, _xlfn.CONCAT("*",Table13[[#Headers],[TV Movie]],"*")),1,0)</f>
        <v>0</v>
      </c>
      <c r="Y166">
        <f>IF(COUNTIF($E166, _xlfn.CONCAT("*",Table13[[#Headers],[Thriller]],"*")),1,0)</f>
        <v>0</v>
      </c>
      <c r="Z166">
        <f>IF(COUNTIF($E166, _xlfn.CONCAT("*",Table13[[#Headers],[War]],"*")),1,0)</f>
        <v>0</v>
      </c>
      <c r="AA166">
        <f>IF(COUNTIF($E166, _xlfn.CONCAT("*",Table13[[#Headers],[Western]],"*")),1,0)</f>
        <v>1</v>
      </c>
    </row>
    <row r="167" spans="1:27">
      <c r="A167" t="s">
        <v>267</v>
      </c>
      <c r="B167">
        <v>99</v>
      </c>
      <c r="C167">
        <f>MAX(Table13[Rank])-Table13[[#This Row],[Rank]]</f>
        <v>165</v>
      </c>
      <c r="D167" t="s">
        <v>7</v>
      </c>
      <c r="E167" t="s">
        <v>105</v>
      </c>
      <c r="F167" s="1">
        <v>20770</v>
      </c>
      <c r="G167">
        <f>YEAR(Table13[[#This Row],[Date]])</f>
        <v>1956</v>
      </c>
      <c r="H167" t="s">
        <v>267</v>
      </c>
      <c r="I167">
        <f>IF(COUNTIF($E167, _xlfn.CONCAT("*",Table13[[#Headers],[Action]],"*")),1,0)</f>
        <v>0</v>
      </c>
      <c r="J167">
        <f>IF(COUNTIF($E167, _xlfn.CONCAT("*",Table13[[#Headers],[Adventure]],"*")),1,0)</f>
        <v>0</v>
      </c>
      <c r="K167">
        <f>IF(COUNTIF($E167, _xlfn.CONCAT("*",Table13[[#Headers],[Animation]],"*")),1,0)</f>
        <v>0</v>
      </c>
      <c r="L167">
        <f>IF(COUNTIF($E167, _xlfn.CONCAT("*",Table13[[#Headers],[Comedy]],"*")),1,0)</f>
        <v>0</v>
      </c>
      <c r="M167">
        <f>IF(COUNTIF($E167, _xlfn.CONCAT("*",Table13[[#Headers],[Crime]],"*")),1,0)</f>
        <v>0</v>
      </c>
      <c r="N167">
        <f>IF(COUNTIF($E167, _xlfn.CONCAT("*",Table13[[#Headers],[Documentary]],"*")),1,0)</f>
        <v>0</v>
      </c>
      <c r="O167">
        <f>IF(COUNTIF($E167, _xlfn.CONCAT("*",Table13[[#Headers],[Drama]],"*")),1,0)</f>
        <v>1</v>
      </c>
      <c r="P167">
        <f>IF(COUNTIF($E167, _xlfn.CONCAT("*",Table13[[#Headers],[Family]],"*")),1,0)</f>
        <v>0</v>
      </c>
      <c r="Q167">
        <f>IF(COUNTIF($E167, _xlfn.CONCAT("*",Table13[[#Headers],[Fantasy]],"*")),1,0)</f>
        <v>0</v>
      </c>
      <c r="R167">
        <f>IF(COUNTIF($E167, _xlfn.CONCAT("*",Table13[[#Headers],[History]],"*")),1,0)</f>
        <v>0</v>
      </c>
      <c r="S167">
        <f>IF(COUNTIF($E167, _xlfn.CONCAT("*",Table13[[#Headers],[Horror]],"*")),1,0)</f>
        <v>0</v>
      </c>
      <c r="T167">
        <f>IF(COUNTIF($E167, _xlfn.CONCAT("*",Table13[[#Headers],[Music]],"*")),1,0)</f>
        <v>0</v>
      </c>
      <c r="U167">
        <f>IF(COUNTIF($E167, _xlfn.CONCAT("*",Table13[[#Headers],[Mystery]],"*")),1,0)</f>
        <v>0</v>
      </c>
      <c r="V167">
        <f>IF(COUNTIF($E167, _xlfn.CONCAT("*",Table13[[#Headers],[Romance]],"*")),1,0)</f>
        <v>0</v>
      </c>
      <c r="W167">
        <f>IF(COUNTIF($E167, _xlfn.CONCAT("*",Table13[[#Headers],[Science Fiction]],"*")),1,0)</f>
        <v>0</v>
      </c>
      <c r="X167">
        <f>IF(COUNTIF($E167, _xlfn.CONCAT("*",Table13[[#Headers],[TV Movie]],"*")),1,0)</f>
        <v>0</v>
      </c>
      <c r="Y167">
        <f>IF(COUNTIF($E167, _xlfn.CONCAT("*",Table13[[#Headers],[Thriller]],"*")),1,0)</f>
        <v>1</v>
      </c>
      <c r="Z167">
        <f>IF(COUNTIF($E167, _xlfn.CONCAT("*",Table13[[#Headers],[War]],"*")),1,0)</f>
        <v>0</v>
      </c>
      <c r="AA167">
        <f>IF(COUNTIF($E167, _xlfn.CONCAT("*",Table13[[#Headers],[Western]],"*")),1,0)</f>
        <v>0</v>
      </c>
    </row>
    <row r="168" spans="1:27">
      <c r="A168" t="s">
        <v>268</v>
      </c>
      <c r="B168">
        <v>98</v>
      </c>
      <c r="C168">
        <f>MAX(Table13[Rank])-Table13[[#This Row],[Rank]]</f>
        <v>166</v>
      </c>
      <c r="D168" t="s">
        <v>7</v>
      </c>
      <c r="E168" t="s">
        <v>269</v>
      </c>
      <c r="F168" s="1">
        <v>9856</v>
      </c>
      <c r="G168">
        <f>YEAR(Table13[[#This Row],[Date]])</f>
        <v>1926</v>
      </c>
      <c r="H168" t="s">
        <v>268</v>
      </c>
      <c r="I168">
        <f>IF(COUNTIF($E168, _xlfn.CONCAT("*",Table13[[#Headers],[Action]],"*")),1,0)</f>
        <v>1</v>
      </c>
      <c r="J168">
        <f>IF(COUNTIF($E168, _xlfn.CONCAT("*",Table13[[#Headers],[Adventure]],"*")),1,0)</f>
        <v>1</v>
      </c>
      <c r="K168">
        <f>IF(COUNTIF($E168, _xlfn.CONCAT("*",Table13[[#Headers],[Animation]],"*")),1,0)</f>
        <v>0</v>
      </c>
      <c r="L168">
        <f>IF(COUNTIF($E168, _xlfn.CONCAT("*",Table13[[#Headers],[Comedy]],"*")),1,0)</f>
        <v>1</v>
      </c>
      <c r="M168">
        <f>IF(COUNTIF($E168, _xlfn.CONCAT("*",Table13[[#Headers],[Crime]],"*")),1,0)</f>
        <v>0</v>
      </c>
      <c r="N168">
        <f>IF(COUNTIF($E168, _xlfn.CONCAT("*",Table13[[#Headers],[Documentary]],"*")),1,0)</f>
        <v>0</v>
      </c>
      <c r="O168">
        <f>IF(COUNTIF($E168, _xlfn.CONCAT("*",Table13[[#Headers],[Drama]],"*")),1,0)</f>
        <v>0</v>
      </c>
      <c r="P168">
        <f>IF(COUNTIF($E168, _xlfn.CONCAT("*",Table13[[#Headers],[Family]],"*")),1,0)</f>
        <v>0</v>
      </c>
      <c r="Q168">
        <f>IF(COUNTIF($E168, _xlfn.CONCAT("*",Table13[[#Headers],[Fantasy]],"*")),1,0)</f>
        <v>0</v>
      </c>
      <c r="R168">
        <f>IF(COUNTIF($E168, _xlfn.CONCAT("*",Table13[[#Headers],[History]],"*")),1,0)</f>
        <v>1</v>
      </c>
      <c r="S168">
        <f>IF(COUNTIF($E168, _xlfn.CONCAT("*",Table13[[#Headers],[Horror]],"*")),1,0)</f>
        <v>0</v>
      </c>
      <c r="T168">
        <f>IF(COUNTIF($E168, _xlfn.CONCAT("*",Table13[[#Headers],[Music]],"*")),1,0)</f>
        <v>0</v>
      </c>
      <c r="U168">
        <f>IF(COUNTIF($E168, _xlfn.CONCAT("*",Table13[[#Headers],[Mystery]],"*")),1,0)</f>
        <v>0</v>
      </c>
      <c r="V168">
        <f>IF(COUNTIF($E168, _xlfn.CONCAT("*",Table13[[#Headers],[Romance]],"*")),1,0)</f>
        <v>0</v>
      </c>
      <c r="W168">
        <f>IF(COUNTIF($E168, _xlfn.CONCAT("*",Table13[[#Headers],[Science Fiction]],"*")),1,0)</f>
        <v>0</v>
      </c>
      <c r="X168">
        <f>IF(COUNTIF($E168, _xlfn.CONCAT("*",Table13[[#Headers],[TV Movie]],"*")),1,0)</f>
        <v>0</v>
      </c>
      <c r="Y168">
        <f>IF(COUNTIF($E168, _xlfn.CONCAT("*",Table13[[#Headers],[Thriller]],"*")),1,0)</f>
        <v>0</v>
      </c>
      <c r="Z168">
        <f>IF(COUNTIF($E168, _xlfn.CONCAT("*",Table13[[#Headers],[War]],"*")),1,0)</f>
        <v>1</v>
      </c>
      <c r="AA168">
        <f>IF(COUNTIF($E168, _xlfn.CONCAT("*",Table13[[#Headers],[Western]],"*")),1,0)</f>
        <v>0</v>
      </c>
    </row>
    <row r="169" spans="1:27">
      <c r="A169" t="s">
        <v>270</v>
      </c>
      <c r="B169">
        <v>97</v>
      </c>
      <c r="C169">
        <f>MAX(Table13[Rank])-Table13[[#This Row],[Rank]]</f>
        <v>167</v>
      </c>
      <c r="D169" t="s">
        <v>7</v>
      </c>
      <c r="E169" t="s">
        <v>21</v>
      </c>
      <c r="F169" s="1">
        <v>24183</v>
      </c>
      <c r="G169">
        <f>YEAR(Table13[[#This Row],[Date]])</f>
        <v>1966</v>
      </c>
      <c r="H169" t="s">
        <v>270</v>
      </c>
      <c r="I169">
        <f>IF(COUNTIF($E169, _xlfn.CONCAT("*",Table13[[#Headers],[Action]],"*")),1,0)</f>
        <v>0</v>
      </c>
      <c r="J169">
        <f>IF(COUNTIF($E169, _xlfn.CONCAT("*",Table13[[#Headers],[Adventure]],"*")),1,0)</f>
        <v>0</v>
      </c>
      <c r="K169">
        <f>IF(COUNTIF($E169, _xlfn.CONCAT("*",Table13[[#Headers],[Animation]],"*")),1,0)</f>
        <v>0</v>
      </c>
      <c r="L169">
        <f>IF(COUNTIF($E169, _xlfn.CONCAT("*",Table13[[#Headers],[Comedy]],"*")),1,0)</f>
        <v>0</v>
      </c>
      <c r="M169">
        <f>IF(COUNTIF($E169, _xlfn.CONCAT("*",Table13[[#Headers],[Crime]],"*")),1,0)</f>
        <v>0</v>
      </c>
      <c r="N169">
        <f>IF(COUNTIF($E169, _xlfn.CONCAT("*",Table13[[#Headers],[Documentary]],"*")),1,0)</f>
        <v>0</v>
      </c>
      <c r="O169">
        <f>IF(COUNTIF($E169, _xlfn.CONCAT("*",Table13[[#Headers],[Drama]],"*")),1,0)</f>
        <v>1</v>
      </c>
      <c r="P169">
        <f>IF(COUNTIF($E169, _xlfn.CONCAT("*",Table13[[#Headers],[Family]],"*")),1,0)</f>
        <v>0</v>
      </c>
      <c r="Q169">
        <f>IF(COUNTIF($E169, _xlfn.CONCAT("*",Table13[[#Headers],[Fantasy]],"*")),1,0)</f>
        <v>0</v>
      </c>
      <c r="R169">
        <f>IF(COUNTIF($E169, _xlfn.CONCAT("*",Table13[[#Headers],[History]],"*")),1,0)</f>
        <v>0</v>
      </c>
      <c r="S169">
        <f>IF(COUNTIF($E169, _xlfn.CONCAT("*",Table13[[#Headers],[Horror]],"*")),1,0)</f>
        <v>0</v>
      </c>
      <c r="T169">
        <f>IF(COUNTIF($E169, _xlfn.CONCAT("*",Table13[[#Headers],[Music]],"*")),1,0)</f>
        <v>0</v>
      </c>
      <c r="U169">
        <f>IF(COUNTIF($E169, _xlfn.CONCAT("*",Table13[[#Headers],[Mystery]],"*")),1,0)</f>
        <v>0</v>
      </c>
      <c r="V169">
        <f>IF(COUNTIF($E169, _xlfn.CONCAT("*",Table13[[#Headers],[Romance]],"*")),1,0)</f>
        <v>0</v>
      </c>
      <c r="W169">
        <f>IF(COUNTIF($E169, _xlfn.CONCAT("*",Table13[[#Headers],[Science Fiction]],"*")),1,0)</f>
        <v>0</v>
      </c>
      <c r="X169">
        <f>IF(COUNTIF($E169, _xlfn.CONCAT("*",Table13[[#Headers],[TV Movie]],"*")),1,0)</f>
        <v>0</v>
      </c>
      <c r="Y169">
        <f>IF(COUNTIF($E169, _xlfn.CONCAT("*",Table13[[#Headers],[Thriller]],"*")),1,0)</f>
        <v>0</v>
      </c>
      <c r="Z169">
        <f>IF(COUNTIF($E169, _xlfn.CONCAT("*",Table13[[#Headers],[War]],"*")),1,0)</f>
        <v>0</v>
      </c>
      <c r="AA169">
        <f>IF(COUNTIF($E169, _xlfn.CONCAT("*",Table13[[#Headers],[Western]],"*")),1,0)</f>
        <v>0</v>
      </c>
    </row>
    <row r="170" spans="1:27">
      <c r="A170" t="s">
        <v>271</v>
      </c>
      <c r="B170">
        <v>96</v>
      </c>
      <c r="C170">
        <f>MAX(Table13[Rank])-Table13[[#This Row],[Rank]]</f>
        <v>168</v>
      </c>
      <c r="D170" t="s">
        <v>7</v>
      </c>
      <c r="E170" t="s">
        <v>272</v>
      </c>
      <c r="F170" s="1">
        <v>38162</v>
      </c>
      <c r="G170">
        <f>YEAR(Table13[[#This Row],[Date]])</f>
        <v>2004</v>
      </c>
      <c r="H170" t="s">
        <v>271</v>
      </c>
      <c r="I170">
        <f>IF(COUNTIF($E170, _xlfn.CONCAT("*",Table13[[#Headers],[Action]],"*")),1,0)</f>
        <v>0</v>
      </c>
      <c r="J170">
        <f>IF(COUNTIF($E170, _xlfn.CONCAT("*",Table13[[#Headers],[Adventure]],"*")),1,0)</f>
        <v>0</v>
      </c>
      <c r="K170">
        <f>IF(COUNTIF($E170, _xlfn.CONCAT("*",Table13[[#Headers],[Animation]],"*")),1,0)</f>
        <v>0</v>
      </c>
      <c r="L170">
        <f>IF(COUNTIF($E170, _xlfn.CONCAT("*",Table13[[#Headers],[Comedy]],"*")),1,0)</f>
        <v>0</v>
      </c>
      <c r="M170">
        <f>IF(COUNTIF($E170, _xlfn.CONCAT("*",Table13[[#Headers],[Crime]],"*")),1,0)</f>
        <v>0</v>
      </c>
      <c r="N170">
        <f>IF(COUNTIF($E170, _xlfn.CONCAT("*",Table13[[#Headers],[Documentary]],"*")),1,0)</f>
        <v>0</v>
      </c>
      <c r="O170">
        <f>IF(COUNTIF($E170, _xlfn.CONCAT("*",Table13[[#Headers],[Drama]],"*")),1,0)</f>
        <v>1</v>
      </c>
      <c r="P170">
        <f>IF(COUNTIF($E170, _xlfn.CONCAT("*",Table13[[#Headers],[Family]],"*")),1,0)</f>
        <v>0</v>
      </c>
      <c r="Q170">
        <f>IF(COUNTIF($E170, _xlfn.CONCAT("*",Table13[[#Headers],[Fantasy]],"*")),1,0)</f>
        <v>1</v>
      </c>
      <c r="R170">
        <f>IF(COUNTIF($E170, _xlfn.CONCAT("*",Table13[[#Headers],[History]],"*")),1,0)</f>
        <v>0</v>
      </c>
      <c r="S170">
        <f>IF(COUNTIF($E170, _xlfn.CONCAT("*",Table13[[#Headers],[Horror]],"*")),1,0)</f>
        <v>0</v>
      </c>
      <c r="T170">
        <f>IF(COUNTIF($E170, _xlfn.CONCAT("*",Table13[[#Headers],[Music]],"*")),1,0)</f>
        <v>0</v>
      </c>
      <c r="U170">
        <f>IF(COUNTIF($E170, _xlfn.CONCAT("*",Table13[[#Headers],[Mystery]],"*")),1,0)</f>
        <v>0</v>
      </c>
      <c r="V170">
        <f>IF(COUNTIF($E170, _xlfn.CONCAT("*",Table13[[#Headers],[Romance]],"*")),1,0)</f>
        <v>1</v>
      </c>
      <c r="W170">
        <f>IF(COUNTIF($E170, _xlfn.CONCAT("*",Table13[[#Headers],[Science Fiction]],"*")),1,0)</f>
        <v>0</v>
      </c>
      <c r="X170">
        <f>IF(COUNTIF($E170, _xlfn.CONCAT("*",Table13[[#Headers],[TV Movie]],"*")),1,0)</f>
        <v>0</v>
      </c>
      <c r="Y170">
        <f>IF(COUNTIF($E170, _xlfn.CONCAT("*",Table13[[#Headers],[Thriller]],"*")),1,0)</f>
        <v>0</v>
      </c>
      <c r="Z170">
        <f>IF(COUNTIF($E170, _xlfn.CONCAT("*",Table13[[#Headers],[War]],"*")),1,0)</f>
        <v>0</v>
      </c>
      <c r="AA170">
        <f>IF(COUNTIF($E170, _xlfn.CONCAT("*",Table13[[#Headers],[Western]],"*")),1,0)</f>
        <v>0</v>
      </c>
    </row>
    <row r="171" spans="1:27">
      <c r="A171" t="s">
        <v>273</v>
      </c>
      <c r="B171">
        <v>95</v>
      </c>
      <c r="C171">
        <f>MAX(Table13[Rank])-Table13[[#This Row],[Rank]]</f>
        <v>169</v>
      </c>
      <c r="D171" t="s">
        <v>7</v>
      </c>
      <c r="E171" t="s">
        <v>274</v>
      </c>
      <c r="F171" s="1">
        <v>42790</v>
      </c>
      <c r="G171">
        <f>YEAR(Table13[[#This Row],[Date]])</f>
        <v>2017</v>
      </c>
      <c r="H171" t="s">
        <v>273</v>
      </c>
      <c r="I171">
        <f>IF(COUNTIF($E171, _xlfn.CONCAT("*",Table13[[#Headers],[Action]],"*")),1,0)</f>
        <v>0</v>
      </c>
      <c r="J171">
        <f>IF(COUNTIF($E171, _xlfn.CONCAT("*",Table13[[#Headers],[Adventure]],"*")),1,0)</f>
        <v>0</v>
      </c>
      <c r="K171">
        <f>IF(COUNTIF($E171, _xlfn.CONCAT("*",Table13[[#Headers],[Animation]],"*")),1,0)</f>
        <v>0</v>
      </c>
      <c r="L171">
        <f>IF(COUNTIF($E171, _xlfn.CONCAT("*",Table13[[#Headers],[Comedy]],"*")),1,0)</f>
        <v>0</v>
      </c>
      <c r="M171">
        <f>IF(COUNTIF($E171, _xlfn.CONCAT("*",Table13[[#Headers],[Crime]],"*")),1,0)</f>
        <v>0</v>
      </c>
      <c r="N171">
        <f>IF(COUNTIF($E171, _xlfn.CONCAT("*",Table13[[#Headers],[Documentary]],"*")),1,0)</f>
        <v>0</v>
      </c>
      <c r="O171">
        <f>IF(COUNTIF($E171, _xlfn.CONCAT("*",Table13[[#Headers],[Drama]],"*")),1,0)</f>
        <v>0</v>
      </c>
      <c r="P171">
        <f>IF(COUNTIF($E171, _xlfn.CONCAT("*",Table13[[#Headers],[Family]],"*")),1,0)</f>
        <v>0</v>
      </c>
      <c r="Q171">
        <f>IF(COUNTIF($E171, _xlfn.CONCAT("*",Table13[[#Headers],[Fantasy]],"*")),1,0)</f>
        <v>0</v>
      </c>
      <c r="R171">
        <f>IF(COUNTIF($E171, _xlfn.CONCAT("*",Table13[[#Headers],[History]],"*")),1,0)</f>
        <v>0</v>
      </c>
      <c r="S171">
        <f>IF(COUNTIF($E171, _xlfn.CONCAT("*",Table13[[#Headers],[Horror]],"*")),1,0)</f>
        <v>1</v>
      </c>
      <c r="T171">
        <f>IF(COUNTIF($E171, _xlfn.CONCAT("*",Table13[[#Headers],[Music]],"*")),1,0)</f>
        <v>0</v>
      </c>
      <c r="U171">
        <f>IF(COUNTIF($E171, _xlfn.CONCAT("*",Table13[[#Headers],[Mystery]],"*")),1,0)</f>
        <v>1</v>
      </c>
      <c r="V171">
        <f>IF(COUNTIF($E171, _xlfn.CONCAT("*",Table13[[#Headers],[Romance]],"*")),1,0)</f>
        <v>0</v>
      </c>
      <c r="W171">
        <f>IF(COUNTIF($E171, _xlfn.CONCAT("*",Table13[[#Headers],[Science Fiction]],"*")),1,0)</f>
        <v>0</v>
      </c>
      <c r="X171">
        <f>IF(COUNTIF($E171, _xlfn.CONCAT("*",Table13[[#Headers],[TV Movie]],"*")),1,0)</f>
        <v>0</v>
      </c>
      <c r="Y171">
        <f>IF(COUNTIF($E171, _xlfn.CONCAT("*",Table13[[#Headers],[Thriller]],"*")),1,0)</f>
        <v>1</v>
      </c>
      <c r="Z171">
        <f>IF(COUNTIF($E171, _xlfn.CONCAT("*",Table13[[#Headers],[War]],"*")),1,0)</f>
        <v>0</v>
      </c>
      <c r="AA171">
        <f>IF(COUNTIF($E171, _xlfn.CONCAT("*",Table13[[#Headers],[Western]],"*")),1,0)</f>
        <v>0</v>
      </c>
    </row>
    <row r="172" spans="1:27">
      <c r="A172" t="s">
        <v>275</v>
      </c>
      <c r="B172">
        <v>94</v>
      </c>
      <c r="C172">
        <f>MAX(Table13[Rank])-Table13[[#This Row],[Rank]]</f>
        <v>170</v>
      </c>
      <c r="D172" t="s">
        <v>7</v>
      </c>
      <c r="E172" t="s">
        <v>189</v>
      </c>
      <c r="F172" s="1">
        <v>30022</v>
      </c>
      <c r="G172">
        <f>YEAR(Table13[[#This Row],[Date]])</f>
        <v>1982</v>
      </c>
      <c r="H172" t="s">
        <v>275</v>
      </c>
      <c r="I172">
        <f>IF(COUNTIF($E172, _xlfn.CONCAT("*",Table13[[#Headers],[Action]],"*")),1,0)</f>
        <v>0</v>
      </c>
      <c r="J172">
        <f>IF(COUNTIF($E172, _xlfn.CONCAT("*",Table13[[#Headers],[Adventure]],"*")),1,0)</f>
        <v>0</v>
      </c>
      <c r="K172">
        <f>IF(COUNTIF($E172, _xlfn.CONCAT("*",Table13[[#Headers],[Animation]],"*")),1,0)</f>
        <v>0</v>
      </c>
      <c r="L172">
        <f>IF(COUNTIF($E172, _xlfn.CONCAT("*",Table13[[#Headers],[Comedy]],"*")),1,0)</f>
        <v>0</v>
      </c>
      <c r="M172">
        <f>IF(COUNTIF($E172, _xlfn.CONCAT("*",Table13[[#Headers],[Crime]],"*")),1,0)</f>
        <v>0</v>
      </c>
      <c r="N172">
        <f>IF(COUNTIF($E172, _xlfn.CONCAT("*",Table13[[#Headers],[Documentary]],"*")),1,0)</f>
        <v>0</v>
      </c>
      <c r="O172">
        <f>IF(COUNTIF($E172, _xlfn.CONCAT("*",Table13[[#Headers],[Drama]],"*")),1,0)</f>
        <v>0</v>
      </c>
      <c r="P172">
        <f>IF(COUNTIF($E172, _xlfn.CONCAT("*",Table13[[#Headers],[Family]],"*")),1,0)</f>
        <v>0</v>
      </c>
      <c r="Q172">
        <f>IF(COUNTIF($E172, _xlfn.CONCAT("*",Table13[[#Headers],[Fantasy]],"*")),1,0)</f>
        <v>0</v>
      </c>
      <c r="R172">
        <f>IF(COUNTIF($E172, _xlfn.CONCAT("*",Table13[[#Headers],[History]],"*")),1,0)</f>
        <v>0</v>
      </c>
      <c r="S172">
        <f>IF(COUNTIF($E172, _xlfn.CONCAT("*",Table13[[#Headers],[Horror]],"*")),1,0)</f>
        <v>1</v>
      </c>
      <c r="T172">
        <f>IF(COUNTIF($E172, _xlfn.CONCAT("*",Table13[[#Headers],[Music]],"*")),1,0)</f>
        <v>0</v>
      </c>
      <c r="U172">
        <f>IF(COUNTIF($E172, _xlfn.CONCAT("*",Table13[[#Headers],[Mystery]],"*")),1,0)</f>
        <v>0</v>
      </c>
      <c r="V172">
        <f>IF(COUNTIF($E172, _xlfn.CONCAT("*",Table13[[#Headers],[Romance]],"*")),1,0)</f>
        <v>0</v>
      </c>
      <c r="W172">
        <f>IF(COUNTIF($E172, _xlfn.CONCAT("*",Table13[[#Headers],[Science Fiction]],"*")),1,0)</f>
        <v>1</v>
      </c>
      <c r="X172">
        <f>IF(COUNTIF($E172, _xlfn.CONCAT("*",Table13[[#Headers],[TV Movie]],"*")),1,0)</f>
        <v>0</v>
      </c>
      <c r="Y172">
        <f>IF(COUNTIF($E172, _xlfn.CONCAT("*",Table13[[#Headers],[Thriller]],"*")),1,0)</f>
        <v>0</v>
      </c>
      <c r="Z172">
        <f>IF(COUNTIF($E172, _xlfn.CONCAT("*",Table13[[#Headers],[War]],"*")),1,0)</f>
        <v>0</v>
      </c>
      <c r="AA172">
        <f>IF(COUNTIF($E172, _xlfn.CONCAT("*",Table13[[#Headers],[Western]],"*")),1,0)</f>
        <v>0</v>
      </c>
    </row>
    <row r="173" spans="1:27">
      <c r="A173" t="s">
        <v>276</v>
      </c>
      <c r="B173">
        <v>93</v>
      </c>
      <c r="C173">
        <f>MAX(Table13[Rank])-Table13[[#This Row],[Rank]]</f>
        <v>171</v>
      </c>
      <c r="D173" t="s">
        <v>7</v>
      </c>
      <c r="E173" t="s">
        <v>21</v>
      </c>
      <c r="F173" s="1">
        <v>36789</v>
      </c>
      <c r="G173">
        <f>YEAR(Table13[[#This Row],[Date]])</f>
        <v>2000</v>
      </c>
      <c r="H173" t="s">
        <v>276</v>
      </c>
      <c r="I173">
        <f>IF(COUNTIF($E173, _xlfn.CONCAT("*",Table13[[#Headers],[Action]],"*")),1,0)</f>
        <v>0</v>
      </c>
      <c r="J173">
        <f>IF(COUNTIF($E173, _xlfn.CONCAT("*",Table13[[#Headers],[Adventure]],"*")),1,0)</f>
        <v>0</v>
      </c>
      <c r="K173">
        <f>IF(COUNTIF($E173, _xlfn.CONCAT("*",Table13[[#Headers],[Animation]],"*")),1,0)</f>
        <v>0</v>
      </c>
      <c r="L173">
        <f>IF(COUNTIF($E173, _xlfn.CONCAT("*",Table13[[#Headers],[Comedy]],"*")),1,0)</f>
        <v>0</v>
      </c>
      <c r="M173">
        <f>IF(COUNTIF($E173, _xlfn.CONCAT("*",Table13[[#Headers],[Crime]],"*")),1,0)</f>
        <v>0</v>
      </c>
      <c r="N173">
        <f>IF(COUNTIF($E173, _xlfn.CONCAT("*",Table13[[#Headers],[Documentary]],"*")),1,0)</f>
        <v>0</v>
      </c>
      <c r="O173">
        <f>IF(COUNTIF($E173, _xlfn.CONCAT("*",Table13[[#Headers],[Drama]],"*")),1,0)</f>
        <v>1</v>
      </c>
      <c r="P173">
        <f>IF(COUNTIF($E173, _xlfn.CONCAT("*",Table13[[#Headers],[Family]],"*")),1,0)</f>
        <v>0</v>
      </c>
      <c r="Q173">
        <f>IF(COUNTIF($E173, _xlfn.CONCAT("*",Table13[[#Headers],[Fantasy]],"*")),1,0)</f>
        <v>0</v>
      </c>
      <c r="R173">
        <f>IF(COUNTIF($E173, _xlfn.CONCAT("*",Table13[[#Headers],[History]],"*")),1,0)</f>
        <v>0</v>
      </c>
      <c r="S173">
        <f>IF(COUNTIF($E173, _xlfn.CONCAT("*",Table13[[#Headers],[Horror]],"*")),1,0)</f>
        <v>0</v>
      </c>
      <c r="T173">
        <f>IF(COUNTIF($E173, _xlfn.CONCAT("*",Table13[[#Headers],[Music]],"*")),1,0)</f>
        <v>0</v>
      </c>
      <c r="U173">
        <f>IF(COUNTIF($E173, _xlfn.CONCAT("*",Table13[[#Headers],[Mystery]],"*")),1,0)</f>
        <v>0</v>
      </c>
      <c r="V173">
        <f>IF(COUNTIF($E173, _xlfn.CONCAT("*",Table13[[#Headers],[Romance]],"*")),1,0)</f>
        <v>0</v>
      </c>
      <c r="W173">
        <f>IF(COUNTIF($E173, _xlfn.CONCAT("*",Table13[[#Headers],[Science Fiction]],"*")),1,0)</f>
        <v>0</v>
      </c>
      <c r="X173">
        <f>IF(COUNTIF($E173, _xlfn.CONCAT("*",Table13[[#Headers],[TV Movie]],"*")),1,0)</f>
        <v>0</v>
      </c>
      <c r="Y173">
        <f>IF(COUNTIF($E173, _xlfn.CONCAT("*",Table13[[#Headers],[Thriller]],"*")),1,0)</f>
        <v>0</v>
      </c>
      <c r="Z173">
        <f>IF(COUNTIF($E173, _xlfn.CONCAT("*",Table13[[#Headers],[War]],"*")),1,0)</f>
        <v>0</v>
      </c>
      <c r="AA173">
        <f>IF(COUNTIF($E173, _xlfn.CONCAT("*",Table13[[#Headers],[Western]],"*")),1,0)</f>
        <v>0</v>
      </c>
    </row>
    <row r="174" spans="1:27">
      <c r="A174" t="s">
        <v>277</v>
      </c>
      <c r="B174">
        <v>92</v>
      </c>
      <c r="C174">
        <f>MAX(Table13[Rank])-Table13[[#This Row],[Rank]]</f>
        <v>172</v>
      </c>
      <c r="D174" t="s">
        <v>7</v>
      </c>
      <c r="E174" t="s">
        <v>222</v>
      </c>
      <c r="F174" s="1">
        <v>19444</v>
      </c>
      <c r="G174">
        <f>YEAR(Table13[[#This Row],[Date]])</f>
        <v>1953</v>
      </c>
      <c r="H174" t="s">
        <v>891</v>
      </c>
      <c r="I174">
        <f>IF(COUNTIF($E174, _xlfn.CONCAT("*",Table13[[#Headers],[Action]],"*")),1,0)</f>
        <v>0</v>
      </c>
      <c r="J174">
        <f>IF(COUNTIF($E174, _xlfn.CONCAT("*",Table13[[#Headers],[Adventure]],"*")),1,0)</f>
        <v>0</v>
      </c>
      <c r="K174">
        <f>IF(COUNTIF($E174, _xlfn.CONCAT("*",Table13[[#Headers],[Animation]],"*")),1,0)</f>
        <v>0</v>
      </c>
      <c r="L174">
        <f>IF(COUNTIF($E174, _xlfn.CONCAT("*",Table13[[#Headers],[Comedy]],"*")),1,0)</f>
        <v>0</v>
      </c>
      <c r="M174">
        <f>IF(COUNTIF($E174, _xlfn.CONCAT("*",Table13[[#Headers],[Crime]],"*")),1,0)</f>
        <v>0</v>
      </c>
      <c r="N174">
        <f>IF(COUNTIF($E174, _xlfn.CONCAT("*",Table13[[#Headers],[Documentary]],"*")),1,0)</f>
        <v>0</v>
      </c>
      <c r="O174">
        <f>IF(COUNTIF($E174, _xlfn.CONCAT("*",Table13[[#Headers],[Drama]],"*")),1,0)</f>
        <v>1</v>
      </c>
      <c r="P174">
        <f>IF(COUNTIF($E174, _xlfn.CONCAT("*",Table13[[#Headers],[Family]],"*")),1,0)</f>
        <v>0</v>
      </c>
      <c r="Q174">
        <f>IF(COUNTIF($E174, _xlfn.CONCAT("*",Table13[[#Headers],[Fantasy]],"*")),1,0)</f>
        <v>1</v>
      </c>
      <c r="R174">
        <f>IF(COUNTIF($E174, _xlfn.CONCAT("*",Table13[[#Headers],[History]],"*")),1,0)</f>
        <v>0</v>
      </c>
      <c r="S174">
        <f>IF(COUNTIF($E174, _xlfn.CONCAT("*",Table13[[#Headers],[Horror]],"*")),1,0)</f>
        <v>0</v>
      </c>
      <c r="T174">
        <f>IF(COUNTIF($E174, _xlfn.CONCAT("*",Table13[[#Headers],[Music]],"*")),1,0)</f>
        <v>0</v>
      </c>
      <c r="U174">
        <f>IF(COUNTIF($E174, _xlfn.CONCAT("*",Table13[[#Headers],[Mystery]],"*")),1,0)</f>
        <v>1</v>
      </c>
      <c r="V174">
        <f>IF(COUNTIF($E174, _xlfn.CONCAT("*",Table13[[#Headers],[Romance]],"*")),1,0)</f>
        <v>0</v>
      </c>
      <c r="W174">
        <f>IF(COUNTIF($E174, _xlfn.CONCAT("*",Table13[[#Headers],[Science Fiction]],"*")),1,0)</f>
        <v>0</v>
      </c>
      <c r="X174">
        <f>IF(COUNTIF($E174, _xlfn.CONCAT("*",Table13[[#Headers],[TV Movie]],"*")),1,0)</f>
        <v>0</v>
      </c>
      <c r="Y174">
        <f>IF(COUNTIF($E174, _xlfn.CONCAT("*",Table13[[#Headers],[Thriller]],"*")),1,0)</f>
        <v>0</v>
      </c>
      <c r="Z174">
        <f>IF(COUNTIF($E174, _xlfn.CONCAT("*",Table13[[#Headers],[War]],"*")),1,0)</f>
        <v>0</v>
      </c>
      <c r="AA174">
        <f>IF(COUNTIF($E174, _xlfn.CONCAT("*",Table13[[#Headers],[Western]],"*")),1,0)</f>
        <v>0</v>
      </c>
    </row>
    <row r="175" spans="1:27">
      <c r="A175" t="s">
        <v>278</v>
      </c>
      <c r="B175">
        <v>91</v>
      </c>
      <c r="C175">
        <f>MAX(Table13[Rank])-Table13[[#This Row],[Rank]]</f>
        <v>173</v>
      </c>
      <c r="D175" t="s">
        <v>7</v>
      </c>
      <c r="E175" t="s">
        <v>21</v>
      </c>
      <c r="F175" s="1">
        <v>23098</v>
      </c>
      <c r="G175">
        <f>YEAR(Table13[[#This Row],[Date]])</f>
        <v>1963</v>
      </c>
      <c r="H175" t="s">
        <v>278</v>
      </c>
      <c r="I175">
        <f>IF(COUNTIF($E175, _xlfn.CONCAT("*",Table13[[#Headers],[Action]],"*")),1,0)</f>
        <v>0</v>
      </c>
      <c r="J175">
        <f>IF(COUNTIF($E175, _xlfn.CONCAT("*",Table13[[#Headers],[Adventure]],"*")),1,0)</f>
        <v>0</v>
      </c>
      <c r="K175">
        <f>IF(COUNTIF($E175, _xlfn.CONCAT("*",Table13[[#Headers],[Animation]],"*")),1,0)</f>
        <v>0</v>
      </c>
      <c r="L175">
        <f>IF(COUNTIF($E175, _xlfn.CONCAT("*",Table13[[#Headers],[Comedy]],"*")),1,0)</f>
        <v>0</v>
      </c>
      <c r="M175">
        <f>IF(COUNTIF($E175, _xlfn.CONCAT("*",Table13[[#Headers],[Crime]],"*")),1,0)</f>
        <v>0</v>
      </c>
      <c r="N175">
        <f>IF(COUNTIF($E175, _xlfn.CONCAT("*",Table13[[#Headers],[Documentary]],"*")),1,0)</f>
        <v>0</v>
      </c>
      <c r="O175">
        <f>IF(COUNTIF($E175, _xlfn.CONCAT("*",Table13[[#Headers],[Drama]],"*")),1,0)</f>
        <v>1</v>
      </c>
      <c r="P175">
        <f>IF(COUNTIF($E175, _xlfn.CONCAT("*",Table13[[#Headers],[Family]],"*")),1,0)</f>
        <v>0</v>
      </c>
      <c r="Q175">
        <f>IF(COUNTIF($E175, _xlfn.CONCAT("*",Table13[[#Headers],[Fantasy]],"*")),1,0)</f>
        <v>0</v>
      </c>
      <c r="R175">
        <f>IF(COUNTIF($E175, _xlfn.CONCAT("*",Table13[[#Headers],[History]],"*")),1,0)</f>
        <v>0</v>
      </c>
      <c r="S175">
        <f>IF(COUNTIF($E175, _xlfn.CONCAT("*",Table13[[#Headers],[Horror]],"*")),1,0)</f>
        <v>0</v>
      </c>
      <c r="T175">
        <f>IF(COUNTIF($E175, _xlfn.CONCAT("*",Table13[[#Headers],[Music]],"*")),1,0)</f>
        <v>0</v>
      </c>
      <c r="U175">
        <f>IF(COUNTIF($E175, _xlfn.CONCAT("*",Table13[[#Headers],[Mystery]],"*")),1,0)</f>
        <v>0</v>
      </c>
      <c r="V175">
        <f>IF(COUNTIF($E175, _xlfn.CONCAT("*",Table13[[#Headers],[Romance]],"*")),1,0)</f>
        <v>0</v>
      </c>
      <c r="W175">
        <f>IF(COUNTIF($E175, _xlfn.CONCAT("*",Table13[[#Headers],[Science Fiction]],"*")),1,0)</f>
        <v>0</v>
      </c>
      <c r="X175">
        <f>IF(COUNTIF($E175, _xlfn.CONCAT("*",Table13[[#Headers],[TV Movie]],"*")),1,0)</f>
        <v>0</v>
      </c>
      <c r="Y175">
        <f>IF(COUNTIF($E175, _xlfn.CONCAT("*",Table13[[#Headers],[Thriller]],"*")),1,0)</f>
        <v>0</v>
      </c>
      <c r="Z175">
        <f>IF(COUNTIF($E175, _xlfn.CONCAT("*",Table13[[#Headers],[War]],"*")),1,0)</f>
        <v>0</v>
      </c>
      <c r="AA175">
        <f>IF(COUNTIF($E175, _xlfn.CONCAT("*",Table13[[#Headers],[Western]],"*")),1,0)</f>
        <v>0</v>
      </c>
    </row>
    <row r="176" spans="1:27">
      <c r="A176" t="s">
        <v>279</v>
      </c>
      <c r="B176">
        <v>90</v>
      </c>
      <c r="C176">
        <f>MAX(Table13[Rank])-Table13[[#This Row],[Rank]]</f>
        <v>174</v>
      </c>
      <c r="D176" t="s">
        <v>7</v>
      </c>
      <c r="E176" t="s">
        <v>35</v>
      </c>
      <c r="F176" s="1">
        <v>19618</v>
      </c>
      <c r="G176">
        <f>YEAR(Table13[[#This Row],[Date]])</f>
        <v>1953</v>
      </c>
      <c r="H176" t="s">
        <v>1285</v>
      </c>
      <c r="I176">
        <f>IF(COUNTIF($E176, _xlfn.CONCAT("*",Table13[[#Headers],[Action]],"*")),1,0)</f>
        <v>0</v>
      </c>
      <c r="J176">
        <f>IF(COUNTIF($E176, _xlfn.CONCAT("*",Table13[[#Headers],[Adventure]],"*")),1,0)</f>
        <v>0</v>
      </c>
      <c r="K176">
        <f>IF(COUNTIF($E176, _xlfn.CONCAT("*",Table13[[#Headers],[Animation]],"*")),1,0)</f>
        <v>0</v>
      </c>
      <c r="L176">
        <f>IF(COUNTIF($E176, _xlfn.CONCAT("*",Table13[[#Headers],[Comedy]],"*")),1,0)</f>
        <v>0</v>
      </c>
      <c r="M176">
        <f>IF(COUNTIF($E176, _xlfn.CONCAT("*",Table13[[#Headers],[Crime]],"*")),1,0)</f>
        <v>0</v>
      </c>
      <c r="N176">
        <f>IF(COUNTIF($E176, _xlfn.CONCAT("*",Table13[[#Headers],[Documentary]],"*")),1,0)</f>
        <v>0</v>
      </c>
      <c r="O176">
        <f>IF(COUNTIF($E176, _xlfn.CONCAT("*",Table13[[#Headers],[Drama]],"*")),1,0)</f>
        <v>1</v>
      </c>
      <c r="P176">
        <f>IF(COUNTIF($E176, _xlfn.CONCAT("*",Table13[[#Headers],[Family]],"*")),1,0)</f>
        <v>0</v>
      </c>
      <c r="Q176">
        <f>IF(COUNTIF($E176, _xlfn.CONCAT("*",Table13[[#Headers],[Fantasy]],"*")),1,0)</f>
        <v>0</v>
      </c>
      <c r="R176">
        <f>IF(COUNTIF($E176, _xlfn.CONCAT("*",Table13[[#Headers],[History]],"*")),1,0)</f>
        <v>0</v>
      </c>
      <c r="S176">
        <f>IF(COUNTIF($E176, _xlfn.CONCAT("*",Table13[[#Headers],[Horror]],"*")),1,0)</f>
        <v>0</v>
      </c>
      <c r="T176">
        <f>IF(COUNTIF($E176, _xlfn.CONCAT("*",Table13[[#Headers],[Music]],"*")),1,0)</f>
        <v>0</v>
      </c>
      <c r="U176">
        <f>IF(COUNTIF($E176, _xlfn.CONCAT("*",Table13[[#Headers],[Mystery]],"*")),1,0)</f>
        <v>0</v>
      </c>
      <c r="V176">
        <f>IF(COUNTIF($E176, _xlfn.CONCAT("*",Table13[[#Headers],[Romance]],"*")),1,0)</f>
        <v>1</v>
      </c>
      <c r="W176">
        <f>IF(COUNTIF($E176, _xlfn.CONCAT("*",Table13[[#Headers],[Science Fiction]],"*")),1,0)</f>
        <v>0</v>
      </c>
      <c r="X176">
        <f>IF(COUNTIF($E176, _xlfn.CONCAT("*",Table13[[#Headers],[TV Movie]],"*")),1,0)</f>
        <v>0</v>
      </c>
      <c r="Y176">
        <f>IF(COUNTIF($E176, _xlfn.CONCAT("*",Table13[[#Headers],[Thriller]],"*")),1,0)</f>
        <v>0</v>
      </c>
      <c r="Z176">
        <f>IF(COUNTIF($E176, _xlfn.CONCAT("*",Table13[[#Headers],[War]],"*")),1,0)</f>
        <v>0</v>
      </c>
      <c r="AA176">
        <f>IF(COUNTIF($E176, _xlfn.CONCAT("*",Table13[[#Headers],[Western]],"*")),1,0)</f>
        <v>0</v>
      </c>
    </row>
    <row r="177" spans="1:27">
      <c r="A177" t="s">
        <v>280</v>
      </c>
      <c r="B177">
        <v>89</v>
      </c>
      <c r="C177">
        <f>MAX(Table13[Rank])-Table13[[#This Row],[Rank]]</f>
        <v>175</v>
      </c>
      <c r="D177" t="s">
        <v>7</v>
      </c>
      <c r="E177" t="s">
        <v>281</v>
      </c>
      <c r="F177" s="1">
        <v>29364</v>
      </c>
      <c r="G177">
        <f>YEAR(Table13[[#This Row],[Date]])</f>
        <v>1980</v>
      </c>
      <c r="H177" t="s">
        <v>280</v>
      </c>
      <c r="I177">
        <f>IF(COUNTIF($E177, _xlfn.CONCAT("*",Table13[[#Headers],[Action]],"*")),1,0)</f>
        <v>0</v>
      </c>
      <c r="J177">
        <f>IF(COUNTIF($E177, _xlfn.CONCAT("*",Table13[[#Headers],[Adventure]],"*")),1,0)</f>
        <v>0</v>
      </c>
      <c r="K177">
        <f>IF(COUNTIF($E177, _xlfn.CONCAT("*",Table13[[#Headers],[Animation]],"*")),1,0)</f>
        <v>0</v>
      </c>
      <c r="L177">
        <f>IF(COUNTIF($E177, _xlfn.CONCAT("*",Table13[[#Headers],[Comedy]],"*")),1,0)</f>
        <v>0</v>
      </c>
      <c r="M177">
        <f>IF(COUNTIF($E177, _xlfn.CONCAT("*",Table13[[#Headers],[Crime]],"*")),1,0)</f>
        <v>0</v>
      </c>
      <c r="N177">
        <f>IF(COUNTIF($E177, _xlfn.CONCAT("*",Table13[[#Headers],[Documentary]],"*")),1,0)</f>
        <v>0</v>
      </c>
      <c r="O177">
        <f>IF(COUNTIF($E177, _xlfn.CONCAT("*",Table13[[#Headers],[Drama]],"*")),1,0)</f>
        <v>0</v>
      </c>
      <c r="P177">
        <f>IF(COUNTIF($E177, _xlfn.CONCAT("*",Table13[[#Headers],[Family]],"*")),1,0)</f>
        <v>0</v>
      </c>
      <c r="Q177">
        <f>IF(COUNTIF($E177, _xlfn.CONCAT("*",Table13[[#Headers],[Fantasy]],"*")),1,0)</f>
        <v>0</v>
      </c>
      <c r="R177">
        <f>IF(COUNTIF($E177, _xlfn.CONCAT("*",Table13[[#Headers],[History]],"*")),1,0)</f>
        <v>0</v>
      </c>
      <c r="S177">
        <f>IF(COUNTIF($E177, _xlfn.CONCAT("*",Table13[[#Headers],[Horror]],"*")),1,0)</f>
        <v>1</v>
      </c>
      <c r="T177">
        <f>IF(COUNTIF($E177, _xlfn.CONCAT("*",Table13[[#Headers],[Music]],"*")),1,0)</f>
        <v>0</v>
      </c>
      <c r="U177">
        <f>IF(COUNTIF($E177, _xlfn.CONCAT("*",Table13[[#Headers],[Mystery]],"*")),1,0)</f>
        <v>0</v>
      </c>
      <c r="V177">
        <f>IF(COUNTIF($E177, _xlfn.CONCAT("*",Table13[[#Headers],[Romance]],"*")),1,0)</f>
        <v>0</v>
      </c>
      <c r="W177">
        <f>IF(COUNTIF($E177, _xlfn.CONCAT("*",Table13[[#Headers],[Science Fiction]],"*")),1,0)</f>
        <v>0</v>
      </c>
      <c r="X177">
        <f>IF(COUNTIF($E177, _xlfn.CONCAT("*",Table13[[#Headers],[TV Movie]],"*")),1,0)</f>
        <v>0</v>
      </c>
      <c r="Y177">
        <f>IF(COUNTIF($E177, _xlfn.CONCAT("*",Table13[[#Headers],[Thriller]],"*")),1,0)</f>
        <v>1</v>
      </c>
      <c r="Z177">
        <f>IF(COUNTIF($E177, _xlfn.CONCAT("*",Table13[[#Headers],[War]],"*")),1,0)</f>
        <v>0</v>
      </c>
      <c r="AA177">
        <f>IF(COUNTIF($E177, _xlfn.CONCAT("*",Table13[[#Headers],[Western]],"*")),1,0)</f>
        <v>0</v>
      </c>
    </row>
    <row r="178" spans="1:27">
      <c r="A178" t="s">
        <v>282</v>
      </c>
      <c r="B178">
        <v>88</v>
      </c>
      <c r="C178">
        <f>MAX(Table13[Rank])-Table13[[#This Row],[Rank]]</f>
        <v>176</v>
      </c>
      <c r="D178" t="s">
        <v>7</v>
      </c>
      <c r="E178" t="s">
        <v>194</v>
      </c>
      <c r="F178" s="1">
        <v>34529</v>
      </c>
      <c r="G178">
        <f>YEAR(Table13[[#This Row],[Date]])</f>
        <v>1994</v>
      </c>
      <c r="H178" t="s">
        <v>845</v>
      </c>
      <c r="I178">
        <f>IF(COUNTIF($E178, _xlfn.CONCAT("*",Table13[[#Headers],[Action]],"*")),1,0)</f>
        <v>0</v>
      </c>
      <c r="J178">
        <f>IF(COUNTIF($E178, _xlfn.CONCAT("*",Table13[[#Headers],[Adventure]],"*")),1,0)</f>
        <v>0</v>
      </c>
      <c r="K178">
        <f>IF(COUNTIF($E178, _xlfn.CONCAT("*",Table13[[#Headers],[Animation]],"*")),1,0)</f>
        <v>0</v>
      </c>
      <c r="L178">
        <f>IF(COUNTIF($E178, _xlfn.CONCAT("*",Table13[[#Headers],[Comedy]],"*")),1,0)</f>
        <v>1</v>
      </c>
      <c r="M178">
        <f>IF(COUNTIF($E178, _xlfn.CONCAT("*",Table13[[#Headers],[Crime]],"*")),1,0)</f>
        <v>0</v>
      </c>
      <c r="N178">
        <f>IF(COUNTIF($E178, _xlfn.CONCAT("*",Table13[[#Headers],[Documentary]],"*")),1,0)</f>
        <v>0</v>
      </c>
      <c r="O178">
        <f>IF(COUNTIF($E178, _xlfn.CONCAT("*",Table13[[#Headers],[Drama]],"*")),1,0)</f>
        <v>1</v>
      </c>
      <c r="P178">
        <f>IF(COUNTIF($E178, _xlfn.CONCAT("*",Table13[[#Headers],[Family]],"*")),1,0)</f>
        <v>0</v>
      </c>
      <c r="Q178">
        <f>IF(COUNTIF($E178, _xlfn.CONCAT("*",Table13[[#Headers],[Fantasy]],"*")),1,0)</f>
        <v>0</v>
      </c>
      <c r="R178">
        <f>IF(COUNTIF($E178, _xlfn.CONCAT("*",Table13[[#Headers],[History]],"*")),1,0)</f>
        <v>0</v>
      </c>
      <c r="S178">
        <f>IF(COUNTIF($E178, _xlfn.CONCAT("*",Table13[[#Headers],[Horror]],"*")),1,0)</f>
        <v>0</v>
      </c>
      <c r="T178">
        <f>IF(COUNTIF($E178, _xlfn.CONCAT("*",Table13[[#Headers],[Music]],"*")),1,0)</f>
        <v>0</v>
      </c>
      <c r="U178">
        <f>IF(COUNTIF($E178, _xlfn.CONCAT("*",Table13[[#Headers],[Mystery]],"*")),1,0)</f>
        <v>0</v>
      </c>
      <c r="V178">
        <f>IF(COUNTIF($E178, _xlfn.CONCAT("*",Table13[[#Headers],[Romance]],"*")),1,0)</f>
        <v>1</v>
      </c>
      <c r="W178">
        <f>IF(COUNTIF($E178, _xlfn.CONCAT("*",Table13[[#Headers],[Science Fiction]],"*")),1,0)</f>
        <v>0</v>
      </c>
      <c r="X178">
        <f>IF(COUNTIF($E178, _xlfn.CONCAT("*",Table13[[#Headers],[TV Movie]],"*")),1,0)</f>
        <v>0</v>
      </c>
      <c r="Y178">
        <f>IF(COUNTIF($E178, _xlfn.CONCAT("*",Table13[[#Headers],[Thriller]],"*")),1,0)</f>
        <v>0</v>
      </c>
      <c r="Z178">
        <f>IF(COUNTIF($E178, _xlfn.CONCAT("*",Table13[[#Headers],[War]],"*")),1,0)</f>
        <v>0</v>
      </c>
      <c r="AA178">
        <f>IF(COUNTIF($E178, _xlfn.CONCAT("*",Table13[[#Headers],[Western]],"*")),1,0)</f>
        <v>0</v>
      </c>
    </row>
    <row r="179" spans="1:27">
      <c r="A179" t="s">
        <v>283</v>
      </c>
      <c r="B179">
        <v>87</v>
      </c>
      <c r="C179">
        <f>MAX(Table13[Rank])-Table13[[#This Row],[Rank]]</f>
        <v>177</v>
      </c>
      <c r="D179" t="s">
        <v>7</v>
      </c>
      <c r="E179" t="s">
        <v>284</v>
      </c>
      <c r="F179" s="1">
        <v>31674</v>
      </c>
      <c r="G179">
        <f>YEAR(Table13[[#This Row],[Date]])</f>
        <v>1986</v>
      </c>
      <c r="H179" t="s">
        <v>283</v>
      </c>
      <c r="I179">
        <f>IF(COUNTIF($E179, _xlfn.CONCAT("*",Table13[[#Headers],[Action]],"*")),1,0)</f>
        <v>0</v>
      </c>
      <c r="J179">
        <f>IF(COUNTIF($E179, _xlfn.CONCAT("*",Table13[[#Headers],[Adventure]],"*")),1,0)</f>
        <v>0</v>
      </c>
      <c r="K179">
        <f>IF(COUNTIF($E179, _xlfn.CONCAT("*",Table13[[#Headers],[Animation]],"*")),1,0)</f>
        <v>0</v>
      </c>
      <c r="L179">
        <f>IF(COUNTIF($E179, _xlfn.CONCAT("*",Table13[[#Headers],[Comedy]],"*")),1,0)</f>
        <v>0</v>
      </c>
      <c r="M179">
        <f>IF(COUNTIF($E179, _xlfn.CONCAT("*",Table13[[#Headers],[Crime]],"*")),1,0)</f>
        <v>1</v>
      </c>
      <c r="N179">
        <f>IF(COUNTIF($E179, _xlfn.CONCAT("*",Table13[[#Headers],[Documentary]],"*")),1,0)</f>
        <v>0</v>
      </c>
      <c r="O179">
        <f>IF(COUNTIF($E179, _xlfn.CONCAT("*",Table13[[#Headers],[Drama]],"*")),1,0)</f>
        <v>0</v>
      </c>
      <c r="P179">
        <f>IF(COUNTIF($E179, _xlfn.CONCAT("*",Table13[[#Headers],[Family]],"*")),1,0)</f>
        <v>0</v>
      </c>
      <c r="Q179">
        <f>IF(COUNTIF($E179, _xlfn.CONCAT("*",Table13[[#Headers],[Fantasy]],"*")),1,0)</f>
        <v>0</v>
      </c>
      <c r="R179">
        <f>IF(COUNTIF($E179, _xlfn.CONCAT("*",Table13[[#Headers],[History]],"*")),1,0)</f>
        <v>0</v>
      </c>
      <c r="S179">
        <f>IF(COUNTIF($E179, _xlfn.CONCAT("*",Table13[[#Headers],[Horror]],"*")),1,0)</f>
        <v>0</v>
      </c>
      <c r="T179">
        <f>IF(COUNTIF($E179, _xlfn.CONCAT("*",Table13[[#Headers],[Music]],"*")),1,0)</f>
        <v>0</v>
      </c>
      <c r="U179">
        <f>IF(COUNTIF($E179, _xlfn.CONCAT("*",Table13[[#Headers],[Mystery]],"*")),1,0)</f>
        <v>1</v>
      </c>
      <c r="V179">
        <f>IF(COUNTIF($E179, _xlfn.CONCAT("*",Table13[[#Headers],[Romance]],"*")),1,0)</f>
        <v>1</v>
      </c>
      <c r="W179">
        <f>IF(COUNTIF($E179, _xlfn.CONCAT("*",Table13[[#Headers],[Science Fiction]],"*")),1,0)</f>
        <v>0</v>
      </c>
      <c r="X179">
        <f>IF(COUNTIF($E179, _xlfn.CONCAT("*",Table13[[#Headers],[TV Movie]],"*")),1,0)</f>
        <v>0</v>
      </c>
      <c r="Y179">
        <f>IF(COUNTIF($E179, _xlfn.CONCAT("*",Table13[[#Headers],[Thriller]],"*")),1,0)</f>
        <v>1</v>
      </c>
      <c r="Z179">
        <f>IF(COUNTIF($E179, _xlfn.CONCAT("*",Table13[[#Headers],[War]],"*")),1,0)</f>
        <v>0</v>
      </c>
      <c r="AA179">
        <f>IF(COUNTIF($E179, _xlfn.CONCAT("*",Table13[[#Headers],[Western]],"*")),1,0)</f>
        <v>0</v>
      </c>
    </row>
    <row r="180" spans="1:27">
      <c r="A180" t="s">
        <v>285</v>
      </c>
      <c r="B180">
        <v>86</v>
      </c>
      <c r="C180">
        <f>MAX(Table13[Rank])-Table13[[#This Row],[Rank]]</f>
        <v>178</v>
      </c>
      <c r="D180" t="s">
        <v>7</v>
      </c>
      <c r="E180" t="s">
        <v>113</v>
      </c>
      <c r="F180" s="1">
        <v>26945</v>
      </c>
      <c r="G180">
        <f>YEAR(Table13[[#This Row],[Date]])</f>
        <v>1973</v>
      </c>
      <c r="H180" t="s">
        <v>285</v>
      </c>
      <c r="I180">
        <f>IF(COUNTIF($E180, _xlfn.CONCAT("*",Table13[[#Headers],[Action]],"*")),1,0)</f>
        <v>0</v>
      </c>
      <c r="J180">
        <f>IF(COUNTIF($E180, _xlfn.CONCAT("*",Table13[[#Headers],[Adventure]],"*")),1,0)</f>
        <v>0</v>
      </c>
      <c r="K180">
        <f>IF(COUNTIF($E180, _xlfn.CONCAT("*",Table13[[#Headers],[Animation]],"*")),1,0)</f>
        <v>0</v>
      </c>
      <c r="L180">
        <f>IF(COUNTIF($E180, _xlfn.CONCAT("*",Table13[[#Headers],[Comedy]],"*")),1,0)</f>
        <v>0</v>
      </c>
      <c r="M180">
        <f>IF(COUNTIF($E180, _xlfn.CONCAT("*",Table13[[#Headers],[Crime]],"*")),1,0)</f>
        <v>0</v>
      </c>
      <c r="N180">
        <f>IF(COUNTIF($E180, _xlfn.CONCAT("*",Table13[[#Headers],[Documentary]],"*")),1,0)</f>
        <v>0</v>
      </c>
      <c r="O180">
        <f>IF(COUNTIF($E180, _xlfn.CONCAT("*",Table13[[#Headers],[Drama]],"*")),1,0)</f>
        <v>1</v>
      </c>
      <c r="P180">
        <f>IF(COUNTIF($E180, _xlfn.CONCAT("*",Table13[[#Headers],[Family]],"*")),1,0)</f>
        <v>0</v>
      </c>
      <c r="Q180">
        <f>IF(COUNTIF($E180, _xlfn.CONCAT("*",Table13[[#Headers],[Fantasy]],"*")),1,0)</f>
        <v>1</v>
      </c>
      <c r="R180">
        <f>IF(COUNTIF($E180, _xlfn.CONCAT("*",Table13[[#Headers],[History]],"*")),1,0)</f>
        <v>0</v>
      </c>
      <c r="S180">
        <f>IF(COUNTIF($E180, _xlfn.CONCAT("*",Table13[[#Headers],[Horror]],"*")),1,0)</f>
        <v>0</v>
      </c>
      <c r="T180">
        <f>IF(COUNTIF($E180, _xlfn.CONCAT("*",Table13[[#Headers],[Music]],"*")),1,0)</f>
        <v>0</v>
      </c>
      <c r="U180">
        <f>IF(COUNTIF($E180, _xlfn.CONCAT("*",Table13[[#Headers],[Mystery]],"*")),1,0)</f>
        <v>0</v>
      </c>
      <c r="V180">
        <f>IF(COUNTIF($E180, _xlfn.CONCAT("*",Table13[[#Headers],[Romance]],"*")),1,0)</f>
        <v>0</v>
      </c>
      <c r="W180">
        <f>IF(COUNTIF($E180, _xlfn.CONCAT("*",Table13[[#Headers],[Science Fiction]],"*")),1,0)</f>
        <v>0</v>
      </c>
      <c r="X180">
        <f>IF(COUNTIF($E180, _xlfn.CONCAT("*",Table13[[#Headers],[TV Movie]],"*")),1,0)</f>
        <v>0</v>
      </c>
      <c r="Y180">
        <f>IF(COUNTIF($E180, _xlfn.CONCAT("*",Table13[[#Headers],[Thriller]],"*")),1,0)</f>
        <v>0</v>
      </c>
      <c r="Z180">
        <f>IF(COUNTIF($E180, _xlfn.CONCAT("*",Table13[[#Headers],[War]],"*")),1,0)</f>
        <v>0</v>
      </c>
      <c r="AA180">
        <f>IF(COUNTIF($E180, _xlfn.CONCAT("*",Table13[[#Headers],[Western]],"*")),1,0)</f>
        <v>0</v>
      </c>
    </row>
    <row r="181" spans="1:27">
      <c r="A181" t="s">
        <v>286</v>
      </c>
      <c r="B181">
        <v>85</v>
      </c>
      <c r="C181">
        <f>MAX(Table13[Rank])-Table13[[#This Row],[Rank]]</f>
        <v>179</v>
      </c>
      <c r="D181" t="s">
        <v>7</v>
      </c>
      <c r="E181" t="s">
        <v>105</v>
      </c>
      <c r="F181" s="1">
        <v>24051</v>
      </c>
      <c r="G181">
        <f>YEAR(Table13[[#This Row],[Date]])</f>
        <v>1965</v>
      </c>
      <c r="H181" t="s">
        <v>1286</v>
      </c>
      <c r="I181">
        <f>IF(COUNTIF($E181, _xlfn.CONCAT("*",Table13[[#Headers],[Action]],"*")),1,0)</f>
        <v>0</v>
      </c>
      <c r="J181">
        <f>IF(COUNTIF($E181, _xlfn.CONCAT("*",Table13[[#Headers],[Adventure]],"*")),1,0)</f>
        <v>0</v>
      </c>
      <c r="K181">
        <f>IF(COUNTIF($E181, _xlfn.CONCAT("*",Table13[[#Headers],[Animation]],"*")),1,0)</f>
        <v>0</v>
      </c>
      <c r="L181">
        <f>IF(COUNTIF($E181, _xlfn.CONCAT("*",Table13[[#Headers],[Comedy]],"*")),1,0)</f>
        <v>0</v>
      </c>
      <c r="M181">
        <f>IF(COUNTIF($E181, _xlfn.CONCAT("*",Table13[[#Headers],[Crime]],"*")),1,0)</f>
        <v>0</v>
      </c>
      <c r="N181">
        <f>IF(COUNTIF($E181, _xlfn.CONCAT("*",Table13[[#Headers],[Documentary]],"*")),1,0)</f>
        <v>0</v>
      </c>
      <c r="O181">
        <f>IF(COUNTIF($E181, _xlfn.CONCAT("*",Table13[[#Headers],[Drama]],"*")),1,0)</f>
        <v>1</v>
      </c>
      <c r="P181">
        <f>IF(COUNTIF($E181, _xlfn.CONCAT("*",Table13[[#Headers],[Family]],"*")),1,0)</f>
        <v>0</v>
      </c>
      <c r="Q181">
        <f>IF(COUNTIF($E181, _xlfn.CONCAT("*",Table13[[#Headers],[Fantasy]],"*")),1,0)</f>
        <v>0</v>
      </c>
      <c r="R181">
        <f>IF(COUNTIF($E181, _xlfn.CONCAT("*",Table13[[#Headers],[History]],"*")),1,0)</f>
        <v>0</v>
      </c>
      <c r="S181">
        <f>IF(COUNTIF($E181, _xlfn.CONCAT("*",Table13[[#Headers],[Horror]],"*")),1,0)</f>
        <v>0</v>
      </c>
      <c r="T181">
        <f>IF(COUNTIF($E181, _xlfn.CONCAT("*",Table13[[#Headers],[Music]],"*")),1,0)</f>
        <v>0</v>
      </c>
      <c r="U181">
        <f>IF(COUNTIF($E181, _xlfn.CONCAT("*",Table13[[#Headers],[Mystery]],"*")),1,0)</f>
        <v>0</v>
      </c>
      <c r="V181">
        <f>IF(COUNTIF($E181, _xlfn.CONCAT("*",Table13[[#Headers],[Romance]],"*")),1,0)</f>
        <v>0</v>
      </c>
      <c r="W181">
        <f>IF(COUNTIF($E181, _xlfn.CONCAT("*",Table13[[#Headers],[Science Fiction]],"*")),1,0)</f>
        <v>0</v>
      </c>
      <c r="X181">
        <f>IF(COUNTIF($E181, _xlfn.CONCAT("*",Table13[[#Headers],[TV Movie]],"*")),1,0)</f>
        <v>0</v>
      </c>
      <c r="Y181">
        <f>IF(COUNTIF($E181, _xlfn.CONCAT("*",Table13[[#Headers],[Thriller]],"*")),1,0)</f>
        <v>1</v>
      </c>
      <c r="Z181">
        <f>IF(COUNTIF($E181, _xlfn.CONCAT("*",Table13[[#Headers],[War]],"*")),1,0)</f>
        <v>0</v>
      </c>
      <c r="AA181">
        <f>IF(COUNTIF($E181, _xlfn.CONCAT("*",Table13[[#Headers],[Western]],"*")),1,0)</f>
        <v>0</v>
      </c>
    </row>
    <row r="182" spans="1:27">
      <c r="A182" t="s">
        <v>287</v>
      </c>
      <c r="B182">
        <v>84</v>
      </c>
      <c r="C182">
        <f>MAX(Table13[Rank])-Table13[[#This Row],[Rank]]</f>
        <v>180</v>
      </c>
      <c r="D182" t="s">
        <v>7</v>
      </c>
      <c r="E182" t="s">
        <v>17</v>
      </c>
      <c r="F182" s="1">
        <v>32828</v>
      </c>
      <c r="G182">
        <f>YEAR(Table13[[#This Row],[Date]])</f>
        <v>1989</v>
      </c>
      <c r="H182" t="s">
        <v>1287</v>
      </c>
      <c r="I182">
        <f>IF(COUNTIF($E182, _xlfn.CONCAT("*",Table13[[#Headers],[Action]],"*")),1,0)</f>
        <v>0</v>
      </c>
      <c r="J182">
        <f>IF(COUNTIF($E182, _xlfn.CONCAT("*",Table13[[#Headers],[Adventure]],"*")),1,0)</f>
        <v>0</v>
      </c>
      <c r="K182">
        <f>IF(COUNTIF($E182, _xlfn.CONCAT("*",Table13[[#Headers],[Animation]],"*")),1,0)</f>
        <v>0</v>
      </c>
      <c r="L182">
        <f>IF(COUNTIF($E182, _xlfn.CONCAT("*",Table13[[#Headers],[Comedy]],"*")),1,0)</f>
        <v>0</v>
      </c>
      <c r="M182">
        <f>IF(COUNTIF($E182, _xlfn.CONCAT("*",Table13[[#Headers],[Crime]],"*")),1,0)</f>
        <v>0</v>
      </c>
      <c r="N182">
        <f>IF(COUNTIF($E182, _xlfn.CONCAT("*",Table13[[#Headers],[Documentary]],"*")),1,0)</f>
        <v>1</v>
      </c>
      <c r="O182">
        <f>IF(COUNTIF($E182, _xlfn.CONCAT("*",Table13[[#Headers],[Drama]],"*")),1,0)</f>
        <v>0</v>
      </c>
      <c r="P182">
        <f>IF(COUNTIF($E182, _xlfn.CONCAT("*",Table13[[#Headers],[Family]],"*")),1,0)</f>
        <v>0</v>
      </c>
      <c r="Q182">
        <f>IF(COUNTIF($E182, _xlfn.CONCAT("*",Table13[[#Headers],[Fantasy]],"*")),1,0)</f>
        <v>0</v>
      </c>
      <c r="R182">
        <f>IF(COUNTIF($E182, _xlfn.CONCAT("*",Table13[[#Headers],[History]],"*")),1,0)</f>
        <v>0</v>
      </c>
      <c r="S182">
        <f>IF(COUNTIF($E182, _xlfn.CONCAT("*",Table13[[#Headers],[Horror]],"*")),1,0)</f>
        <v>0</v>
      </c>
      <c r="T182">
        <f>IF(COUNTIF($E182, _xlfn.CONCAT("*",Table13[[#Headers],[Music]],"*")),1,0)</f>
        <v>0</v>
      </c>
      <c r="U182">
        <f>IF(COUNTIF($E182, _xlfn.CONCAT("*",Table13[[#Headers],[Mystery]],"*")),1,0)</f>
        <v>0</v>
      </c>
      <c r="V182">
        <f>IF(COUNTIF($E182, _xlfn.CONCAT("*",Table13[[#Headers],[Romance]],"*")),1,0)</f>
        <v>0</v>
      </c>
      <c r="W182">
        <f>IF(COUNTIF($E182, _xlfn.CONCAT("*",Table13[[#Headers],[Science Fiction]],"*")),1,0)</f>
        <v>0</v>
      </c>
      <c r="X182">
        <f>IF(COUNTIF($E182, _xlfn.CONCAT("*",Table13[[#Headers],[TV Movie]],"*")),1,0)</f>
        <v>0</v>
      </c>
      <c r="Y182">
        <f>IF(COUNTIF($E182, _xlfn.CONCAT("*",Table13[[#Headers],[Thriller]],"*")),1,0)</f>
        <v>0</v>
      </c>
      <c r="Z182">
        <f>IF(COUNTIF($E182, _xlfn.CONCAT("*",Table13[[#Headers],[War]],"*")),1,0)</f>
        <v>0</v>
      </c>
      <c r="AA182">
        <f>IF(COUNTIF($E182, _xlfn.CONCAT("*",Table13[[#Headers],[Western]],"*")),1,0)</f>
        <v>0</v>
      </c>
    </row>
    <row r="183" spans="1:27">
      <c r="A183" t="s">
        <v>288</v>
      </c>
      <c r="B183">
        <v>83</v>
      </c>
      <c r="C183">
        <f>MAX(Table13[Rank])-Table13[[#This Row],[Rank]]</f>
        <v>181</v>
      </c>
      <c r="D183" t="s">
        <v>7</v>
      </c>
      <c r="E183" t="s">
        <v>289</v>
      </c>
      <c r="F183" s="1">
        <v>17151</v>
      </c>
      <c r="G183">
        <f>YEAR(Table13[[#This Row],[Date]])</f>
        <v>1946</v>
      </c>
      <c r="H183" t="s">
        <v>288</v>
      </c>
      <c r="I183">
        <f>IF(COUNTIF($E183, _xlfn.CONCAT("*",Table13[[#Headers],[Action]],"*")),1,0)</f>
        <v>0</v>
      </c>
      <c r="J183">
        <f>IF(COUNTIF($E183, _xlfn.CONCAT("*",Table13[[#Headers],[Adventure]],"*")),1,0)</f>
        <v>0</v>
      </c>
      <c r="K183">
        <f>IF(COUNTIF($E183, _xlfn.CONCAT("*",Table13[[#Headers],[Animation]],"*")),1,0)</f>
        <v>0</v>
      </c>
      <c r="L183">
        <f>IF(COUNTIF($E183, _xlfn.CONCAT("*",Table13[[#Headers],[Comedy]],"*")),1,0)</f>
        <v>1</v>
      </c>
      <c r="M183">
        <f>IF(COUNTIF($E183, _xlfn.CONCAT("*",Table13[[#Headers],[Crime]],"*")),1,0)</f>
        <v>0</v>
      </c>
      <c r="N183">
        <f>IF(COUNTIF($E183, _xlfn.CONCAT("*",Table13[[#Headers],[Documentary]],"*")),1,0)</f>
        <v>0</v>
      </c>
      <c r="O183">
        <f>IF(COUNTIF($E183, _xlfn.CONCAT("*",Table13[[#Headers],[Drama]],"*")),1,0)</f>
        <v>1</v>
      </c>
      <c r="P183">
        <f>IF(COUNTIF($E183, _xlfn.CONCAT("*",Table13[[#Headers],[Family]],"*")),1,0)</f>
        <v>0</v>
      </c>
      <c r="Q183">
        <f>IF(COUNTIF($E183, _xlfn.CONCAT("*",Table13[[#Headers],[Fantasy]],"*")),1,0)</f>
        <v>1</v>
      </c>
      <c r="R183">
        <f>IF(COUNTIF($E183, _xlfn.CONCAT("*",Table13[[#Headers],[History]],"*")),1,0)</f>
        <v>0</v>
      </c>
      <c r="S183">
        <f>IF(COUNTIF($E183, _xlfn.CONCAT("*",Table13[[#Headers],[Horror]],"*")),1,0)</f>
        <v>0</v>
      </c>
      <c r="T183">
        <f>IF(COUNTIF($E183, _xlfn.CONCAT("*",Table13[[#Headers],[Music]],"*")),1,0)</f>
        <v>0</v>
      </c>
      <c r="U183">
        <f>IF(COUNTIF($E183, _xlfn.CONCAT("*",Table13[[#Headers],[Mystery]],"*")),1,0)</f>
        <v>0</v>
      </c>
      <c r="V183">
        <f>IF(COUNTIF($E183, _xlfn.CONCAT("*",Table13[[#Headers],[Romance]],"*")),1,0)</f>
        <v>1</v>
      </c>
      <c r="W183">
        <f>IF(COUNTIF($E183, _xlfn.CONCAT("*",Table13[[#Headers],[Science Fiction]],"*")),1,0)</f>
        <v>0</v>
      </c>
      <c r="X183">
        <f>IF(COUNTIF($E183, _xlfn.CONCAT("*",Table13[[#Headers],[TV Movie]],"*")),1,0)</f>
        <v>0</v>
      </c>
      <c r="Y183">
        <f>IF(COUNTIF($E183, _xlfn.CONCAT("*",Table13[[#Headers],[Thriller]],"*")),1,0)</f>
        <v>0</v>
      </c>
      <c r="Z183">
        <f>IF(COUNTIF($E183, _xlfn.CONCAT("*",Table13[[#Headers],[War]],"*")),1,0)</f>
        <v>0</v>
      </c>
      <c r="AA183">
        <f>IF(COUNTIF($E183, _xlfn.CONCAT("*",Table13[[#Headers],[Western]],"*")),1,0)</f>
        <v>0</v>
      </c>
    </row>
    <row r="184" spans="1:27">
      <c r="A184" t="s">
        <v>290</v>
      </c>
      <c r="B184">
        <v>82</v>
      </c>
      <c r="C184">
        <f>MAX(Table13[Rank])-Table13[[#This Row],[Rank]]</f>
        <v>182</v>
      </c>
      <c r="D184" t="s">
        <v>7</v>
      </c>
      <c r="E184" t="s">
        <v>164</v>
      </c>
      <c r="F184" s="1">
        <v>13185</v>
      </c>
      <c r="G184">
        <f>YEAR(Table13[[#This Row],[Date]])</f>
        <v>1936</v>
      </c>
      <c r="H184" t="s">
        <v>290</v>
      </c>
      <c r="I184">
        <f>IF(COUNTIF($E184, _xlfn.CONCAT("*",Table13[[#Headers],[Action]],"*")),1,0)</f>
        <v>0</v>
      </c>
      <c r="J184">
        <f>IF(COUNTIF($E184, _xlfn.CONCAT("*",Table13[[#Headers],[Adventure]],"*")),1,0)</f>
        <v>0</v>
      </c>
      <c r="K184">
        <f>IF(COUNTIF($E184, _xlfn.CONCAT("*",Table13[[#Headers],[Animation]],"*")),1,0)</f>
        <v>0</v>
      </c>
      <c r="L184">
        <f>IF(COUNTIF($E184, _xlfn.CONCAT("*",Table13[[#Headers],[Comedy]],"*")),1,0)</f>
        <v>1</v>
      </c>
      <c r="M184">
        <f>IF(COUNTIF($E184, _xlfn.CONCAT("*",Table13[[#Headers],[Crime]],"*")),1,0)</f>
        <v>0</v>
      </c>
      <c r="N184">
        <f>IF(COUNTIF($E184, _xlfn.CONCAT("*",Table13[[#Headers],[Documentary]],"*")),1,0)</f>
        <v>0</v>
      </c>
      <c r="O184">
        <f>IF(COUNTIF($E184, _xlfn.CONCAT("*",Table13[[#Headers],[Drama]],"*")),1,0)</f>
        <v>1</v>
      </c>
      <c r="P184">
        <f>IF(COUNTIF($E184, _xlfn.CONCAT("*",Table13[[#Headers],[Family]],"*")),1,0)</f>
        <v>0</v>
      </c>
      <c r="Q184">
        <f>IF(COUNTIF($E184, _xlfn.CONCAT("*",Table13[[#Headers],[Fantasy]],"*")),1,0)</f>
        <v>0</v>
      </c>
      <c r="R184">
        <f>IF(COUNTIF($E184, _xlfn.CONCAT("*",Table13[[#Headers],[History]],"*")),1,0)</f>
        <v>0</v>
      </c>
      <c r="S184">
        <f>IF(COUNTIF($E184, _xlfn.CONCAT("*",Table13[[#Headers],[Horror]],"*")),1,0)</f>
        <v>0</v>
      </c>
      <c r="T184">
        <f>IF(COUNTIF($E184, _xlfn.CONCAT("*",Table13[[#Headers],[Music]],"*")),1,0)</f>
        <v>0</v>
      </c>
      <c r="U184">
        <f>IF(COUNTIF($E184, _xlfn.CONCAT("*",Table13[[#Headers],[Mystery]],"*")),1,0)</f>
        <v>0</v>
      </c>
      <c r="V184">
        <f>IF(COUNTIF($E184, _xlfn.CONCAT("*",Table13[[#Headers],[Romance]],"*")),1,0)</f>
        <v>0</v>
      </c>
      <c r="W184">
        <f>IF(COUNTIF($E184, _xlfn.CONCAT("*",Table13[[#Headers],[Science Fiction]],"*")),1,0)</f>
        <v>0</v>
      </c>
      <c r="X184">
        <f>IF(COUNTIF($E184, _xlfn.CONCAT("*",Table13[[#Headers],[TV Movie]],"*")),1,0)</f>
        <v>0</v>
      </c>
      <c r="Y184">
        <f>IF(COUNTIF($E184, _xlfn.CONCAT("*",Table13[[#Headers],[Thriller]],"*")),1,0)</f>
        <v>0</v>
      </c>
      <c r="Z184">
        <f>IF(COUNTIF($E184, _xlfn.CONCAT("*",Table13[[#Headers],[War]],"*")),1,0)</f>
        <v>0</v>
      </c>
      <c r="AA184">
        <f>IF(COUNTIF($E184, _xlfn.CONCAT("*",Table13[[#Headers],[Western]],"*")),1,0)</f>
        <v>0</v>
      </c>
    </row>
    <row r="185" spans="1:27">
      <c r="A185" t="s">
        <v>291</v>
      </c>
      <c r="B185">
        <v>81</v>
      </c>
      <c r="C185">
        <f>MAX(Table13[Rank])-Table13[[#This Row],[Rank]]</f>
        <v>183</v>
      </c>
      <c r="D185" t="s">
        <v>7</v>
      </c>
      <c r="E185" t="s">
        <v>17</v>
      </c>
      <c r="F185" s="1">
        <v>43818</v>
      </c>
      <c r="G185">
        <f>YEAR(Table13[[#This Row],[Date]])</f>
        <v>2019</v>
      </c>
      <c r="H185" t="s">
        <v>292</v>
      </c>
      <c r="I185">
        <f>IF(COUNTIF($E185, _xlfn.CONCAT("*",Table13[[#Headers],[Action]],"*")),1,0)</f>
        <v>0</v>
      </c>
      <c r="J185">
        <f>IF(COUNTIF($E185, _xlfn.CONCAT("*",Table13[[#Headers],[Adventure]],"*")),1,0)</f>
        <v>0</v>
      </c>
      <c r="K185">
        <f>IF(COUNTIF($E185, _xlfn.CONCAT("*",Table13[[#Headers],[Animation]],"*")),1,0)</f>
        <v>0</v>
      </c>
      <c r="L185">
        <f>IF(COUNTIF($E185, _xlfn.CONCAT("*",Table13[[#Headers],[Comedy]],"*")),1,0)</f>
        <v>0</v>
      </c>
      <c r="M185">
        <f>IF(COUNTIF($E185, _xlfn.CONCAT("*",Table13[[#Headers],[Crime]],"*")),1,0)</f>
        <v>0</v>
      </c>
      <c r="N185">
        <f>IF(COUNTIF($E185, _xlfn.CONCAT("*",Table13[[#Headers],[Documentary]],"*")),1,0)</f>
        <v>1</v>
      </c>
      <c r="O185">
        <f>IF(COUNTIF($E185, _xlfn.CONCAT("*",Table13[[#Headers],[Drama]],"*")),1,0)</f>
        <v>0</v>
      </c>
      <c r="P185">
        <f>IF(COUNTIF($E185, _xlfn.CONCAT("*",Table13[[#Headers],[Family]],"*")),1,0)</f>
        <v>0</v>
      </c>
      <c r="Q185">
        <f>IF(COUNTIF($E185, _xlfn.CONCAT("*",Table13[[#Headers],[Fantasy]],"*")),1,0)</f>
        <v>0</v>
      </c>
      <c r="R185">
        <f>IF(COUNTIF($E185, _xlfn.CONCAT("*",Table13[[#Headers],[History]],"*")),1,0)</f>
        <v>0</v>
      </c>
      <c r="S185">
        <f>IF(COUNTIF($E185, _xlfn.CONCAT("*",Table13[[#Headers],[Horror]],"*")),1,0)</f>
        <v>0</v>
      </c>
      <c r="T185">
        <f>IF(COUNTIF($E185, _xlfn.CONCAT("*",Table13[[#Headers],[Music]],"*")),1,0)</f>
        <v>0</v>
      </c>
      <c r="U185">
        <f>IF(COUNTIF($E185, _xlfn.CONCAT("*",Table13[[#Headers],[Mystery]],"*")),1,0)</f>
        <v>0</v>
      </c>
      <c r="V185">
        <f>IF(COUNTIF($E185, _xlfn.CONCAT("*",Table13[[#Headers],[Romance]],"*")),1,0)</f>
        <v>0</v>
      </c>
      <c r="W185">
        <f>IF(COUNTIF($E185, _xlfn.CONCAT("*",Table13[[#Headers],[Science Fiction]],"*")),1,0)</f>
        <v>0</v>
      </c>
      <c r="X185">
        <f>IF(COUNTIF($E185, _xlfn.CONCAT("*",Table13[[#Headers],[TV Movie]],"*")),1,0)</f>
        <v>0</v>
      </c>
      <c r="Y185">
        <f>IF(COUNTIF($E185, _xlfn.CONCAT("*",Table13[[#Headers],[Thriller]],"*")),1,0)</f>
        <v>0</v>
      </c>
      <c r="Z185">
        <f>IF(COUNTIF($E185, _xlfn.CONCAT("*",Table13[[#Headers],[War]],"*")),1,0)</f>
        <v>0</v>
      </c>
      <c r="AA185">
        <f>IF(COUNTIF($E185, _xlfn.CONCAT("*",Table13[[#Headers],[Western]],"*")),1,0)</f>
        <v>0</v>
      </c>
    </row>
    <row r="186" spans="1:27">
      <c r="A186" t="s">
        <v>293</v>
      </c>
      <c r="B186">
        <v>80</v>
      </c>
      <c r="C186">
        <f>MAX(Table13[Rank])-Table13[[#This Row],[Rank]]</f>
        <v>184</v>
      </c>
      <c r="D186" t="s">
        <v>7</v>
      </c>
      <c r="E186" t="s">
        <v>294</v>
      </c>
      <c r="F186" s="1">
        <v>27290</v>
      </c>
      <c r="G186">
        <f>YEAR(Table13[[#This Row],[Date]])</f>
        <v>1974</v>
      </c>
      <c r="H186" t="s">
        <v>293</v>
      </c>
      <c r="I186">
        <f>IF(COUNTIF($E186, _xlfn.CONCAT("*",Table13[[#Headers],[Action]],"*")),1,0)</f>
        <v>0</v>
      </c>
      <c r="J186">
        <f>IF(COUNTIF($E186, _xlfn.CONCAT("*",Table13[[#Headers],[Adventure]],"*")),1,0)</f>
        <v>0</v>
      </c>
      <c r="K186">
        <f>IF(COUNTIF($E186, _xlfn.CONCAT("*",Table13[[#Headers],[Animation]],"*")),1,0)</f>
        <v>0</v>
      </c>
      <c r="L186">
        <f>IF(COUNTIF($E186, _xlfn.CONCAT("*",Table13[[#Headers],[Comedy]],"*")),1,0)</f>
        <v>1</v>
      </c>
      <c r="M186">
        <f>IF(COUNTIF($E186, _xlfn.CONCAT("*",Table13[[#Headers],[Crime]],"*")),1,0)</f>
        <v>0</v>
      </c>
      <c r="N186">
        <f>IF(COUNTIF($E186, _xlfn.CONCAT("*",Table13[[#Headers],[Documentary]],"*")),1,0)</f>
        <v>0</v>
      </c>
      <c r="O186">
        <f>IF(COUNTIF($E186, _xlfn.CONCAT("*",Table13[[#Headers],[Drama]],"*")),1,0)</f>
        <v>1</v>
      </c>
      <c r="P186">
        <f>IF(COUNTIF($E186, _xlfn.CONCAT("*",Table13[[#Headers],[Family]],"*")),1,0)</f>
        <v>0</v>
      </c>
      <c r="Q186">
        <f>IF(COUNTIF($E186, _xlfn.CONCAT("*",Table13[[#Headers],[Fantasy]],"*")),1,0)</f>
        <v>1</v>
      </c>
      <c r="R186">
        <f>IF(COUNTIF($E186, _xlfn.CONCAT("*",Table13[[#Headers],[History]],"*")),1,0)</f>
        <v>0</v>
      </c>
      <c r="S186">
        <f>IF(COUNTIF($E186, _xlfn.CONCAT("*",Table13[[#Headers],[Horror]],"*")),1,0)</f>
        <v>0</v>
      </c>
      <c r="T186">
        <f>IF(COUNTIF($E186, _xlfn.CONCAT("*",Table13[[#Headers],[Music]],"*")),1,0)</f>
        <v>0</v>
      </c>
      <c r="U186">
        <f>IF(COUNTIF($E186, _xlfn.CONCAT("*",Table13[[#Headers],[Mystery]],"*")),1,0)</f>
        <v>0</v>
      </c>
      <c r="V186">
        <f>IF(COUNTIF($E186, _xlfn.CONCAT("*",Table13[[#Headers],[Romance]],"*")),1,0)</f>
        <v>0</v>
      </c>
      <c r="W186">
        <f>IF(COUNTIF($E186, _xlfn.CONCAT("*",Table13[[#Headers],[Science Fiction]],"*")),1,0)</f>
        <v>0</v>
      </c>
      <c r="X186">
        <f>IF(COUNTIF($E186, _xlfn.CONCAT("*",Table13[[#Headers],[TV Movie]],"*")),1,0)</f>
        <v>0</v>
      </c>
      <c r="Y186">
        <f>IF(COUNTIF($E186, _xlfn.CONCAT("*",Table13[[#Headers],[Thriller]],"*")),1,0)</f>
        <v>0</v>
      </c>
      <c r="Z186">
        <f>IF(COUNTIF($E186, _xlfn.CONCAT("*",Table13[[#Headers],[War]],"*")),1,0)</f>
        <v>0</v>
      </c>
      <c r="AA186">
        <f>IF(COUNTIF($E186, _xlfn.CONCAT("*",Table13[[#Headers],[Western]],"*")),1,0)</f>
        <v>0</v>
      </c>
    </row>
    <row r="187" spans="1:27">
      <c r="A187" t="s">
        <v>295</v>
      </c>
      <c r="B187">
        <v>79</v>
      </c>
      <c r="C187">
        <f>MAX(Table13[Rank])-Table13[[#This Row],[Rank]]</f>
        <v>185</v>
      </c>
      <c r="D187" t="s">
        <v>7</v>
      </c>
      <c r="E187" t="s">
        <v>296</v>
      </c>
      <c r="F187" s="1">
        <v>33446</v>
      </c>
      <c r="G187">
        <f>YEAR(Table13[[#This Row],[Date]])</f>
        <v>1991</v>
      </c>
      <c r="H187" t="s">
        <v>295</v>
      </c>
      <c r="I187">
        <f>IF(COUNTIF($E187, _xlfn.CONCAT("*",Table13[[#Headers],[Action]],"*")),1,0)</f>
        <v>0</v>
      </c>
      <c r="J187">
        <f>IF(COUNTIF($E187, _xlfn.CONCAT("*",Table13[[#Headers],[Adventure]],"*")),1,0)</f>
        <v>0</v>
      </c>
      <c r="K187">
        <f>IF(COUNTIF($E187, _xlfn.CONCAT("*",Table13[[#Headers],[Animation]],"*")),1,0)</f>
        <v>0</v>
      </c>
      <c r="L187">
        <f>IF(COUNTIF($E187, _xlfn.CONCAT("*",Table13[[#Headers],[Comedy]],"*")),1,0)</f>
        <v>0</v>
      </c>
      <c r="M187">
        <f>IF(COUNTIF($E187, _xlfn.CONCAT("*",Table13[[#Headers],[Crime]],"*")),1,0)</f>
        <v>1</v>
      </c>
      <c r="N187">
        <f>IF(COUNTIF($E187, _xlfn.CONCAT("*",Table13[[#Headers],[Documentary]],"*")),1,0)</f>
        <v>0</v>
      </c>
      <c r="O187">
        <f>IF(COUNTIF($E187, _xlfn.CONCAT("*",Table13[[#Headers],[Drama]],"*")),1,0)</f>
        <v>1</v>
      </c>
      <c r="P187">
        <f>IF(COUNTIF($E187, _xlfn.CONCAT("*",Table13[[#Headers],[Family]],"*")),1,0)</f>
        <v>0</v>
      </c>
      <c r="Q187">
        <f>IF(COUNTIF($E187, _xlfn.CONCAT("*",Table13[[#Headers],[Fantasy]],"*")),1,0)</f>
        <v>0</v>
      </c>
      <c r="R187">
        <f>IF(COUNTIF($E187, _xlfn.CONCAT("*",Table13[[#Headers],[History]],"*")),1,0)</f>
        <v>0</v>
      </c>
      <c r="S187">
        <f>IF(COUNTIF($E187, _xlfn.CONCAT("*",Table13[[#Headers],[Horror]],"*")),1,0)</f>
        <v>0</v>
      </c>
      <c r="T187">
        <f>IF(COUNTIF($E187, _xlfn.CONCAT("*",Table13[[#Headers],[Music]],"*")),1,0)</f>
        <v>0</v>
      </c>
      <c r="U187">
        <f>IF(COUNTIF($E187, _xlfn.CONCAT("*",Table13[[#Headers],[Mystery]],"*")),1,0)</f>
        <v>0</v>
      </c>
      <c r="V187">
        <f>IF(COUNTIF($E187, _xlfn.CONCAT("*",Table13[[#Headers],[Romance]],"*")),1,0)</f>
        <v>1</v>
      </c>
      <c r="W187">
        <f>IF(COUNTIF($E187, _xlfn.CONCAT("*",Table13[[#Headers],[Science Fiction]],"*")),1,0)</f>
        <v>0</v>
      </c>
      <c r="X187">
        <f>IF(COUNTIF($E187, _xlfn.CONCAT("*",Table13[[#Headers],[TV Movie]],"*")),1,0)</f>
        <v>0</v>
      </c>
      <c r="Y187">
        <f>IF(COUNTIF($E187, _xlfn.CONCAT("*",Table13[[#Headers],[Thriller]],"*")),1,0)</f>
        <v>0</v>
      </c>
      <c r="Z187">
        <f>IF(COUNTIF($E187, _xlfn.CONCAT("*",Table13[[#Headers],[War]],"*")),1,0)</f>
        <v>0</v>
      </c>
      <c r="AA187">
        <f>IF(COUNTIF($E187, _xlfn.CONCAT("*",Table13[[#Headers],[Western]],"*")),1,0)</f>
        <v>0</v>
      </c>
    </row>
    <row r="188" spans="1:27">
      <c r="A188" t="s">
        <v>297</v>
      </c>
      <c r="B188">
        <v>78</v>
      </c>
      <c r="C188">
        <f>MAX(Table13[Rank])-Table13[[#This Row],[Rank]]</f>
        <v>186</v>
      </c>
      <c r="D188" t="s">
        <v>7</v>
      </c>
      <c r="E188" t="s">
        <v>21</v>
      </c>
      <c r="F188" s="1">
        <v>34373</v>
      </c>
      <c r="G188">
        <f>YEAR(Table13[[#This Row],[Date]])</f>
        <v>1994</v>
      </c>
      <c r="H188" t="s">
        <v>816</v>
      </c>
      <c r="I188">
        <f>IF(COUNTIF($E188, _xlfn.CONCAT("*",Table13[[#Headers],[Action]],"*")),1,0)</f>
        <v>0</v>
      </c>
      <c r="J188">
        <f>IF(COUNTIF($E188, _xlfn.CONCAT("*",Table13[[#Headers],[Adventure]],"*")),1,0)</f>
        <v>0</v>
      </c>
      <c r="K188">
        <f>IF(COUNTIF($E188, _xlfn.CONCAT("*",Table13[[#Headers],[Animation]],"*")),1,0)</f>
        <v>0</v>
      </c>
      <c r="L188">
        <f>IF(COUNTIF($E188, _xlfn.CONCAT("*",Table13[[#Headers],[Comedy]],"*")),1,0)</f>
        <v>0</v>
      </c>
      <c r="M188">
        <f>IF(COUNTIF($E188, _xlfn.CONCAT("*",Table13[[#Headers],[Crime]],"*")),1,0)</f>
        <v>0</v>
      </c>
      <c r="N188">
        <f>IF(COUNTIF($E188, _xlfn.CONCAT("*",Table13[[#Headers],[Documentary]],"*")),1,0)</f>
        <v>0</v>
      </c>
      <c r="O188">
        <f>IF(COUNTIF($E188, _xlfn.CONCAT("*",Table13[[#Headers],[Drama]],"*")),1,0)</f>
        <v>1</v>
      </c>
      <c r="P188">
        <f>IF(COUNTIF($E188, _xlfn.CONCAT("*",Table13[[#Headers],[Family]],"*")),1,0)</f>
        <v>0</v>
      </c>
      <c r="Q188">
        <f>IF(COUNTIF($E188, _xlfn.CONCAT("*",Table13[[#Headers],[Fantasy]],"*")),1,0)</f>
        <v>0</v>
      </c>
      <c r="R188">
        <f>IF(COUNTIF($E188, _xlfn.CONCAT("*",Table13[[#Headers],[History]],"*")),1,0)</f>
        <v>0</v>
      </c>
      <c r="S188">
        <f>IF(COUNTIF($E188, _xlfn.CONCAT("*",Table13[[#Headers],[Horror]],"*")),1,0)</f>
        <v>0</v>
      </c>
      <c r="T188">
        <f>IF(COUNTIF($E188, _xlfn.CONCAT("*",Table13[[#Headers],[Music]],"*")),1,0)</f>
        <v>0</v>
      </c>
      <c r="U188">
        <f>IF(COUNTIF($E188, _xlfn.CONCAT("*",Table13[[#Headers],[Mystery]],"*")),1,0)</f>
        <v>0</v>
      </c>
      <c r="V188">
        <f>IF(COUNTIF($E188, _xlfn.CONCAT("*",Table13[[#Headers],[Romance]],"*")),1,0)</f>
        <v>0</v>
      </c>
      <c r="W188">
        <f>IF(COUNTIF($E188, _xlfn.CONCAT("*",Table13[[#Headers],[Science Fiction]],"*")),1,0)</f>
        <v>0</v>
      </c>
      <c r="X188">
        <f>IF(COUNTIF($E188, _xlfn.CONCAT("*",Table13[[#Headers],[TV Movie]],"*")),1,0)</f>
        <v>0</v>
      </c>
      <c r="Y188">
        <f>IF(COUNTIF($E188, _xlfn.CONCAT("*",Table13[[#Headers],[Thriller]],"*")),1,0)</f>
        <v>0</v>
      </c>
      <c r="Z188">
        <f>IF(COUNTIF($E188, _xlfn.CONCAT("*",Table13[[#Headers],[War]],"*")),1,0)</f>
        <v>0</v>
      </c>
      <c r="AA188">
        <f>IF(COUNTIF($E188, _xlfn.CONCAT("*",Table13[[#Headers],[Western]],"*")),1,0)</f>
        <v>0</v>
      </c>
    </row>
    <row r="189" spans="1:27">
      <c r="A189" t="s">
        <v>298</v>
      </c>
      <c r="B189">
        <v>77</v>
      </c>
      <c r="C189">
        <f>MAX(Table13[Rank])-Table13[[#This Row],[Rank]]</f>
        <v>187</v>
      </c>
      <c r="D189" t="s">
        <v>7</v>
      </c>
      <c r="E189" t="s">
        <v>299</v>
      </c>
      <c r="F189" s="1">
        <v>37092</v>
      </c>
      <c r="G189">
        <f>YEAR(Table13[[#This Row],[Date]])</f>
        <v>2001</v>
      </c>
      <c r="H189" t="s">
        <v>298</v>
      </c>
      <c r="I189">
        <f>IF(COUNTIF($E189, _xlfn.CONCAT("*",Table13[[#Headers],[Action]],"*")),1,0)</f>
        <v>0</v>
      </c>
      <c r="J189">
        <f>IF(COUNTIF($E189, _xlfn.CONCAT("*",Table13[[#Headers],[Adventure]],"*")),1,0)</f>
        <v>0</v>
      </c>
      <c r="K189">
        <f>IF(COUNTIF($E189, _xlfn.CONCAT("*",Table13[[#Headers],[Animation]],"*")),1,0)</f>
        <v>1</v>
      </c>
      <c r="L189">
        <f>IF(COUNTIF($E189, _xlfn.CONCAT("*",Table13[[#Headers],[Comedy]],"*")),1,0)</f>
        <v>0</v>
      </c>
      <c r="M189">
        <f>IF(COUNTIF($E189, _xlfn.CONCAT("*",Table13[[#Headers],[Crime]],"*")),1,0)</f>
        <v>0</v>
      </c>
      <c r="N189">
        <f>IF(COUNTIF($E189, _xlfn.CONCAT("*",Table13[[#Headers],[Documentary]],"*")),1,0)</f>
        <v>0</v>
      </c>
      <c r="O189">
        <f>IF(COUNTIF($E189, _xlfn.CONCAT("*",Table13[[#Headers],[Drama]],"*")),1,0)</f>
        <v>0</v>
      </c>
      <c r="P189">
        <f>IF(COUNTIF($E189, _xlfn.CONCAT("*",Table13[[#Headers],[Family]],"*")),1,0)</f>
        <v>1</v>
      </c>
      <c r="Q189">
        <f>IF(COUNTIF($E189, _xlfn.CONCAT("*",Table13[[#Headers],[Fantasy]],"*")),1,0)</f>
        <v>1</v>
      </c>
      <c r="R189">
        <f>IF(COUNTIF($E189, _xlfn.CONCAT("*",Table13[[#Headers],[History]],"*")),1,0)</f>
        <v>0</v>
      </c>
      <c r="S189">
        <f>IF(COUNTIF($E189, _xlfn.CONCAT("*",Table13[[#Headers],[Horror]],"*")),1,0)</f>
        <v>0</v>
      </c>
      <c r="T189">
        <f>IF(COUNTIF($E189, _xlfn.CONCAT("*",Table13[[#Headers],[Music]],"*")),1,0)</f>
        <v>0</v>
      </c>
      <c r="U189">
        <f>IF(COUNTIF($E189, _xlfn.CONCAT("*",Table13[[#Headers],[Mystery]],"*")),1,0)</f>
        <v>0</v>
      </c>
      <c r="V189">
        <f>IF(COUNTIF($E189, _xlfn.CONCAT("*",Table13[[#Headers],[Romance]],"*")),1,0)</f>
        <v>0</v>
      </c>
      <c r="W189">
        <f>IF(COUNTIF($E189, _xlfn.CONCAT("*",Table13[[#Headers],[Science Fiction]],"*")),1,0)</f>
        <v>0</v>
      </c>
      <c r="X189">
        <f>IF(COUNTIF($E189, _xlfn.CONCAT("*",Table13[[#Headers],[TV Movie]],"*")),1,0)</f>
        <v>0</v>
      </c>
      <c r="Y189">
        <f>IF(COUNTIF($E189, _xlfn.CONCAT("*",Table13[[#Headers],[Thriller]],"*")),1,0)</f>
        <v>0</v>
      </c>
      <c r="Z189">
        <f>IF(COUNTIF($E189, _xlfn.CONCAT("*",Table13[[#Headers],[War]],"*")),1,0)</f>
        <v>0</v>
      </c>
      <c r="AA189">
        <f>IF(COUNTIF($E189, _xlfn.CONCAT("*",Table13[[#Headers],[Western]],"*")),1,0)</f>
        <v>0</v>
      </c>
    </row>
    <row r="190" spans="1:27">
      <c r="A190" t="s">
        <v>300</v>
      </c>
      <c r="B190">
        <v>76</v>
      </c>
      <c r="C190">
        <f>MAX(Table13[Rank])-Table13[[#This Row],[Rank]]</f>
        <v>188</v>
      </c>
      <c r="D190" t="s">
        <v>7</v>
      </c>
      <c r="E190" t="s">
        <v>21</v>
      </c>
      <c r="F190" s="1">
        <v>19814</v>
      </c>
      <c r="G190">
        <f>YEAR(Table13[[#This Row],[Date]])</f>
        <v>1954</v>
      </c>
      <c r="H190" t="s">
        <v>300</v>
      </c>
      <c r="I190">
        <f>IF(COUNTIF($E190, _xlfn.CONCAT("*",Table13[[#Headers],[Action]],"*")),1,0)</f>
        <v>0</v>
      </c>
      <c r="J190">
        <f>IF(COUNTIF($E190, _xlfn.CONCAT("*",Table13[[#Headers],[Adventure]],"*")),1,0)</f>
        <v>0</v>
      </c>
      <c r="K190">
        <f>IF(COUNTIF($E190, _xlfn.CONCAT("*",Table13[[#Headers],[Animation]],"*")),1,0)</f>
        <v>0</v>
      </c>
      <c r="L190">
        <f>IF(COUNTIF($E190, _xlfn.CONCAT("*",Table13[[#Headers],[Comedy]],"*")),1,0)</f>
        <v>0</v>
      </c>
      <c r="M190">
        <f>IF(COUNTIF($E190, _xlfn.CONCAT("*",Table13[[#Headers],[Crime]],"*")),1,0)</f>
        <v>0</v>
      </c>
      <c r="N190">
        <f>IF(COUNTIF($E190, _xlfn.CONCAT("*",Table13[[#Headers],[Documentary]],"*")),1,0)</f>
        <v>0</v>
      </c>
      <c r="O190">
        <f>IF(COUNTIF($E190, _xlfn.CONCAT("*",Table13[[#Headers],[Drama]],"*")),1,0)</f>
        <v>1</v>
      </c>
      <c r="P190">
        <f>IF(COUNTIF($E190, _xlfn.CONCAT("*",Table13[[#Headers],[Family]],"*")),1,0)</f>
        <v>0</v>
      </c>
      <c r="Q190">
        <f>IF(COUNTIF($E190, _xlfn.CONCAT("*",Table13[[#Headers],[Fantasy]],"*")),1,0)</f>
        <v>0</v>
      </c>
      <c r="R190">
        <f>IF(COUNTIF($E190, _xlfn.CONCAT("*",Table13[[#Headers],[History]],"*")),1,0)</f>
        <v>0</v>
      </c>
      <c r="S190">
        <f>IF(COUNTIF($E190, _xlfn.CONCAT("*",Table13[[#Headers],[Horror]],"*")),1,0)</f>
        <v>0</v>
      </c>
      <c r="T190">
        <f>IF(COUNTIF($E190, _xlfn.CONCAT("*",Table13[[#Headers],[Music]],"*")),1,0)</f>
        <v>0</v>
      </c>
      <c r="U190">
        <f>IF(COUNTIF($E190, _xlfn.CONCAT("*",Table13[[#Headers],[Mystery]],"*")),1,0)</f>
        <v>0</v>
      </c>
      <c r="V190">
        <f>IF(COUNTIF($E190, _xlfn.CONCAT("*",Table13[[#Headers],[Romance]],"*")),1,0)</f>
        <v>0</v>
      </c>
      <c r="W190">
        <f>IF(COUNTIF($E190, _xlfn.CONCAT("*",Table13[[#Headers],[Science Fiction]],"*")),1,0)</f>
        <v>0</v>
      </c>
      <c r="X190">
        <f>IF(COUNTIF($E190, _xlfn.CONCAT("*",Table13[[#Headers],[TV Movie]],"*")),1,0)</f>
        <v>0</v>
      </c>
      <c r="Y190">
        <f>IF(COUNTIF($E190, _xlfn.CONCAT("*",Table13[[#Headers],[Thriller]],"*")),1,0)</f>
        <v>0</v>
      </c>
      <c r="Z190">
        <f>IF(COUNTIF($E190, _xlfn.CONCAT("*",Table13[[#Headers],[War]],"*")),1,0)</f>
        <v>0</v>
      </c>
      <c r="AA190">
        <f>IF(COUNTIF($E190, _xlfn.CONCAT("*",Table13[[#Headers],[Western]],"*")),1,0)</f>
        <v>0</v>
      </c>
    </row>
    <row r="191" spans="1:27">
      <c r="A191" t="s">
        <v>301</v>
      </c>
      <c r="B191">
        <v>75</v>
      </c>
      <c r="C191">
        <f>MAX(Table13[Rank])-Table13[[#This Row],[Rank]]</f>
        <v>189</v>
      </c>
      <c r="D191" t="s">
        <v>7</v>
      </c>
      <c r="E191" t="s">
        <v>35</v>
      </c>
      <c r="F191" s="1">
        <v>21825</v>
      </c>
      <c r="G191">
        <f>YEAR(Table13[[#This Row],[Date]])</f>
        <v>1959</v>
      </c>
      <c r="H191" t="s">
        <v>301</v>
      </c>
      <c r="I191">
        <f>IF(COUNTIF($E191, _xlfn.CONCAT("*",Table13[[#Headers],[Action]],"*")),1,0)</f>
        <v>0</v>
      </c>
      <c r="J191">
        <f>IF(COUNTIF($E191, _xlfn.CONCAT("*",Table13[[#Headers],[Adventure]],"*")),1,0)</f>
        <v>0</v>
      </c>
      <c r="K191">
        <f>IF(COUNTIF($E191, _xlfn.CONCAT("*",Table13[[#Headers],[Animation]],"*")),1,0)</f>
        <v>0</v>
      </c>
      <c r="L191">
        <f>IF(COUNTIF($E191, _xlfn.CONCAT("*",Table13[[#Headers],[Comedy]],"*")),1,0)</f>
        <v>0</v>
      </c>
      <c r="M191">
        <f>IF(COUNTIF($E191, _xlfn.CONCAT("*",Table13[[#Headers],[Crime]],"*")),1,0)</f>
        <v>0</v>
      </c>
      <c r="N191">
        <f>IF(COUNTIF($E191, _xlfn.CONCAT("*",Table13[[#Headers],[Documentary]],"*")),1,0)</f>
        <v>0</v>
      </c>
      <c r="O191">
        <f>IF(COUNTIF($E191, _xlfn.CONCAT("*",Table13[[#Headers],[Drama]],"*")),1,0)</f>
        <v>1</v>
      </c>
      <c r="P191">
        <f>IF(COUNTIF($E191, _xlfn.CONCAT("*",Table13[[#Headers],[Family]],"*")),1,0)</f>
        <v>0</v>
      </c>
      <c r="Q191">
        <f>IF(COUNTIF($E191, _xlfn.CONCAT("*",Table13[[#Headers],[Fantasy]],"*")),1,0)</f>
        <v>0</v>
      </c>
      <c r="R191">
        <f>IF(COUNTIF($E191, _xlfn.CONCAT("*",Table13[[#Headers],[History]],"*")),1,0)</f>
        <v>0</v>
      </c>
      <c r="S191">
        <f>IF(COUNTIF($E191, _xlfn.CONCAT("*",Table13[[#Headers],[Horror]],"*")),1,0)</f>
        <v>0</v>
      </c>
      <c r="T191">
        <f>IF(COUNTIF($E191, _xlfn.CONCAT("*",Table13[[#Headers],[Music]],"*")),1,0)</f>
        <v>0</v>
      </c>
      <c r="U191">
        <f>IF(COUNTIF($E191, _xlfn.CONCAT("*",Table13[[#Headers],[Mystery]],"*")),1,0)</f>
        <v>0</v>
      </c>
      <c r="V191">
        <f>IF(COUNTIF($E191, _xlfn.CONCAT("*",Table13[[#Headers],[Romance]],"*")),1,0)</f>
        <v>1</v>
      </c>
      <c r="W191">
        <f>IF(COUNTIF($E191, _xlfn.CONCAT("*",Table13[[#Headers],[Science Fiction]],"*")),1,0)</f>
        <v>0</v>
      </c>
      <c r="X191">
        <f>IF(COUNTIF($E191, _xlfn.CONCAT("*",Table13[[#Headers],[TV Movie]],"*")),1,0)</f>
        <v>0</v>
      </c>
      <c r="Y191">
        <f>IF(COUNTIF($E191, _xlfn.CONCAT("*",Table13[[#Headers],[Thriller]],"*")),1,0)</f>
        <v>0</v>
      </c>
      <c r="Z191">
        <f>IF(COUNTIF($E191, _xlfn.CONCAT("*",Table13[[#Headers],[War]],"*")),1,0)</f>
        <v>0</v>
      </c>
      <c r="AA191">
        <f>IF(COUNTIF($E191, _xlfn.CONCAT("*",Table13[[#Headers],[Western]],"*")),1,0)</f>
        <v>0</v>
      </c>
    </row>
    <row r="192" spans="1:27">
      <c r="A192" t="s">
        <v>302</v>
      </c>
      <c r="B192">
        <v>74</v>
      </c>
      <c r="C192">
        <f>MAX(Table13[Rank])-Table13[[#This Row],[Rank]]</f>
        <v>190</v>
      </c>
      <c r="D192" t="s">
        <v>7</v>
      </c>
      <c r="E192" t="s">
        <v>303</v>
      </c>
      <c r="F192" s="1">
        <v>22173</v>
      </c>
      <c r="G192">
        <f>YEAR(Table13[[#This Row],[Date]])</f>
        <v>1960</v>
      </c>
      <c r="H192" t="s">
        <v>471</v>
      </c>
      <c r="I192">
        <f>IF(COUNTIF($E192, _xlfn.CONCAT("*",Table13[[#Headers],[Action]],"*")),1,0)</f>
        <v>0</v>
      </c>
      <c r="J192">
        <f>IF(COUNTIF($E192, _xlfn.CONCAT("*",Table13[[#Headers],[Adventure]],"*")),1,0)</f>
        <v>0</v>
      </c>
      <c r="K192">
        <f>IF(COUNTIF($E192, _xlfn.CONCAT("*",Table13[[#Headers],[Animation]],"*")),1,0)</f>
        <v>0</v>
      </c>
      <c r="L192">
        <f>IF(COUNTIF($E192, _xlfn.CONCAT("*",Table13[[#Headers],[Comedy]],"*")),1,0)</f>
        <v>0</v>
      </c>
      <c r="M192">
        <f>IF(COUNTIF($E192, _xlfn.CONCAT("*",Table13[[#Headers],[Crime]],"*")),1,0)</f>
        <v>0</v>
      </c>
      <c r="N192">
        <f>IF(COUNTIF($E192, _xlfn.CONCAT("*",Table13[[#Headers],[Documentary]],"*")),1,0)</f>
        <v>0</v>
      </c>
      <c r="O192">
        <f>IF(COUNTIF($E192, _xlfn.CONCAT("*",Table13[[#Headers],[Drama]],"*")),1,0)</f>
        <v>1</v>
      </c>
      <c r="P192">
        <f>IF(COUNTIF($E192, _xlfn.CONCAT("*",Table13[[#Headers],[Family]],"*")),1,0)</f>
        <v>0</v>
      </c>
      <c r="Q192">
        <f>IF(COUNTIF($E192, _xlfn.CONCAT("*",Table13[[#Headers],[Fantasy]],"*")),1,0)</f>
        <v>0</v>
      </c>
      <c r="R192">
        <f>IF(COUNTIF($E192, _xlfn.CONCAT("*",Table13[[#Headers],[History]],"*")),1,0)</f>
        <v>0</v>
      </c>
      <c r="S192">
        <f>IF(COUNTIF($E192, _xlfn.CONCAT("*",Table13[[#Headers],[Horror]],"*")),1,0)</f>
        <v>0</v>
      </c>
      <c r="T192">
        <f>IF(COUNTIF($E192, _xlfn.CONCAT("*",Table13[[#Headers],[Music]],"*")),1,0)</f>
        <v>0</v>
      </c>
      <c r="U192">
        <f>IF(COUNTIF($E192, _xlfn.CONCAT("*",Table13[[#Headers],[Mystery]],"*")),1,0)</f>
        <v>1</v>
      </c>
      <c r="V192">
        <f>IF(COUNTIF($E192, _xlfn.CONCAT("*",Table13[[#Headers],[Romance]],"*")),1,0)</f>
        <v>0</v>
      </c>
      <c r="W192">
        <f>IF(COUNTIF($E192, _xlfn.CONCAT("*",Table13[[#Headers],[Science Fiction]],"*")),1,0)</f>
        <v>0</v>
      </c>
      <c r="X192">
        <f>IF(COUNTIF($E192, _xlfn.CONCAT("*",Table13[[#Headers],[TV Movie]],"*")),1,0)</f>
        <v>0</v>
      </c>
      <c r="Y192">
        <f>IF(COUNTIF($E192, _xlfn.CONCAT("*",Table13[[#Headers],[Thriller]],"*")),1,0)</f>
        <v>0</v>
      </c>
      <c r="Z192">
        <f>IF(COUNTIF($E192, _xlfn.CONCAT("*",Table13[[#Headers],[War]],"*")),1,0)</f>
        <v>0</v>
      </c>
      <c r="AA192">
        <f>IF(COUNTIF($E192, _xlfn.CONCAT("*",Table13[[#Headers],[Western]],"*")),1,0)</f>
        <v>0</v>
      </c>
    </row>
    <row r="193" spans="1:27">
      <c r="A193" t="s">
        <v>304</v>
      </c>
      <c r="B193">
        <v>73</v>
      </c>
      <c r="C193">
        <f>MAX(Table13[Rank])-Table13[[#This Row],[Rank]]</f>
        <v>191</v>
      </c>
      <c r="D193" t="s">
        <v>7</v>
      </c>
      <c r="E193" t="s">
        <v>35</v>
      </c>
      <c r="F193" s="1">
        <v>19974</v>
      </c>
      <c r="G193">
        <f>YEAR(Table13[[#This Row],[Date]])</f>
        <v>1954</v>
      </c>
      <c r="H193" t="s">
        <v>304</v>
      </c>
      <c r="I193">
        <f>IF(COUNTIF($E193, _xlfn.CONCAT("*",Table13[[#Headers],[Action]],"*")),1,0)</f>
        <v>0</v>
      </c>
      <c r="J193">
        <f>IF(COUNTIF($E193, _xlfn.CONCAT("*",Table13[[#Headers],[Adventure]],"*")),1,0)</f>
        <v>0</v>
      </c>
      <c r="K193">
        <f>IF(COUNTIF($E193, _xlfn.CONCAT("*",Table13[[#Headers],[Animation]],"*")),1,0)</f>
        <v>0</v>
      </c>
      <c r="L193">
        <f>IF(COUNTIF($E193, _xlfn.CONCAT("*",Table13[[#Headers],[Comedy]],"*")),1,0)</f>
        <v>0</v>
      </c>
      <c r="M193">
        <f>IF(COUNTIF($E193, _xlfn.CONCAT("*",Table13[[#Headers],[Crime]],"*")),1,0)</f>
        <v>0</v>
      </c>
      <c r="N193">
        <f>IF(COUNTIF($E193, _xlfn.CONCAT("*",Table13[[#Headers],[Documentary]],"*")),1,0)</f>
        <v>0</v>
      </c>
      <c r="O193">
        <f>IF(COUNTIF($E193, _xlfn.CONCAT("*",Table13[[#Headers],[Drama]],"*")),1,0)</f>
        <v>1</v>
      </c>
      <c r="P193">
        <f>IF(COUNTIF($E193, _xlfn.CONCAT("*",Table13[[#Headers],[Family]],"*")),1,0)</f>
        <v>0</v>
      </c>
      <c r="Q193">
        <f>IF(COUNTIF($E193, _xlfn.CONCAT("*",Table13[[#Headers],[Fantasy]],"*")),1,0)</f>
        <v>0</v>
      </c>
      <c r="R193">
        <f>IF(COUNTIF($E193, _xlfn.CONCAT("*",Table13[[#Headers],[History]],"*")),1,0)</f>
        <v>0</v>
      </c>
      <c r="S193">
        <f>IF(COUNTIF($E193, _xlfn.CONCAT("*",Table13[[#Headers],[Horror]],"*")),1,0)</f>
        <v>0</v>
      </c>
      <c r="T193">
        <f>IF(COUNTIF($E193, _xlfn.CONCAT("*",Table13[[#Headers],[Music]],"*")),1,0)</f>
        <v>0</v>
      </c>
      <c r="U193">
        <f>IF(COUNTIF($E193, _xlfn.CONCAT("*",Table13[[#Headers],[Mystery]],"*")),1,0)</f>
        <v>0</v>
      </c>
      <c r="V193">
        <f>IF(COUNTIF($E193, _xlfn.CONCAT("*",Table13[[#Headers],[Romance]],"*")),1,0)</f>
        <v>1</v>
      </c>
      <c r="W193">
        <f>IF(COUNTIF($E193, _xlfn.CONCAT("*",Table13[[#Headers],[Science Fiction]],"*")),1,0)</f>
        <v>0</v>
      </c>
      <c r="X193">
        <f>IF(COUNTIF($E193, _xlfn.CONCAT("*",Table13[[#Headers],[TV Movie]],"*")),1,0)</f>
        <v>0</v>
      </c>
      <c r="Y193">
        <f>IF(COUNTIF($E193, _xlfn.CONCAT("*",Table13[[#Headers],[Thriller]],"*")),1,0)</f>
        <v>0</v>
      </c>
      <c r="Z193">
        <f>IF(COUNTIF($E193, _xlfn.CONCAT("*",Table13[[#Headers],[War]],"*")),1,0)</f>
        <v>0</v>
      </c>
      <c r="AA193">
        <f>IF(COUNTIF($E193, _xlfn.CONCAT("*",Table13[[#Headers],[Western]],"*")),1,0)</f>
        <v>0</v>
      </c>
    </row>
    <row r="194" spans="1:27">
      <c r="A194" t="s">
        <v>305</v>
      </c>
      <c r="B194">
        <v>72</v>
      </c>
      <c r="C194">
        <f>MAX(Table13[Rank])-Table13[[#This Row],[Rank]]</f>
        <v>192</v>
      </c>
      <c r="D194" t="s">
        <v>7</v>
      </c>
      <c r="E194" t="s">
        <v>306</v>
      </c>
      <c r="F194" s="1">
        <v>32249</v>
      </c>
      <c r="G194">
        <f>YEAR(Table13[[#This Row],[Date]])</f>
        <v>1988</v>
      </c>
      <c r="H194" t="s">
        <v>448</v>
      </c>
      <c r="I194">
        <f>IF(COUNTIF($E194, _xlfn.CONCAT("*",Table13[[#Headers],[Action]],"*")),1,0)</f>
        <v>0</v>
      </c>
      <c r="J194">
        <f>IF(COUNTIF($E194, _xlfn.CONCAT("*",Table13[[#Headers],[Adventure]],"*")),1,0)</f>
        <v>0</v>
      </c>
      <c r="K194">
        <f>IF(COUNTIF($E194, _xlfn.CONCAT("*",Table13[[#Headers],[Animation]],"*")),1,0)</f>
        <v>1</v>
      </c>
      <c r="L194">
        <f>IF(COUNTIF($E194, _xlfn.CONCAT("*",Table13[[#Headers],[Comedy]],"*")),1,0)</f>
        <v>0</v>
      </c>
      <c r="M194">
        <f>IF(COUNTIF($E194, _xlfn.CONCAT("*",Table13[[#Headers],[Crime]],"*")),1,0)</f>
        <v>0</v>
      </c>
      <c r="N194">
        <f>IF(COUNTIF($E194, _xlfn.CONCAT("*",Table13[[#Headers],[Documentary]],"*")),1,0)</f>
        <v>0</v>
      </c>
      <c r="O194">
        <f>IF(COUNTIF($E194, _xlfn.CONCAT("*",Table13[[#Headers],[Drama]],"*")),1,0)</f>
        <v>0</v>
      </c>
      <c r="P194">
        <f>IF(COUNTIF($E194, _xlfn.CONCAT("*",Table13[[#Headers],[Family]],"*")),1,0)</f>
        <v>1</v>
      </c>
      <c r="Q194">
        <f>IF(COUNTIF($E194, _xlfn.CONCAT("*",Table13[[#Headers],[Fantasy]],"*")),1,0)</f>
        <v>1</v>
      </c>
      <c r="R194">
        <f>IF(COUNTIF($E194, _xlfn.CONCAT("*",Table13[[#Headers],[History]],"*")),1,0)</f>
        <v>0</v>
      </c>
      <c r="S194">
        <f>IF(COUNTIF($E194, _xlfn.CONCAT("*",Table13[[#Headers],[Horror]],"*")),1,0)</f>
        <v>0</v>
      </c>
      <c r="T194">
        <f>IF(COUNTIF($E194, _xlfn.CONCAT("*",Table13[[#Headers],[Music]],"*")),1,0)</f>
        <v>0</v>
      </c>
      <c r="U194">
        <f>IF(COUNTIF($E194, _xlfn.CONCAT("*",Table13[[#Headers],[Mystery]],"*")),1,0)</f>
        <v>0</v>
      </c>
      <c r="V194">
        <f>IF(COUNTIF($E194, _xlfn.CONCAT("*",Table13[[#Headers],[Romance]],"*")),1,0)</f>
        <v>0</v>
      </c>
      <c r="W194">
        <f>IF(COUNTIF($E194, _xlfn.CONCAT("*",Table13[[#Headers],[Science Fiction]],"*")),1,0)</f>
        <v>0</v>
      </c>
      <c r="X194">
        <f>IF(COUNTIF($E194, _xlfn.CONCAT("*",Table13[[#Headers],[TV Movie]],"*")),1,0)</f>
        <v>0</v>
      </c>
      <c r="Y194">
        <f>IF(COUNTIF($E194, _xlfn.CONCAT("*",Table13[[#Headers],[Thriller]],"*")),1,0)</f>
        <v>0</v>
      </c>
      <c r="Z194">
        <f>IF(COUNTIF($E194, _xlfn.CONCAT("*",Table13[[#Headers],[War]],"*")),1,0)</f>
        <v>0</v>
      </c>
      <c r="AA194">
        <f>IF(COUNTIF($E194, _xlfn.CONCAT("*",Table13[[#Headers],[Western]],"*")),1,0)</f>
        <v>0</v>
      </c>
    </row>
    <row r="195" spans="1:27">
      <c r="A195" t="s">
        <v>307</v>
      </c>
      <c r="B195">
        <v>71</v>
      </c>
      <c r="C195">
        <f>MAX(Table13[Rank])-Table13[[#This Row],[Rank]]</f>
        <v>193</v>
      </c>
      <c r="D195" t="s">
        <v>7</v>
      </c>
      <c r="E195" t="s">
        <v>35</v>
      </c>
      <c r="F195" s="1">
        <v>17782</v>
      </c>
      <c r="G195">
        <f>YEAR(Table13[[#This Row],[Date]])</f>
        <v>1948</v>
      </c>
      <c r="H195" t="s">
        <v>307</v>
      </c>
      <c r="I195">
        <f>IF(COUNTIF($E195, _xlfn.CONCAT("*",Table13[[#Headers],[Action]],"*")),1,0)</f>
        <v>0</v>
      </c>
      <c r="J195">
        <f>IF(COUNTIF($E195, _xlfn.CONCAT("*",Table13[[#Headers],[Adventure]],"*")),1,0)</f>
        <v>0</v>
      </c>
      <c r="K195">
        <f>IF(COUNTIF($E195, _xlfn.CONCAT("*",Table13[[#Headers],[Animation]],"*")),1,0)</f>
        <v>0</v>
      </c>
      <c r="L195">
        <f>IF(COUNTIF($E195, _xlfn.CONCAT("*",Table13[[#Headers],[Comedy]],"*")),1,0)</f>
        <v>0</v>
      </c>
      <c r="M195">
        <f>IF(COUNTIF($E195, _xlfn.CONCAT("*",Table13[[#Headers],[Crime]],"*")),1,0)</f>
        <v>0</v>
      </c>
      <c r="N195">
        <f>IF(COUNTIF($E195, _xlfn.CONCAT("*",Table13[[#Headers],[Documentary]],"*")),1,0)</f>
        <v>0</v>
      </c>
      <c r="O195">
        <f>IF(COUNTIF($E195, _xlfn.CONCAT("*",Table13[[#Headers],[Drama]],"*")),1,0)</f>
        <v>1</v>
      </c>
      <c r="P195">
        <f>IF(COUNTIF($E195, _xlfn.CONCAT("*",Table13[[#Headers],[Family]],"*")),1,0)</f>
        <v>0</v>
      </c>
      <c r="Q195">
        <f>IF(COUNTIF($E195, _xlfn.CONCAT("*",Table13[[#Headers],[Fantasy]],"*")),1,0)</f>
        <v>0</v>
      </c>
      <c r="R195">
        <f>IF(COUNTIF($E195, _xlfn.CONCAT("*",Table13[[#Headers],[History]],"*")),1,0)</f>
        <v>0</v>
      </c>
      <c r="S195">
        <f>IF(COUNTIF($E195, _xlfn.CONCAT("*",Table13[[#Headers],[Horror]],"*")),1,0)</f>
        <v>0</v>
      </c>
      <c r="T195">
        <f>IF(COUNTIF($E195, _xlfn.CONCAT("*",Table13[[#Headers],[Music]],"*")),1,0)</f>
        <v>0</v>
      </c>
      <c r="U195">
        <f>IF(COUNTIF($E195, _xlfn.CONCAT("*",Table13[[#Headers],[Mystery]],"*")),1,0)</f>
        <v>0</v>
      </c>
      <c r="V195">
        <f>IF(COUNTIF($E195, _xlfn.CONCAT("*",Table13[[#Headers],[Romance]],"*")),1,0)</f>
        <v>1</v>
      </c>
      <c r="W195">
        <f>IF(COUNTIF($E195, _xlfn.CONCAT("*",Table13[[#Headers],[Science Fiction]],"*")),1,0)</f>
        <v>0</v>
      </c>
      <c r="X195">
        <f>IF(COUNTIF($E195, _xlfn.CONCAT("*",Table13[[#Headers],[TV Movie]],"*")),1,0)</f>
        <v>0</v>
      </c>
      <c r="Y195">
        <f>IF(COUNTIF($E195, _xlfn.CONCAT("*",Table13[[#Headers],[Thriller]],"*")),1,0)</f>
        <v>0</v>
      </c>
      <c r="Z195">
        <f>IF(COUNTIF($E195, _xlfn.CONCAT("*",Table13[[#Headers],[War]],"*")),1,0)</f>
        <v>0</v>
      </c>
      <c r="AA195">
        <f>IF(COUNTIF($E195, _xlfn.CONCAT("*",Table13[[#Headers],[Western]],"*")),1,0)</f>
        <v>0</v>
      </c>
    </row>
    <row r="196" spans="1:27">
      <c r="A196" t="s">
        <v>308</v>
      </c>
      <c r="B196">
        <v>70</v>
      </c>
      <c r="C196">
        <f>MAX(Table13[Rank])-Table13[[#This Row],[Rank]]</f>
        <v>194</v>
      </c>
      <c r="D196" t="s">
        <v>7</v>
      </c>
      <c r="E196" t="s">
        <v>8</v>
      </c>
      <c r="F196" s="1">
        <v>9899</v>
      </c>
      <c r="G196">
        <f>YEAR(Table13[[#This Row],[Date]])</f>
        <v>1927</v>
      </c>
      <c r="H196" t="s">
        <v>308</v>
      </c>
      <c r="I196">
        <f>IF(COUNTIF($E196, _xlfn.CONCAT("*",Table13[[#Headers],[Action]],"*")),1,0)</f>
        <v>0</v>
      </c>
      <c r="J196">
        <f>IF(COUNTIF($E196, _xlfn.CONCAT("*",Table13[[#Headers],[Adventure]],"*")),1,0)</f>
        <v>0</v>
      </c>
      <c r="K196">
        <f>IF(COUNTIF($E196, _xlfn.CONCAT("*",Table13[[#Headers],[Animation]],"*")),1,0)</f>
        <v>0</v>
      </c>
      <c r="L196">
        <f>IF(COUNTIF($E196, _xlfn.CONCAT("*",Table13[[#Headers],[Comedy]],"*")),1,0)</f>
        <v>0</v>
      </c>
      <c r="M196">
        <f>IF(COUNTIF($E196, _xlfn.CONCAT("*",Table13[[#Headers],[Crime]],"*")),1,0)</f>
        <v>0</v>
      </c>
      <c r="N196">
        <f>IF(COUNTIF($E196, _xlfn.CONCAT("*",Table13[[#Headers],[Documentary]],"*")),1,0)</f>
        <v>0</v>
      </c>
      <c r="O196">
        <f>IF(COUNTIF($E196, _xlfn.CONCAT("*",Table13[[#Headers],[Drama]],"*")),1,0)</f>
        <v>1</v>
      </c>
      <c r="P196">
        <f>IF(COUNTIF($E196, _xlfn.CONCAT("*",Table13[[#Headers],[Family]],"*")),1,0)</f>
        <v>0</v>
      </c>
      <c r="Q196">
        <f>IF(COUNTIF($E196, _xlfn.CONCAT("*",Table13[[#Headers],[Fantasy]],"*")),1,0)</f>
        <v>0</v>
      </c>
      <c r="R196">
        <f>IF(COUNTIF($E196, _xlfn.CONCAT("*",Table13[[#Headers],[History]],"*")),1,0)</f>
        <v>0</v>
      </c>
      <c r="S196">
        <f>IF(COUNTIF($E196, _xlfn.CONCAT("*",Table13[[#Headers],[Horror]],"*")),1,0)</f>
        <v>0</v>
      </c>
      <c r="T196">
        <f>IF(COUNTIF($E196, _xlfn.CONCAT("*",Table13[[#Headers],[Music]],"*")),1,0)</f>
        <v>0</v>
      </c>
      <c r="U196">
        <f>IF(COUNTIF($E196, _xlfn.CONCAT("*",Table13[[#Headers],[Mystery]],"*")),1,0)</f>
        <v>0</v>
      </c>
      <c r="V196">
        <f>IF(COUNTIF($E196, _xlfn.CONCAT("*",Table13[[#Headers],[Romance]],"*")),1,0)</f>
        <v>0</v>
      </c>
      <c r="W196">
        <f>IF(COUNTIF($E196, _xlfn.CONCAT("*",Table13[[#Headers],[Science Fiction]],"*")),1,0)</f>
        <v>1</v>
      </c>
      <c r="X196">
        <f>IF(COUNTIF($E196, _xlfn.CONCAT("*",Table13[[#Headers],[TV Movie]],"*")),1,0)</f>
        <v>0</v>
      </c>
      <c r="Y196">
        <f>IF(COUNTIF($E196, _xlfn.CONCAT("*",Table13[[#Headers],[Thriller]],"*")),1,0)</f>
        <v>0</v>
      </c>
      <c r="Z196">
        <f>IF(COUNTIF($E196, _xlfn.CONCAT("*",Table13[[#Headers],[War]],"*")),1,0)</f>
        <v>0</v>
      </c>
      <c r="AA196">
        <f>IF(COUNTIF($E196, _xlfn.CONCAT("*",Table13[[#Headers],[Western]],"*")),1,0)</f>
        <v>0</v>
      </c>
    </row>
    <row r="197" spans="1:27">
      <c r="A197" t="s">
        <v>309</v>
      </c>
      <c r="B197">
        <v>69</v>
      </c>
      <c r="C197">
        <f>MAX(Table13[Rank])-Table13[[#This Row],[Rank]]</f>
        <v>195</v>
      </c>
      <c r="D197" t="s">
        <v>7</v>
      </c>
      <c r="E197" t="s">
        <v>109</v>
      </c>
      <c r="F197" s="1">
        <v>24457</v>
      </c>
      <c r="G197">
        <f>YEAR(Table13[[#This Row],[Date]])</f>
        <v>1966</v>
      </c>
      <c r="H197" t="s">
        <v>309</v>
      </c>
      <c r="I197">
        <f>IF(COUNTIF($E197, _xlfn.CONCAT("*",Table13[[#Headers],[Action]],"*")),1,0)</f>
        <v>0</v>
      </c>
      <c r="J197">
        <f>IF(COUNTIF($E197, _xlfn.CONCAT("*",Table13[[#Headers],[Adventure]],"*")),1,0)</f>
        <v>0</v>
      </c>
      <c r="K197">
        <f>IF(COUNTIF($E197, _xlfn.CONCAT("*",Table13[[#Headers],[Animation]],"*")),1,0)</f>
        <v>0</v>
      </c>
      <c r="L197">
        <f>IF(COUNTIF($E197, _xlfn.CONCAT("*",Table13[[#Headers],[Comedy]],"*")),1,0)</f>
        <v>0</v>
      </c>
      <c r="M197">
        <f>IF(COUNTIF($E197, _xlfn.CONCAT("*",Table13[[#Headers],[Crime]],"*")),1,0)</f>
        <v>0</v>
      </c>
      <c r="N197">
        <f>IF(COUNTIF($E197, _xlfn.CONCAT("*",Table13[[#Headers],[Documentary]],"*")),1,0)</f>
        <v>0</v>
      </c>
      <c r="O197">
        <f>IF(COUNTIF($E197, _xlfn.CONCAT("*",Table13[[#Headers],[Drama]],"*")),1,0)</f>
        <v>1</v>
      </c>
      <c r="P197">
        <f>IF(COUNTIF($E197, _xlfn.CONCAT("*",Table13[[#Headers],[Family]],"*")),1,0)</f>
        <v>0</v>
      </c>
      <c r="Q197">
        <f>IF(COUNTIF($E197, _xlfn.CONCAT("*",Table13[[#Headers],[Fantasy]],"*")),1,0)</f>
        <v>0</v>
      </c>
      <c r="R197">
        <f>IF(COUNTIF($E197, _xlfn.CONCAT("*",Table13[[#Headers],[History]],"*")),1,0)</f>
        <v>1</v>
      </c>
      <c r="S197">
        <f>IF(COUNTIF($E197, _xlfn.CONCAT("*",Table13[[#Headers],[Horror]],"*")),1,0)</f>
        <v>0</v>
      </c>
      <c r="T197">
        <f>IF(COUNTIF($E197, _xlfn.CONCAT("*",Table13[[#Headers],[Music]],"*")),1,0)</f>
        <v>0</v>
      </c>
      <c r="U197">
        <f>IF(COUNTIF($E197, _xlfn.CONCAT("*",Table13[[#Headers],[Mystery]],"*")),1,0)</f>
        <v>0</v>
      </c>
      <c r="V197">
        <f>IF(COUNTIF($E197, _xlfn.CONCAT("*",Table13[[#Headers],[Romance]],"*")),1,0)</f>
        <v>0</v>
      </c>
      <c r="W197">
        <f>IF(COUNTIF($E197, _xlfn.CONCAT("*",Table13[[#Headers],[Science Fiction]],"*")),1,0)</f>
        <v>0</v>
      </c>
      <c r="X197">
        <f>IF(COUNTIF($E197, _xlfn.CONCAT("*",Table13[[#Headers],[TV Movie]],"*")),1,0)</f>
        <v>0</v>
      </c>
      <c r="Y197">
        <f>IF(COUNTIF($E197, _xlfn.CONCAT("*",Table13[[#Headers],[Thriller]],"*")),1,0)</f>
        <v>0</v>
      </c>
      <c r="Z197">
        <f>IF(COUNTIF($E197, _xlfn.CONCAT("*",Table13[[#Headers],[War]],"*")),1,0)</f>
        <v>0</v>
      </c>
      <c r="AA197">
        <f>IF(COUNTIF($E197, _xlfn.CONCAT("*",Table13[[#Headers],[Western]],"*")),1,0)</f>
        <v>0</v>
      </c>
    </row>
    <row r="198" spans="1:27">
      <c r="A198" t="s">
        <v>310</v>
      </c>
      <c r="B198">
        <v>68</v>
      </c>
      <c r="C198">
        <f>MAX(Table13[Rank])-Table13[[#This Row],[Rank]]</f>
        <v>196</v>
      </c>
      <c r="D198" t="s">
        <v>7</v>
      </c>
      <c r="E198" t="s">
        <v>311</v>
      </c>
      <c r="F198" s="1">
        <v>22693</v>
      </c>
      <c r="G198">
        <f>YEAR(Table13[[#This Row],[Date]])</f>
        <v>1962</v>
      </c>
      <c r="H198" t="s">
        <v>310</v>
      </c>
      <c r="I198">
        <f>IF(COUNTIF($E198, _xlfn.CONCAT("*",Table13[[#Headers],[Action]],"*")),1,0)</f>
        <v>0</v>
      </c>
      <c r="J198">
        <f>IF(COUNTIF($E198, _xlfn.CONCAT("*",Table13[[#Headers],[Adventure]],"*")),1,0)</f>
        <v>0</v>
      </c>
      <c r="K198">
        <f>IF(COUNTIF($E198, _xlfn.CONCAT("*",Table13[[#Headers],[Animation]],"*")),1,0)</f>
        <v>0</v>
      </c>
      <c r="L198">
        <f>IF(COUNTIF($E198, _xlfn.CONCAT("*",Table13[[#Headers],[Comedy]],"*")),1,0)</f>
        <v>0</v>
      </c>
      <c r="M198">
        <f>IF(COUNTIF($E198, _xlfn.CONCAT("*",Table13[[#Headers],[Crime]],"*")),1,0)</f>
        <v>0</v>
      </c>
      <c r="N198">
        <f>IF(COUNTIF($E198, _xlfn.CONCAT("*",Table13[[#Headers],[Documentary]],"*")),1,0)</f>
        <v>0</v>
      </c>
      <c r="O198">
        <f>IF(COUNTIF($E198, _xlfn.CONCAT("*",Table13[[#Headers],[Drama]],"*")),1,0)</f>
        <v>0</v>
      </c>
      <c r="P198">
        <f>IF(COUNTIF($E198, _xlfn.CONCAT("*",Table13[[#Headers],[Family]],"*")),1,0)</f>
        <v>0</v>
      </c>
      <c r="Q198">
        <f>IF(COUNTIF($E198, _xlfn.CONCAT("*",Table13[[#Headers],[Fantasy]],"*")),1,0)</f>
        <v>0</v>
      </c>
      <c r="R198">
        <f>IF(COUNTIF($E198, _xlfn.CONCAT("*",Table13[[#Headers],[History]],"*")),1,0)</f>
        <v>0</v>
      </c>
      <c r="S198">
        <f>IF(COUNTIF($E198, _xlfn.CONCAT("*",Table13[[#Headers],[Horror]],"*")),1,0)</f>
        <v>0</v>
      </c>
      <c r="T198">
        <f>IF(COUNTIF($E198, _xlfn.CONCAT("*",Table13[[#Headers],[Music]],"*")),1,0)</f>
        <v>0</v>
      </c>
      <c r="U198">
        <f>IF(COUNTIF($E198, _xlfn.CONCAT("*",Table13[[#Headers],[Mystery]],"*")),1,0)</f>
        <v>0</v>
      </c>
      <c r="V198">
        <f>IF(COUNTIF($E198, _xlfn.CONCAT("*",Table13[[#Headers],[Romance]],"*")),1,0)</f>
        <v>1</v>
      </c>
      <c r="W198">
        <f>IF(COUNTIF($E198, _xlfn.CONCAT("*",Table13[[#Headers],[Science Fiction]],"*")),1,0)</f>
        <v>1</v>
      </c>
      <c r="X198">
        <f>IF(COUNTIF($E198, _xlfn.CONCAT("*",Table13[[#Headers],[TV Movie]],"*")),1,0)</f>
        <v>0</v>
      </c>
      <c r="Y198">
        <f>IF(COUNTIF($E198, _xlfn.CONCAT("*",Table13[[#Headers],[Thriller]],"*")),1,0)</f>
        <v>0</v>
      </c>
      <c r="Z198">
        <f>IF(COUNTIF($E198, _xlfn.CONCAT("*",Table13[[#Headers],[War]],"*")),1,0)</f>
        <v>0</v>
      </c>
      <c r="AA198">
        <f>IF(COUNTIF($E198, _xlfn.CONCAT("*",Table13[[#Headers],[Western]],"*")),1,0)</f>
        <v>0</v>
      </c>
    </row>
    <row r="199" spans="1:27">
      <c r="A199" t="s">
        <v>312</v>
      </c>
      <c r="B199">
        <v>67</v>
      </c>
      <c r="C199">
        <f>MAX(Table13[Rank])-Table13[[#This Row],[Rank]]</f>
        <v>197</v>
      </c>
      <c r="D199" t="s">
        <v>7</v>
      </c>
      <c r="E199" t="s">
        <v>17</v>
      </c>
      <c r="F199" s="1">
        <v>36714</v>
      </c>
      <c r="G199">
        <f>YEAR(Table13[[#This Row],[Date]])</f>
        <v>2000</v>
      </c>
      <c r="H199" t="s">
        <v>312</v>
      </c>
      <c r="I199">
        <f>IF(COUNTIF($E199, _xlfn.CONCAT("*",Table13[[#Headers],[Action]],"*")),1,0)</f>
        <v>0</v>
      </c>
      <c r="J199">
        <f>IF(COUNTIF($E199, _xlfn.CONCAT("*",Table13[[#Headers],[Adventure]],"*")),1,0)</f>
        <v>0</v>
      </c>
      <c r="K199">
        <f>IF(COUNTIF($E199, _xlfn.CONCAT("*",Table13[[#Headers],[Animation]],"*")),1,0)</f>
        <v>0</v>
      </c>
      <c r="L199">
        <f>IF(COUNTIF($E199, _xlfn.CONCAT("*",Table13[[#Headers],[Comedy]],"*")),1,0)</f>
        <v>0</v>
      </c>
      <c r="M199">
        <f>IF(COUNTIF($E199, _xlfn.CONCAT("*",Table13[[#Headers],[Crime]],"*")),1,0)</f>
        <v>0</v>
      </c>
      <c r="N199">
        <f>IF(COUNTIF($E199, _xlfn.CONCAT("*",Table13[[#Headers],[Documentary]],"*")),1,0)</f>
        <v>1</v>
      </c>
      <c r="O199">
        <f>IF(COUNTIF($E199, _xlfn.CONCAT("*",Table13[[#Headers],[Drama]],"*")),1,0)</f>
        <v>0</v>
      </c>
      <c r="P199">
        <f>IF(COUNTIF($E199, _xlfn.CONCAT("*",Table13[[#Headers],[Family]],"*")),1,0)</f>
        <v>0</v>
      </c>
      <c r="Q199">
        <f>IF(COUNTIF($E199, _xlfn.CONCAT("*",Table13[[#Headers],[Fantasy]],"*")),1,0)</f>
        <v>0</v>
      </c>
      <c r="R199">
        <f>IF(COUNTIF($E199, _xlfn.CONCAT("*",Table13[[#Headers],[History]],"*")),1,0)</f>
        <v>0</v>
      </c>
      <c r="S199">
        <f>IF(COUNTIF($E199, _xlfn.CONCAT("*",Table13[[#Headers],[Horror]],"*")),1,0)</f>
        <v>0</v>
      </c>
      <c r="T199">
        <f>IF(COUNTIF($E199, _xlfn.CONCAT("*",Table13[[#Headers],[Music]],"*")),1,0)</f>
        <v>0</v>
      </c>
      <c r="U199">
        <f>IF(COUNTIF($E199, _xlfn.CONCAT("*",Table13[[#Headers],[Mystery]],"*")),1,0)</f>
        <v>0</v>
      </c>
      <c r="V199">
        <f>IF(COUNTIF($E199, _xlfn.CONCAT("*",Table13[[#Headers],[Romance]],"*")),1,0)</f>
        <v>0</v>
      </c>
      <c r="W199">
        <f>IF(COUNTIF($E199, _xlfn.CONCAT("*",Table13[[#Headers],[Science Fiction]],"*")),1,0)</f>
        <v>0</v>
      </c>
      <c r="X199">
        <f>IF(COUNTIF($E199, _xlfn.CONCAT("*",Table13[[#Headers],[TV Movie]],"*")),1,0)</f>
        <v>0</v>
      </c>
      <c r="Y199">
        <f>IF(COUNTIF($E199, _xlfn.CONCAT("*",Table13[[#Headers],[Thriller]],"*")),1,0)</f>
        <v>0</v>
      </c>
      <c r="Z199">
        <f>IF(COUNTIF($E199, _xlfn.CONCAT("*",Table13[[#Headers],[War]],"*")),1,0)</f>
        <v>0</v>
      </c>
      <c r="AA199">
        <f>IF(COUNTIF($E199, _xlfn.CONCAT("*",Table13[[#Headers],[Western]],"*")),1,0)</f>
        <v>0</v>
      </c>
    </row>
    <row r="200" spans="1:27">
      <c r="A200" t="s">
        <v>313</v>
      </c>
      <c r="B200">
        <v>66</v>
      </c>
      <c r="C200">
        <f>MAX(Table13[Rank])-Table13[[#This Row],[Rank]]</f>
        <v>198</v>
      </c>
      <c r="D200" t="s">
        <v>7</v>
      </c>
      <c r="E200" t="s">
        <v>35</v>
      </c>
      <c r="F200" s="1">
        <v>26846</v>
      </c>
      <c r="G200">
        <f>YEAR(Table13[[#This Row],[Date]])</f>
        <v>1973</v>
      </c>
      <c r="H200" t="s">
        <v>313</v>
      </c>
      <c r="I200">
        <f>IF(COUNTIF($E200, _xlfn.CONCAT("*",Table13[[#Headers],[Action]],"*")),1,0)</f>
        <v>0</v>
      </c>
      <c r="J200">
        <f>IF(COUNTIF($E200, _xlfn.CONCAT("*",Table13[[#Headers],[Adventure]],"*")),1,0)</f>
        <v>0</v>
      </c>
      <c r="K200">
        <f>IF(COUNTIF($E200, _xlfn.CONCAT("*",Table13[[#Headers],[Animation]],"*")),1,0)</f>
        <v>0</v>
      </c>
      <c r="L200">
        <f>IF(COUNTIF($E200, _xlfn.CONCAT("*",Table13[[#Headers],[Comedy]],"*")),1,0)</f>
        <v>0</v>
      </c>
      <c r="M200">
        <f>IF(COUNTIF($E200, _xlfn.CONCAT("*",Table13[[#Headers],[Crime]],"*")),1,0)</f>
        <v>0</v>
      </c>
      <c r="N200">
        <f>IF(COUNTIF($E200, _xlfn.CONCAT("*",Table13[[#Headers],[Documentary]],"*")),1,0)</f>
        <v>0</v>
      </c>
      <c r="O200">
        <f>IF(COUNTIF($E200, _xlfn.CONCAT("*",Table13[[#Headers],[Drama]],"*")),1,0)</f>
        <v>1</v>
      </c>
      <c r="P200">
        <f>IF(COUNTIF($E200, _xlfn.CONCAT("*",Table13[[#Headers],[Family]],"*")),1,0)</f>
        <v>0</v>
      </c>
      <c r="Q200">
        <f>IF(COUNTIF($E200, _xlfn.CONCAT("*",Table13[[#Headers],[Fantasy]],"*")),1,0)</f>
        <v>0</v>
      </c>
      <c r="R200">
        <f>IF(COUNTIF($E200, _xlfn.CONCAT("*",Table13[[#Headers],[History]],"*")),1,0)</f>
        <v>0</v>
      </c>
      <c r="S200">
        <f>IF(COUNTIF($E200, _xlfn.CONCAT("*",Table13[[#Headers],[Horror]],"*")),1,0)</f>
        <v>0</v>
      </c>
      <c r="T200">
        <f>IF(COUNTIF($E200, _xlfn.CONCAT("*",Table13[[#Headers],[Music]],"*")),1,0)</f>
        <v>0</v>
      </c>
      <c r="U200">
        <f>IF(COUNTIF($E200, _xlfn.CONCAT("*",Table13[[#Headers],[Mystery]],"*")),1,0)</f>
        <v>0</v>
      </c>
      <c r="V200">
        <f>IF(COUNTIF($E200, _xlfn.CONCAT("*",Table13[[#Headers],[Romance]],"*")),1,0)</f>
        <v>1</v>
      </c>
      <c r="W200">
        <f>IF(COUNTIF($E200, _xlfn.CONCAT("*",Table13[[#Headers],[Science Fiction]],"*")),1,0)</f>
        <v>0</v>
      </c>
      <c r="X200">
        <f>IF(COUNTIF($E200, _xlfn.CONCAT("*",Table13[[#Headers],[TV Movie]],"*")),1,0)</f>
        <v>0</v>
      </c>
      <c r="Y200">
        <f>IF(COUNTIF($E200, _xlfn.CONCAT("*",Table13[[#Headers],[Thriller]],"*")),1,0)</f>
        <v>0</v>
      </c>
      <c r="Z200">
        <f>IF(COUNTIF($E200, _xlfn.CONCAT("*",Table13[[#Headers],[War]],"*")),1,0)</f>
        <v>0</v>
      </c>
      <c r="AA200">
        <f>IF(COUNTIF($E200, _xlfn.CONCAT("*",Table13[[#Headers],[Western]],"*")),1,0)</f>
        <v>0</v>
      </c>
    </row>
    <row r="201" spans="1:27">
      <c r="A201" t="s">
        <v>314</v>
      </c>
      <c r="B201">
        <v>65</v>
      </c>
      <c r="C201">
        <f>MAX(Table13[Rank])-Table13[[#This Row],[Rank]]</f>
        <v>199</v>
      </c>
      <c r="D201" t="s">
        <v>7</v>
      </c>
      <c r="E201" t="s">
        <v>315</v>
      </c>
      <c r="F201" s="1">
        <v>18141</v>
      </c>
      <c r="G201">
        <f>YEAR(Table13[[#This Row],[Date]])</f>
        <v>1949</v>
      </c>
      <c r="H201" t="s">
        <v>314</v>
      </c>
      <c r="I201">
        <f>IF(COUNTIF($E201, _xlfn.CONCAT("*",Table13[[#Headers],[Action]],"*")),1,0)</f>
        <v>0</v>
      </c>
      <c r="J201">
        <f>IF(COUNTIF($E201, _xlfn.CONCAT("*",Table13[[#Headers],[Adventure]],"*")),1,0)</f>
        <v>0</v>
      </c>
      <c r="K201">
        <f>IF(COUNTIF($E201, _xlfn.CONCAT("*",Table13[[#Headers],[Animation]],"*")),1,0)</f>
        <v>0</v>
      </c>
      <c r="L201">
        <f>IF(COUNTIF($E201, _xlfn.CONCAT("*",Table13[[#Headers],[Comedy]],"*")),1,0)</f>
        <v>0</v>
      </c>
      <c r="M201">
        <f>IF(COUNTIF($E201, _xlfn.CONCAT("*",Table13[[#Headers],[Crime]],"*")),1,0)</f>
        <v>0</v>
      </c>
      <c r="N201">
        <f>IF(COUNTIF($E201, _xlfn.CONCAT("*",Table13[[#Headers],[Documentary]],"*")),1,0)</f>
        <v>0</v>
      </c>
      <c r="O201">
        <f>IF(COUNTIF($E201, _xlfn.CONCAT("*",Table13[[#Headers],[Drama]],"*")),1,0)</f>
        <v>0</v>
      </c>
      <c r="P201">
        <f>IF(COUNTIF($E201, _xlfn.CONCAT("*",Table13[[#Headers],[Family]],"*")),1,0)</f>
        <v>0</v>
      </c>
      <c r="Q201">
        <f>IF(COUNTIF($E201, _xlfn.CONCAT("*",Table13[[#Headers],[Fantasy]],"*")),1,0)</f>
        <v>0</v>
      </c>
      <c r="R201">
        <f>IF(COUNTIF($E201, _xlfn.CONCAT("*",Table13[[#Headers],[History]],"*")),1,0)</f>
        <v>0</v>
      </c>
      <c r="S201">
        <f>IF(COUNTIF($E201, _xlfn.CONCAT("*",Table13[[#Headers],[Horror]],"*")),1,0)</f>
        <v>0</v>
      </c>
      <c r="T201">
        <f>IF(COUNTIF($E201, _xlfn.CONCAT("*",Table13[[#Headers],[Music]],"*")),1,0)</f>
        <v>0</v>
      </c>
      <c r="U201">
        <f>IF(COUNTIF($E201, _xlfn.CONCAT("*",Table13[[#Headers],[Mystery]],"*")),1,0)</f>
        <v>1</v>
      </c>
      <c r="V201">
        <f>IF(COUNTIF($E201, _xlfn.CONCAT("*",Table13[[#Headers],[Romance]],"*")),1,0)</f>
        <v>0</v>
      </c>
      <c r="W201">
        <f>IF(COUNTIF($E201, _xlfn.CONCAT("*",Table13[[#Headers],[Science Fiction]],"*")),1,0)</f>
        <v>0</v>
      </c>
      <c r="X201">
        <f>IF(COUNTIF($E201, _xlfn.CONCAT("*",Table13[[#Headers],[TV Movie]],"*")),1,0)</f>
        <v>0</v>
      </c>
      <c r="Y201">
        <f>IF(COUNTIF($E201, _xlfn.CONCAT("*",Table13[[#Headers],[Thriller]],"*")),1,0)</f>
        <v>1</v>
      </c>
      <c r="Z201">
        <f>IF(COUNTIF($E201, _xlfn.CONCAT("*",Table13[[#Headers],[War]],"*")),1,0)</f>
        <v>0</v>
      </c>
      <c r="AA201">
        <f>IF(COUNTIF($E201, _xlfn.CONCAT("*",Table13[[#Headers],[Western]],"*")),1,0)</f>
        <v>0</v>
      </c>
    </row>
    <row r="202" spans="1:27">
      <c r="A202" t="s">
        <v>316</v>
      </c>
      <c r="B202">
        <v>64</v>
      </c>
      <c r="C202">
        <f>MAX(Table13[Rank])-Table13[[#This Row],[Rank]]</f>
        <v>200</v>
      </c>
      <c r="D202" t="s">
        <v>7</v>
      </c>
      <c r="E202" t="s">
        <v>166</v>
      </c>
      <c r="F202" s="1">
        <v>33128</v>
      </c>
      <c r="G202">
        <f>YEAR(Table13[[#This Row],[Date]])</f>
        <v>1990</v>
      </c>
      <c r="H202" t="s">
        <v>316</v>
      </c>
      <c r="I202">
        <f>IF(COUNTIF($E202, _xlfn.CONCAT("*",Table13[[#Headers],[Action]],"*")),1,0)</f>
        <v>0</v>
      </c>
      <c r="J202">
        <f>IF(COUNTIF($E202, _xlfn.CONCAT("*",Table13[[#Headers],[Adventure]],"*")),1,0)</f>
        <v>0</v>
      </c>
      <c r="K202">
        <f>IF(COUNTIF($E202, _xlfn.CONCAT("*",Table13[[#Headers],[Animation]],"*")),1,0)</f>
        <v>0</v>
      </c>
      <c r="L202">
        <f>IF(COUNTIF($E202, _xlfn.CONCAT("*",Table13[[#Headers],[Comedy]],"*")),1,0)</f>
        <v>0</v>
      </c>
      <c r="M202">
        <f>IF(COUNTIF($E202, _xlfn.CONCAT("*",Table13[[#Headers],[Crime]],"*")),1,0)</f>
        <v>1</v>
      </c>
      <c r="N202">
        <f>IF(COUNTIF($E202, _xlfn.CONCAT("*",Table13[[#Headers],[Documentary]],"*")),1,0)</f>
        <v>0</v>
      </c>
      <c r="O202">
        <f>IF(COUNTIF($E202, _xlfn.CONCAT("*",Table13[[#Headers],[Drama]],"*")),1,0)</f>
        <v>1</v>
      </c>
      <c r="P202">
        <f>IF(COUNTIF($E202, _xlfn.CONCAT("*",Table13[[#Headers],[Family]],"*")),1,0)</f>
        <v>0</v>
      </c>
      <c r="Q202">
        <f>IF(COUNTIF($E202, _xlfn.CONCAT("*",Table13[[#Headers],[Fantasy]],"*")),1,0)</f>
        <v>0</v>
      </c>
      <c r="R202">
        <f>IF(COUNTIF($E202, _xlfn.CONCAT("*",Table13[[#Headers],[History]],"*")),1,0)</f>
        <v>0</v>
      </c>
      <c r="S202">
        <f>IF(COUNTIF($E202, _xlfn.CONCAT("*",Table13[[#Headers],[Horror]],"*")),1,0)</f>
        <v>0</v>
      </c>
      <c r="T202">
        <f>IF(COUNTIF($E202, _xlfn.CONCAT("*",Table13[[#Headers],[Music]],"*")),1,0)</f>
        <v>0</v>
      </c>
      <c r="U202">
        <f>IF(COUNTIF($E202, _xlfn.CONCAT("*",Table13[[#Headers],[Mystery]],"*")),1,0)</f>
        <v>0</v>
      </c>
      <c r="V202">
        <f>IF(COUNTIF($E202, _xlfn.CONCAT("*",Table13[[#Headers],[Romance]],"*")),1,0)</f>
        <v>0</v>
      </c>
      <c r="W202">
        <f>IF(COUNTIF($E202, _xlfn.CONCAT("*",Table13[[#Headers],[Science Fiction]],"*")),1,0)</f>
        <v>0</v>
      </c>
      <c r="X202">
        <f>IF(COUNTIF($E202, _xlfn.CONCAT("*",Table13[[#Headers],[TV Movie]],"*")),1,0)</f>
        <v>0</v>
      </c>
      <c r="Y202">
        <f>IF(COUNTIF($E202, _xlfn.CONCAT("*",Table13[[#Headers],[Thriller]],"*")),1,0)</f>
        <v>0</v>
      </c>
      <c r="Z202">
        <f>IF(COUNTIF($E202, _xlfn.CONCAT("*",Table13[[#Headers],[War]],"*")),1,0)</f>
        <v>0</v>
      </c>
      <c r="AA202">
        <f>IF(COUNTIF($E202, _xlfn.CONCAT("*",Table13[[#Headers],[Western]],"*")),1,0)</f>
        <v>0</v>
      </c>
    </row>
    <row r="203" spans="1:27">
      <c r="A203" t="s">
        <v>317</v>
      </c>
      <c r="B203">
        <v>63</v>
      </c>
      <c r="C203">
        <f>MAX(Table13[Rank])-Table13[[#This Row],[Rank]]</f>
        <v>201</v>
      </c>
      <c r="D203" t="s">
        <v>7</v>
      </c>
      <c r="E203" t="s">
        <v>35</v>
      </c>
      <c r="F203" s="1">
        <v>15721</v>
      </c>
      <c r="G203">
        <f>YEAR(Table13[[#This Row],[Date]])</f>
        <v>1943</v>
      </c>
      <c r="H203" t="s">
        <v>317</v>
      </c>
      <c r="I203">
        <f>IF(COUNTIF($E203, _xlfn.CONCAT("*",Table13[[#Headers],[Action]],"*")),1,0)</f>
        <v>0</v>
      </c>
      <c r="J203">
        <f>IF(COUNTIF($E203, _xlfn.CONCAT("*",Table13[[#Headers],[Adventure]],"*")),1,0)</f>
        <v>0</v>
      </c>
      <c r="K203">
        <f>IF(COUNTIF($E203, _xlfn.CONCAT("*",Table13[[#Headers],[Animation]],"*")),1,0)</f>
        <v>0</v>
      </c>
      <c r="L203">
        <f>IF(COUNTIF($E203, _xlfn.CONCAT("*",Table13[[#Headers],[Comedy]],"*")),1,0)</f>
        <v>0</v>
      </c>
      <c r="M203">
        <f>IF(COUNTIF($E203, _xlfn.CONCAT("*",Table13[[#Headers],[Crime]],"*")),1,0)</f>
        <v>0</v>
      </c>
      <c r="N203">
        <f>IF(COUNTIF($E203, _xlfn.CONCAT("*",Table13[[#Headers],[Documentary]],"*")),1,0)</f>
        <v>0</v>
      </c>
      <c r="O203">
        <f>IF(COUNTIF($E203, _xlfn.CONCAT("*",Table13[[#Headers],[Drama]],"*")),1,0)</f>
        <v>1</v>
      </c>
      <c r="P203">
        <f>IF(COUNTIF($E203, _xlfn.CONCAT("*",Table13[[#Headers],[Family]],"*")),1,0)</f>
        <v>0</v>
      </c>
      <c r="Q203">
        <f>IF(COUNTIF($E203, _xlfn.CONCAT("*",Table13[[#Headers],[Fantasy]],"*")),1,0)</f>
        <v>0</v>
      </c>
      <c r="R203">
        <f>IF(COUNTIF($E203, _xlfn.CONCAT("*",Table13[[#Headers],[History]],"*")),1,0)</f>
        <v>0</v>
      </c>
      <c r="S203">
        <f>IF(COUNTIF($E203, _xlfn.CONCAT("*",Table13[[#Headers],[Horror]],"*")),1,0)</f>
        <v>0</v>
      </c>
      <c r="T203">
        <f>IF(COUNTIF($E203, _xlfn.CONCAT("*",Table13[[#Headers],[Music]],"*")),1,0)</f>
        <v>0</v>
      </c>
      <c r="U203">
        <f>IF(COUNTIF($E203, _xlfn.CONCAT("*",Table13[[#Headers],[Mystery]],"*")),1,0)</f>
        <v>0</v>
      </c>
      <c r="V203">
        <f>IF(COUNTIF($E203, _xlfn.CONCAT("*",Table13[[#Headers],[Romance]],"*")),1,0)</f>
        <v>1</v>
      </c>
      <c r="W203">
        <f>IF(COUNTIF($E203, _xlfn.CONCAT("*",Table13[[#Headers],[Science Fiction]],"*")),1,0)</f>
        <v>0</v>
      </c>
      <c r="X203">
        <f>IF(COUNTIF($E203, _xlfn.CONCAT("*",Table13[[#Headers],[TV Movie]],"*")),1,0)</f>
        <v>0</v>
      </c>
      <c r="Y203">
        <f>IF(COUNTIF($E203, _xlfn.CONCAT("*",Table13[[#Headers],[Thriller]],"*")),1,0)</f>
        <v>0</v>
      </c>
      <c r="Z203">
        <f>IF(COUNTIF($E203, _xlfn.CONCAT("*",Table13[[#Headers],[War]],"*")),1,0)</f>
        <v>0</v>
      </c>
      <c r="AA203">
        <f>IF(COUNTIF($E203, _xlfn.CONCAT("*",Table13[[#Headers],[Western]],"*")),1,0)</f>
        <v>0</v>
      </c>
    </row>
    <row r="204" spans="1:27">
      <c r="A204" t="s">
        <v>318</v>
      </c>
      <c r="B204">
        <v>62</v>
      </c>
      <c r="C204">
        <f>MAX(Table13[Rank])-Table13[[#This Row],[Rank]]</f>
        <v>202</v>
      </c>
      <c r="D204" t="s">
        <v>7</v>
      </c>
      <c r="E204" t="s">
        <v>35</v>
      </c>
      <c r="F204" s="1">
        <v>33262</v>
      </c>
      <c r="G204">
        <f>YEAR(Table13[[#This Row],[Date]])</f>
        <v>1991</v>
      </c>
      <c r="H204" t="s">
        <v>318</v>
      </c>
      <c r="I204">
        <f>IF(COUNTIF($E204, _xlfn.CONCAT("*",Table13[[#Headers],[Action]],"*")),1,0)</f>
        <v>0</v>
      </c>
      <c r="J204">
        <f>IF(COUNTIF($E204, _xlfn.CONCAT("*",Table13[[#Headers],[Adventure]],"*")),1,0)</f>
        <v>0</v>
      </c>
      <c r="K204">
        <f>IF(COUNTIF($E204, _xlfn.CONCAT("*",Table13[[#Headers],[Animation]],"*")),1,0)</f>
        <v>0</v>
      </c>
      <c r="L204">
        <f>IF(COUNTIF($E204, _xlfn.CONCAT("*",Table13[[#Headers],[Comedy]],"*")),1,0)</f>
        <v>0</v>
      </c>
      <c r="M204">
        <f>IF(COUNTIF($E204, _xlfn.CONCAT("*",Table13[[#Headers],[Crime]],"*")),1,0)</f>
        <v>0</v>
      </c>
      <c r="N204">
        <f>IF(COUNTIF($E204, _xlfn.CONCAT("*",Table13[[#Headers],[Documentary]],"*")),1,0)</f>
        <v>0</v>
      </c>
      <c r="O204">
        <f>IF(COUNTIF($E204, _xlfn.CONCAT("*",Table13[[#Headers],[Drama]],"*")),1,0)</f>
        <v>1</v>
      </c>
      <c r="P204">
        <f>IF(COUNTIF($E204, _xlfn.CONCAT("*",Table13[[#Headers],[Family]],"*")),1,0)</f>
        <v>0</v>
      </c>
      <c r="Q204">
        <f>IF(COUNTIF($E204, _xlfn.CONCAT("*",Table13[[#Headers],[Fantasy]],"*")),1,0)</f>
        <v>0</v>
      </c>
      <c r="R204">
        <f>IF(COUNTIF($E204, _xlfn.CONCAT("*",Table13[[#Headers],[History]],"*")),1,0)</f>
        <v>0</v>
      </c>
      <c r="S204">
        <f>IF(COUNTIF($E204, _xlfn.CONCAT("*",Table13[[#Headers],[Horror]],"*")),1,0)</f>
        <v>0</v>
      </c>
      <c r="T204">
        <f>IF(COUNTIF($E204, _xlfn.CONCAT("*",Table13[[#Headers],[Music]],"*")),1,0)</f>
        <v>0</v>
      </c>
      <c r="U204">
        <f>IF(COUNTIF($E204, _xlfn.CONCAT("*",Table13[[#Headers],[Mystery]],"*")),1,0)</f>
        <v>0</v>
      </c>
      <c r="V204">
        <f>IF(COUNTIF($E204, _xlfn.CONCAT("*",Table13[[#Headers],[Romance]],"*")),1,0)</f>
        <v>1</v>
      </c>
      <c r="W204">
        <f>IF(COUNTIF($E204, _xlfn.CONCAT("*",Table13[[#Headers],[Science Fiction]],"*")),1,0)</f>
        <v>0</v>
      </c>
      <c r="X204">
        <f>IF(COUNTIF($E204, _xlfn.CONCAT("*",Table13[[#Headers],[TV Movie]],"*")),1,0)</f>
        <v>0</v>
      </c>
      <c r="Y204">
        <f>IF(COUNTIF($E204, _xlfn.CONCAT("*",Table13[[#Headers],[Thriller]],"*")),1,0)</f>
        <v>0</v>
      </c>
      <c r="Z204">
        <f>IF(COUNTIF($E204, _xlfn.CONCAT("*",Table13[[#Headers],[War]],"*")),1,0)</f>
        <v>0</v>
      </c>
      <c r="AA204">
        <f>IF(COUNTIF($E204, _xlfn.CONCAT("*",Table13[[#Headers],[Western]],"*")),1,0)</f>
        <v>0</v>
      </c>
    </row>
    <row r="205" spans="1:27">
      <c r="A205" t="s">
        <v>319</v>
      </c>
      <c r="B205">
        <v>61</v>
      </c>
      <c r="C205">
        <f>MAX(Table13[Rank])-Table13[[#This Row],[Rank]]</f>
        <v>203</v>
      </c>
      <c r="D205" t="s">
        <v>7</v>
      </c>
      <c r="E205" t="s">
        <v>164</v>
      </c>
      <c r="F205" s="1">
        <v>21951</v>
      </c>
      <c r="G205">
        <f>YEAR(Table13[[#This Row],[Date]])</f>
        <v>1960</v>
      </c>
      <c r="H205" t="s">
        <v>864</v>
      </c>
      <c r="I205">
        <f>IF(COUNTIF($E205, _xlfn.CONCAT("*",Table13[[#Headers],[Action]],"*")),1,0)</f>
        <v>0</v>
      </c>
      <c r="J205">
        <f>IF(COUNTIF($E205, _xlfn.CONCAT("*",Table13[[#Headers],[Adventure]],"*")),1,0)</f>
        <v>0</v>
      </c>
      <c r="K205">
        <f>IF(COUNTIF($E205, _xlfn.CONCAT("*",Table13[[#Headers],[Animation]],"*")),1,0)</f>
        <v>0</v>
      </c>
      <c r="L205">
        <f>IF(COUNTIF($E205, _xlfn.CONCAT("*",Table13[[#Headers],[Comedy]],"*")),1,0)</f>
        <v>1</v>
      </c>
      <c r="M205">
        <f>IF(COUNTIF($E205, _xlfn.CONCAT("*",Table13[[#Headers],[Crime]],"*")),1,0)</f>
        <v>0</v>
      </c>
      <c r="N205">
        <f>IF(COUNTIF($E205, _xlfn.CONCAT("*",Table13[[#Headers],[Documentary]],"*")),1,0)</f>
        <v>0</v>
      </c>
      <c r="O205">
        <f>IF(COUNTIF($E205, _xlfn.CONCAT("*",Table13[[#Headers],[Drama]],"*")),1,0)</f>
        <v>1</v>
      </c>
      <c r="P205">
        <f>IF(COUNTIF($E205, _xlfn.CONCAT("*",Table13[[#Headers],[Family]],"*")),1,0)</f>
        <v>0</v>
      </c>
      <c r="Q205">
        <f>IF(COUNTIF($E205, _xlfn.CONCAT("*",Table13[[#Headers],[Fantasy]],"*")),1,0)</f>
        <v>0</v>
      </c>
      <c r="R205">
        <f>IF(COUNTIF($E205, _xlfn.CONCAT("*",Table13[[#Headers],[History]],"*")),1,0)</f>
        <v>0</v>
      </c>
      <c r="S205">
        <f>IF(COUNTIF($E205, _xlfn.CONCAT("*",Table13[[#Headers],[Horror]],"*")),1,0)</f>
        <v>0</v>
      </c>
      <c r="T205">
        <f>IF(COUNTIF($E205, _xlfn.CONCAT("*",Table13[[#Headers],[Music]],"*")),1,0)</f>
        <v>0</v>
      </c>
      <c r="U205">
        <f>IF(COUNTIF($E205, _xlfn.CONCAT("*",Table13[[#Headers],[Mystery]],"*")),1,0)</f>
        <v>0</v>
      </c>
      <c r="V205">
        <f>IF(COUNTIF($E205, _xlfn.CONCAT("*",Table13[[#Headers],[Romance]],"*")),1,0)</f>
        <v>0</v>
      </c>
      <c r="W205">
        <f>IF(COUNTIF($E205, _xlfn.CONCAT("*",Table13[[#Headers],[Science Fiction]],"*")),1,0)</f>
        <v>0</v>
      </c>
      <c r="X205">
        <f>IF(COUNTIF($E205, _xlfn.CONCAT("*",Table13[[#Headers],[TV Movie]],"*")),1,0)</f>
        <v>0</v>
      </c>
      <c r="Y205">
        <f>IF(COUNTIF($E205, _xlfn.CONCAT("*",Table13[[#Headers],[Thriller]],"*")),1,0)</f>
        <v>0</v>
      </c>
      <c r="Z205">
        <f>IF(COUNTIF($E205, _xlfn.CONCAT("*",Table13[[#Headers],[War]],"*")),1,0)</f>
        <v>0</v>
      </c>
      <c r="AA205">
        <f>IF(COUNTIF($E205, _xlfn.CONCAT("*",Table13[[#Headers],[Western]],"*")),1,0)</f>
        <v>0</v>
      </c>
    </row>
    <row r="206" spans="1:27">
      <c r="A206" t="s">
        <v>320</v>
      </c>
      <c r="B206">
        <v>60</v>
      </c>
      <c r="C206">
        <f>MAX(Table13[Rank])-Table13[[#This Row],[Rank]]</f>
        <v>204</v>
      </c>
      <c r="D206" t="s">
        <v>7</v>
      </c>
      <c r="E206" t="s">
        <v>21</v>
      </c>
      <c r="F206" s="1">
        <v>42664</v>
      </c>
      <c r="G206">
        <f>YEAR(Table13[[#This Row],[Date]])</f>
        <v>2016</v>
      </c>
      <c r="H206" t="s">
        <v>320</v>
      </c>
      <c r="I206">
        <f>IF(COUNTIF($E206, _xlfn.CONCAT("*",Table13[[#Headers],[Action]],"*")),1,0)</f>
        <v>0</v>
      </c>
      <c r="J206">
        <f>IF(COUNTIF($E206, _xlfn.CONCAT("*",Table13[[#Headers],[Adventure]],"*")),1,0)</f>
        <v>0</v>
      </c>
      <c r="K206">
        <f>IF(COUNTIF($E206, _xlfn.CONCAT("*",Table13[[#Headers],[Animation]],"*")),1,0)</f>
        <v>0</v>
      </c>
      <c r="L206">
        <f>IF(COUNTIF($E206, _xlfn.CONCAT("*",Table13[[#Headers],[Comedy]],"*")),1,0)</f>
        <v>0</v>
      </c>
      <c r="M206">
        <f>IF(COUNTIF($E206, _xlfn.CONCAT("*",Table13[[#Headers],[Crime]],"*")),1,0)</f>
        <v>0</v>
      </c>
      <c r="N206">
        <f>IF(COUNTIF($E206, _xlfn.CONCAT("*",Table13[[#Headers],[Documentary]],"*")),1,0)</f>
        <v>0</v>
      </c>
      <c r="O206">
        <f>IF(COUNTIF($E206, _xlfn.CONCAT("*",Table13[[#Headers],[Drama]],"*")),1,0)</f>
        <v>1</v>
      </c>
      <c r="P206">
        <f>IF(COUNTIF($E206, _xlfn.CONCAT("*",Table13[[#Headers],[Family]],"*")),1,0)</f>
        <v>0</v>
      </c>
      <c r="Q206">
        <f>IF(COUNTIF($E206, _xlfn.CONCAT("*",Table13[[#Headers],[Fantasy]],"*")),1,0)</f>
        <v>0</v>
      </c>
      <c r="R206">
        <f>IF(COUNTIF($E206, _xlfn.CONCAT("*",Table13[[#Headers],[History]],"*")),1,0)</f>
        <v>0</v>
      </c>
      <c r="S206">
        <f>IF(COUNTIF($E206, _xlfn.CONCAT("*",Table13[[#Headers],[Horror]],"*")),1,0)</f>
        <v>0</v>
      </c>
      <c r="T206">
        <f>IF(COUNTIF($E206, _xlfn.CONCAT("*",Table13[[#Headers],[Music]],"*")),1,0)</f>
        <v>0</v>
      </c>
      <c r="U206">
        <f>IF(COUNTIF($E206, _xlfn.CONCAT("*",Table13[[#Headers],[Mystery]],"*")),1,0)</f>
        <v>0</v>
      </c>
      <c r="V206">
        <f>IF(COUNTIF($E206, _xlfn.CONCAT("*",Table13[[#Headers],[Romance]],"*")),1,0)</f>
        <v>0</v>
      </c>
      <c r="W206">
        <f>IF(COUNTIF($E206, _xlfn.CONCAT("*",Table13[[#Headers],[Science Fiction]],"*")),1,0)</f>
        <v>0</v>
      </c>
      <c r="X206">
        <f>IF(COUNTIF($E206, _xlfn.CONCAT("*",Table13[[#Headers],[TV Movie]],"*")),1,0)</f>
        <v>0</v>
      </c>
      <c r="Y206">
        <f>IF(COUNTIF($E206, _xlfn.CONCAT("*",Table13[[#Headers],[Thriller]],"*")),1,0)</f>
        <v>0</v>
      </c>
      <c r="Z206">
        <f>IF(COUNTIF($E206, _xlfn.CONCAT("*",Table13[[#Headers],[War]],"*")),1,0)</f>
        <v>0</v>
      </c>
      <c r="AA206">
        <f>IF(COUNTIF($E206, _xlfn.CONCAT("*",Table13[[#Headers],[Western]],"*")),1,0)</f>
        <v>0</v>
      </c>
    </row>
    <row r="207" spans="1:27">
      <c r="A207" t="s">
        <v>321</v>
      </c>
      <c r="B207">
        <v>59</v>
      </c>
      <c r="C207">
        <f>MAX(Table13[Rank])-Table13[[#This Row],[Rank]]</f>
        <v>205</v>
      </c>
      <c r="D207" t="s">
        <v>7</v>
      </c>
      <c r="E207" t="s">
        <v>17</v>
      </c>
      <c r="F207" s="1">
        <v>30377</v>
      </c>
      <c r="G207">
        <f>YEAR(Table13[[#This Row],[Date]])</f>
        <v>1983</v>
      </c>
      <c r="H207" t="s">
        <v>321</v>
      </c>
      <c r="I207">
        <f>IF(COUNTIF($E207, _xlfn.CONCAT("*",Table13[[#Headers],[Action]],"*")),1,0)</f>
        <v>0</v>
      </c>
      <c r="J207">
        <f>IF(COUNTIF($E207, _xlfn.CONCAT("*",Table13[[#Headers],[Adventure]],"*")),1,0)</f>
        <v>0</v>
      </c>
      <c r="K207">
        <f>IF(COUNTIF($E207, _xlfn.CONCAT("*",Table13[[#Headers],[Animation]],"*")),1,0)</f>
        <v>0</v>
      </c>
      <c r="L207">
        <f>IF(COUNTIF($E207, _xlfn.CONCAT("*",Table13[[#Headers],[Comedy]],"*")),1,0)</f>
        <v>0</v>
      </c>
      <c r="M207">
        <f>IF(COUNTIF($E207, _xlfn.CONCAT("*",Table13[[#Headers],[Crime]],"*")),1,0)</f>
        <v>0</v>
      </c>
      <c r="N207">
        <f>IF(COUNTIF($E207, _xlfn.CONCAT("*",Table13[[#Headers],[Documentary]],"*")),1,0)</f>
        <v>1</v>
      </c>
      <c r="O207">
        <f>IF(COUNTIF($E207, _xlfn.CONCAT("*",Table13[[#Headers],[Drama]],"*")),1,0)</f>
        <v>0</v>
      </c>
      <c r="P207">
        <f>IF(COUNTIF($E207, _xlfn.CONCAT("*",Table13[[#Headers],[Family]],"*")),1,0)</f>
        <v>0</v>
      </c>
      <c r="Q207">
        <f>IF(COUNTIF($E207, _xlfn.CONCAT("*",Table13[[#Headers],[Fantasy]],"*")),1,0)</f>
        <v>0</v>
      </c>
      <c r="R207">
        <f>IF(COUNTIF($E207, _xlfn.CONCAT("*",Table13[[#Headers],[History]],"*")),1,0)</f>
        <v>0</v>
      </c>
      <c r="S207">
        <f>IF(COUNTIF($E207, _xlfn.CONCAT("*",Table13[[#Headers],[Horror]],"*")),1,0)</f>
        <v>0</v>
      </c>
      <c r="T207">
        <f>IF(COUNTIF($E207, _xlfn.CONCAT("*",Table13[[#Headers],[Music]],"*")),1,0)</f>
        <v>0</v>
      </c>
      <c r="U207">
        <f>IF(COUNTIF($E207, _xlfn.CONCAT("*",Table13[[#Headers],[Mystery]],"*")),1,0)</f>
        <v>0</v>
      </c>
      <c r="V207">
        <f>IF(COUNTIF($E207, _xlfn.CONCAT("*",Table13[[#Headers],[Romance]],"*")),1,0)</f>
        <v>0</v>
      </c>
      <c r="W207">
        <f>IF(COUNTIF($E207, _xlfn.CONCAT("*",Table13[[#Headers],[Science Fiction]],"*")),1,0)</f>
        <v>0</v>
      </c>
      <c r="X207">
        <f>IF(COUNTIF($E207, _xlfn.CONCAT("*",Table13[[#Headers],[TV Movie]],"*")),1,0)</f>
        <v>0</v>
      </c>
      <c r="Y207">
        <f>IF(COUNTIF($E207, _xlfn.CONCAT("*",Table13[[#Headers],[Thriller]],"*")),1,0)</f>
        <v>0</v>
      </c>
      <c r="Z207">
        <f>IF(COUNTIF($E207, _xlfn.CONCAT("*",Table13[[#Headers],[War]],"*")),1,0)</f>
        <v>0</v>
      </c>
      <c r="AA207">
        <f>IF(COUNTIF($E207, _xlfn.CONCAT("*",Table13[[#Headers],[Western]],"*")),1,0)</f>
        <v>0</v>
      </c>
    </row>
    <row r="208" spans="1:27">
      <c r="A208" t="s">
        <v>322</v>
      </c>
      <c r="B208">
        <v>58</v>
      </c>
      <c r="C208">
        <f>MAX(Table13[Rank])-Table13[[#This Row],[Rank]]</f>
        <v>206</v>
      </c>
      <c r="D208" t="s">
        <v>7</v>
      </c>
      <c r="E208" t="s">
        <v>15</v>
      </c>
      <c r="F208" s="1">
        <v>22088</v>
      </c>
      <c r="G208">
        <f>YEAR(Table13[[#This Row],[Date]])</f>
        <v>1960</v>
      </c>
      <c r="H208" t="s">
        <v>322</v>
      </c>
      <c r="I208">
        <f>IF(COUNTIF($E208, _xlfn.CONCAT("*",Table13[[#Headers],[Action]],"*")),1,0)</f>
        <v>0</v>
      </c>
      <c r="J208">
        <f>IF(COUNTIF($E208, _xlfn.CONCAT("*",Table13[[#Headers],[Adventure]],"*")),1,0)</f>
        <v>0</v>
      </c>
      <c r="K208">
        <f>IF(COUNTIF($E208, _xlfn.CONCAT("*",Table13[[#Headers],[Animation]],"*")),1,0)</f>
        <v>0</v>
      </c>
      <c r="L208">
        <f>IF(COUNTIF($E208, _xlfn.CONCAT("*",Table13[[#Headers],[Comedy]],"*")),1,0)</f>
        <v>1</v>
      </c>
      <c r="M208">
        <f>IF(COUNTIF($E208, _xlfn.CONCAT("*",Table13[[#Headers],[Crime]],"*")),1,0)</f>
        <v>0</v>
      </c>
      <c r="N208">
        <f>IF(COUNTIF($E208, _xlfn.CONCAT("*",Table13[[#Headers],[Documentary]],"*")),1,0)</f>
        <v>0</v>
      </c>
      <c r="O208">
        <f>IF(COUNTIF($E208, _xlfn.CONCAT("*",Table13[[#Headers],[Drama]],"*")),1,0)</f>
        <v>1</v>
      </c>
      <c r="P208">
        <f>IF(COUNTIF($E208, _xlfn.CONCAT("*",Table13[[#Headers],[Family]],"*")),1,0)</f>
        <v>0</v>
      </c>
      <c r="Q208">
        <f>IF(COUNTIF($E208, _xlfn.CONCAT("*",Table13[[#Headers],[Fantasy]],"*")),1,0)</f>
        <v>0</v>
      </c>
      <c r="R208">
        <f>IF(COUNTIF($E208, _xlfn.CONCAT("*",Table13[[#Headers],[History]],"*")),1,0)</f>
        <v>0</v>
      </c>
      <c r="S208">
        <f>IF(COUNTIF($E208, _xlfn.CONCAT("*",Table13[[#Headers],[Horror]],"*")),1,0)</f>
        <v>0</v>
      </c>
      <c r="T208">
        <f>IF(COUNTIF($E208, _xlfn.CONCAT("*",Table13[[#Headers],[Music]],"*")),1,0)</f>
        <v>0</v>
      </c>
      <c r="U208">
        <f>IF(COUNTIF($E208, _xlfn.CONCAT("*",Table13[[#Headers],[Mystery]],"*")),1,0)</f>
        <v>0</v>
      </c>
      <c r="V208">
        <f>IF(COUNTIF($E208, _xlfn.CONCAT("*",Table13[[#Headers],[Romance]],"*")),1,0)</f>
        <v>1</v>
      </c>
      <c r="W208">
        <f>IF(COUNTIF($E208, _xlfn.CONCAT("*",Table13[[#Headers],[Science Fiction]],"*")),1,0)</f>
        <v>0</v>
      </c>
      <c r="X208">
        <f>IF(COUNTIF($E208, _xlfn.CONCAT("*",Table13[[#Headers],[TV Movie]],"*")),1,0)</f>
        <v>0</v>
      </c>
      <c r="Y208">
        <f>IF(COUNTIF($E208, _xlfn.CONCAT("*",Table13[[#Headers],[Thriller]],"*")),1,0)</f>
        <v>0</v>
      </c>
      <c r="Z208">
        <f>IF(COUNTIF($E208, _xlfn.CONCAT("*",Table13[[#Headers],[War]],"*")),1,0)</f>
        <v>0</v>
      </c>
      <c r="AA208">
        <f>IF(COUNTIF($E208, _xlfn.CONCAT("*",Table13[[#Headers],[Western]],"*")),1,0)</f>
        <v>0</v>
      </c>
    </row>
    <row r="209" spans="1:27">
      <c r="A209" t="s">
        <v>323</v>
      </c>
      <c r="B209">
        <v>57</v>
      </c>
      <c r="C209">
        <f>MAX(Table13[Rank])-Table13[[#This Row],[Rank]]</f>
        <v>207</v>
      </c>
      <c r="D209" t="s">
        <v>7</v>
      </c>
      <c r="E209" t="s">
        <v>324</v>
      </c>
      <c r="F209" s="1">
        <v>8874</v>
      </c>
      <c r="G209">
        <f>YEAR(Table13[[#This Row],[Date]])</f>
        <v>1924</v>
      </c>
      <c r="H209" t="s">
        <v>323</v>
      </c>
      <c r="I209">
        <f>IF(COUNTIF($E209, _xlfn.CONCAT("*",Table13[[#Headers],[Action]],"*")),1,0)</f>
        <v>1</v>
      </c>
      <c r="J209">
        <f>IF(COUNTIF($E209, _xlfn.CONCAT("*",Table13[[#Headers],[Adventure]],"*")),1,0)</f>
        <v>0</v>
      </c>
      <c r="K209">
        <f>IF(COUNTIF($E209, _xlfn.CONCAT("*",Table13[[#Headers],[Animation]],"*")),1,0)</f>
        <v>0</v>
      </c>
      <c r="L209">
        <f>IF(COUNTIF($E209, _xlfn.CONCAT("*",Table13[[#Headers],[Comedy]],"*")),1,0)</f>
        <v>1</v>
      </c>
      <c r="M209">
        <f>IF(COUNTIF($E209, _xlfn.CONCAT("*",Table13[[#Headers],[Crime]],"*")),1,0)</f>
        <v>0</v>
      </c>
      <c r="N209">
        <f>IF(COUNTIF($E209, _xlfn.CONCAT("*",Table13[[#Headers],[Documentary]],"*")),1,0)</f>
        <v>0</v>
      </c>
      <c r="O209">
        <f>IF(COUNTIF($E209, _xlfn.CONCAT("*",Table13[[#Headers],[Drama]],"*")),1,0)</f>
        <v>0</v>
      </c>
      <c r="P209">
        <f>IF(COUNTIF($E209, _xlfn.CONCAT("*",Table13[[#Headers],[Family]],"*")),1,0)</f>
        <v>0</v>
      </c>
      <c r="Q209">
        <f>IF(COUNTIF($E209, _xlfn.CONCAT("*",Table13[[#Headers],[Fantasy]],"*")),1,0)</f>
        <v>0</v>
      </c>
      <c r="R209">
        <f>IF(COUNTIF($E209, _xlfn.CONCAT("*",Table13[[#Headers],[History]],"*")),1,0)</f>
        <v>0</v>
      </c>
      <c r="S209">
        <f>IF(COUNTIF($E209, _xlfn.CONCAT("*",Table13[[#Headers],[Horror]],"*")),1,0)</f>
        <v>0</v>
      </c>
      <c r="T209">
        <f>IF(COUNTIF($E209, _xlfn.CONCAT("*",Table13[[#Headers],[Music]],"*")),1,0)</f>
        <v>0</v>
      </c>
      <c r="U209">
        <f>IF(COUNTIF($E209, _xlfn.CONCAT("*",Table13[[#Headers],[Mystery]],"*")),1,0)</f>
        <v>1</v>
      </c>
      <c r="V209">
        <f>IF(COUNTIF($E209, _xlfn.CONCAT("*",Table13[[#Headers],[Romance]],"*")),1,0)</f>
        <v>0</v>
      </c>
      <c r="W209">
        <f>IF(COUNTIF($E209, _xlfn.CONCAT("*",Table13[[#Headers],[Science Fiction]],"*")),1,0)</f>
        <v>0</v>
      </c>
      <c r="X209">
        <f>IF(COUNTIF($E209, _xlfn.CONCAT("*",Table13[[#Headers],[TV Movie]],"*")),1,0)</f>
        <v>0</v>
      </c>
      <c r="Y209">
        <f>IF(COUNTIF($E209, _xlfn.CONCAT("*",Table13[[#Headers],[Thriller]],"*")),1,0)</f>
        <v>0</v>
      </c>
      <c r="Z209">
        <f>IF(COUNTIF($E209, _xlfn.CONCAT("*",Table13[[#Headers],[War]],"*")),1,0)</f>
        <v>0</v>
      </c>
      <c r="AA209">
        <f>IF(COUNTIF($E209, _xlfn.CONCAT("*",Table13[[#Headers],[Western]],"*")),1,0)</f>
        <v>0</v>
      </c>
    </row>
    <row r="210" spans="1:27">
      <c r="A210" t="s">
        <v>325</v>
      </c>
      <c r="B210">
        <v>56</v>
      </c>
      <c r="C210">
        <f>MAX(Table13[Rank])-Table13[[#This Row],[Rank]]</f>
        <v>208</v>
      </c>
      <c r="D210" t="s">
        <v>7</v>
      </c>
      <c r="E210" t="s">
        <v>21</v>
      </c>
      <c r="F210" s="1">
        <v>23313</v>
      </c>
      <c r="G210">
        <f>YEAR(Table13[[#This Row],[Date]])</f>
        <v>1963</v>
      </c>
      <c r="H210" t="s">
        <v>1288</v>
      </c>
      <c r="I210">
        <f>IF(COUNTIF($E210, _xlfn.CONCAT("*",Table13[[#Headers],[Action]],"*")),1,0)</f>
        <v>0</v>
      </c>
      <c r="J210">
        <f>IF(COUNTIF($E210, _xlfn.CONCAT("*",Table13[[#Headers],[Adventure]],"*")),1,0)</f>
        <v>0</v>
      </c>
      <c r="K210">
        <f>IF(COUNTIF($E210, _xlfn.CONCAT("*",Table13[[#Headers],[Animation]],"*")),1,0)</f>
        <v>0</v>
      </c>
      <c r="L210">
        <f>IF(COUNTIF($E210, _xlfn.CONCAT("*",Table13[[#Headers],[Comedy]],"*")),1,0)</f>
        <v>0</v>
      </c>
      <c r="M210">
        <f>IF(COUNTIF($E210, _xlfn.CONCAT("*",Table13[[#Headers],[Crime]],"*")),1,0)</f>
        <v>0</v>
      </c>
      <c r="N210">
        <f>IF(COUNTIF($E210, _xlfn.CONCAT("*",Table13[[#Headers],[Documentary]],"*")),1,0)</f>
        <v>0</v>
      </c>
      <c r="O210">
        <f>IF(COUNTIF($E210, _xlfn.CONCAT("*",Table13[[#Headers],[Drama]],"*")),1,0)</f>
        <v>1</v>
      </c>
      <c r="P210">
        <f>IF(COUNTIF($E210, _xlfn.CONCAT("*",Table13[[#Headers],[Family]],"*")),1,0)</f>
        <v>0</v>
      </c>
      <c r="Q210">
        <f>IF(COUNTIF($E210, _xlfn.CONCAT("*",Table13[[#Headers],[Fantasy]],"*")),1,0)</f>
        <v>0</v>
      </c>
      <c r="R210">
        <f>IF(COUNTIF($E210, _xlfn.CONCAT("*",Table13[[#Headers],[History]],"*")),1,0)</f>
        <v>0</v>
      </c>
      <c r="S210">
        <f>IF(COUNTIF($E210, _xlfn.CONCAT("*",Table13[[#Headers],[Horror]],"*")),1,0)</f>
        <v>0</v>
      </c>
      <c r="T210">
        <f>IF(COUNTIF($E210, _xlfn.CONCAT("*",Table13[[#Headers],[Music]],"*")),1,0)</f>
        <v>0</v>
      </c>
      <c r="U210">
        <f>IF(COUNTIF($E210, _xlfn.CONCAT("*",Table13[[#Headers],[Mystery]],"*")),1,0)</f>
        <v>0</v>
      </c>
      <c r="V210">
        <f>IF(COUNTIF($E210, _xlfn.CONCAT("*",Table13[[#Headers],[Romance]],"*")),1,0)</f>
        <v>0</v>
      </c>
      <c r="W210">
        <f>IF(COUNTIF($E210, _xlfn.CONCAT("*",Table13[[#Headers],[Science Fiction]],"*")),1,0)</f>
        <v>0</v>
      </c>
      <c r="X210">
        <f>IF(COUNTIF($E210, _xlfn.CONCAT("*",Table13[[#Headers],[TV Movie]],"*")),1,0)</f>
        <v>0</v>
      </c>
      <c r="Y210">
        <f>IF(COUNTIF($E210, _xlfn.CONCAT("*",Table13[[#Headers],[Thriller]],"*")),1,0)</f>
        <v>0</v>
      </c>
      <c r="Z210">
        <f>IF(COUNTIF($E210, _xlfn.CONCAT("*",Table13[[#Headers],[War]],"*")),1,0)</f>
        <v>0</v>
      </c>
      <c r="AA210">
        <f>IF(COUNTIF($E210, _xlfn.CONCAT("*",Table13[[#Headers],[Western]],"*")),1,0)</f>
        <v>0</v>
      </c>
    </row>
    <row r="211" spans="1:27">
      <c r="A211" t="s">
        <v>326</v>
      </c>
      <c r="B211">
        <v>55</v>
      </c>
      <c r="C211">
        <f>MAX(Table13[Rank])-Table13[[#This Row],[Rank]]</f>
        <v>209</v>
      </c>
      <c r="D211" t="s">
        <v>7</v>
      </c>
      <c r="E211" t="s">
        <v>186</v>
      </c>
      <c r="F211" s="1">
        <v>9490</v>
      </c>
      <c r="G211">
        <f>YEAR(Table13[[#This Row],[Date]])</f>
        <v>1925</v>
      </c>
      <c r="H211" t="s">
        <v>326</v>
      </c>
      <c r="I211">
        <f>IF(COUNTIF($E211, _xlfn.CONCAT("*",Table13[[#Headers],[Action]],"*")),1,0)</f>
        <v>0</v>
      </c>
      <c r="J211">
        <f>IF(COUNTIF($E211, _xlfn.CONCAT("*",Table13[[#Headers],[Adventure]],"*")),1,0)</f>
        <v>0</v>
      </c>
      <c r="K211">
        <f>IF(COUNTIF($E211, _xlfn.CONCAT("*",Table13[[#Headers],[Animation]],"*")),1,0)</f>
        <v>0</v>
      </c>
      <c r="L211">
        <f>IF(COUNTIF($E211, _xlfn.CONCAT("*",Table13[[#Headers],[Comedy]],"*")),1,0)</f>
        <v>0</v>
      </c>
      <c r="M211">
        <f>IF(COUNTIF($E211, _xlfn.CONCAT("*",Table13[[#Headers],[Crime]],"*")),1,0)</f>
        <v>0</v>
      </c>
      <c r="N211">
        <f>IF(COUNTIF($E211, _xlfn.CONCAT("*",Table13[[#Headers],[Documentary]],"*")),1,0)</f>
        <v>0</v>
      </c>
      <c r="O211">
        <f>IF(COUNTIF($E211, _xlfn.CONCAT("*",Table13[[#Headers],[Drama]],"*")),1,0)</f>
        <v>1</v>
      </c>
      <c r="P211">
        <f>IF(COUNTIF($E211, _xlfn.CONCAT("*",Table13[[#Headers],[Family]],"*")),1,0)</f>
        <v>0</v>
      </c>
      <c r="Q211">
        <f>IF(COUNTIF($E211, _xlfn.CONCAT("*",Table13[[#Headers],[Fantasy]],"*")),1,0)</f>
        <v>0</v>
      </c>
      <c r="R211">
        <f>IF(COUNTIF($E211, _xlfn.CONCAT("*",Table13[[#Headers],[History]],"*")),1,0)</f>
        <v>1</v>
      </c>
      <c r="S211">
        <f>IF(COUNTIF($E211, _xlfn.CONCAT("*",Table13[[#Headers],[Horror]],"*")),1,0)</f>
        <v>0</v>
      </c>
      <c r="T211">
        <f>IF(COUNTIF($E211, _xlfn.CONCAT("*",Table13[[#Headers],[Music]],"*")),1,0)</f>
        <v>0</v>
      </c>
      <c r="U211">
        <f>IF(COUNTIF($E211, _xlfn.CONCAT("*",Table13[[#Headers],[Mystery]],"*")),1,0)</f>
        <v>0</v>
      </c>
      <c r="V211">
        <f>IF(COUNTIF($E211, _xlfn.CONCAT("*",Table13[[#Headers],[Romance]],"*")),1,0)</f>
        <v>0</v>
      </c>
      <c r="W211">
        <f>IF(COUNTIF($E211, _xlfn.CONCAT("*",Table13[[#Headers],[Science Fiction]],"*")),1,0)</f>
        <v>0</v>
      </c>
      <c r="X211">
        <f>IF(COUNTIF($E211, _xlfn.CONCAT("*",Table13[[#Headers],[TV Movie]],"*")),1,0)</f>
        <v>0</v>
      </c>
      <c r="Y211">
        <f>IF(COUNTIF($E211, _xlfn.CONCAT("*",Table13[[#Headers],[Thriller]],"*")),1,0)</f>
        <v>0</v>
      </c>
      <c r="Z211">
        <f>IF(COUNTIF($E211, _xlfn.CONCAT("*",Table13[[#Headers],[War]],"*")),1,0)</f>
        <v>1</v>
      </c>
      <c r="AA211">
        <f>IF(COUNTIF($E211, _xlfn.CONCAT("*",Table13[[#Headers],[Western]],"*")),1,0)</f>
        <v>0</v>
      </c>
    </row>
    <row r="212" spans="1:27">
      <c r="A212" t="s">
        <v>327</v>
      </c>
      <c r="B212">
        <v>54</v>
      </c>
      <c r="C212">
        <f>MAX(Table13[Rank])-Table13[[#This Row],[Rank]]</f>
        <v>210</v>
      </c>
      <c r="D212" t="s">
        <v>7</v>
      </c>
      <c r="E212" t="s">
        <v>328</v>
      </c>
      <c r="F212" s="1">
        <v>30127</v>
      </c>
      <c r="G212">
        <f>YEAR(Table13[[#This Row],[Date]])</f>
        <v>1982</v>
      </c>
      <c r="H212" t="s">
        <v>327</v>
      </c>
      <c r="I212">
        <f>IF(COUNTIF($E212, _xlfn.CONCAT("*",Table13[[#Headers],[Action]],"*")),1,0)</f>
        <v>0</v>
      </c>
      <c r="J212">
        <f>IF(COUNTIF($E212, _xlfn.CONCAT("*",Table13[[#Headers],[Adventure]],"*")),1,0)</f>
        <v>0</v>
      </c>
      <c r="K212">
        <f>IF(COUNTIF($E212, _xlfn.CONCAT("*",Table13[[#Headers],[Animation]],"*")),1,0)</f>
        <v>0</v>
      </c>
      <c r="L212">
        <f>IF(COUNTIF($E212, _xlfn.CONCAT("*",Table13[[#Headers],[Comedy]],"*")),1,0)</f>
        <v>0</v>
      </c>
      <c r="M212">
        <f>IF(COUNTIF($E212, _xlfn.CONCAT("*",Table13[[#Headers],[Crime]],"*")),1,0)</f>
        <v>0</v>
      </c>
      <c r="N212">
        <f>IF(COUNTIF($E212, _xlfn.CONCAT("*",Table13[[#Headers],[Documentary]],"*")),1,0)</f>
        <v>0</v>
      </c>
      <c r="O212">
        <f>IF(COUNTIF($E212, _xlfn.CONCAT("*",Table13[[#Headers],[Drama]],"*")),1,0)</f>
        <v>1</v>
      </c>
      <c r="P212">
        <f>IF(COUNTIF($E212, _xlfn.CONCAT("*",Table13[[#Headers],[Family]],"*")),1,0)</f>
        <v>0</v>
      </c>
      <c r="Q212">
        <f>IF(COUNTIF($E212, _xlfn.CONCAT("*",Table13[[#Headers],[Fantasy]],"*")),1,0)</f>
        <v>0</v>
      </c>
      <c r="R212">
        <f>IF(COUNTIF($E212, _xlfn.CONCAT("*",Table13[[#Headers],[History]],"*")),1,0)</f>
        <v>0</v>
      </c>
      <c r="S212">
        <f>IF(COUNTIF($E212, _xlfn.CONCAT("*",Table13[[#Headers],[Horror]],"*")),1,0)</f>
        <v>0</v>
      </c>
      <c r="T212">
        <f>IF(COUNTIF($E212, _xlfn.CONCAT("*",Table13[[#Headers],[Music]],"*")),1,0)</f>
        <v>0</v>
      </c>
      <c r="U212">
        <f>IF(COUNTIF($E212, _xlfn.CONCAT("*",Table13[[#Headers],[Mystery]],"*")),1,0)</f>
        <v>0</v>
      </c>
      <c r="V212">
        <f>IF(COUNTIF($E212, _xlfn.CONCAT("*",Table13[[#Headers],[Romance]],"*")),1,0)</f>
        <v>0</v>
      </c>
      <c r="W212">
        <f>IF(COUNTIF($E212, _xlfn.CONCAT("*",Table13[[#Headers],[Science Fiction]],"*")),1,0)</f>
        <v>1</v>
      </c>
      <c r="X212">
        <f>IF(COUNTIF($E212, _xlfn.CONCAT("*",Table13[[#Headers],[TV Movie]],"*")),1,0)</f>
        <v>0</v>
      </c>
      <c r="Y212">
        <f>IF(COUNTIF($E212, _xlfn.CONCAT("*",Table13[[#Headers],[Thriller]],"*")),1,0)</f>
        <v>1</v>
      </c>
      <c r="Z212">
        <f>IF(COUNTIF($E212, _xlfn.CONCAT("*",Table13[[#Headers],[War]],"*")),1,0)</f>
        <v>0</v>
      </c>
      <c r="AA212">
        <f>IF(COUNTIF($E212, _xlfn.CONCAT("*",Table13[[#Headers],[Western]],"*")),1,0)</f>
        <v>0</v>
      </c>
    </row>
    <row r="213" spans="1:27">
      <c r="A213" t="s">
        <v>329</v>
      </c>
      <c r="B213">
        <v>53</v>
      </c>
      <c r="C213">
        <f>MAX(Table13[Rank])-Table13[[#This Row],[Rank]]</f>
        <v>211</v>
      </c>
      <c r="D213" t="s">
        <v>7</v>
      </c>
      <c r="E213" t="s">
        <v>17</v>
      </c>
      <c r="F213" s="1">
        <v>28265</v>
      </c>
      <c r="G213">
        <f>YEAR(Table13[[#This Row],[Date]])</f>
        <v>1977</v>
      </c>
      <c r="H213" t="s">
        <v>329</v>
      </c>
      <c r="I213">
        <f>IF(COUNTIF($E213, _xlfn.CONCAT("*",Table13[[#Headers],[Action]],"*")),1,0)</f>
        <v>0</v>
      </c>
      <c r="J213">
        <f>IF(COUNTIF($E213, _xlfn.CONCAT("*",Table13[[#Headers],[Adventure]],"*")),1,0)</f>
        <v>0</v>
      </c>
      <c r="K213">
        <f>IF(COUNTIF($E213, _xlfn.CONCAT("*",Table13[[#Headers],[Animation]],"*")),1,0)</f>
        <v>0</v>
      </c>
      <c r="L213">
        <f>IF(COUNTIF($E213, _xlfn.CONCAT("*",Table13[[#Headers],[Comedy]],"*")),1,0)</f>
        <v>0</v>
      </c>
      <c r="M213">
        <f>IF(COUNTIF($E213, _xlfn.CONCAT("*",Table13[[#Headers],[Crime]],"*")),1,0)</f>
        <v>0</v>
      </c>
      <c r="N213">
        <f>IF(COUNTIF($E213, _xlfn.CONCAT("*",Table13[[#Headers],[Documentary]],"*")),1,0)</f>
        <v>1</v>
      </c>
      <c r="O213">
        <f>IF(COUNTIF($E213, _xlfn.CONCAT("*",Table13[[#Headers],[Drama]],"*")),1,0)</f>
        <v>0</v>
      </c>
      <c r="P213">
        <f>IF(COUNTIF($E213, _xlfn.CONCAT("*",Table13[[#Headers],[Family]],"*")),1,0)</f>
        <v>0</v>
      </c>
      <c r="Q213">
        <f>IF(COUNTIF($E213, _xlfn.CONCAT("*",Table13[[#Headers],[Fantasy]],"*")),1,0)</f>
        <v>0</v>
      </c>
      <c r="R213">
        <f>IF(COUNTIF($E213, _xlfn.CONCAT("*",Table13[[#Headers],[History]],"*")),1,0)</f>
        <v>0</v>
      </c>
      <c r="S213">
        <f>IF(COUNTIF($E213, _xlfn.CONCAT("*",Table13[[#Headers],[Horror]],"*")),1,0)</f>
        <v>0</v>
      </c>
      <c r="T213">
        <f>IF(COUNTIF($E213, _xlfn.CONCAT("*",Table13[[#Headers],[Music]],"*")),1,0)</f>
        <v>0</v>
      </c>
      <c r="U213">
        <f>IF(COUNTIF($E213, _xlfn.CONCAT("*",Table13[[#Headers],[Mystery]],"*")),1,0)</f>
        <v>0</v>
      </c>
      <c r="V213">
        <f>IF(COUNTIF($E213, _xlfn.CONCAT("*",Table13[[#Headers],[Romance]],"*")),1,0)</f>
        <v>0</v>
      </c>
      <c r="W213">
        <f>IF(COUNTIF($E213, _xlfn.CONCAT("*",Table13[[#Headers],[Science Fiction]],"*")),1,0)</f>
        <v>0</v>
      </c>
      <c r="X213">
        <f>IF(COUNTIF($E213, _xlfn.CONCAT("*",Table13[[#Headers],[TV Movie]],"*")),1,0)</f>
        <v>0</v>
      </c>
      <c r="Y213">
        <f>IF(COUNTIF($E213, _xlfn.CONCAT("*",Table13[[#Headers],[Thriller]],"*")),1,0)</f>
        <v>0</v>
      </c>
      <c r="Z213">
        <f>IF(COUNTIF($E213, _xlfn.CONCAT("*",Table13[[#Headers],[War]],"*")),1,0)</f>
        <v>0</v>
      </c>
      <c r="AA213">
        <f>IF(COUNTIF($E213, _xlfn.CONCAT("*",Table13[[#Headers],[Western]],"*")),1,0)</f>
        <v>0</v>
      </c>
    </row>
    <row r="214" spans="1:27">
      <c r="A214" t="s">
        <v>330</v>
      </c>
      <c r="B214">
        <v>52</v>
      </c>
      <c r="C214">
        <f>MAX(Table13[Rank])-Table13[[#This Row],[Rank]]</f>
        <v>212</v>
      </c>
      <c r="D214" t="s">
        <v>7</v>
      </c>
      <c r="E214" t="s">
        <v>100</v>
      </c>
      <c r="F214" s="1">
        <v>27185</v>
      </c>
      <c r="G214">
        <f>YEAR(Table13[[#This Row],[Date]])</f>
        <v>1974</v>
      </c>
      <c r="H214" t="s">
        <v>1289</v>
      </c>
      <c r="I214">
        <f>IF(COUNTIF($E214, _xlfn.CONCAT("*",Table13[[#Headers],[Action]],"*")),1,0)</f>
        <v>0</v>
      </c>
      <c r="J214">
        <f>IF(COUNTIF($E214, _xlfn.CONCAT("*",Table13[[#Headers],[Adventure]],"*")),1,0)</f>
        <v>0</v>
      </c>
      <c r="K214">
        <f>IF(COUNTIF($E214, _xlfn.CONCAT("*",Table13[[#Headers],[Animation]],"*")),1,0)</f>
        <v>0</v>
      </c>
      <c r="L214">
        <f>IF(COUNTIF($E214, _xlfn.CONCAT("*",Table13[[#Headers],[Comedy]],"*")),1,0)</f>
        <v>0</v>
      </c>
      <c r="M214">
        <f>IF(COUNTIF($E214, _xlfn.CONCAT("*",Table13[[#Headers],[Crime]],"*")),1,0)</f>
        <v>0</v>
      </c>
      <c r="N214">
        <f>IF(COUNTIF($E214, _xlfn.CONCAT("*",Table13[[#Headers],[Documentary]],"*")),1,0)</f>
        <v>0</v>
      </c>
      <c r="O214">
        <f>IF(COUNTIF($E214, _xlfn.CONCAT("*",Table13[[#Headers],[Drama]],"*")),1,0)</f>
        <v>1</v>
      </c>
      <c r="P214">
        <f>IF(COUNTIF($E214, _xlfn.CONCAT("*",Table13[[#Headers],[Family]],"*")),1,0)</f>
        <v>0</v>
      </c>
      <c r="Q214">
        <f>IF(COUNTIF($E214, _xlfn.CONCAT("*",Table13[[#Headers],[Fantasy]],"*")),1,0)</f>
        <v>0</v>
      </c>
      <c r="R214">
        <f>IF(COUNTIF($E214, _xlfn.CONCAT("*",Table13[[#Headers],[History]],"*")),1,0)</f>
        <v>0</v>
      </c>
      <c r="S214">
        <f>IF(COUNTIF($E214, _xlfn.CONCAT("*",Table13[[#Headers],[Horror]],"*")),1,0)</f>
        <v>0</v>
      </c>
      <c r="T214">
        <f>IF(COUNTIF($E214, _xlfn.CONCAT("*",Table13[[#Headers],[Music]],"*")),1,0)</f>
        <v>0</v>
      </c>
      <c r="U214">
        <f>IF(COUNTIF($E214, _xlfn.CONCAT("*",Table13[[#Headers],[Mystery]],"*")),1,0)</f>
        <v>0</v>
      </c>
      <c r="V214">
        <f>IF(COUNTIF($E214, _xlfn.CONCAT("*",Table13[[#Headers],[Romance]],"*")),1,0)</f>
        <v>1</v>
      </c>
      <c r="W214">
        <f>IF(COUNTIF($E214, _xlfn.CONCAT("*",Table13[[#Headers],[Science Fiction]],"*")),1,0)</f>
        <v>0</v>
      </c>
      <c r="X214">
        <f>IF(COUNTIF($E214, _xlfn.CONCAT("*",Table13[[#Headers],[TV Movie]],"*")),1,0)</f>
        <v>0</v>
      </c>
      <c r="Y214">
        <f>IF(COUNTIF($E214, _xlfn.CONCAT("*",Table13[[#Headers],[Thriller]],"*")),1,0)</f>
        <v>0</v>
      </c>
      <c r="Z214">
        <f>IF(COUNTIF($E214, _xlfn.CONCAT("*",Table13[[#Headers],[War]],"*")),1,0)</f>
        <v>0</v>
      </c>
      <c r="AA214">
        <f>IF(COUNTIF($E214, _xlfn.CONCAT("*",Table13[[#Headers],[Western]],"*")),1,0)</f>
        <v>0</v>
      </c>
    </row>
    <row r="215" spans="1:27">
      <c r="A215" t="s">
        <v>331</v>
      </c>
      <c r="B215">
        <v>51</v>
      </c>
      <c r="C215">
        <f>MAX(Table13[Rank])-Table13[[#This Row],[Rank]]</f>
        <v>213</v>
      </c>
      <c r="D215" t="s">
        <v>7</v>
      </c>
      <c r="E215" t="s">
        <v>35</v>
      </c>
      <c r="F215" s="1">
        <v>34108</v>
      </c>
      <c r="G215">
        <f>YEAR(Table13[[#This Row],[Date]])</f>
        <v>1993</v>
      </c>
      <c r="H215" t="s">
        <v>331</v>
      </c>
      <c r="I215">
        <f>IF(COUNTIF($E215, _xlfn.CONCAT("*",Table13[[#Headers],[Action]],"*")),1,0)</f>
        <v>0</v>
      </c>
      <c r="J215">
        <f>IF(COUNTIF($E215, _xlfn.CONCAT("*",Table13[[#Headers],[Adventure]],"*")),1,0)</f>
        <v>0</v>
      </c>
      <c r="K215">
        <f>IF(COUNTIF($E215, _xlfn.CONCAT("*",Table13[[#Headers],[Animation]],"*")),1,0)</f>
        <v>0</v>
      </c>
      <c r="L215">
        <f>IF(COUNTIF($E215, _xlfn.CONCAT("*",Table13[[#Headers],[Comedy]],"*")),1,0)</f>
        <v>0</v>
      </c>
      <c r="M215">
        <f>IF(COUNTIF($E215, _xlfn.CONCAT("*",Table13[[#Headers],[Crime]],"*")),1,0)</f>
        <v>0</v>
      </c>
      <c r="N215">
        <f>IF(COUNTIF($E215, _xlfn.CONCAT("*",Table13[[#Headers],[Documentary]],"*")),1,0)</f>
        <v>0</v>
      </c>
      <c r="O215">
        <f>IF(COUNTIF($E215, _xlfn.CONCAT("*",Table13[[#Headers],[Drama]],"*")),1,0)</f>
        <v>1</v>
      </c>
      <c r="P215">
        <f>IF(COUNTIF($E215, _xlfn.CONCAT("*",Table13[[#Headers],[Family]],"*")),1,0)</f>
        <v>0</v>
      </c>
      <c r="Q215">
        <f>IF(COUNTIF($E215, _xlfn.CONCAT("*",Table13[[#Headers],[Fantasy]],"*")),1,0)</f>
        <v>0</v>
      </c>
      <c r="R215">
        <f>IF(COUNTIF($E215, _xlfn.CONCAT("*",Table13[[#Headers],[History]],"*")),1,0)</f>
        <v>0</v>
      </c>
      <c r="S215">
        <f>IF(COUNTIF($E215, _xlfn.CONCAT("*",Table13[[#Headers],[Horror]],"*")),1,0)</f>
        <v>0</v>
      </c>
      <c r="T215">
        <f>IF(COUNTIF($E215, _xlfn.CONCAT("*",Table13[[#Headers],[Music]],"*")),1,0)</f>
        <v>0</v>
      </c>
      <c r="U215">
        <f>IF(COUNTIF($E215, _xlfn.CONCAT("*",Table13[[#Headers],[Mystery]],"*")),1,0)</f>
        <v>0</v>
      </c>
      <c r="V215">
        <f>IF(COUNTIF($E215, _xlfn.CONCAT("*",Table13[[#Headers],[Romance]],"*")),1,0)</f>
        <v>1</v>
      </c>
      <c r="W215">
        <f>IF(COUNTIF($E215, _xlfn.CONCAT("*",Table13[[#Headers],[Science Fiction]],"*")),1,0)</f>
        <v>0</v>
      </c>
      <c r="X215">
        <f>IF(COUNTIF($E215, _xlfn.CONCAT("*",Table13[[#Headers],[TV Movie]],"*")),1,0)</f>
        <v>0</v>
      </c>
      <c r="Y215">
        <f>IF(COUNTIF($E215, _xlfn.CONCAT("*",Table13[[#Headers],[Thriller]],"*")),1,0)</f>
        <v>0</v>
      </c>
      <c r="Z215">
        <f>IF(COUNTIF($E215, _xlfn.CONCAT("*",Table13[[#Headers],[War]],"*")),1,0)</f>
        <v>0</v>
      </c>
      <c r="AA215">
        <f>IF(COUNTIF($E215, _xlfn.CONCAT("*",Table13[[#Headers],[Western]],"*")),1,0)</f>
        <v>0</v>
      </c>
    </row>
    <row r="216" spans="1:27">
      <c r="A216" t="s">
        <v>332</v>
      </c>
      <c r="B216">
        <v>50</v>
      </c>
      <c r="C216">
        <f>MAX(Table13[Rank])-Table13[[#This Row],[Rank]]</f>
        <v>214</v>
      </c>
      <c r="D216" t="s">
        <v>7</v>
      </c>
      <c r="E216" t="s">
        <v>21</v>
      </c>
      <c r="F216" s="1">
        <v>21704</v>
      </c>
      <c r="G216">
        <f>YEAR(Table13[[#This Row],[Date]])</f>
        <v>1959</v>
      </c>
      <c r="H216" t="s">
        <v>332</v>
      </c>
      <c r="I216">
        <f>IF(COUNTIF($E216, _xlfn.CONCAT("*",Table13[[#Headers],[Action]],"*")),1,0)</f>
        <v>0</v>
      </c>
      <c r="J216">
        <f>IF(COUNTIF($E216, _xlfn.CONCAT("*",Table13[[#Headers],[Adventure]],"*")),1,0)</f>
        <v>0</v>
      </c>
      <c r="K216">
        <f>IF(COUNTIF($E216, _xlfn.CONCAT("*",Table13[[#Headers],[Animation]],"*")),1,0)</f>
        <v>0</v>
      </c>
      <c r="L216">
        <f>IF(COUNTIF($E216, _xlfn.CONCAT("*",Table13[[#Headers],[Comedy]],"*")),1,0)</f>
        <v>0</v>
      </c>
      <c r="M216">
        <f>IF(COUNTIF($E216, _xlfn.CONCAT("*",Table13[[#Headers],[Crime]],"*")),1,0)</f>
        <v>0</v>
      </c>
      <c r="N216">
        <f>IF(COUNTIF($E216, _xlfn.CONCAT("*",Table13[[#Headers],[Documentary]],"*")),1,0)</f>
        <v>0</v>
      </c>
      <c r="O216">
        <f>IF(COUNTIF($E216, _xlfn.CONCAT("*",Table13[[#Headers],[Drama]],"*")),1,0)</f>
        <v>1</v>
      </c>
      <c r="P216">
        <f>IF(COUNTIF($E216, _xlfn.CONCAT("*",Table13[[#Headers],[Family]],"*")),1,0)</f>
        <v>0</v>
      </c>
      <c r="Q216">
        <f>IF(COUNTIF($E216, _xlfn.CONCAT("*",Table13[[#Headers],[Fantasy]],"*")),1,0)</f>
        <v>0</v>
      </c>
      <c r="R216">
        <f>IF(COUNTIF($E216, _xlfn.CONCAT("*",Table13[[#Headers],[History]],"*")),1,0)</f>
        <v>0</v>
      </c>
      <c r="S216">
        <f>IF(COUNTIF($E216, _xlfn.CONCAT("*",Table13[[#Headers],[Horror]],"*")),1,0)</f>
        <v>0</v>
      </c>
      <c r="T216">
        <f>IF(COUNTIF($E216, _xlfn.CONCAT("*",Table13[[#Headers],[Music]],"*")),1,0)</f>
        <v>0</v>
      </c>
      <c r="U216">
        <f>IF(COUNTIF($E216, _xlfn.CONCAT("*",Table13[[#Headers],[Mystery]],"*")),1,0)</f>
        <v>0</v>
      </c>
      <c r="V216">
        <f>IF(COUNTIF($E216, _xlfn.CONCAT("*",Table13[[#Headers],[Romance]],"*")),1,0)</f>
        <v>0</v>
      </c>
      <c r="W216">
        <f>IF(COUNTIF($E216, _xlfn.CONCAT("*",Table13[[#Headers],[Science Fiction]],"*")),1,0)</f>
        <v>0</v>
      </c>
      <c r="X216">
        <f>IF(COUNTIF($E216, _xlfn.CONCAT("*",Table13[[#Headers],[TV Movie]],"*")),1,0)</f>
        <v>0</v>
      </c>
      <c r="Y216">
        <f>IF(COUNTIF($E216, _xlfn.CONCAT("*",Table13[[#Headers],[Thriller]],"*")),1,0)</f>
        <v>0</v>
      </c>
      <c r="Z216">
        <f>IF(COUNTIF($E216, _xlfn.CONCAT("*",Table13[[#Headers],[War]],"*")),1,0)</f>
        <v>0</v>
      </c>
      <c r="AA216">
        <f>IF(COUNTIF($E216, _xlfn.CONCAT("*",Table13[[#Headers],[Western]],"*")),1,0)</f>
        <v>0</v>
      </c>
    </row>
    <row r="217" spans="1:27">
      <c r="A217" t="s">
        <v>333</v>
      </c>
      <c r="B217">
        <v>49</v>
      </c>
      <c r="C217">
        <f>MAX(Table13[Rank])-Table13[[#This Row],[Rank]]</f>
        <v>215</v>
      </c>
      <c r="D217" t="s">
        <v>7</v>
      </c>
      <c r="E217" t="s">
        <v>21</v>
      </c>
      <c r="F217" s="1">
        <v>20098</v>
      </c>
      <c r="G217">
        <f>YEAR(Table13[[#This Row],[Date]])</f>
        <v>1955</v>
      </c>
      <c r="H217" t="s">
        <v>333</v>
      </c>
      <c r="I217">
        <f>IF(COUNTIF($E217, _xlfn.CONCAT("*",Table13[[#Headers],[Action]],"*")),1,0)</f>
        <v>0</v>
      </c>
      <c r="J217">
        <f>IF(COUNTIF($E217, _xlfn.CONCAT("*",Table13[[#Headers],[Adventure]],"*")),1,0)</f>
        <v>0</v>
      </c>
      <c r="K217">
        <f>IF(COUNTIF($E217, _xlfn.CONCAT("*",Table13[[#Headers],[Animation]],"*")),1,0)</f>
        <v>0</v>
      </c>
      <c r="L217">
        <f>IF(COUNTIF($E217, _xlfn.CONCAT("*",Table13[[#Headers],[Comedy]],"*")),1,0)</f>
        <v>0</v>
      </c>
      <c r="M217">
        <f>IF(COUNTIF($E217, _xlfn.CONCAT("*",Table13[[#Headers],[Crime]],"*")),1,0)</f>
        <v>0</v>
      </c>
      <c r="N217">
        <f>IF(COUNTIF($E217, _xlfn.CONCAT("*",Table13[[#Headers],[Documentary]],"*")),1,0)</f>
        <v>0</v>
      </c>
      <c r="O217">
        <f>IF(COUNTIF($E217, _xlfn.CONCAT("*",Table13[[#Headers],[Drama]],"*")),1,0)</f>
        <v>1</v>
      </c>
      <c r="P217">
        <f>IF(COUNTIF($E217, _xlfn.CONCAT("*",Table13[[#Headers],[Family]],"*")),1,0)</f>
        <v>0</v>
      </c>
      <c r="Q217">
        <f>IF(COUNTIF($E217, _xlfn.CONCAT("*",Table13[[#Headers],[Fantasy]],"*")),1,0)</f>
        <v>0</v>
      </c>
      <c r="R217">
        <f>IF(COUNTIF($E217, _xlfn.CONCAT("*",Table13[[#Headers],[History]],"*")),1,0)</f>
        <v>0</v>
      </c>
      <c r="S217">
        <f>IF(COUNTIF($E217, _xlfn.CONCAT("*",Table13[[#Headers],[Horror]],"*")),1,0)</f>
        <v>0</v>
      </c>
      <c r="T217">
        <f>IF(COUNTIF($E217, _xlfn.CONCAT("*",Table13[[#Headers],[Music]],"*")),1,0)</f>
        <v>0</v>
      </c>
      <c r="U217">
        <f>IF(COUNTIF($E217, _xlfn.CONCAT("*",Table13[[#Headers],[Mystery]],"*")),1,0)</f>
        <v>0</v>
      </c>
      <c r="V217">
        <f>IF(COUNTIF($E217, _xlfn.CONCAT("*",Table13[[#Headers],[Romance]],"*")),1,0)</f>
        <v>0</v>
      </c>
      <c r="W217">
        <f>IF(COUNTIF($E217, _xlfn.CONCAT("*",Table13[[#Headers],[Science Fiction]],"*")),1,0)</f>
        <v>0</v>
      </c>
      <c r="X217">
        <f>IF(COUNTIF($E217, _xlfn.CONCAT("*",Table13[[#Headers],[TV Movie]],"*")),1,0)</f>
        <v>0</v>
      </c>
      <c r="Y217">
        <f>IF(COUNTIF($E217, _xlfn.CONCAT("*",Table13[[#Headers],[Thriller]],"*")),1,0)</f>
        <v>0</v>
      </c>
      <c r="Z217">
        <f>IF(COUNTIF($E217, _xlfn.CONCAT("*",Table13[[#Headers],[War]],"*")),1,0)</f>
        <v>0</v>
      </c>
      <c r="AA217">
        <f>IF(COUNTIF($E217, _xlfn.CONCAT("*",Table13[[#Headers],[Western]],"*")),1,0)</f>
        <v>0</v>
      </c>
    </row>
    <row r="218" spans="1:27">
      <c r="A218" t="s">
        <v>334</v>
      </c>
      <c r="B218">
        <v>48</v>
      </c>
      <c r="C218">
        <f>MAX(Table13[Rank])-Table13[[#This Row],[Rank]]</f>
        <v>216</v>
      </c>
      <c r="D218" t="s">
        <v>7</v>
      </c>
      <c r="E218" t="s">
        <v>166</v>
      </c>
      <c r="F218" s="1">
        <v>25812</v>
      </c>
      <c r="G218">
        <f>YEAR(Table13[[#This Row],[Date]])</f>
        <v>1970</v>
      </c>
      <c r="H218" t="s">
        <v>334</v>
      </c>
      <c r="I218">
        <f>IF(COUNTIF($E218, _xlfn.CONCAT("*",Table13[[#Headers],[Action]],"*")),1,0)</f>
        <v>0</v>
      </c>
      <c r="J218">
        <f>IF(COUNTIF($E218, _xlfn.CONCAT("*",Table13[[#Headers],[Adventure]],"*")),1,0)</f>
        <v>0</v>
      </c>
      <c r="K218">
        <f>IF(COUNTIF($E218, _xlfn.CONCAT("*",Table13[[#Headers],[Animation]],"*")),1,0)</f>
        <v>0</v>
      </c>
      <c r="L218">
        <f>IF(COUNTIF($E218, _xlfn.CONCAT("*",Table13[[#Headers],[Comedy]],"*")),1,0)</f>
        <v>0</v>
      </c>
      <c r="M218">
        <f>IF(COUNTIF($E218, _xlfn.CONCAT("*",Table13[[#Headers],[Crime]],"*")),1,0)</f>
        <v>1</v>
      </c>
      <c r="N218">
        <f>IF(COUNTIF($E218, _xlfn.CONCAT("*",Table13[[#Headers],[Documentary]],"*")),1,0)</f>
        <v>0</v>
      </c>
      <c r="O218">
        <f>IF(COUNTIF($E218, _xlfn.CONCAT("*",Table13[[#Headers],[Drama]],"*")),1,0)</f>
        <v>1</v>
      </c>
      <c r="P218">
        <f>IF(COUNTIF($E218, _xlfn.CONCAT("*",Table13[[#Headers],[Family]],"*")),1,0)</f>
        <v>0</v>
      </c>
      <c r="Q218">
        <f>IF(COUNTIF($E218, _xlfn.CONCAT("*",Table13[[#Headers],[Fantasy]],"*")),1,0)</f>
        <v>0</v>
      </c>
      <c r="R218">
        <f>IF(COUNTIF($E218, _xlfn.CONCAT("*",Table13[[#Headers],[History]],"*")),1,0)</f>
        <v>0</v>
      </c>
      <c r="S218">
        <f>IF(COUNTIF($E218, _xlfn.CONCAT("*",Table13[[#Headers],[Horror]],"*")),1,0)</f>
        <v>0</v>
      </c>
      <c r="T218">
        <f>IF(COUNTIF($E218, _xlfn.CONCAT("*",Table13[[#Headers],[Music]],"*")),1,0)</f>
        <v>0</v>
      </c>
      <c r="U218">
        <f>IF(COUNTIF($E218, _xlfn.CONCAT("*",Table13[[#Headers],[Mystery]],"*")),1,0)</f>
        <v>0</v>
      </c>
      <c r="V218">
        <f>IF(COUNTIF($E218, _xlfn.CONCAT("*",Table13[[#Headers],[Romance]],"*")),1,0)</f>
        <v>0</v>
      </c>
      <c r="W218">
        <f>IF(COUNTIF($E218, _xlfn.CONCAT("*",Table13[[#Headers],[Science Fiction]],"*")),1,0)</f>
        <v>0</v>
      </c>
      <c r="X218">
        <f>IF(COUNTIF($E218, _xlfn.CONCAT("*",Table13[[#Headers],[TV Movie]],"*")),1,0)</f>
        <v>0</v>
      </c>
      <c r="Y218">
        <f>IF(COUNTIF($E218, _xlfn.CONCAT("*",Table13[[#Headers],[Thriller]],"*")),1,0)</f>
        <v>0</v>
      </c>
      <c r="Z218">
        <f>IF(COUNTIF($E218, _xlfn.CONCAT("*",Table13[[#Headers],[War]],"*")),1,0)</f>
        <v>0</v>
      </c>
      <c r="AA218">
        <f>IF(COUNTIF($E218, _xlfn.CONCAT("*",Table13[[#Headers],[Western]],"*")),1,0)</f>
        <v>0</v>
      </c>
    </row>
    <row r="219" spans="1:27">
      <c r="A219" t="s">
        <v>335</v>
      </c>
      <c r="B219">
        <v>47</v>
      </c>
      <c r="C219">
        <f>MAX(Table13[Rank])-Table13[[#This Row],[Rank]]</f>
        <v>217</v>
      </c>
      <c r="D219" t="s">
        <v>7</v>
      </c>
      <c r="E219" t="s">
        <v>336</v>
      </c>
      <c r="F219" s="1">
        <v>27746</v>
      </c>
      <c r="G219">
        <f>YEAR(Table13[[#This Row],[Date]])</f>
        <v>1975</v>
      </c>
      <c r="H219" t="s">
        <v>335</v>
      </c>
      <c r="I219">
        <f>IF(COUNTIF($E219, _xlfn.CONCAT("*",Table13[[#Headers],[Action]],"*")),1,0)</f>
        <v>0</v>
      </c>
      <c r="J219">
        <f>IF(COUNTIF($E219, _xlfn.CONCAT("*",Table13[[#Headers],[Adventure]],"*")),1,0)</f>
        <v>0</v>
      </c>
      <c r="K219">
        <f>IF(COUNTIF($E219, _xlfn.CONCAT("*",Table13[[#Headers],[Animation]],"*")),1,0)</f>
        <v>0</v>
      </c>
      <c r="L219">
        <f>IF(COUNTIF($E219, _xlfn.CONCAT("*",Table13[[#Headers],[Comedy]],"*")),1,0)</f>
        <v>0</v>
      </c>
      <c r="M219">
        <f>IF(COUNTIF($E219, _xlfn.CONCAT("*",Table13[[#Headers],[Crime]],"*")),1,0)</f>
        <v>0</v>
      </c>
      <c r="N219">
        <f>IF(COUNTIF($E219, _xlfn.CONCAT("*",Table13[[#Headers],[Documentary]],"*")),1,0)</f>
        <v>0</v>
      </c>
      <c r="O219">
        <f>IF(COUNTIF($E219, _xlfn.CONCAT("*",Table13[[#Headers],[Drama]],"*")),1,0)</f>
        <v>1</v>
      </c>
      <c r="P219">
        <f>IF(COUNTIF($E219, _xlfn.CONCAT("*",Table13[[#Headers],[Family]],"*")),1,0)</f>
        <v>0</v>
      </c>
      <c r="Q219">
        <f>IF(COUNTIF($E219, _xlfn.CONCAT("*",Table13[[#Headers],[Fantasy]],"*")),1,0)</f>
        <v>0</v>
      </c>
      <c r="R219">
        <f>IF(COUNTIF($E219, _xlfn.CONCAT("*",Table13[[#Headers],[History]],"*")),1,0)</f>
        <v>0</v>
      </c>
      <c r="S219">
        <f>IF(COUNTIF($E219, _xlfn.CONCAT("*",Table13[[#Headers],[Horror]],"*")),1,0)</f>
        <v>0</v>
      </c>
      <c r="T219">
        <f>IF(COUNTIF($E219, _xlfn.CONCAT("*",Table13[[#Headers],[Music]],"*")),1,0)</f>
        <v>0</v>
      </c>
      <c r="U219">
        <f>IF(COUNTIF($E219, _xlfn.CONCAT("*",Table13[[#Headers],[Mystery]],"*")),1,0)</f>
        <v>0</v>
      </c>
      <c r="V219">
        <f>IF(COUNTIF($E219, _xlfn.CONCAT("*",Table13[[#Headers],[Romance]],"*")),1,0)</f>
        <v>1</v>
      </c>
      <c r="W219">
        <f>IF(COUNTIF($E219, _xlfn.CONCAT("*",Table13[[#Headers],[Science Fiction]],"*")),1,0)</f>
        <v>0</v>
      </c>
      <c r="X219">
        <f>IF(COUNTIF($E219, _xlfn.CONCAT("*",Table13[[#Headers],[TV Movie]],"*")),1,0)</f>
        <v>0</v>
      </c>
      <c r="Y219">
        <f>IF(COUNTIF($E219, _xlfn.CONCAT("*",Table13[[#Headers],[Thriller]],"*")),1,0)</f>
        <v>0</v>
      </c>
      <c r="Z219">
        <f>IF(COUNTIF($E219, _xlfn.CONCAT("*",Table13[[#Headers],[War]],"*")),1,0)</f>
        <v>1</v>
      </c>
      <c r="AA219">
        <f>IF(COUNTIF($E219, _xlfn.CONCAT("*",Table13[[#Headers],[Western]],"*")),1,0)</f>
        <v>0</v>
      </c>
    </row>
    <row r="220" spans="1:27">
      <c r="A220" t="s">
        <v>337</v>
      </c>
      <c r="B220">
        <v>46</v>
      </c>
      <c r="C220">
        <f>MAX(Table13[Rank])-Table13[[#This Row],[Rank]]</f>
        <v>218</v>
      </c>
      <c r="D220" t="s">
        <v>7</v>
      </c>
      <c r="E220" t="s">
        <v>338</v>
      </c>
      <c r="F220" s="1">
        <v>21739</v>
      </c>
      <c r="G220">
        <f>YEAR(Table13[[#This Row],[Date]])</f>
        <v>1959</v>
      </c>
      <c r="H220" t="s">
        <v>337</v>
      </c>
      <c r="I220">
        <f>IF(COUNTIF($E220, _xlfn.CONCAT("*",Table13[[#Headers],[Action]],"*")),1,0)</f>
        <v>0</v>
      </c>
      <c r="J220">
        <f>IF(COUNTIF($E220, _xlfn.CONCAT("*",Table13[[#Headers],[Adventure]],"*")),1,0)</f>
        <v>1</v>
      </c>
      <c r="K220">
        <f>IF(COUNTIF($E220, _xlfn.CONCAT("*",Table13[[#Headers],[Animation]],"*")),1,0)</f>
        <v>0</v>
      </c>
      <c r="L220">
        <f>IF(COUNTIF($E220, _xlfn.CONCAT("*",Table13[[#Headers],[Comedy]],"*")),1,0)</f>
        <v>0</v>
      </c>
      <c r="M220">
        <f>IF(COUNTIF($E220, _xlfn.CONCAT("*",Table13[[#Headers],[Crime]],"*")),1,0)</f>
        <v>0</v>
      </c>
      <c r="N220">
        <f>IF(COUNTIF($E220, _xlfn.CONCAT("*",Table13[[#Headers],[Documentary]],"*")),1,0)</f>
        <v>0</v>
      </c>
      <c r="O220">
        <f>IF(COUNTIF($E220, _xlfn.CONCAT("*",Table13[[#Headers],[Drama]],"*")),1,0)</f>
        <v>0</v>
      </c>
      <c r="P220">
        <f>IF(COUNTIF($E220, _xlfn.CONCAT("*",Table13[[#Headers],[Family]],"*")),1,0)</f>
        <v>0</v>
      </c>
      <c r="Q220">
        <f>IF(COUNTIF($E220, _xlfn.CONCAT("*",Table13[[#Headers],[Fantasy]],"*")),1,0)</f>
        <v>0</v>
      </c>
      <c r="R220">
        <f>IF(COUNTIF($E220, _xlfn.CONCAT("*",Table13[[#Headers],[History]],"*")),1,0)</f>
        <v>0</v>
      </c>
      <c r="S220">
        <f>IF(COUNTIF($E220, _xlfn.CONCAT("*",Table13[[#Headers],[Horror]],"*")),1,0)</f>
        <v>0</v>
      </c>
      <c r="T220">
        <f>IF(COUNTIF($E220, _xlfn.CONCAT("*",Table13[[#Headers],[Music]],"*")),1,0)</f>
        <v>0</v>
      </c>
      <c r="U220">
        <f>IF(COUNTIF($E220, _xlfn.CONCAT("*",Table13[[#Headers],[Mystery]],"*")),1,0)</f>
        <v>1</v>
      </c>
      <c r="V220">
        <f>IF(COUNTIF($E220, _xlfn.CONCAT("*",Table13[[#Headers],[Romance]],"*")),1,0)</f>
        <v>0</v>
      </c>
      <c r="W220">
        <f>IF(COUNTIF($E220, _xlfn.CONCAT("*",Table13[[#Headers],[Science Fiction]],"*")),1,0)</f>
        <v>0</v>
      </c>
      <c r="X220">
        <f>IF(COUNTIF($E220, _xlfn.CONCAT("*",Table13[[#Headers],[TV Movie]],"*")),1,0)</f>
        <v>0</v>
      </c>
      <c r="Y220">
        <f>IF(COUNTIF($E220, _xlfn.CONCAT("*",Table13[[#Headers],[Thriller]],"*")),1,0)</f>
        <v>1</v>
      </c>
      <c r="Z220">
        <f>IF(COUNTIF($E220, _xlfn.CONCAT("*",Table13[[#Headers],[War]],"*")),1,0)</f>
        <v>0</v>
      </c>
      <c r="AA220">
        <f>IF(COUNTIF($E220, _xlfn.CONCAT("*",Table13[[#Headers],[Western]],"*")),1,0)</f>
        <v>0</v>
      </c>
    </row>
    <row r="221" spans="1:27">
      <c r="A221" t="s">
        <v>339</v>
      </c>
      <c r="B221">
        <v>45</v>
      </c>
      <c r="C221">
        <f>MAX(Table13[Rank])-Table13[[#This Row],[Rank]]</f>
        <v>219</v>
      </c>
      <c r="D221" t="s">
        <v>7</v>
      </c>
      <c r="E221" t="s">
        <v>340</v>
      </c>
      <c r="F221" s="1">
        <v>24358</v>
      </c>
      <c r="G221">
        <f>YEAR(Table13[[#This Row],[Date]])</f>
        <v>1966</v>
      </c>
      <c r="H221" t="s">
        <v>339</v>
      </c>
      <c r="I221">
        <f>IF(COUNTIF($E221, _xlfn.CONCAT("*",Table13[[#Headers],[Action]],"*")),1,0)</f>
        <v>0</v>
      </c>
      <c r="J221">
        <f>IF(COUNTIF($E221, _xlfn.CONCAT("*",Table13[[#Headers],[Adventure]],"*")),1,0)</f>
        <v>0</v>
      </c>
      <c r="K221">
        <f>IF(COUNTIF($E221, _xlfn.CONCAT("*",Table13[[#Headers],[Animation]],"*")),1,0)</f>
        <v>0</v>
      </c>
      <c r="L221">
        <f>IF(COUNTIF($E221, _xlfn.CONCAT("*",Table13[[#Headers],[Comedy]],"*")),1,0)</f>
        <v>0</v>
      </c>
      <c r="M221">
        <f>IF(COUNTIF($E221, _xlfn.CONCAT("*",Table13[[#Headers],[Crime]],"*")),1,0)</f>
        <v>0</v>
      </c>
      <c r="N221">
        <f>IF(COUNTIF($E221, _xlfn.CONCAT("*",Table13[[#Headers],[Documentary]],"*")),1,0)</f>
        <v>0</v>
      </c>
      <c r="O221">
        <f>IF(COUNTIF($E221, _xlfn.CONCAT("*",Table13[[#Headers],[Drama]],"*")),1,0)</f>
        <v>1</v>
      </c>
      <c r="P221">
        <f>IF(COUNTIF($E221, _xlfn.CONCAT("*",Table13[[#Headers],[Family]],"*")),1,0)</f>
        <v>0</v>
      </c>
      <c r="Q221">
        <f>IF(COUNTIF($E221, _xlfn.CONCAT("*",Table13[[#Headers],[Fantasy]],"*")),1,0)</f>
        <v>0</v>
      </c>
      <c r="R221">
        <f>IF(COUNTIF($E221, _xlfn.CONCAT("*",Table13[[#Headers],[History]],"*")),1,0)</f>
        <v>1</v>
      </c>
      <c r="S221">
        <f>IF(COUNTIF($E221, _xlfn.CONCAT("*",Table13[[#Headers],[Horror]],"*")),1,0)</f>
        <v>0</v>
      </c>
      <c r="T221">
        <f>IF(COUNTIF($E221, _xlfn.CONCAT("*",Table13[[#Headers],[Music]],"*")),1,0)</f>
        <v>0</v>
      </c>
      <c r="U221">
        <f>IF(COUNTIF($E221, _xlfn.CONCAT("*",Table13[[#Headers],[Mystery]],"*")),1,0)</f>
        <v>0</v>
      </c>
      <c r="V221">
        <f>IF(COUNTIF($E221, _xlfn.CONCAT("*",Table13[[#Headers],[Romance]],"*")),1,0)</f>
        <v>0</v>
      </c>
      <c r="W221">
        <f>IF(COUNTIF($E221, _xlfn.CONCAT("*",Table13[[#Headers],[Science Fiction]],"*")),1,0)</f>
        <v>0</v>
      </c>
      <c r="X221">
        <f>IF(COUNTIF($E221, _xlfn.CONCAT("*",Table13[[#Headers],[TV Movie]],"*")),1,0)</f>
        <v>0</v>
      </c>
      <c r="Y221">
        <f>IF(COUNTIF($E221, _xlfn.CONCAT("*",Table13[[#Headers],[Thriller]],"*")),1,0)</f>
        <v>0</v>
      </c>
      <c r="Z221">
        <f>IF(COUNTIF($E221, _xlfn.CONCAT("*",Table13[[#Headers],[War]],"*")),1,0)</f>
        <v>1</v>
      </c>
      <c r="AA221">
        <f>IF(COUNTIF($E221, _xlfn.CONCAT("*",Table13[[#Headers],[Western]],"*")),1,0)</f>
        <v>0</v>
      </c>
    </row>
    <row r="222" spans="1:27">
      <c r="A222" t="s">
        <v>341</v>
      </c>
      <c r="B222">
        <v>44</v>
      </c>
      <c r="C222">
        <f>MAX(Table13[Rank])-Table13[[#This Row],[Rank]]</f>
        <v>220</v>
      </c>
      <c r="D222" t="s">
        <v>7</v>
      </c>
      <c r="E222" t="s">
        <v>8</v>
      </c>
      <c r="F222" s="1">
        <v>29000</v>
      </c>
      <c r="G222">
        <f>YEAR(Table13[[#This Row],[Date]])</f>
        <v>1979</v>
      </c>
      <c r="H222" t="s">
        <v>341</v>
      </c>
      <c r="I222">
        <f>IF(COUNTIF($E222, _xlfn.CONCAT("*",Table13[[#Headers],[Action]],"*")),1,0)</f>
        <v>0</v>
      </c>
      <c r="J222">
        <f>IF(COUNTIF($E222, _xlfn.CONCAT("*",Table13[[#Headers],[Adventure]],"*")),1,0)</f>
        <v>0</v>
      </c>
      <c r="K222">
        <f>IF(COUNTIF($E222, _xlfn.CONCAT("*",Table13[[#Headers],[Animation]],"*")),1,0)</f>
        <v>0</v>
      </c>
      <c r="L222">
        <f>IF(COUNTIF($E222, _xlfn.CONCAT("*",Table13[[#Headers],[Comedy]],"*")),1,0)</f>
        <v>0</v>
      </c>
      <c r="M222">
        <f>IF(COUNTIF($E222, _xlfn.CONCAT("*",Table13[[#Headers],[Crime]],"*")),1,0)</f>
        <v>0</v>
      </c>
      <c r="N222">
        <f>IF(COUNTIF($E222, _xlfn.CONCAT("*",Table13[[#Headers],[Documentary]],"*")),1,0)</f>
        <v>0</v>
      </c>
      <c r="O222">
        <f>IF(COUNTIF($E222, _xlfn.CONCAT("*",Table13[[#Headers],[Drama]],"*")),1,0)</f>
        <v>1</v>
      </c>
      <c r="P222">
        <f>IF(COUNTIF($E222, _xlfn.CONCAT("*",Table13[[#Headers],[Family]],"*")),1,0)</f>
        <v>0</v>
      </c>
      <c r="Q222">
        <f>IF(COUNTIF($E222, _xlfn.CONCAT("*",Table13[[#Headers],[Fantasy]],"*")),1,0)</f>
        <v>0</v>
      </c>
      <c r="R222">
        <f>IF(COUNTIF($E222, _xlfn.CONCAT("*",Table13[[#Headers],[History]],"*")),1,0)</f>
        <v>0</v>
      </c>
      <c r="S222">
        <f>IF(COUNTIF($E222, _xlfn.CONCAT("*",Table13[[#Headers],[Horror]],"*")),1,0)</f>
        <v>0</v>
      </c>
      <c r="T222">
        <f>IF(COUNTIF($E222, _xlfn.CONCAT("*",Table13[[#Headers],[Music]],"*")),1,0)</f>
        <v>0</v>
      </c>
      <c r="U222">
        <f>IF(COUNTIF($E222, _xlfn.CONCAT("*",Table13[[#Headers],[Mystery]],"*")),1,0)</f>
        <v>0</v>
      </c>
      <c r="V222">
        <f>IF(COUNTIF($E222, _xlfn.CONCAT("*",Table13[[#Headers],[Romance]],"*")),1,0)</f>
        <v>0</v>
      </c>
      <c r="W222">
        <f>IF(COUNTIF($E222, _xlfn.CONCAT("*",Table13[[#Headers],[Science Fiction]],"*")),1,0)</f>
        <v>1</v>
      </c>
      <c r="X222">
        <f>IF(COUNTIF($E222, _xlfn.CONCAT("*",Table13[[#Headers],[TV Movie]],"*")),1,0)</f>
        <v>0</v>
      </c>
      <c r="Y222">
        <f>IF(COUNTIF($E222, _xlfn.CONCAT("*",Table13[[#Headers],[Thriller]],"*")),1,0)</f>
        <v>0</v>
      </c>
      <c r="Z222">
        <f>IF(COUNTIF($E222, _xlfn.CONCAT("*",Table13[[#Headers],[War]],"*")),1,0)</f>
        <v>0</v>
      </c>
      <c r="AA222">
        <f>IF(COUNTIF($E222, _xlfn.CONCAT("*",Table13[[#Headers],[Western]],"*")),1,0)</f>
        <v>0</v>
      </c>
    </row>
    <row r="223" spans="1:27">
      <c r="A223" t="s">
        <v>343</v>
      </c>
      <c r="B223">
        <v>43</v>
      </c>
      <c r="C223">
        <f>MAX(Table13[Rank])-Table13[[#This Row],[Rank]]</f>
        <v>221</v>
      </c>
      <c r="D223" t="s">
        <v>7</v>
      </c>
      <c r="E223" t="s">
        <v>21</v>
      </c>
      <c r="F223" s="1">
        <v>28808</v>
      </c>
      <c r="G223">
        <f>YEAR(Table13[[#This Row],[Date]])</f>
        <v>1978</v>
      </c>
      <c r="H223" t="s">
        <v>343</v>
      </c>
      <c r="I223">
        <f>IF(COUNTIF($E223, _xlfn.CONCAT("*",Table13[[#Headers],[Action]],"*")),1,0)</f>
        <v>0</v>
      </c>
      <c r="J223">
        <f>IF(COUNTIF($E223, _xlfn.CONCAT("*",Table13[[#Headers],[Adventure]],"*")),1,0)</f>
        <v>0</v>
      </c>
      <c r="K223">
        <f>IF(COUNTIF($E223, _xlfn.CONCAT("*",Table13[[#Headers],[Animation]],"*")),1,0)</f>
        <v>0</v>
      </c>
      <c r="L223">
        <f>IF(COUNTIF($E223, _xlfn.CONCAT("*",Table13[[#Headers],[Comedy]],"*")),1,0)</f>
        <v>0</v>
      </c>
      <c r="M223">
        <f>IF(COUNTIF($E223, _xlfn.CONCAT("*",Table13[[#Headers],[Crime]],"*")),1,0)</f>
        <v>0</v>
      </c>
      <c r="N223">
        <f>IF(COUNTIF($E223, _xlfn.CONCAT("*",Table13[[#Headers],[Documentary]],"*")),1,0)</f>
        <v>0</v>
      </c>
      <c r="O223">
        <f>IF(COUNTIF($E223, _xlfn.CONCAT("*",Table13[[#Headers],[Drama]],"*")),1,0)</f>
        <v>1</v>
      </c>
      <c r="P223">
        <f>IF(COUNTIF($E223, _xlfn.CONCAT("*",Table13[[#Headers],[Family]],"*")),1,0)</f>
        <v>0</v>
      </c>
      <c r="Q223">
        <f>IF(COUNTIF($E223, _xlfn.CONCAT("*",Table13[[#Headers],[Fantasy]],"*")),1,0)</f>
        <v>0</v>
      </c>
      <c r="R223">
        <f>IF(COUNTIF($E223, _xlfn.CONCAT("*",Table13[[#Headers],[History]],"*")),1,0)</f>
        <v>0</v>
      </c>
      <c r="S223">
        <f>IF(COUNTIF($E223, _xlfn.CONCAT("*",Table13[[#Headers],[Horror]],"*")),1,0)</f>
        <v>0</v>
      </c>
      <c r="T223">
        <f>IF(COUNTIF($E223, _xlfn.CONCAT("*",Table13[[#Headers],[Music]],"*")),1,0)</f>
        <v>0</v>
      </c>
      <c r="U223">
        <f>IF(COUNTIF($E223, _xlfn.CONCAT("*",Table13[[#Headers],[Mystery]],"*")),1,0)</f>
        <v>0</v>
      </c>
      <c r="V223">
        <f>IF(COUNTIF($E223, _xlfn.CONCAT("*",Table13[[#Headers],[Romance]],"*")),1,0)</f>
        <v>0</v>
      </c>
      <c r="W223">
        <f>IF(COUNTIF($E223, _xlfn.CONCAT("*",Table13[[#Headers],[Science Fiction]],"*")),1,0)</f>
        <v>0</v>
      </c>
      <c r="X223">
        <f>IF(COUNTIF($E223, _xlfn.CONCAT("*",Table13[[#Headers],[TV Movie]],"*")),1,0)</f>
        <v>0</v>
      </c>
      <c r="Y223">
        <f>IF(COUNTIF($E223, _xlfn.CONCAT("*",Table13[[#Headers],[Thriller]],"*")),1,0)</f>
        <v>0</v>
      </c>
      <c r="Z223">
        <f>IF(COUNTIF($E223, _xlfn.CONCAT("*",Table13[[#Headers],[War]],"*")),1,0)</f>
        <v>0</v>
      </c>
      <c r="AA223">
        <f>IF(COUNTIF($E223, _xlfn.CONCAT("*",Table13[[#Headers],[Western]],"*")),1,0)</f>
        <v>0</v>
      </c>
    </row>
    <row r="224" spans="1:27">
      <c r="A224" t="s">
        <v>344</v>
      </c>
      <c r="B224">
        <v>42</v>
      </c>
      <c r="C224">
        <f>MAX(Table13[Rank])-Table13[[#This Row],[Rank]]</f>
        <v>222</v>
      </c>
      <c r="D224" t="s">
        <v>7</v>
      </c>
      <c r="E224" t="s">
        <v>345</v>
      </c>
      <c r="F224" s="1">
        <v>18501</v>
      </c>
      <c r="G224">
        <f>YEAR(Table13[[#This Row],[Date]])</f>
        <v>1950</v>
      </c>
      <c r="H224" t="s">
        <v>344</v>
      </c>
      <c r="I224">
        <f>IF(COUNTIF($E224, _xlfn.CONCAT("*",Table13[[#Headers],[Action]],"*")),1,0)</f>
        <v>0</v>
      </c>
      <c r="J224">
        <f>IF(COUNTIF($E224, _xlfn.CONCAT("*",Table13[[#Headers],[Adventure]],"*")),1,0)</f>
        <v>0</v>
      </c>
      <c r="K224">
        <f>IF(COUNTIF($E224, _xlfn.CONCAT("*",Table13[[#Headers],[Animation]],"*")),1,0)</f>
        <v>0</v>
      </c>
      <c r="L224">
        <f>IF(COUNTIF($E224, _xlfn.CONCAT("*",Table13[[#Headers],[Comedy]],"*")),1,0)</f>
        <v>0</v>
      </c>
      <c r="M224">
        <f>IF(COUNTIF($E224, _xlfn.CONCAT("*",Table13[[#Headers],[Crime]],"*")),1,0)</f>
        <v>1</v>
      </c>
      <c r="N224">
        <f>IF(COUNTIF($E224, _xlfn.CONCAT("*",Table13[[#Headers],[Documentary]],"*")),1,0)</f>
        <v>0</v>
      </c>
      <c r="O224">
        <f>IF(COUNTIF($E224, _xlfn.CONCAT("*",Table13[[#Headers],[Drama]],"*")),1,0)</f>
        <v>1</v>
      </c>
      <c r="P224">
        <f>IF(COUNTIF($E224, _xlfn.CONCAT("*",Table13[[#Headers],[Family]],"*")),1,0)</f>
        <v>0</v>
      </c>
      <c r="Q224">
        <f>IF(COUNTIF($E224, _xlfn.CONCAT("*",Table13[[#Headers],[Fantasy]],"*")),1,0)</f>
        <v>0</v>
      </c>
      <c r="R224">
        <f>IF(COUNTIF($E224, _xlfn.CONCAT("*",Table13[[#Headers],[History]],"*")),1,0)</f>
        <v>0</v>
      </c>
      <c r="S224">
        <f>IF(COUNTIF($E224, _xlfn.CONCAT("*",Table13[[#Headers],[Horror]],"*")),1,0)</f>
        <v>0</v>
      </c>
      <c r="T224">
        <f>IF(COUNTIF($E224, _xlfn.CONCAT("*",Table13[[#Headers],[Music]],"*")),1,0)</f>
        <v>0</v>
      </c>
      <c r="U224">
        <f>IF(COUNTIF($E224, _xlfn.CONCAT("*",Table13[[#Headers],[Mystery]],"*")),1,0)</f>
        <v>1</v>
      </c>
      <c r="V224">
        <f>IF(COUNTIF($E224, _xlfn.CONCAT("*",Table13[[#Headers],[Romance]],"*")),1,0)</f>
        <v>0</v>
      </c>
      <c r="W224">
        <f>IF(COUNTIF($E224, _xlfn.CONCAT("*",Table13[[#Headers],[Science Fiction]],"*")),1,0)</f>
        <v>0</v>
      </c>
      <c r="X224">
        <f>IF(COUNTIF($E224, _xlfn.CONCAT("*",Table13[[#Headers],[TV Movie]],"*")),1,0)</f>
        <v>0</v>
      </c>
      <c r="Y224">
        <f>IF(COUNTIF($E224, _xlfn.CONCAT("*",Table13[[#Headers],[Thriller]],"*")),1,0)</f>
        <v>0</v>
      </c>
      <c r="Z224">
        <f>IF(COUNTIF($E224, _xlfn.CONCAT("*",Table13[[#Headers],[War]],"*")),1,0)</f>
        <v>0</v>
      </c>
      <c r="AA224">
        <f>IF(COUNTIF($E224, _xlfn.CONCAT("*",Table13[[#Headers],[Western]],"*")),1,0)</f>
        <v>0</v>
      </c>
    </row>
    <row r="225" spans="1:27">
      <c r="A225" t="s">
        <v>346</v>
      </c>
      <c r="B225">
        <v>41</v>
      </c>
      <c r="C225">
        <f>MAX(Table13[Rank])-Table13[[#This Row],[Rank]]</f>
        <v>223</v>
      </c>
      <c r="D225" t="s">
        <v>7</v>
      </c>
      <c r="E225" t="s">
        <v>21</v>
      </c>
      <c r="F225" s="1">
        <v>17861</v>
      </c>
      <c r="G225">
        <f>YEAR(Table13[[#This Row],[Date]])</f>
        <v>1948</v>
      </c>
      <c r="H225" t="s">
        <v>346</v>
      </c>
      <c r="I225">
        <f>IF(COUNTIF($E225, _xlfn.CONCAT("*",Table13[[#Headers],[Action]],"*")),1,0)</f>
        <v>0</v>
      </c>
      <c r="J225">
        <f>IF(COUNTIF($E225, _xlfn.CONCAT("*",Table13[[#Headers],[Adventure]],"*")),1,0)</f>
        <v>0</v>
      </c>
      <c r="K225">
        <f>IF(COUNTIF($E225, _xlfn.CONCAT("*",Table13[[#Headers],[Animation]],"*")),1,0)</f>
        <v>0</v>
      </c>
      <c r="L225">
        <f>IF(COUNTIF($E225, _xlfn.CONCAT("*",Table13[[#Headers],[Comedy]],"*")),1,0)</f>
        <v>0</v>
      </c>
      <c r="M225">
        <f>IF(COUNTIF($E225, _xlfn.CONCAT("*",Table13[[#Headers],[Crime]],"*")),1,0)</f>
        <v>0</v>
      </c>
      <c r="N225">
        <f>IF(COUNTIF($E225, _xlfn.CONCAT("*",Table13[[#Headers],[Documentary]],"*")),1,0)</f>
        <v>0</v>
      </c>
      <c r="O225">
        <f>IF(COUNTIF($E225, _xlfn.CONCAT("*",Table13[[#Headers],[Drama]],"*")),1,0)</f>
        <v>1</v>
      </c>
      <c r="P225">
        <f>IF(COUNTIF($E225, _xlfn.CONCAT("*",Table13[[#Headers],[Family]],"*")),1,0)</f>
        <v>0</v>
      </c>
      <c r="Q225">
        <f>IF(COUNTIF($E225, _xlfn.CONCAT("*",Table13[[#Headers],[Fantasy]],"*")),1,0)</f>
        <v>0</v>
      </c>
      <c r="R225">
        <f>IF(COUNTIF($E225, _xlfn.CONCAT("*",Table13[[#Headers],[History]],"*")),1,0)</f>
        <v>0</v>
      </c>
      <c r="S225">
        <f>IF(COUNTIF($E225, _xlfn.CONCAT("*",Table13[[#Headers],[Horror]],"*")),1,0)</f>
        <v>0</v>
      </c>
      <c r="T225">
        <f>IF(COUNTIF($E225, _xlfn.CONCAT("*",Table13[[#Headers],[Music]],"*")),1,0)</f>
        <v>0</v>
      </c>
      <c r="U225">
        <f>IF(COUNTIF($E225, _xlfn.CONCAT("*",Table13[[#Headers],[Mystery]],"*")),1,0)</f>
        <v>0</v>
      </c>
      <c r="V225">
        <f>IF(COUNTIF($E225, _xlfn.CONCAT("*",Table13[[#Headers],[Romance]],"*")),1,0)</f>
        <v>0</v>
      </c>
      <c r="W225">
        <f>IF(COUNTIF($E225, _xlfn.CONCAT("*",Table13[[#Headers],[Science Fiction]],"*")),1,0)</f>
        <v>0</v>
      </c>
      <c r="X225">
        <f>IF(COUNTIF($E225, _xlfn.CONCAT("*",Table13[[#Headers],[TV Movie]],"*")),1,0)</f>
        <v>0</v>
      </c>
      <c r="Y225">
        <f>IF(COUNTIF($E225, _xlfn.CONCAT("*",Table13[[#Headers],[Thriller]],"*")),1,0)</f>
        <v>0</v>
      </c>
      <c r="Z225">
        <f>IF(COUNTIF($E225, _xlfn.CONCAT("*",Table13[[#Headers],[War]],"*")),1,0)</f>
        <v>0</v>
      </c>
      <c r="AA225">
        <f>IF(COUNTIF($E225, _xlfn.CONCAT("*",Table13[[#Headers],[Western]],"*")),1,0)</f>
        <v>0</v>
      </c>
    </row>
    <row r="226" spans="1:27">
      <c r="A226" t="s">
        <v>347</v>
      </c>
      <c r="B226">
        <v>40</v>
      </c>
      <c r="C226">
        <f>MAX(Table13[Rank])-Table13[[#This Row],[Rank]]</f>
        <v>224</v>
      </c>
      <c r="D226" t="s">
        <v>7</v>
      </c>
      <c r="E226" t="s">
        <v>315</v>
      </c>
      <c r="F226" s="1">
        <v>19937</v>
      </c>
      <c r="G226">
        <f>YEAR(Table13[[#This Row],[Date]])</f>
        <v>1954</v>
      </c>
      <c r="H226" t="s">
        <v>347</v>
      </c>
      <c r="I226">
        <f>IF(COUNTIF($E226, _xlfn.CONCAT("*",Table13[[#Headers],[Action]],"*")),1,0)</f>
        <v>0</v>
      </c>
      <c r="J226">
        <f>IF(COUNTIF($E226, _xlfn.CONCAT("*",Table13[[#Headers],[Adventure]],"*")),1,0)</f>
        <v>0</v>
      </c>
      <c r="K226">
        <f>IF(COUNTIF($E226, _xlfn.CONCAT("*",Table13[[#Headers],[Animation]],"*")),1,0)</f>
        <v>0</v>
      </c>
      <c r="L226">
        <f>IF(COUNTIF($E226, _xlfn.CONCAT("*",Table13[[#Headers],[Comedy]],"*")),1,0)</f>
        <v>0</v>
      </c>
      <c r="M226">
        <f>IF(COUNTIF($E226, _xlfn.CONCAT("*",Table13[[#Headers],[Crime]],"*")),1,0)</f>
        <v>0</v>
      </c>
      <c r="N226">
        <f>IF(COUNTIF($E226, _xlfn.CONCAT("*",Table13[[#Headers],[Documentary]],"*")),1,0)</f>
        <v>0</v>
      </c>
      <c r="O226">
        <f>IF(COUNTIF($E226, _xlfn.CONCAT("*",Table13[[#Headers],[Drama]],"*")),1,0)</f>
        <v>0</v>
      </c>
      <c r="P226">
        <f>IF(COUNTIF($E226, _xlfn.CONCAT("*",Table13[[#Headers],[Family]],"*")),1,0)</f>
        <v>0</v>
      </c>
      <c r="Q226">
        <f>IF(COUNTIF($E226, _xlfn.CONCAT("*",Table13[[#Headers],[Fantasy]],"*")),1,0)</f>
        <v>0</v>
      </c>
      <c r="R226">
        <f>IF(COUNTIF($E226, _xlfn.CONCAT("*",Table13[[#Headers],[History]],"*")),1,0)</f>
        <v>0</v>
      </c>
      <c r="S226">
        <f>IF(COUNTIF($E226, _xlfn.CONCAT("*",Table13[[#Headers],[Horror]],"*")),1,0)</f>
        <v>0</v>
      </c>
      <c r="T226">
        <f>IF(COUNTIF($E226, _xlfn.CONCAT("*",Table13[[#Headers],[Music]],"*")),1,0)</f>
        <v>0</v>
      </c>
      <c r="U226">
        <f>IF(COUNTIF($E226, _xlfn.CONCAT("*",Table13[[#Headers],[Mystery]],"*")),1,0)</f>
        <v>1</v>
      </c>
      <c r="V226">
        <f>IF(COUNTIF($E226, _xlfn.CONCAT("*",Table13[[#Headers],[Romance]],"*")),1,0)</f>
        <v>0</v>
      </c>
      <c r="W226">
        <f>IF(COUNTIF($E226, _xlfn.CONCAT("*",Table13[[#Headers],[Science Fiction]],"*")),1,0)</f>
        <v>0</v>
      </c>
      <c r="X226">
        <f>IF(COUNTIF($E226, _xlfn.CONCAT("*",Table13[[#Headers],[TV Movie]],"*")),1,0)</f>
        <v>0</v>
      </c>
      <c r="Y226">
        <f>IF(COUNTIF($E226, _xlfn.CONCAT("*",Table13[[#Headers],[Thriller]],"*")),1,0)</f>
        <v>1</v>
      </c>
      <c r="Z226">
        <f>IF(COUNTIF($E226, _xlfn.CONCAT("*",Table13[[#Headers],[War]],"*")),1,0)</f>
        <v>0</v>
      </c>
      <c r="AA226">
        <f>IF(COUNTIF($E226, _xlfn.CONCAT("*",Table13[[#Headers],[Western]],"*")),1,0)</f>
        <v>0</v>
      </c>
    </row>
    <row r="227" spans="1:27">
      <c r="A227" t="s">
        <v>348</v>
      </c>
      <c r="B227">
        <v>39</v>
      </c>
      <c r="C227">
        <f>MAX(Table13[Rank])-Table13[[#This Row],[Rank]]</f>
        <v>225</v>
      </c>
      <c r="D227" t="s">
        <v>7</v>
      </c>
      <c r="E227" t="s">
        <v>166</v>
      </c>
      <c r="F227" s="1">
        <v>21991</v>
      </c>
      <c r="G227">
        <f>YEAR(Table13[[#This Row],[Date]])</f>
        <v>1960</v>
      </c>
      <c r="H227" t="s">
        <v>467</v>
      </c>
      <c r="I227">
        <f>IF(COUNTIF($E227, _xlfn.CONCAT("*",Table13[[#Headers],[Action]],"*")),1,0)</f>
        <v>0</v>
      </c>
      <c r="J227">
        <f>IF(COUNTIF($E227, _xlfn.CONCAT("*",Table13[[#Headers],[Adventure]],"*")),1,0)</f>
        <v>0</v>
      </c>
      <c r="K227">
        <f>IF(COUNTIF($E227, _xlfn.CONCAT("*",Table13[[#Headers],[Animation]],"*")),1,0)</f>
        <v>0</v>
      </c>
      <c r="L227">
        <f>IF(COUNTIF($E227, _xlfn.CONCAT("*",Table13[[#Headers],[Comedy]],"*")),1,0)</f>
        <v>0</v>
      </c>
      <c r="M227">
        <f>IF(COUNTIF($E227, _xlfn.CONCAT("*",Table13[[#Headers],[Crime]],"*")),1,0)</f>
        <v>1</v>
      </c>
      <c r="N227">
        <f>IF(COUNTIF($E227, _xlfn.CONCAT("*",Table13[[#Headers],[Documentary]],"*")),1,0)</f>
        <v>0</v>
      </c>
      <c r="O227">
        <f>IF(COUNTIF($E227, _xlfn.CONCAT("*",Table13[[#Headers],[Drama]],"*")),1,0)</f>
        <v>1</v>
      </c>
      <c r="P227">
        <f>IF(COUNTIF($E227, _xlfn.CONCAT("*",Table13[[#Headers],[Family]],"*")),1,0)</f>
        <v>0</v>
      </c>
      <c r="Q227">
        <f>IF(COUNTIF($E227, _xlfn.CONCAT("*",Table13[[#Headers],[Fantasy]],"*")),1,0)</f>
        <v>0</v>
      </c>
      <c r="R227">
        <f>IF(COUNTIF($E227, _xlfn.CONCAT("*",Table13[[#Headers],[History]],"*")),1,0)</f>
        <v>0</v>
      </c>
      <c r="S227">
        <f>IF(COUNTIF($E227, _xlfn.CONCAT("*",Table13[[#Headers],[Horror]],"*")),1,0)</f>
        <v>0</v>
      </c>
      <c r="T227">
        <f>IF(COUNTIF($E227, _xlfn.CONCAT("*",Table13[[#Headers],[Music]],"*")),1,0)</f>
        <v>0</v>
      </c>
      <c r="U227">
        <f>IF(COUNTIF($E227, _xlfn.CONCAT("*",Table13[[#Headers],[Mystery]],"*")),1,0)</f>
        <v>0</v>
      </c>
      <c r="V227">
        <f>IF(COUNTIF($E227, _xlfn.CONCAT("*",Table13[[#Headers],[Romance]],"*")),1,0)</f>
        <v>0</v>
      </c>
      <c r="W227">
        <f>IF(COUNTIF($E227, _xlfn.CONCAT("*",Table13[[#Headers],[Science Fiction]],"*")),1,0)</f>
        <v>0</v>
      </c>
      <c r="X227">
        <f>IF(COUNTIF($E227, _xlfn.CONCAT("*",Table13[[#Headers],[TV Movie]],"*")),1,0)</f>
        <v>0</v>
      </c>
      <c r="Y227">
        <f>IF(COUNTIF($E227, _xlfn.CONCAT("*",Table13[[#Headers],[Thriller]],"*")),1,0)</f>
        <v>0</v>
      </c>
      <c r="Z227">
        <f>IF(COUNTIF($E227, _xlfn.CONCAT("*",Table13[[#Headers],[War]],"*")),1,0)</f>
        <v>0</v>
      </c>
      <c r="AA227">
        <f>IF(COUNTIF($E227, _xlfn.CONCAT("*",Table13[[#Headers],[Western]],"*")),1,0)</f>
        <v>0</v>
      </c>
    </row>
    <row r="228" spans="1:27">
      <c r="A228" t="s">
        <v>349</v>
      </c>
      <c r="B228">
        <v>38</v>
      </c>
      <c r="C228">
        <f>MAX(Table13[Rank])-Table13[[#This Row],[Rank]]</f>
        <v>226</v>
      </c>
      <c r="D228" t="s">
        <v>7</v>
      </c>
      <c r="E228" t="s">
        <v>350</v>
      </c>
      <c r="F228" s="1">
        <v>21628</v>
      </c>
      <c r="G228">
        <f>YEAR(Table13[[#This Row],[Date]])</f>
        <v>1959</v>
      </c>
      <c r="H228" t="s">
        <v>349</v>
      </c>
      <c r="I228">
        <f>IF(COUNTIF($E228, _xlfn.CONCAT("*",Table13[[#Headers],[Action]],"*")),1,0)</f>
        <v>0</v>
      </c>
      <c r="J228">
        <f>IF(COUNTIF($E228, _xlfn.CONCAT("*",Table13[[#Headers],[Adventure]],"*")),1,0)</f>
        <v>0</v>
      </c>
      <c r="K228">
        <f>IF(COUNTIF($E228, _xlfn.CONCAT("*",Table13[[#Headers],[Animation]],"*")),1,0)</f>
        <v>0</v>
      </c>
      <c r="L228">
        <f>IF(COUNTIF($E228, _xlfn.CONCAT("*",Table13[[#Headers],[Comedy]],"*")),1,0)</f>
        <v>1</v>
      </c>
      <c r="M228">
        <f>IF(COUNTIF($E228, _xlfn.CONCAT("*",Table13[[#Headers],[Crime]],"*")),1,0)</f>
        <v>1</v>
      </c>
      <c r="N228">
        <f>IF(COUNTIF($E228, _xlfn.CONCAT("*",Table13[[#Headers],[Documentary]],"*")),1,0)</f>
        <v>0</v>
      </c>
      <c r="O228">
        <f>IF(COUNTIF($E228, _xlfn.CONCAT("*",Table13[[#Headers],[Drama]],"*")),1,0)</f>
        <v>0</v>
      </c>
      <c r="P228">
        <f>IF(COUNTIF($E228, _xlfn.CONCAT("*",Table13[[#Headers],[Family]],"*")),1,0)</f>
        <v>0</v>
      </c>
      <c r="Q228">
        <f>IF(COUNTIF($E228, _xlfn.CONCAT("*",Table13[[#Headers],[Fantasy]],"*")),1,0)</f>
        <v>0</v>
      </c>
      <c r="R228">
        <f>IF(COUNTIF($E228, _xlfn.CONCAT("*",Table13[[#Headers],[History]],"*")),1,0)</f>
        <v>0</v>
      </c>
      <c r="S228">
        <f>IF(COUNTIF($E228, _xlfn.CONCAT("*",Table13[[#Headers],[Horror]],"*")),1,0)</f>
        <v>0</v>
      </c>
      <c r="T228">
        <f>IF(COUNTIF($E228, _xlfn.CONCAT("*",Table13[[#Headers],[Music]],"*")),1,0)</f>
        <v>0</v>
      </c>
      <c r="U228">
        <f>IF(COUNTIF($E228, _xlfn.CONCAT("*",Table13[[#Headers],[Mystery]],"*")),1,0)</f>
        <v>0</v>
      </c>
      <c r="V228">
        <f>IF(COUNTIF($E228, _xlfn.CONCAT("*",Table13[[#Headers],[Romance]],"*")),1,0)</f>
        <v>1</v>
      </c>
      <c r="W228">
        <f>IF(COUNTIF($E228, _xlfn.CONCAT("*",Table13[[#Headers],[Science Fiction]],"*")),1,0)</f>
        <v>0</v>
      </c>
      <c r="X228">
        <f>IF(COUNTIF($E228, _xlfn.CONCAT("*",Table13[[#Headers],[TV Movie]],"*")),1,0)</f>
        <v>0</v>
      </c>
      <c r="Y228">
        <f>IF(COUNTIF($E228, _xlfn.CONCAT("*",Table13[[#Headers],[Thriller]],"*")),1,0)</f>
        <v>0</v>
      </c>
      <c r="Z228">
        <f>IF(COUNTIF($E228, _xlfn.CONCAT("*",Table13[[#Headers],[War]],"*")),1,0)</f>
        <v>0</v>
      </c>
      <c r="AA228">
        <f>IF(COUNTIF($E228, _xlfn.CONCAT("*",Table13[[#Headers],[Western]],"*")),1,0)</f>
        <v>0</v>
      </c>
    </row>
    <row r="229" spans="1:27">
      <c r="A229" t="s">
        <v>351</v>
      </c>
      <c r="B229">
        <v>37</v>
      </c>
      <c r="C229">
        <f>MAX(Table13[Rank])-Table13[[#This Row],[Rank]]</f>
        <v>227</v>
      </c>
      <c r="D229" t="s">
        <v>7</v>
      </c>
      <c r="E229" t="s">
        <v>35</v>
      </c>
      <c r="F229" s="1">
        <v>45085</v>
      </c>
      <c r="G229">
        <f>YEAR(Table13[[#This Row],[Date]])</f>
        <v>2023</v>
      </c>
      <c r="H229" t="s">
        <v>1290</v>
      </c>
      <c r="I229">
        <f>IF(COUNTIF($E229, _xlfn.CONCAT("*",Table13[[#Headers],[Action]],"*")),1,0)</f>
        <v>0</v>
      </c>
      <c r="J229">
        <f>IF(COUNTIF($E229, _xlfn.CONCAT("*",Table13[[#Headers],[Adventure]],"*")),1,0)</f>
        <v>0</v>
      </c>
      <c r="K229">
        <f>IF(COUNTIF($E229, _xlfn.CONCAT("*",Table13[[#Headers],[Animation]],"*")),1,0)</f>
        <v>0</v>
      </c>
      <c r="L229">
        <f>IF(COUNTIF($E229, _xlfn.CONCAT("*",Table13[[#Headers],[Comedy]],"*")),1,0)</f>
        <v>0</v>
      </c>
      <c r="M229">
        <f>IF(COUNTIF($E229, _xlfn.CONCAT("*",Table13[[#Headers],[Crime]],"*")),1,0)</f>
        <v>0</v>
      </c>
      <c r="N229">
        <f>IF(COUNTIF($E229, _xlfn.CONCAT("*",Table13[[#Headers],[Documentary]],"*")),1,0)</f>
        <v>0</v>
      </c>
      <c r="O229">
        <f>IF(COUNTIF($E229, _xlfn.CONCAT("*",Table13[[#Headers],[Drama]],"*")),1,0)</f>
        <v>1</v>
      </c>
      <c r="P229">
        <f>IF(COUNTIF($E229, _xlfn.CONCAT("*",Table13[[#Headers],[Family]],"*")),1,0)</f>
        <v>0</v>
      </c>
      <c r="Q229">
        <f>IF(COUNTIF($E229, _xlfn.CONCAT("*",Table13[[#Headers],[Fantasy]],"*")),1,0)</f>
        <v>0</v>
      </c>
      <c r="R229">
        <f>IF(COUNTIF($E229, _xlfn.CONCAT("*",Table13[[#Headers],[History]],"*")),1,0)</f>
        <v>0</v>
      </c>
      <c r="S229">
        <f>IF(COUNTIF($E229, _xlfn.CONCAT("*",Table13[[#Headers],[Horror]],"*")),1,0)</f>
        <v>0</v>
      </c>
      <c r="T229">
        <f>IF(COUNTIF($E229, _xlfn.CONCAT("*",Table13[[#Headers],[Music]],"*")),1,0)</f>
        <v>0</v>
      </c>
      <c r="U229">
        <f>IF(COUNTIF($E229, _xlfn.CONCAT("*",Table13[[#Headers],[Mystery]],"*")),1,0)</f>
        <v>0</v>
      </c>
      <c r="V229">
        <f>IF(COUNTIF($E229, _xlfn.CONCAT("*",Table13[[#Headers],[Romance]],"*")),1,0)</f>
        <v>1</v>
      </c>
      <c r="W229">
        <f>IF(COUNTIF($E229, _xlfn.CONCAT("*",Table13[[#Headers],[Science Fiction]],"*")),1,0)</f>
        <v>0</v>
      </c>
      <c r="X229">
        <f>IF(COUNTIF($E229, _xlfn.CONCAT("*",Table13[[#Headers],[TV Movie]],"*")),1,0)</f>
        <v>0</v>
      </c>
      <c r="Y229">
        <f>IF(COUNTIF($E229, _xlfn.CONCAT("*",Table13[[#Headers],[Thriller]],"*")),1,0)</f>
        <v>0</v>
      </c>
      <c r="Z229">
        <f>IF(COUNTIF($E229, _xlfn.CONCAT("*",Table13[[#Headers],[War]],"*")),1,0)</f>
        <v>0</v>
      </c>
      <c r="AA229">
        <f>IF(COUNTIF($E229, _xlfn.CONCAT("*",Table13[[#Headers],[Western]],"*")),1,0)</f>
        <v>0</v>
      </c>
    </row>
    <row r="230" spans="1:27">
      <c r="A230" t="s">
        <v>352</v>
      </c>
      <c r="B230">
        <v>36</v>
      </c>
      <c r="C230">
        <f>MAX(Table13[Rank])-Table13[[#This Row],[Rank]]</f>
        <v>228</v>
      </c>
      <c r="D230" t="s">
        <v>7</v>
      </c>
      <c r="E230" t="s">
        <v>353</v>
      </c>
      <c r="F230" s="1">
        <v>11355</v>
      </c>
      <c r="G230">
        <f>YEAR(Table13[[#This Row],[Date]])</f>
        <v>1931</v>
      </c>
      <c r="H230" t="s">
        <v>352</v>
      </c>
      <c r="I230">
        <f>IF(COUNTIF($E230, _xlfn.CONCAT("*",Table13[[#Headers],[Action]],"*")),1,0)</f>
        <v>0</v>
      </c>
      <c r="J230">
        <f>IF(COUNTIF($E230, _xlfn.CONCAT("*",Table13[[#Headers],[Adventure]],"*")),1,0)</f>
        <v>0</v>
      </c>
      <c r="K230">
        <f>IF(COUNTIF($E230, _xlfn.CONCAT("*",Table13[[#Headers],[Animation]],"*")),1,0)</f>
        <v>0</v>
      </c>
      <c r="L230">
        <f>IF(COUNTIF($E230, _xlfn.CONCAT("*",Table13[[#Headers],[Comedy]],"*")),1,0)</f>
        <v>1</v>
      </c>
      <c r="M230">
        <f>IF(COUNTIF($E230, _xlfn.CONCAT("*",Table13[[#Headers],[Crime]],"*")),1,0)</f>
        <v>0</v>
      </c>
      <c r="N230">
        <f>IF(COUNTIF($E230, _xlfn.CONCAT("*",Table13[[#Headers],[Documentary]],"*")),1,0)</f>
        <v>0</v>
      </c>
      <c r="O230">
        <f>IF(COUNTIF($E230, _xlfn.CONCAT("*",Table13[[#Headers],[Drama]],"*")),1,0)</f>
        <v>1</v>
      </c>
      <c r="P230">
        <f>IF(COUNTIF($E230, _xlfn.CONCAT("*",Table13[[#Headers],[Family]],"*")),1,0)</f>
        <v>0</v>
      </c>
      <c r="Q230">
        <f>IF(COUNTIF($E230, _xlfn.CONCAT("*",Table13[[#Headers],[Fantasy]],"*")),1,0)</f>
        <v>0</v>
      </c>
      <c r="R230">
        <f>IF(COUNTIF($E230, _xlfn.CONCAT("*",Table13[[#Headers],[History]],"*")),1,0)</f>
        <v>0</v>
      </c>
      <c r="S230">
        <f>IF(COUNTIF($E230, _xlfn.CONCAT("*",Table13[[#Headers],[Horror]],"*")),1,0)</f>
        <v>0</v>
      </c>
      <c r="T230">
        <f>IF(COUNTIF($E230, _xlfn.CONCAT("*",Table13[[#Headers],[Music]],"*")),1,0)</f>
        <v>0</v>
      </c>
      <c r="U230">
        <f>IF(COUNTIF($E230, _xlfn.CONCAT("*",Table13[[#Headers],[Mystery]],"*")),1,0)</f>
        <v>0</v>
      </c>
      <c r="V230">
        <f>IF(COUNTIF($E230, _xlfn.CONCAT("*",Table13[[#Headers],[Romance]],"*")),1,0)</f>
        <v>1</v>
      </c>
      <c r="W230">
        <f>IF(COUNTIF($E230, _xlfn.CONCAT("*",Table13[[#Headers],[Science Fiction]],"*")),1,0)</f>
        <v>0</v>
      </c>
      <c r="X230">
        <f>IF(COUNTIF($E230, _xlfn.CONCAT("*",Table13[[#Headers],[TV Movie]],"*")),1,0)</f>
        <v>0</v>
      </c>
      <c r="Y230">
        <f>IF(COUNTIF($E230, _xlfn.CONCAT("*",Table13[[#Headers],[Thriller]],"*")),1,0)</f>
        <v>0</v>
      </c>
      <c r="Z230">
        <f>IF(COUNTIF($E230, _xlfn.CONCAT("*",Table13[[#Headers],[War]],"*")),1,0)</f>
        <v>0</v>
      </c>
      <c r="AA230">
        <f>IF(COUNTIF($E230, _xlfn.CONCAT("*",Table13[[#Headers],[Western]],"*")),1,0)</f>
        <v>0</v>
      </c>
    </row>
    <row r="231" spans="1:27">
      <c r="A231" t="s">
        <v>354</v>
      </c>
      <c r="B231">
        <v>35</v>
      </c>
      <c r="C231">
        <f>MAX(Table13[Rank])-Table13[[#This Row],[Rank]]</f>
        <v>229</v>
      </c>
      <c r="D231" t="s">
        <v>7</v>
      </c>
      <c r="E231" t="s">
        <v>21</v>
      </c>
      <c r="F231" s="1">
        <v>20327</v>
      </c>
      <c r="G231">
        <f>YEAR(Table13[[#This Row],[Date]])</f>
        <v>1955</v>
      </c>
      <c r="H231" t="s">
        <v>354</v>
      </c>
      <c r="I231">
        <f>IF(COUNTIF($E231, _xlfn.CONCAT("*",Table13[[#Headers],[Action]],"*")),1,0)</f>
        <v>0</v>
      </c>
      <c r="J231">
        <f>IF(COUNTIF($E231, _xlfn.CONCAT("*",Table13[[#Headers],[Adventure]],"*")),1,0)</f>
        <v>0</v>
      </c>
      <c r="K231">
        <f>IF(COUNTIF($E231, _xlfn.CONCAT("*",Table13[[#Headers],[Animation]],"*")),1,0)</f>
        <v>0</v>
      </c>
      <c r="L231">
        <f>IF(COUNTIF($E231, _xlfn.CONCAT("*",Table13[[#Headers],[Comedy]],"*")),1,0)</f>
        <v>0</v>
      </c>
      <c r="M231">
        <f>IF(COUNTIF($E231, _xlfn.CONCAT("*",Table13[[#Headers],[Crime]],"*")),1,0)</f>
        <v>0</v>
      </c>
      <c r="N231">
        <f>IF(COUNTIF($E231, _xlfn.CONCAT("*",Table13[[#Headers],[Documentary]],"*")),1,0)</f>
        <v>0</v>
      </c>
      <c r="O231">
        <f>IF(COUNTIF($E231, _xlfn.CONCAT("*",Table13[[#Headers],[Drama]],"*")),1,0)</f>
        <v>1</v>
      </c>
      <c r="P231">
        <f>IF(COUNTIF($E231, _xlfn.CONCAT("*",Table13[[#Headers],[Family]],"*")),1,0)</f>
        <v>0</v>
      </c>
      <c r="Q231">
        <f>IF(COUNTIF($E231, _xlfn.CONCAT("*",Table13[[#Headers],[Fantasy]],"*")),1,0)</f>
        <v>0</v>
      </c>
      <c r="R231">
        <f>IF(COUNTIF($E231, _xlfn.CONCAT("*",Table13[[#Headers],[History]],"*")),1,0)</f>
        <v>0</v>
      </c>
      <c r="S231">
        <f>IF(COUNTIF($E231, _xlfn.CONCAT("*",Table13[[#Headers],[Horror]],"*")),1,0)</f>
        <v>0</v>
      </c>
      <c r="T231">
        <f>IF(COUNTIF($E231, _xlfn.CONCAT("*",Table13[[#Headers],[Music]],"*")),1,0)</f>
        <v>0</v>
      </c>
      <c r="U231">
        <f>IF(COUNTIF($E231, _xlfn.CONCAT("*",Table13[[#Headers],[Mystery]],"*")),1,0)</f>
        <v>0</v>
      </c>
      <c r="V231">
        <f>IF(COUNTIF($E231, _xlfn.CONCAT("*",Table13[[#Headers],[Romance]],"*")),1,0)</f>
        <v>0</v>
      </c>
      <c r="W231">
        <f>IF(COUNTIF($E231, _xlfn.CONCAT("*",Table13[[#Headers],[Science Fiction]],"*")),1,0)</f>
        <v>0</v>
      </c>
      <c r="X231">
        <f>IF(COUNTIF($E231, _xlfn.CONCAT("*",Table13[[#Headers],[TV Movie]],"*")),1,0)</f>
        <v>0</v>
      </c>
      <c r="Y231">
        <f>IF(COUNTIF($E231, _xlfn.CONCAT("*",Table13[[#Headers],[Thriller]],"*")),1,0)</f>
        <v>0</v>
      </c>
      <c r="Z231">
        <f>IF(COUNTIF($E231, _xlfn.CONCAT("*",Table13[[#Headers],[War]],"*")),1,0)</f>
        <v>0</v>
      </c>
      <c r="AA231">
        <f>IF(COUNTIF($E231, _xlfn.CONCAT("*",Table13[[#Headers],[Western]],"*")),1,0)</f>
        <v>0</v>
      </c>
    </row>
    <row r="232" spans="1:27">
      <c r="A232" t="s">
        <v>355</v>
      </c>
      <c r="B232">
        <v>34</v>
      </c>
      <c r="C232">
        <f>MAX(Table13[Rank])-Table13[[#This Row],[Rank]]</f>
        <v>230</v>
      </c>
      <c r="D232" t="s">
        <v>7</v>
      </c>
      <c r="E232" t="s">
        <v>71</v>
      </c>
      <c r="F232" s="1">
        <v>12533</v>
      </c>
      <c r="G232">
        <f>YEAR(Table13[[#This Row],[Date]])</f>
        <v>1934</v>
      </c>
      <c r="H232" t="s">
        <v>355</v>
      </c>
      <c r="I232">
        <f>IF(COUNTIF($E232, _xlfn.CONCAT("*",Table13[[#Headers],[Action]],"*")),1,0)</f>
        <v>0</v>
      </c>
      <c r="J232">
        <f>IF(COUNTIF($E232, _xlfn.CONCAT("*",Table13[[#Headers],[Adventure]],"*")),1,0)</f>
        <v>0</v>
      </c>
      <c r="K232">
        <f>IF(COUNTIF($E232, _xlfn.CONCAT("*",Table13[[#Headers],[Animation]],"*")),1,0)</f>
        <v>0</v>
      </c>
      <c r="L232">
        <f>IF(COUNTIF($E232, _xlfn.CONCAT("*",Table13[[#Headers],[Comedy]],"*")),1,0)</f>
        <v>1</v>
      </c>
      <c r="M232">
        <f>IF(COUNTIF($E232, _xlfn.CONCAT("*",Table13[[#Headers],[Crime]],"*")),1,0)</f>
        <v>0</v>
      </c>
      <c r="N232">
        <f>IF(COUNTIF($E232, _xlfn.CONCAT("*",Table13[[#Headers],[Documentary]],"*")),1,0)</f>
        <v>0</v>
      </c>
      <c r="O232">
        <f>IF(COUNTIF($E232, _xlfn.CONCAT("*",Table13[[#Headers],[Drama]],"*")),1,0)</f>
        <v>1</v>
      </c>
      <c r="P232">
        <f>IF(COUNTIF($E232, _xlfn.CONCAT("*",Table13[[#Headers],[Family]],"*")),1,0)</f>
        <v>0</v>
      </c>
      <c r="Q232">
        <f>IF(COUNTIF($E232, _xlfn.CONCAT("*",Table13[[#Headers],[Fantasy]],"*")),1,0)</f>
        <v>0</v>
      </c>
      <c r="R232">
        <f>IF(COUNTIF($E232, _xlfn.CONCAT("*",Table13[[#Headers],[History]],"*")),1,0)</f>
        <v>0</v>
      </c>
      <c r="S232">
        <f>IF(COUNTIF($E232, _xlfn.CONCAT("*",Table13[[#Headers],[Horror]],"*")),1,0)</f>
        <v>0</v>
      </c>
      <c r="T232">
        <f>IF(COUNTIF($E232, _xlfn.CONCAT("*",Table13[[#Headers],[Music]],"*")),1,0)</f>
        <v>0</v>
      </c>
      <c r="U232">
        <f>IF(COUNTIF($E232, _xlfn.CONCAT("*",Table13[[#Headers],[Mystery]],"*")),1,0)</f>
        <v>0</v>
      </c>
      <c r="V232">
        <f>IF(COUNTIF($E232, _xlfn.CONCAT("*",Table13[[#Headers],[Romance]],"*")),1,0)</f>
        <v>1</v>
      </c>
      <c r="W232">
        <f>IF(COUNTIF($E232, _xlfn.CONCAT("*",Table13[[#Headers],[Science Fiction]],"*")),1,0)</f>
        <v>0</v>
      </c>
      <c r="X232">
        <f>IF(COUNTIF($E232, _xlfn.CONCAT("*",Table13[[#Headers],[TV Movie]],"*")),1,0)</f>
        <v>0</v>
      </c>
      <c r="Y232">
        <f>IF(COUNTIF($E232, _xlfn.CONCAT("*",Table13[[#Headers],[Thriller]],"*")),1,0)</f>
        <v>0</v>
      </c>
      <c r="Z232">
        <f>IF(COUNTIF($E232, _xlfn.CONCAT("*",Table13[[#Headers],[War]],"*")),1,0)</f>
        <v>0</v>
      </c>
      <c r="AA232">
        <f>IF(COUNTIF($E232, _xlfn.CONCAT("*",Table13[[#Headers],[Western]],"*")),1,0)</f>
        <v>0</v>
      </c>
    </row>
    <row r="233" spans="1:27">
      <c r="A233" t="s">
        <v>356</v>
      </c>
      <c r="B233">
        <v>33</v>
      </c>
      <c r="C233">
        <f>MAX(Table13[Rank])-Table13[[#This Row],[Rank]]</f>
        <v>231</v>
      </c>
      <c r="D233" t="s">
        <v>7</v>
      </c>
      <c r="E233" t="s">
        <v>21</v>
      </c>
      <c r="F233" s="1">
        <v>23056</v>
      </c>
      <c r="G233">
        <f>YEAR(Table13[[#This Row],[Date]])</f>
        <v>1963</v>
      </c>
      <c r="H233" t="s">
        <v>356</v>
      </c>
      <c r="I233">
        <f>IF(COUNTIF($E233, _xlfn.CONCAT("*",Table13[[#Headers],[Action]],"*")),1,0)</f>
        <v>0</v>
      </c>
      <c r="J233">
        <f>IF(COUNTIF($E233, _xlfn.CONCAT("*",Table13[[#Headers],[Adventure]],"*")),1,0)</f>
        <v>0</v>
      </c>
      <c r="K233">
        <f>IF(COUNTIF($E233, _xlfn.CONCAT("*",Table13[[#Headers],[Animation]],"*")),1,0)</f>
        <v>0</v>
      </c>
      <c r="L233">
        <f>IF(COUNTIF($E233, _xlfn.CONCAT("*",Table13[[#Headers],[Comedy]],"*")),1,0)</f>
        <v>0</v>
      </c>
      <c r="M233">
        <f>IF(COUNTIF($E233, _xlfn.CONCAT("*",Table13[[#Headers],[Crime]],"*")),1,0)</f>
        <v>0</v>
      </c>
      <c r="N233">
        <f>IF(COUNTIF($E233, _xlfn.CONCAT("*",Table13[[#Headers],[Documentary]],"*")),1,0)</f>
        <v>0</v>
      </c>
      <c r="O233">
        <f>IF(COUNTIF($E233, _xlfn.CONCAT("*",Table13[[#Headers],[Drama]],"*")),1,0)</f>
        <v>1</v>
      </c>
      <c r="P233">
        <f>IF(COUNTIF($E233, _xlfn.CONCAT("*",Table13[[#Headers],[Family]],"*")),1,0)</f>
        <v>0</v>
      </c>
      <c r="Q233">
        <f>IF(COUNTIF($E233, _xlfn.CONCAT("*",Table13[[#Headers],[Fantasy]],"*")),1,0)</f>
        <v>0</v>
      </c>
      <c r="R233">
        <f>IF(COUNTIF($E233, _xlfn.CONCAT("*",Table13[[#Headers],[History]],"*")),1,0)</f>
        <v>0</v>
      </c>
      <c r="S233">
        <f>IF(COUNTIF($E233, _xlfn.CONCAT("*",Table13[[#Headers],[Horror]],"*")),1,0)</f>
        <v>0</v>
      </c>
      <c r="T233">
        <f>IF(COUNTIF($E233, _xlfn.CONCAT("*",Table13[[#Headers],[Music]],"*")),1,0)</f>
        <v>0</v>
      </c>
      <c r="U233">
        <f>IF(COUNTIF($E233, _xlfn.CONCAT("*",Table13[[#Headers],[Mystery]],"*")),1,0)</f>
        <v>0</v>
      </c>
      <c r="V233">
        <f>IF(COUNTIF($E233, _xlfn.CONCAT("*",Table13[[#Headers],[Romance]],"*")),1,0)</f>
        <v>0</v>
      </c>
      <c r="W233">
        <f>IF(COUNTIF($E233, _xlfn.CONCAT("*",Table13[[#Headers],[Science Fiction]],"*")),1,0)</f>
        <v>0</v>
      </c>
      <c r="X233">
        <f>IF(COUNTIF($E233, _xlfn.CONCAT("*",Table13[[#Headers],[TV Movie]],"*")),1,0)</f>
        <v>0</v>
      </c>
      <c r="Y233">
        <f>IF(COUNTIF($E233, _xlfn.CONCAT("*",Table13[[#Headers],[Thriller]],"*")),1,0)</f>
        <v>0</v>
      </c>
      <c r="Z233">
        <f>IF(COUNTIF($E233, _xlfn.CONCAT("*",Table13[[#Headers],[War]],"*")),1,0)</f>
        <v>0</v>
      </c>
      <c r="AA233">
        <f>IF(COUNTIF($E233, _xlfn.CONCAT("*",Table13[[#Headers],[Western]],"*")),1,0)</f>
        <v>0</v>
      </c>
    </row>
    <row r="234" spans="1:27">
      <c r="A234" t="s">
        <v>357</v>
      </c>
      <c r="B234">
        <v>32</v>
      </c>
      <c r="C234">
        <f>MAX(Table13[Rank])-Table13[[#This Row],[Rank]]</f>
        <v>232</v>
      </c>
      <c r="D234" t="s">
        <v>7</v>
      </c>
      <c r="E234" t="s">
        <v>358</v>
      </c>
      <c r="F234" s="1">
        <v>22089</v>
      </c>
      <c r="G234">
        <f>YEAR(Table13[[#This Row],[Date]])</f>
        <v>1960</v>
      </c>
      <c r="H234" t="s">
        <v>357</v>
      </c>
      <c r="I234">
        <f>IF(COUNTIF($E234, _xlfn.CONCAT("*",Table13[[#Headers],[Action]],"*")),1,0)</f>
        <v>0</v>
      </c>
      <c r="J234">
        <f>IF(COUNTIF($E234, _xlfn.CONCAT("*",Table13[[#Headers],[Adventure]],"*")),1,0)</f>
        <v>0</v>
      </c>
      <c r="K234">
        <f>IF(COUNTIF($E234, _xlfn.CONCAT("*",Table13[[#Headers],[Animation]],"*")),1,0)</f>
        <v>0</v>
      </c>
      <c r="L234">
        <f>IF(COUNTIF($E234, _xlfn.CONCAT("*",Table13[[#Headers],[Comedy]],"*")),1,0)</f>
        <v>0</v>
      </c>
      <c r="M234">
        <f>IF(COUNTIF($E234, _xlfn.CONCAT("*",Table13[[#Headers],[Crime]],"*")),1,0)</f>
        <v>0</v>
      </c>
      <c r="N234">
        <f>IF(COUNTIF($E234, _xlfn.CONCAT("*",Table13[[#Headers],[Documentary]],"*")),1,0)</f>
        <v>0</v>
      </c>
      <c r="O234">
        <f>IF(COUNTIF($E234, _xlfn.CONCAT("*",Table13[[#Headers],[Drama]],"*")),1,0)</f>
        <v>1</v>
      </c>
      <c r="P234">
        <f>IF(COUNTIF($E234, _xlfn.CONCAT("*",Table13[[#Headers],[Family]],"*")),1,0)</f>
        <v>0</v>
      </c>
      <c r="Q234">
        <f>IF(COUNTIF($E234, _xlfn.CONCAT("*",Table13[[#Headers],[Fantasy]],"*")),1,0)</f>
        <v>0</v>
      </c>
      <c r="R234">
        <f>IF(COUNTIF($E234, _xlfn.CONCAT("*",Table13[[#Headers],[History]],"*")),1,0)</f>
        <v>0</v>
      </c>
      <c r="S234">
        <f>IF(COUNTIF($E234, _xlfn.CONCAT("*",Table13[[#Headers],[Horror]],"*")),1,0)</f>
        <v>1</v>
      </c>
      <c r="T234">
        <f>IF(COUNTIF($E234, _xlfn.CONCAT("*",Table13[[#Headers],[Music]],"*")),1,0)</f>
        <v>0</v>
      </c>
      <c r="U234">
        <f>IF(COUNTIF($E234, _xlfn.CONCAT("*",Table13[[#Headers],[Mystery]],"*")),1,0)</f>
        <v>0</v>
      </c>
      <c r="V234">
        <f>IF(COUNTIF($E234, _xlfn.CONCAT("*",Table13[[#Headers],[Romance]],"*")),1,0)</f>
        <v>0</v>
      </c>
      <c r="W234">
        <f>IF(COUNTIF($E234, _xlfn.CONCAT("*",Table13[[#Headers],[Science Fiction]],"*")),1,0)</f>
        <v>0</v>
      </c>
      <c r="X234">
        <f>IF(COUNTIF($E234, _xlfn.CONCAT("*",Table13[[#Headers],[TV Movie]],"*")),1,0)</f>
        <v>0</v>
      </c>
      <c r="Y234">
        <f>IF(COUNTIF($E234, _xlfn.CONCAT("*",Table13[[#Headers],[Thriller]],"*")),1,0)</f>
        <v>1</v>
      </c>
      <c r="Z234">
        <f>IF(COUNTIF($E234, _xlfn.CONCAT("*",Table13[[#Headers],[War]],"*")),1,0)</f>
        <v>0</v>
      </c>
      <c r="AA234">
        <f>IF(COUNTIF($E234, _xlfn.CONCAT("*",Table13[[#Headers],[Western]],"*")),1,0)</f>
        <v>0</v>
      </c>
    </row>
    <row r="235" spans="1:27">
      <c r="A235" t="s">
        <v>359</v>
      </c>
      <c r="B235">
        <v>31</v>
      </c>
      <c r="C235">
        <f>MAX(Table13[Rank])-Table13[[#This Row],[Rank]]</f>
        <v>233</v>
      </c>
      <c r="D235" t="s">
        <v>7</v>
      </c>
      <c r="E235" t="s">
        <v>360</v>
      </c>
      <c r="F235" s="1">
        <v>42931</v>
      </c>
      <c r="G235">
        <f>YEAR(Table13[[#This Row],[Date]])</f>
        <v>2017</v>
      </c>
      <c r="H235" t="s">
        <v>359</v>
      </c>
      <c r="I235">
        <f>IF(COUNTIF($E235, _xlfn.CONCAT("*",Table13[[#Headers],[Action]],"*")),1,0)</f>
        <v>0</v>
      </c>
      <c r="J235">
        <f>IF(COUNTIF($E235, _xlfn.CONCAT("*",Table13[[#Headers],[Adventure]],"*")),1,0)</f>
        <v>0</v>
      </c>
      <c r="K235">
        <f>IF(COUNTIF($E235, _xlfn.CONCAT("*",Table13[[#Headers],[Animation]],"*")),1,0)</f>
        <v>0</v>
      </c>
      <c r="L235">
        <f>IF(COUNTIF($E235, _xlfn.CONCAT("*",Table13[[#Headers],[Comedy]],"*")),1,0)</f>
        <v>0</v>
      </c>
      <c r="M235">
        <f>IF(COUNTIF($E235, _xlfn.CONCAT("*",Table13[[#Headers],[Crime]],"*")),1,0)</f>
        <v>0</v>
      </c>
      <c r="N235">
        <f>IF(COUNTIF($E235, _xlfn.CONCAT("*",Table13[[#Headers],[Documentary]],"*")),1,0)</f>
        <v>0</v>
      </c>
      <c r="O235">
        <f>IF(COUNTIF($E235, _xlfn.CONCAT("*",Table13[[#Headers],[Drama]],"*")),1,0)</f>
        <v>1</v>
      </c>
      <c r="P235">
        <f>IF(COUNTIF($E235, _xlfn.CONCAT("*",Table13[[#Headers],[Family]],"*")),1,0)</f>
        <v>0</v>
      </c>
      <c r="Q235">
        <f>IF(COUNTIF($E235, _xlfn.CONCAT("*",Table13[[#Headers],[Fantasy]],"*")),1,0)</f>
        <v>0</v>
      </c>
      <c r="R235">
        <f>IF(COUNTIF($E235, _xlfn.CONCAT("*",Table13[[#Headers],[History]],"*")),1,0)</f>
        <v>0</v>
      </c>
      <c r="S235">
        <f>IF(COUNTIF($E235, _xlfn.CONCAT("*",Table13[[#Headers],[Horror]],"*")),1,0)</f>
        <v>0</v>
      </c>
      <c r="T235">
        <f>IF(COUNTIF($E235, _xlfn.CONCAT("*",Table13[[#Headers],[Music]],"*")),1,0)</f>
        <v>0</v>
      </c>
      <c r="U235">
        <f>IF(COUNTIF($E235, _xlfn.CONCAT("*",Table13[[#Headers],[Mystery]],"*")),1,0)</f>
        <v>0</v>
      </c>
      <c r="V235">
        <f>IF(COUNTIF($E235, _xlfn.CONCAT("*",Table13[[#Headers],[Romance]],"*")),1,0)</f>
        <v>1</v>
      </c>
      <c r="W235">
        <f>IF(COUNTIF($E235, _xlfn.CONCAT("*",Table13[[#Headers],[Science Fiction]],"*")),1,0)</f>
        <v>1</v>
      </c>
      <c r="X235">
        <f>IF(COUNTIF($E235, _xlfn.CONCAT("*",Table13[[#Headers],[TV Movie]],"*")),1,0)</f>
        <v>0</v>
      </c>
      <c r="Y235">
        <f>IF(COUNTIF($E235, _xlfn.CONCAT("*",Table13[[#Headers],[Thriller]],"*")),1,0)</f>
        <v>0</v>
      </c>
      <c r="Z235">
        <f>IF(COUNTIF($E235, _xlfn.CONCAT("*",Table13[[#Headers],[War]],"*")),1,0)</f>
        <v>0</v>
      </c>
      <c r="AA235">
        <f>IF(COUNTIF($E235, _xlfn.CONCAT("*",Table13[[#Headers],[Western]],"*")),1,0)</f>
        <v>0</v>
      </c>
    </row>
    <row r="236" spans="1:27">
      <c r="A236" t="s">
        <v>361</v>
      </c>
      <c r="B236">
        <v>30</v>
      </c>
      <c r="C236">
        <f>MAX(Table13[Rank])-Table13[[#This Row],[Rank]]</f>
        <v>234</v>
      </c>
      <c r="D236" t="s">
        <v>7</v>
      </c>
      <c r="E236" t="s">
        <v>35</v>
      </c>
      <c r="F236" s="1">
        <v>43633</v>
      </c>
      <c r="G236">
        <f>YEAR(Table13[[#This Row],[Date]])</f>
        <v>2019</v>
      </c>
      <c r="H236" t="s">
        <v>361</v>
      </c>
      <c r="I236">
        <f>IF(COUNTIF($E236, _xlfn.CONCAT("*",Table13[[#Headers],[Action]],"*")),1,0)</f>
        <v>0</v>
      </c>
      <c r="J236">
        <f>IF(COUNTIF($E236, _xlfn.CONCAT("*",Table13[[#Headers],[Adventure]],"*")),1,0)</f>
        <v>0</v>
      </c>
      <c r="K236">
        <f>IF(COUNTIF($E236, _xlfn.CONCAT("*",Table13[[#Headers],[Animation]],"*")),1,0)</f>
        <v>0</v>
      </c>
      <c r="L236">
        <f>IF(COUNTIF($E236, _xlfn.CONCAT("*",Table13[[#Headers],[Comedy]],"*")),1,0)</f>
        <v>0</v>
      </c>
      <c r="M236">
        <f>IF(COUNTIF($E236, _xlfn.CONCAT("*",Table13[[#Headers],[Crime]],"*")),1,0)</f>
        <v>0</v>
      </c>
      <c r="N236">
        <f>IF(COUNTIF($E236, _xlfn.CONCAT("*",Table13[[#Headers],[Documentary]],"*")),1,0)</f>
        <v>0</v>
      </c>
      <c r="O236">
        <f>IF(COUNTIF($E236, _xlfn.CONCAT("*",Table13[[#Headers],[Drama]],"*")),1,0)</f>
        <v>1</v>
      </c>
      <c r="P236">
        <f>IF(COUNTIF($E236, _xlfn.CONCAT("*",Table13[[#Headers],[Family]],"*")),1,0)</f>
        <v>0</v>
      </c>
      <c r="Q236">
        <f>IF(COUNTIF($E236, _xlfn.CONCAT("*",Table13[[#Headers],[Fantasy]],"*")),1,0)</f>
        <v>0</v>
      </c>
      <c r="R236">
        <f>IF(COUNTIF($E236, _xlfn.CONCAT("*",Table13[[#Headers],[History]],"*")),1,0)</f>
        <v>0</v>
      </c>
      <c r="S236">
        <f>IF(COUNTIF($E236, _xlfn.CONCAT("*",Table13[[#Headers],[Horror]],"*")),1,0)</f>
        <v>0</v>
      </c>
      <c r="T236">
        <f>IF(COUNTIF($E236, _xlfn.CONCAT("*",Table13[[#Headers],[Music]],"*")),1,0)</f>
        <v>0</v>
      </c>
      <c r="U236">
        <f>IF(COUNTIF($E236, _xlfn.CONCAT("*",Table13[[#Headers],[Mystery]],"*")),1,0)</f>
        <v>0</v>
      </c>
      <c r="V236">
        <f>IF(COUNTIF($E236, _xlfn.CONCAT("*",Table13[[#Headers],[Romance]],"*")),1,0)</f>
        <v>1</v>
      </c>
      <c r="W236">
        <f>IF(COUNTIF($E236, _xlfn.CONCAT("*",Table13[[#Headers],[Science Fiction]],"*")),1,0)</f>
        <v>0</v>
      </c>
      <c r="X236">
        <f>IF(COUNTIF($E236, _xlfn.CONCAT("*",Table13[[#Headers],[TV Movie]],"*")),1,0)</f>
        <v>0</v>
      </c>
      <c r="Y236">
        <f>IF(COUNTIF($E236, _xlfn.CONCAT("*",Table13[[#Headers],[Thriller]],"*")),1,0)</f>
        <v>0</v>
      </c>
      <c r="Z236">
        <f>IF(COUNTIF($E236, _xlfn.CONCAT("*",Table13[[#Headers],[War]],"*")),1,0)</f>
        <v>0</v>
      </c>
      <c r="AA236">
        <f>IF(COUNTIF($E236, _xlfn.CONCAT("*",Table13[[#Headers],[Western]],"*")),1,0)</f>
        <v>0</v>
      </c>
    </row>
    <row r="237" spans="1:27">
      <c r="A237" t="s">
        <v>362</v>
      </c>
      <c r="B237">
        <v>29</v>
      </c>
      <c r="C237">
        <f>MAX(Table13[Rank])-Table13[[#This Row],[Rank]]</f>
        <v>235</v>
      </c>
      <c r="D237" t="s">
        <v>7</v>
      </c>
      <c r="E237" t="s">
        <v>156</v>
      </c>
      <c r="F237" s="1">
        <v>27799</v>
      </c>
      <c r="G237">
        <f>YEAR(Table13[[#This Row],[Date]])</f>
        <v>1976</v>
      </c>
      <c r="H237" t="s">
        <v>362</v>
      </c>
      <c r="I237">
        <f>IF(COUNTIF($E237, _xlfn.CONCAT("*",Table13[[#Headers],[Action]],"*")),1,0)</f>
        <v>0</v>
      </c>
      <c r="J237">
        <f>IF(COUNTIF($E237, _xlfn.CONCAT("*",Table13[[#Headers],[Adventure]],"*")),1,0)</f>
        <v>0</v>
      </c>
      <c r="K237">
        <f>IF(COUNTIF($E237, _xlfn.CONCAT("*",Table13[[#Headers],[Animation]],"*")),1,0)</f>
        <v>0</v>
      </c>
      <c r="L237">
        <f>IF(COUNTIF($E237, _xlfn.CONCAT("*",Table13[[#Headers],[Comedy]],"*")),1,0)</f>
        <v>0</v>
      </c>
      <c r="M237">
        <f>IF(COUNTIF($E237, _xlfn.CONCAT("*",Table13[[#Headers],[Crime]],"*")),1,0)</f>
        <v>1</v>
      </c>
      <c r="N237">
        <f>IF(COUNTIF($E237, _xlfn.CONCAT("*",Table13[[#Headers],[Documentary]],"*")),1,0)</f>
        <v>0</v>
      </c>
      <c r="O237">
        <f>IF(COUNTIF($E237, _xlfn.CONCAT("*",Table13[[#Headers],[Drama]],"*")),1,0)</f>
        <v>1</v>
      </c>
      <c r="P237">
        <f>IF(COUNTIF($E237, _xlfn.CONCAT("*",Table13[[#Headers],[Family]],"*")),1,0)</f>
        <v>0</v>
      </c>
      <c r="Q237">
        <f>IF(COUNTIF($E237, _xlfn.CONCAT("*",Table13[[#Headers],[Fantasy]],"*")),1,0)</f>
        <v>0</v>
      </c>
      <c r="R237">
        <f>IF(COUNTIF($E237, _xlfn.CONCAT("*",Table13[[#Headers],[History]],"*")),1,0)</f>
        <v>0</v>
      </c>
      <c r="S237">
        <f>IF(COUNTIF($E237, _xlfn.CONCAT("*",Table13[[#Headers],[Horror]],"*")),1,0)</f>
        <v>0</v>
      </c>
      <c r="T237">
        <f>IF(COUNTIF($E237, _xlfn.CONCAT("*",Table13[[#Headers],[Music]],"*")),1,0)</f>
        <v>0</v>
      </c>
      <c r="U237">
        <f>IF(COUNTIF($E237, _xlfn.CONCAT("*",Table13[[#Headers],[Mystery]],"*")),1,0)</f>
        <v>0</v>
      </c>
      <c r="V237">
        <f>IF(COUNTIF($E237, _xlfn.CONCAT("*",Table13[[#Headers],[Romance]],"*")),1,0)</f>
        <v>0</v>
      </c>
      <c r="W237">
        <f>IF(COUNTIF($E237, _xlfn.CONCAT("*",Table13[[#Headers],[Science Fiction]],"*")),1,0)</f>
        <v>0</v>
      </c>
      <c r="X237">
        <f>IF(COUNTIF($E237, _xlfn.CONCAT("*",Table13[[#Headers],[TV Movie]],"*")),1,0)</f>
        <v>0</v>
      </c>
      <c r="Y237">
        <f>IF(COUNTIF($E237, _xlfn.CONCAT("*",Table13[[#Headers],[Thriller]],"*")),1,0)</f>
        <v>0</v>
      </c>
      <c r="Z237">
        <f>IF(COUNTIF($E237, _xlfn.CONCAT("*",Table13[[#Headers],[War]],"*")),1,0)</f>
        <v>0</v>
      </c>
      <c r="AA237">
        <f>IF(COUNTIF($E237, _xlfn.CONCAT("*",Table13[[#Headers],[Western]],"*")),1,0)</f>
        <v>0</v>
      </c>
    </row>
    <row r="238" spans="1:27">
      <c r="A238" t="s">
        <v>363</v>
      </c>
      <c r="B238">
        <v>28</v>
      </c>
      <c r="C238">
        <f>MAX(Table13[Rank])-Table13[[#This Row],[Rank]]</f>
        <v>236</v>
      </c>
      <c r="D238" t="s">
        <v>7</v>
      </c>
      <c r="E238" t="s">
        <v>129</v>
      </c>
      <c r="F238" s="1">
        <v>38718</v>
      </c>
      <c r="G238">
        <f>YEAR(Table13[[#This Row],[Date]])</f>
        <v>2006</v>
      </c>
      <c r="H238" t="s">
        <v>363</v>
      </c>
      <c r="I238">
        <f>IF(COUNTIF($E238, _xlfn.CONCAT("*",Table13[[#Headers],[Action]],"*")),1,0)</f>
        <v>0</v>
      </c>
      <c r="J238">
        <f>IF(COUNTIF($E238, _xlfn.CONCAT("*",Table13[[#Headers],[Adventure]],"*")),1,0)</f>
        <v>0</v>
      </c>
      <c r="K238">
        <f>IF(COUNTIF($E238, _xlfn.CONCAT("*",Table13[[#Headers],[Animation]],"*")),1,0)</f>
        <v>0</v>
      </c>
      <c r="L238">
        <f>IF(COUNTIF($E238, _xlfn.CONCAT("*",Table13[[#Headers],[Comedy]],"*")),1,0)</f>
        <v>0</v>
      </c>
      <c r="M238">
        <f>IF(COUNTIF($E238, _xlfn.CONCAT("*",Table13[[#Headers],[Crime]],"*")),1,0)</f>
        <v>0</v>
      </c>
      <c r="N238">
        <f>IF(COUNTIF($E238, _xlfn.CONCAT("*",Table13[[#Headers],[Documentary]],"*")),1,0)</f>
        <v>0</v>
      </c>
      <c r="O238">
        <f>IF(COUNTIF($E238, _xlfn.CONCAT("*",Table13[[#Headers],[Drama]],"*")),1,0)</f>
        <v>0</v>
      </c>
      <c r="P238">
        <f>IF(COUNTIF($E238, _xlfn.CONCAT("*",Table13[[#Headers],[Family]],"*")),1,0)</f>
        <v>0</v>
      </c>
      <c r="Q238">
        <f>IF(COUNTIF($E238, _xlfn.CONCAT("*",Table13[[#Headers],[Fantasy]],"*")),1,0)</f>
        <v>0</v>
      </c>
      <c r="R238">
        <f>IF(COUNTIF($E238, _xlfn.CONCAT("*",Table13[[#Headers],[History]],"*")),1,0)</f>
        <v>0</v>
      </c>
      <c r="S238">
        <f>IF(COUNTIF($E238, _xlfn.CONCAT("*",Table13[[#Headers],[Horror]],"*")),1,0)</f>
        <v>0</v>
      </c>
      <c r="T238">
        <f>IF(COUNTIF($E238, _xlfn.CONCAT("*",Table13[[#Headers],[Music]],"*")),1,0)</f>
        <v>0</v>
      </c>
      <c r="U238">
        <f>IF(COUNTIF($E238, _xlfn.CONCAT("*",Table13[[#Headers],[Mystery]],"*")),1,0)</f>
        <v>0</v>
      </c>
      <c r="V238">
        <f>IF(COUNTIF($E238, _xlfn.CONCAT("*",Table13[[#Headers],[Romance]],"*")),1,0)</f>
        <v>0</v>
      </c>
      <c r="W238">
        <f>IF(COUNTIF($E238, _xlfn.CONCAT("*",Table13[[#Headers],[Science Fiction]],"*")),1,0)</f>
        <v>0</v>
      </c>
      <c r="X238">
        <f>IF(COUNTIF($E238, _xlfn.CONCAT("*",Table13[[#Headers],[TV Movie]],"*")),1,0)</f>
        <v>0</v>
      </c>
      <c r="Y238">
        <f>IF(COUNTIF($E238, _xlfn.CONCAT("*",Table13[[#Headers],[Thriller]],"*")),1,0)</f>
        <v>0</v>
      </c>
      <c r="Z238">
        <f>IF(COUNTIF($E238, _xlfn.CONCAT("*",Table13[[#Headers],[War]],"*")),1,0)</f>
        <v>0</v>
      </c>
      <c r="AA238">
        <f>IF(COUNTIF($E238, _xlfn.CONCAT("*",Table13[[#Headers],[Western]],"*")),1,0)</f>
        <v>0</v>
      </c>
    </row>
    <row r="239" spans="1:27">
      <c r="A239" t="s">
        <v>364</v>
      </c>
      <c r="B239">
        <v>27</v>
      </c>
      <c r="C239">
        <f>MAX(Table13[Rank])-Table13[[#This Row],[Rank]]</f>
        <v>237</v>
      </c>
      <c r="D239" t="s">
        <v>7</v>
      </c>
      <c r="E239" t="s">
        <v>365</v>
      </c>
      <c r="F239" s="1">
        <v>31158</v>
      </c>
      <c r="G239">
        <f>YEAR(Table13[[#This Row],[Date]])</f>
        <v>1985</v>
      </c>
      <c r="H239" t="s">
        <v>364</v>
      </c>
      <c r="I239">
        <f>IF(COUNTIF($E239, _xlfn.CONCAT("*",Table13[[#Headers],[Action]],"*")),1,0)</f>
        <v>0</v>
      </c>
      <c r="J239">
        <f>IF(COUNTIF($E239, _xlfn.CONCAT("*",Table13[[#Headers],[Adventure]],"*")),1,0)</f>
        <v>0</v>
      </c>
      <c r="K239">
        <f>IF(COUNTIF($E239, _xlfn.CONCAT("*",Table13[[#Headers],[Animation]],"*")),1,0)</f>
        <v>0</v>
      </c>
      <c r="L239">
        <f>IF(COUNTIF($E239, _xlfn.CONCAT("*",Table13[[#Headers],[Comedy]],"*")),1,0)</f>
        <v>0</v>
      </c>
      <c r="M239">
        <f>IF(COUNTIF($E239, _xlfn.CONCAT("*",Table13[[#Headers],[Crime]],"*")),1,0)</f>
        <v>0</v>
      </c>
      <c r="N239">
        <f>IF(COUNTIF($E239, _xlfn.CONCAT("*",Table13[[#Headers],[Documentary]],"*")),1,0)</f>
        <v>1</v>
      </c>
      <c r="O239">
        <f>IF(COUNTIF($E239, _xlfn.CONCAT("*",Table13[[#Headers],[Drama]],"*")),1,0)</f>
        <v>0</v>
      </c>
      <c r="P239">
        <f>IF(COUNTIF($E239, _xlfn.CONCAT("*",Table13[[#Headers],[Family]],"*")),1,0)</f>
        <v>0</v>
      </c>
      <c r="Q239">
        <f>IF(COUNTIF($E239, _xlfn.CONCAT("*",Table13[[#Headers],[Fantasy]],"*")),1,0)</f>
        <v>0</v>
      </c>
      <c r="R239">
        <f>IF(COUNTIF($E239, _xlfn.CONCAT("*",Table13[[#Headers],[History]],"*")),1,0)</f>
        <v>1</v>
      </c>
      <c r="S239">
        <f>IF(COUNTIF($E239, _xlfn.CONCAT("*",Table13[[#Headers],[Horror]],"*")),1,0)</f>
        <v>0</v>
      </c>
      <c r="T239">
        <f>IF(COUNTIF($E239, _xlfn.CONCAT("*",Table13[[#Headers],[Music]],"*")),1,0)</f>
        <v>0</v>
      </c>
      <c r="U239">
        <f>IF(COUNTIF($E239, _xlfn.CONCAT("*",Table13[[#Headers],[Mystery]],"*")),1,0)</f>
        <v>0</v>
      </c>
      <c r="V239">
        <f>IF(COUNTIF($E239, _xlfn.CONCAT("*",Table13[[#Headers],[Romance]],"*")),1,0)</f>
        <v>0</v>
      </c>
      <c r="W239">
        <f>IF(COUNTIF($E239, _xlfn.CONCAT("*",Table13[[#Headers],[Science Fiction]],"*")),1,0)</f>
        <v>0</v>
      </c>
      <c r="X239">
        <f>IF(COUNTIF($E239, _xlfn.CONCAT("*",Table13[[#Headers],[TV Movie]],"*")),1,0)</f>
        <v>0</v>
      </c>
      <c r="Y239">
        <f>IF(COUNTIF($E239, _xlfn.CONCAT("*",Table13[[#Headers],[Thriller]],"*")),1,0)</f>
        <v>0</v>
      </c>
      <c r="Z239">
        <f>IF(COUNTIF($E239, _xlfn.CONCAT("*",Table13[[#Headers],[War]],"*")),1,0)</f>
        <v>0</v>
      </c>
      <c r="AA239">
        <f>IF(COUNTIF($E239, _xlfn.CONCAT("*",Table13[[#Headers],[Western]],"*")),1,0)</f>
        <v>0</v>
      </c>
    </row>
    <row r="240" spans="1:27">
      <c r="A240" t="s">
        <v>366</v>
      </c>
      <c r="B240">
        <v>26</v>
      </c>
      <c r="C240">
        <f>MAX(Table13[Rank])-Table13[[#This Row],[Rank]]</f>
        <v>238</v>
      </c>
      <c r="D240" t="s">
        <v>7</v>
      </c>
      <c r="E240" t="s">
        <v>367</v>
      </c>
      <c r="F240" s="1">
        <v>20327</v>
      </c>
      <c r="G240">
        <f>YEAR(Table13[[#This Row],[Date]])</f>
        <v>1955</v>
      </c>
      <c r="H240" t="s">
        <v>366</v>
      </c>
      <c r="I240">
        <f>IF(COUNTIF($E240, _xlfn.CONCAT("*",Table13[[#Headers],[Action]],"*")),1,0)</f>
        <v>0</v>
      </c>
      <c r="J240">
        <f>IF(COUNTIF($E240, _xlfn.CONCAT("*",Table13[[#Headers],[Adventure]],"*")),1,0)</f>
        <v>0</v>
      </c>
      <c r="K240">
        <f>IF(COUNTIF($E240, _xlfn.CONCAT("*",Table13[[#Headers],[Animation]],"*")),1,0)</f>
        <v>0</v>
      </c>
      <c r="L240">
        <f>IF(COUNTIF($E240, _xlfn.CONCAT("*",Table13[[#Headers],[Comedy]],"*")),1,0)</f>
        <v>0</v>
      </c>
      <c r="M240">
        <f>IF(COUNTIF($E240, _xlfn.CONCAT("*",Table13[[#Headers],[Crime]],"*")),1,0)</f>
        <v>1</v>
      </c>
      <c r="N240">
        <f>IF(COUNTIF($E240, _xlfn.CONCAT("*",Table13[[#Headers],[Documentary]],"*")),1,0)</f>
        <v>0</v>
      </c>
      <c r="O240">
        <f>IF(COUNTIF($E240, _xlfn.CONCAT("*",Table13[[#Headers],[Drama]],"*")),1,0)</f>
        <v>1</v>
      </c>
      <c r="P240">
        <f>IF(COUNTIF($E240, _xlfn.CONCAT("*",Table13[[#Headers],[Family]],"*")),1,0)</f>
        <v>0</v>
      </c>
      <c r="Q240">
        <f>IF(COUNTIF($E240, _xlfn.CONCAT("*",Table13[[#Headers],[Fantasy]],"*")),1,0)</f>
        <v>0</v>
      </c>
      <c r="R240">
        <f>IF(COUNTIF($E240, _xlfn.CONCAT("*",Table13[[#Headers],[History]],"*")),1,0)</f>
        <v>0</v>
      </c>
      <c r="S240">
        <f>IF(COUNTIF($E240, _xlfn.CONCAT("*",Table13[[#Headers],[Horror]],"*")),1,0)</f>
        <v>0</v>
      </c>
      <c r="T240">
        <f>IF(COUNTIF($E240, _xlfn.CONCAT("*",Table13[[#Headers],[Music]],"*")),1,0)</f>
        <v>0</v>
      </c>
      <c r="U240">
        <f>IF(COUNTIF($E240, _xlfn.CONCAT("*",Table13[[#Headers],[Mystery]],"*")),1,0)</f>
        <v>0</v>
      </c>
      <c r="V240">
        <f>IF(COUNTIF($E240, _xlfn.CONCAT("*",Table13[[#Headers],[Romance]],"*")),1,0)</f>
        <v>0</v>
      </c>
      <c r="W240">
        <f>IF(COUNTIF($E240, _xlfn.CONCAT("*",Table13[[#Headers],[Science Fiction]],"*")),1,0)</f>
        <v>0</v>
      </c>
      <c r="X240">
        <f>IF(COUNTIF($E240, _xlfn.CONCAT("*",Table13[[#Headers],[TV Movie]],"*")),1,0)</f>
        <v>0</v>
      </c>
      <c r="Y240">
        <f>IF(COUNTIF($E240, _xlfn.CONCAT("*",Table13[[#Headers],[Thriller]],"*")),1,0)</f>
        <v>1</v>
      </c>
      <c r="Z240">
        <f>IF(COUNTIF($E240, _xlfn.CONCAT("*",Table13[[#Headers],[War]],"*")),1,0)</f>
        <v>0</v>
      </c>
      <c r="AA240">
        <f>IF(COUNTIF($E240, _xlfn.CONCAT("*",Table13[[#Headers],[Western]],"*")),1,0)</f>
        <v>0</v>
      </c>
    </row>
    <row r="241" spans="1:27">
      <c r="A241" t="s">
        <v>368</v>
      </c>
      <c r="B241">
        <v>25</v>
      </c>
      <c r="C241">
        <f>MAX(Table13[Rank])-Table13[[#This Row],[Rank]]</f>
        <v>239</v>
      </c>
      <c r="D241" t="s">
        <v>7</v>
      </c>
      <c r="E241" t="s">
        <v>21</v>
      </c>
      <c r="F241" s="1">
        <v>24252</v>
      </c>
      <c r="G241">
        <f>YEAR(Table13[[#This Row],[Date]])</f>
        <v>1966</v>
      </c>
      <c r="H241" t="s">
        <v>1291</v>
      </c>
      <c r="I241">
        <f>IF(COUNTIF($E241, _xlfn.CONCAT("*",Table13[[#Headers],[Action]],"*")),1,0)</f>
        <v>0</v>
      </c>
      <c r="J241">
        <f>IF(COUNTIF($E241, _xlfn.CONCAT("*",Table13[[#Headers],[Adventure]],"*")),1,0)</f>
        <v>0</v>
      </c>
      <c r="K241">
        <f>IF(COUNTIF($E241, _xlfn.CONCAT("*",Table13[[#Headers],[Animation]],"*")),1,0)</f>
        <v>0</v>
      </c>
      <c r="L241">
        <f>IF(COUNTIF($E241, _xlfn.CONCAT("*",Table13[[#Headers],[Comedy]],"*")),1,0)</f>
        <v>0</v>
      </c>
      <c r="M241">
        <f>IF(COUNTIF($E241, _xlfn.CONCAT("*",Table13[[#Headers],[Crime]],"*")),1,0)</f>
        <v>0</v>
      </c>
      <c r="N241">
        <f>IF(COUNTIF($E241, _xlfn.CONCAT("*",Table13[[#Headers],[Documentary]],"*")),1,0)</f>
        <v>0</v>
      </c>
      <c r="O241">
        <f>IF(COUNTIF($E241, _xlfn.CONCAT("*",Table13[[#Headers],[Drama]],"*")),1,0)</f>
        <v>1</v>
      </c>
      <c r="P241">
        <f>IF(COUNTIF($E241, _xlfn.CONCAT("*",Table13[[#Headers],[Family]],"*")),1,0)</f>
        <v>0</v>
      </c>
      <c r="Q241">
        <f>IF(COUNTIF($E241, _xlfn.CONCAT("*",Table13[[#Headers],[Fantasy]],"*")),1,0)</f>
        <v>0</v>
      </c>
      <c r="R241">
        <f>IF(COUNTIF($E241, _xlfn.CONCAT("*",Table13[[#Headers],[History]],"*")),1,0)</f>
        <v>0</v>
      </c>
      <c r="S241">
        <f>IF(COUNTIF($E241, _xlfn.CONCAT("*",Table13[[#Headers],[Horror]],"*")),1,0)</f>
        <v>0</v>
      </c>
      <c r="T241">
        <f>IF(COUNTIF($E241, _xlfn.CONCAT("*",Table13[[#Headers],[Music]],"*")),1,0)</f>
        <v>0</v>
      </c>
      <c r="U241">
        <f>IF(COUNTIF($E241, _xlfn.CONCAT("*",Table13[[#Headers],[Mystery]],"*")),1,0)</f>
        <v>0</v>
      </c>
      <c r="V241">
        <f>IF(COUNTIF($E241, _xlfn.CONCAT("*",Table13[[#Headers],[Romance]],"*")),1,0)</f>
        <v>0</v>
      </c>
      <c r="W241">
        <f>IF(COUNTIF($E241, _xlfn.CONCAT("*",Table13[[#Headers],[Science Fiction]],"*")),1,0)</f>
        <v>0</v>
      </c>
      <c r="X241">
        <f>IF(COUNTIF($E241, _xlfn.CONCAT("*",Table13[[#Headers],[TV Movie]],"*")),1,0)</f>
        <v>0</v>
      </c>
      <c r="Y241">
        <f>IF(COUNTIF($E241, _xlfn.CONCAT("*",Table13[[#Headers],[Thriller]],"*")),1,0)</f>
        <v>0</v>
      </c>
      <c r="Z241">
        <f>IF(COUNTIF($E241, _xlfn.CONCAT("*",Table13[[#Headers],[War]],"*")),1,0)</f>
        <v>0</v>
      </c>
      <c r="AA241">
        <f>IF(COUNTIF($E241, _xlfn.CONCAT("*",Table13[[#Headers],[Western]],"*")),1,0)</f>
        <v>0</v>
      </c>
    </row>
    <row r="242" spans="1:27">
      <c r="A242" t="s">
        <v>369</v>
      </c>
      <c r="B242">
        <v>24</v>
      </c>
      <c r="C242">
        <f>MAX(Table13[Rank])-Table13[[#This Row],[Rank]]</f>
        <v>240</v>
      </c>
      <c r="D242" t="s">
        <v>7</v>
      </c>
      <c r="E242" t="s">
        <v>21</v>
      </c>
      <c r="F242" s="1">
        <v>32673</v>
      </c>
      <c r="G242">
        <f>YEAR(Table13[[#This Row],[Date]])</f>
        <v>1989</v>
      </c>
      <c r="H242" t="s">
        <v>369</v>
      </c>
      <c r="I242">
        <f>IF(COUNTIF($E242, _xlfn.CONCAT("*",Table13[[#Headers],[Action]],"*")),1,0)</f>
        <v>0</v>
      </c>
      <c r="J242">
        <f>IF(COUNTIF($E242, _xlfn.CONCAT("*",Table13[[#Headers],[Adventure]],"*")),1,0)</f>
        <v>0</v>
      </c>
      <c r="K242">
        <f>IF(COUNTIF($E242, _xlfn.CONCAT("*",Table13[[#Headers],[Animation]],"*")),1,0)</f>
        <v>0</v>
      </c>
      <c r="L242">
        <f>IF(COUNTIF($E242, _xlfn.CONCAT("*",Table13[[#Headers],[Comedy]],"*")),1,0)</f>
        <v>0</v>
      </c>
      <c r="M242">
        <f>IF(COUNTIF($E242, _xlfn.CONCAT("*",Table13[[#Headers],[Crime]],"*")),1,0)</f>
        <v>0</v>
      </c>
      <c r="N242">
        <f>IF(COUNTIF($E242, _xlfn.CONCAT("*",Table13[[#Headers],[Documentary]],"*")),1,0)</f>
        <v>0</v>
      </c>
      <c r="O242">
        <f>IF(COUNTIF($E242, _xlfn.CONCAT("*",Table13[[#Headers],[Drama]],"*")),1,0)</f>
        <v>1</v>
      </c>
      <c r="P242">
        <f>IF(COUNTIF($E242, _xlfn.CONCAT("*",Table13[[#Headers],[Family]],"*")),1,0)</f>
        <v>0</v>
      </c>
      <c r="Q242">
        <f>IF(COUNTIF($E242, _xlfn.CONCAT("*",Table13[[#Headers],[Fantasy]],"*")),1,0)</f>
        <v>0</v>
      </c>
      <c r="R242">
        <f>IF(COUNTIF($E242, _xlfn.CONCAT("*",Table13[[#Headers],[History]],"*")),1,0)</f>
        <v>0</v>
      </c>
      <c r="S242">
        <f>IF(COUNTIF($E242, _xlfn.CONCAT("*",Table13[[#Headers],[Horror]],"*")),1,0)</f>
        <v>0</v>
      </c>
      <c r="T242">
        <f>IF(COUNTIF($E242, _xlfn.CONCAT("*",Table13[[#Headers],[Music]],"*")),1,0)</f>
        <v>0</v>
      </c>
      <c r="U242">
        <f>IF(COUNTIF($E242, _xlfn.CONCAT("*",Table13[[#Headers],[Mystery]],"*")),1,0)</f>
        <v>0</v>
      </c>
      <c r="V242">
        <f>IF(COUNTIF($E242, _xlfn.CONCAT("*",Table13[[#Headers],[Romance]],"*")),1,0)</f>
        <v>0</v>
      </c>
      <c r="W242">
        <f>IF(COUNTIF($E242, _xlfn.CONCAT("*",Table13[[#Headers],[Science Fiction]],"*")),1,0)</f>
        <v>0</v>
      </c>
      <c r="X242">
        <f>IF(COUNTIF($E242, _xlfn.CONCAT("*",Table13[[#Headers],[TV Movie]],"*")),1,0)</f>
        <v>0</v>
      </c>
      <c r="Y242">
        <f>IF(COUNTIF($E242, _xlfn.CONCAT("*",Table13[[#Headers],[Thriller]],"*")),1,0)</f>
        <v>0</v>
      </c>
      <c r="Z242">
        <f>IF(COUNTIF($E242, _xlfn.CONCAT("*",Table13[[#Headers],[War]],"*")),1,0)</f>
        <v>0</v>
      </c>
      <c r="AA242">
        <f>IF(COUNTIF($E242, _xlfn.CONCAT("*",Table13[[#Headers],[Western]],"*")),1,0)</f>
        <v>0</v>
      </c>
    </row>
    <row r="243" spans="1:27">
      <c r="A243" t="s">
        <v>370</v>
      </c>
      <c r="B243">
        <v>23</v>
      </c>
      <c r="C243">
        <f>MAX(Table13[Rank])-Table13[[#This Row],[Rank]]</f>
        <v>241</v>
      </c>
      <c r="D243" t="s">
        <v>7</v>
      </c>
      <c r="E243" t="s">
        <v>44</v>
      </c>
      <c r="F243" s="1">
        <v>24822</v>
      </c>
      <c r="G243">
        <f>YEAR(Table13[[#This Row],[Date]])</f>
        <v>1967</v>
      </c>
      <c r="H243" t="s">
        <v>371</v>
      </c>
      <c r="I243">
        <f>IF(COUNTIF($E243, _xlfn.CONCAT("*",Table13[[#Headers],[Action]],"*")),1,0)</f>
        <v>0</v>
      </c>
      <c r="J243">
        <f>IF(COUNTIF($E243, _xlfn.CONCAT("*",Table13[[#Headers],[Adventure]],"*")),1,0)</f>
        <v>0</v>
      </c>
      <c r="K243">
        <f>IF(COUNTIF($E243, _xlfn.CONCAT("*",Table13[[#Headers],[Animation]],"*")),1,0)</f>
        <v>0</v>
      </c>
      <c r="L243">
        <f>IF(COUNTIF($E243, _xlfn.CONCAT("*",Table13[[#Headers],[Comedy]],"*")),1,0)</f>
        <v>1</v>
      </c>
      <c r="M243">
        <f>IF(COUNTIF($E243, _xlfn.CONCAT("*",Table13[[#Headers],[Crime]],"*")),1,0)</f>
        <v>0</v>
      </c>
      <c r="N243">
        <f>IF(COUNTIF($E243, _xlfn.CONCAT("*",Table13[[#Headers],[Documentary]],"*")),1,0)</f>
        <v>0</v>
      </c>
      <c r="O243">
        <f>IF(COUNTIF($E243, _xlfn.CONCAT("*",Table13[[#Headers],[Drama]],"*")),1,0)</f>
        <v>0</v>
      </c>
      <c r="P243">
        <f>IF(COUNTIF($E243, _xlfn.CONCAT("*",Table13[[#Headers],[Family]],"*")),1,0)</f>
        <v>0</v>
      </c>
      <c r="Q243">
        <f>IF(COUNTIF($E243, _xlfn.CONCAT("*",Table13[[#Headers],[Fantasy]],"*")),1,0)</f>
        <v>0</v>
      </c>
      <c r="R243">
        <f>IF(COUNTIF($E243, _xlfn.CONCAT("*",Table13[[#Headers],[History]],"*")),1,0)</f>
        <v>0</v>
      </c>
      <c r="S243">
        <f>IF(COUNTIF($E243, _xlfn.CONCAT("*",Table13[[#Headers],[Horror]],"*")),1,0)</f>
        <v>0</v>
      </c>
      <c r="T243">
        <f>IF(COUNTIF($E243, _xlfn.CONCAT("*",Table13[[#Headers],[Music]],"*")),1,0)</f>
        <v>0</v>
      </c>
      <c r="U243">
        <f>IF(COUNTIF($E243, _xlfn.CONCAT("*",Table13[[#Headers],[Mystery]],"*")),1,0)</f>
        <v>0</v>
      </c>
      <c r="V243">
        <f>IF(COUNTIF($E243, _xlfn.CONCAT("*",Table13[[#Headers],[Romance]],"*")),1,0)</f>
        <v>0</v>
      </c>
      <c r="W243">
        <f>IF(COUNTIF($E243, _xlfn.CONCAT("*",Table13[[#Headers],[Science Fiction]],"*")),1,0)</f>
        <v>0</v>
      </c>
      <c r="X243">
        <f>IF(COUNTIF($E243, _xlfn.CONCAT("*",Table13[[#Headers],[TV Movie]],"*")),1,0)</f>
        <v>0</v>
      </c>
      <c r="Y243">
        <f>IF(COUNTIF($E243, _xlfn.CONCAT("*",Table13[[#Headers],[Thriller]],"*")),1,0)</f>
        <v>0</v>
      </c>
      <c r="Z243">
        <f>IF(COUNTIF($E243, _xlfn.CONCAT("*",Table13[[#Headers],[War]],"*")),1,0)</f>
        <v>0</v>
      </c>
      <c r="AA243">
        <f>IF(COUNTIF($E243, _xlfn.CONCAT("*",Table13[[#Headers],[Western]],"*")),1,0)</f>
        <v>0</v>
      </c>
    </row>
    <row r="244" spans="1:27">
      <c r="A244" t="s">
        <v>372</v>
      </c>
      <c r="B244">
        <v>22</v>
      </c>
      <c r="C244">
        <f>MAX(Table13[Rank])-Table13[[#This Row],[Rank]]</f>
        <v>242</v>
      </c>
      <c r="D244" t="s">
        <v>7</v>
      </c>
      <c r="E244" t="s">
        <v>21</v>
      </c>
      <c r="F244" s="1">
        <v>18154</v>
      </c>
      <c r="G244">
        <f>YEAR(Table13[[#This Row],[Date]])</f>
        <v>1949</v>
      </c>
      <c r="H244" t="s">
        <v>372</v>
      </c>
      <c r="I244">
        <f>IF(COUNTIF($E244, _xlfn.CONCAT("*",Table13[[#Headers],[Action]],"*")),1,0)</f>
        <v>0</v>
      </c>
      <c r="J244">
        <f>IF(COUNTIF($E244, _xlfn.CONCAT("*",Table13[[#Headers],[Adventure]],"*")),1,0)</f>
        <v>0</v>
      </c>
      <c r="K244">
        <f>IF(COUNTIF($E244, _xlfn.CONCAT("*",Table13[[#Headers],[Animation]],"*")),1,0)</f>
        <v>0</v>
      </c>
      <c r="L244">
        <f>IF(COUNTIF($E244, _xlfn.CONCAT("*",Table13[[#Headers],[Comedy]],"*")),1,0)</f>
        <v>0</v>
      </c>
      <c r="M244">
        <f>IF(COUNTIF($E244, _xlfn.CONCAT("*",Table13[[#Headers],[Crime]],"*")),1,0)</f>
        <v>0</v>
      </c>
      <c r="N244">
        <f>IF(COUNTIF($E244, _xlfn.CONCAT("*",Table13[[#Headers],[Documentary]],"*")),1,0)</f>
        <v>0</v>
      </c>
      <c r="O244">
        <f>IF(COUNTIF($E244, _xlfn.CONCAT("*",Table13[[#Headers],[Drama]],"*")),1,0)</f>
        <v>1</v>
      </c>
      <c r="P244">
        <f>IF(COUNTIF($E244, _xlfn.CONCAT("*",Table13[[#Headers],[Family]],"*")),1,0)</f>
        <v>0</v>
      </c>
      <c r="Q244">
        <f>IF(COUNTIF($E244, _xlfn.CONCAT("*",Table13[[#Headers],[Fantasy]],"*")),1,0)</f>
        <v>0</v>
      </c>
      <c r="R244">
        <f>IF(COUNTIF($E244, _xlfn.CONCAT("*",Table13[[#Headers],[History]],"*")),1,0)</f>
        <v>0</v>
      </c>
      <c r="S244">
        <f>IF(COUNTIF($E244, _xlfn.CONCAT("*",Table13[[#Headers],[Horror]],"*")),1,0)</f>
        <v>0</v>
      </c>
      <c r="T244">
        <f>IF(COUNTIF($E244, _xlfn.CONCAT("*",Table13[[#Headers],[Music]],"*")),1,0)</f>
        <v>0</v>
      </c>
      <c r="U244">
        <f>IF(COUNTIF($E244, _xlfn.CONCAT("*",Table13[[#Headers],[Mystery]],"*")),1,0)</f>
        <v>0</v>
      </c>
      <c r="V244">
        <f>IF(COUNTIF($E244, _xlfn.CONCAT("*",Table13[[#Headers],[Romance]],"*")),1,0)</f>
        <v>0</v>
      </c>
      <c r="W244">
        <f>IF(COUNTIF($E244, _xlfn.CONCAT("*",Table13[[#Headers],[Science Fiction]],"*")),1,0)</f>
        <v>0</v>
      </c>
      <c r="X244">
        <f>IF(COUNTIF($E244, _xlfn.CONCAT("*",Table13[[#Headers],[TV Movie]],"*")),1,0)</f>
        <v>0</v>
      </c>
      <c r="Y244">
        <f>IF(COUNTIF($E244, _xlfn.CONCAT("*",Table13[[#Headers],[Thriller]],"*")),1,0)</f>
        <v>0</v>
      </c>
      <c r="Z244">
        <f>IF(COUNTIF($E244, _xlfn.CONCAT("*",Table13[[#Headers],[War]],"*")),1,0)</f>
        <v>0</v>
      </c>
      <c r="AA244">
        <f>IF(COUNTIF($E244, _xlfn.CONCAT("*",Table13[[#Headers],[Western]],"*")),1,0)</f>
        <v>0</v>
      </c>
    </row>
    <row r="245" spans="1:27">
      <c r="A245" t="s">
        <v>373</v>
      </c>
      <c r="B245">
        <v>21</v>
      </c>
      <c r="C245">
        <f>MAX(Table13[Rank])-Table13[[#This Row],[Rank]]</f>
        <v>243</v>
      </c>
      <c r="D245" t="s">
        <v>7</v>
      </c>
      <c r="E245" t="s">
        <v>109</v>
      </c>
      <c r="F245" s="1">
        <v>10339</v>
      </c>
      <c r="G245">
        <f>YEAR(Table13[[#This Row],[Date]])</f>
        <v>1928</v>
      </c>
      <c r="H245" t="s">
        <v>373</v>
      </c>
      <c r="I245">
        <f>IF(COUNTIF($E245, _xlfn.CONCAT("*",Table13[[#Headers],[Action]],"*")),1,0)</f>
        <v>0</v>
      </c>
      <c r="J245">
        <f>IF(COUNTIF($E245, _xlfn.CONCAT("*",Table13[[#Headers],[Adventure]],"*")),1,0)</f>
        <v>0</v>
      </c>
      <c r="K245">
        <f>IF(COUNTIF($E245, _xlfn.CONCAT("*",Table13[[#Headers],[Animation]],"*")),1,0)</f>
        <v>0</v>
      </c>
      <c r="L245">
        <f>IF(COUNTIF($E245, _xlfn.CONCAT("*",Table13[[#Headers],[Comedy]],"*")),1,0)</f>
        <v>0</v>
      </c>
      <c r="M245">
        <f>IF(COUNTIF($E245, _xlfn.CONCAT("*",Table13[[#Headers],[Crime]],"*")),1,0)</f>
        <v>0</v>
      </c>
      <c r="N245">
        <f>IF(COUNTIF($E245, _xlfn.CONCAT("*",Table13[[#Headers],[Documentary]],"*")),1,0)</f>
        <v>0</v>
      </c>
      <c r="O245">
        <f>IF(COUNTIF($E245, _xlfn.CONCAT("*",Table13[[#Headers],[Drama]],"*")),1,0)</f>
        <v>1</v>
      </c>
      <c r="P245">
        <f>IF(COUNTIF($E245, _xlfn.CONCAT("*",Table13[[#Headers],[Family]],"*")),1,0)</f>
        <v>0</v>
      </c>
      <c r="Q245">
        <f>IF(COUNTIF($E245, _xlfn.CONCAT("*",Table13[[#Headers],[Fantasy]],"*")),1,0)</f>
        <v>0</v>
      </c>
      <c r="R245">
        <f>IF(COUNTIF($E245, _xlfn.CONCAT("*",Table13[[#Headers],[History]],"*")),1,0)</f>
        <v>1</v>
      </c>
      <c r="S245">
        <f>IF(COUNTIF($E245, _xlfn.CONCAT("*",Table13[[#Headers],[Horror]],"*")),1,0)</f>
        <v>0</v>
      </c>
      <c r="T245">
        <f>IF(COUNTIF($E245, _xlfn.CONCAT("*",Table13[[#Headers],[Music]],"*")),1,0)</f>
        <v>0</v>
      </c>
      <c r="U245">
        <f>IF(COUNTIF($E245, _xlfn.CONCAT("*",Table13[[#Headers],[Mystery]],"*")),1,0)</f>
        <v>0</v>
      </c>
      <c r="V245">
        <f>IF(COUNTIF($E245, _xlfn.CONCAT("*",Table13[[#Headers],[Romance]],"*")),1,0)</f>
        <v>0</v>
      </c>
      <c r="W245">
        <f>IF(COUNTIF($E245, _xlfn.CONCAT("*",Table13[[#Headers],[Science Fiction]],"*")),1,0)</f>
        <v>0</v>
      </c>
      <c r="X245">
        <f>IF(COUNTIF($E245, _xlfn.CONCAT("*",Table13[[#Headers],[TV Movie]],"*")),1,0)</f>
        <v>0</v>
      </c>
      <c r="Y245">
        <f>IF(COUNTIF($E245, _xlfn.CONCAT("*",Table13[[#Headers],[Thriller]],"*")),1,0)</f>
        <v>0</v>
      </c>
      <c r="Z245">
        <f>IF(COUNTIF($E245, _xlfn.CONCAT("*",Table13[[#Headers],[War]],"*")),1,0)</f>
        <v>0</v>
      </c>
      <c r="AA245">
        <f>IF(COUNTIF($E245, _xlfn.CONCAT("*",Table13[[#Headers],[Western]],"*")),1,0)</f>
        <v>0</v>
      </c>
    </row>
    <row r="246" spans="1:27">
      <c r="A246" t="s">
        <v>374</v>
      </c>
      <c r="B246">
        <v>20</v>
      </c>
      <c r="C246">
        <f>MAX(Table13[Rank])-Table13[[#This Row],[Rank]]</f>
        <v>244</v>
      </c>
      <c r="D246" t="s">
        <v>7</v>
      </c>
      <c r="E246" t="s">
        <v>375</v>
      </c>
      <c r="F246" s="1">
        <v>19840</v>
      </c>
      <c r="G246">
        <f>YEAR(Table13[[#This Row],[Date]])</f>
        <v>1954</v>
      </c>
      <c r="H246" t="s">
        <v>374</v>
      </c>
      <c r="I246">
        <f>IF(COUNTIF($E246, _xlfn.CONCAT("*",Table13[[#Headers],[Action]],"*")),1,0)</f>
        <v>1</v>
      </c>
      <c r="J246">
        <f>IF(COUNTIF($E246, _xlfn.CONCAT("*",Table13[[#Headers],[Adventure]],"*")),1,0)</f>
        <v>0</v>
      </c>
      <c r="K246">
        <f>IF(COUNTIF($E246, _xlfn.CONCAT("*",Table13[[#Headers],[Animation]],"*")),1,0)</f>
        <v>0</v>
      </c>
      <c r="L246">
        <f>IF(COUNTIF($E246, _xlfn.CONCAT("*",Table13[[#Headers],[Comedy]],"*")),1,0)</f>
        <v>0</v>
      </c>
      <c r="M246">
        <f>IF(COUNTIF($E246, _xlfn.CONCAT("*",Table13[[#Headers],[Crime]],"*")),1,0)</f>
        <v>0</v>
      </c>
      <c r="N246">
        <f>IF(COUNTIF($E246, _xlfn.CONCAT("*",Table13[[#Headers],[Documentary]],"*")),1,0)</f>
        <v>0</v>
      </c>
      <c r="O246">
        <f>IF(COUNTIF($E246, _xlfn.CONCAT("*",Table13[[#Headers],[Drama]],"*")),1,0)</f>
        <v>1</v>
      </c>
      <c r="P246">
        <f>IF(COUNTIF($E246, _xlfn.CONCAT("*",Table13[[#Headers],[Family]],"*")),1,0)</f>
        <v>0</v>
      </c>
      <c r="Q246">
        <f>IF(COUNTIF($E246, _xlfn.CONCAT("*",Table13[[#Headers],[Fantasy]],"*")),1,0)</f>
        <v>0</v>
      </c>
      <c r="R246">
        <f>IF(COUNTIF($E246, _xlfn.CONCAT("*",Table13[[#Headers],[History]],"*")),1,0)</f>
        <v>0</v>
      </c>
      <c r="S246">
        <f>IF(COUNTIF($E246, _xlfn.CONCAT("*",Table13[[#Headers],[Horror]],"*")),1,0)</f>
        <v>0</v>
      </c>
      <c r="T246">
        <f>IF(COUNTIF($E246, _xlfn.CONCAT("*",Table13[[#Headers],[Music]],"*")),1,0)</f>
        <v>0</v>
      </c>
      <c r="U246">
        <f>IF(COUNTIF($E246, _xlfn.CONCAT("*",Table13[[#Headers],[Mystery]],"*")),1,0)</f>
        <v>0</v>
      </c>
      <c r="V246">
        <f>IF(COUNTIF($E246, _xlfn.CONCAT("*",Table13[[#Headers],[Romance]],"*")),1,0)</f>
        <v>0</v>
      </c>
      <c r="W246">
        <f>IF(COUNTIF($E246, _xlfn.CONCAT("*",Table13[[#Headers],[Science Fiction]],"*")),1,0)</f>
        <v>0</v>
      </c>
      <c r="X246">
        <f>IF(COUNTIF($E246, _xlfn.CONCAT("*",Table13[[#Headers],[TV Movie]],"*")),1,0)</f>
        <v>0</v>
      </c>
      <c r="Y246">
        <f>IF(COUNTIF($E246, _xlfn.CONCAT("*",Table13[[#Headers],[Thriller]],"*")),1,0)</f>
        <v>0</v>
      </c>
      <c r="Z246">
        <f>IF(COUNTIF($E246, _xlfn.CONCAT("*",Table13[[#Headers],[War]],"*")),1,0)</f>
        <v>0</v>
      </c>
      <c r="AA246">
        <f>IF(COUNTIF($E246, _xlfn.CONCAT("*",Table13[[#Headers],[Western]],"*")),1,0)</f>
        <v>0</v>
      </c>
    </row>
    <row r="247" spans="1:27">
      <c r="A247" t="s">
        <v>376</v>
      </c>
      <c r="B247">
        <v>19</v>
      </c>
      <c r="C247">
        <f>MAX(Table13[Rank])-Table13[[#This Row],[Rank]]</f>
        <v>245</v>
      </c>
      <c r="D247" t="s">
        <v>7</v>
      </c>
      <c r="E247" t="s">
        <v>81</v>
      </c>
      <c r="F247" s="1">
        <v>29082</v>
      </c>
      <c r="G247">
        <f>YEAR(Table13[[#This Row],[Date]])</f>
        <v>1979</v>
      </c>
      <c r="H247" t="s">
        <v>376</v>
      </c>
      <c r="I247">
        <f>IF(COUNTIF($E247, _xlfn.CONCAT("*",Table13[[#Headers],[Action]],"*")),1,0)</f>
        <v>0</v>
      </c>
      <c r="J247">
        <f>IF(COUNTIF($E247, _xlfn.CONCAT("*",Table13[[#Headers],[Adventure]],"*")),1,0)</f>
        <v>0</v>
      </c>
      <c r="K247">
        <f>IF(COUNTIF($E247, _xlfn.CONCAT("*",Table13[[#Headers],[Animation]],"*")),1,0)</f>
        <v>0</v>
      </c>
      <c r="L247">
        <f>IF(COUNTIF($E247, _xlfn.CONCAT("*",Table13[[#Headers],[Comedy]],"*")),1,0)</f>
        <v>0</v>
      </c>
      <c r="M247">
        <f>IF(COUNTIF($E247, _xlfn.CONCAT("*",Table13[[#Headers],[Crime]],"*")),1,0)</f>
        <v>0</v>
      </c>
      <c r="N247">
        <f>IF(COUNTIF($E247, _xlfn.CONCAT("*",Table13[[#Headers],[Documentary]],"*")),1,0)</f>
        <v>0</v>
      </c>
      <c r="O247">
        <f>IF(COUNTIF($E247, _xlfn.CONCAT("*",Table13[[#Headers],[Drama]],"*")),1,0)</f>
        <v>1</v>
      </c>
      <c r="P247">
        <f>IF(COUNTIF($E247, _xlfn.CONCAT("*",Table13[[#Headers],[Family]],"*")),1,0)</f>
        <v>0</v>
      </c>
      <c r="Q247">
        <f>IF(COUNTIF($E247, _xlfn.CONCAT("*",Table13[[#Headers],[Fantasy]],"*")),1,0)</f>
        <v>0</v>
      </c>
      <c r="R247">
        <f>IF(COUNTIF($E247, _xlfn.CONCAT("*",Table13[[#Headers],[History]],"*")),1,0)</f>
        <v>0</v>
      </c>
      <c r="S247">
        <f>IF(COUNTIF($E247, _xlfn.CONCAT("*",Table13[[#Headers],[Horror]],"*")),1,0)</f>
        <v>0</v>
      </c>
      <c r="T247">
        <f>IF(COUNTIF($E247, _xlfn.CONCAT("*",Table13[[#Headers],[Music]],"*")),1,0)</f>
        <v>0</v>
      </c>
      <c r="U247">
        <f>IF(COUNTIF($E247, _xlfn.CONCAT("*",Table13[[#Headers],[Mystery]],"*")),1,0)</f>
        <v>0</v>
      </c>
      <c r="V247">
        <f>IF(COUNTIF($E247, _xlfn.CONCAT("*",Table13[[#Headers],[Romance]],"*")),1,0)</f>
        <v>0</v>
      </c>
      <c r="W247">
        <f>IF(COUNTIF($E247, _xlfn.CONCAT("*",Table13[[#Headers],[Science Fiction]],"*")),1,0)</f>
        <v>0</v>
      </c>
      <c r="X247">
        <f>IF(COUNTIF($E247, _xlfn.CONCAT("*",Table13[[#Headers],[TV Movie]],"*")),1,0)</f>
        <v>0</v>
      </c>
      <c r="Y247">
        <f>IF(COUNTIF($E247, _xlfn.CONCAT("*",Table13[[#Headers],[Thriller]],"*")),1,0)</f>
        <v>0</v>
      </c>
      <c r="Z247">
        <f>IF(COUNTIF($E247, _xlfn.CONCAT("*",Table13[[#Headers],[War]],"*")),1,0)</f>
        <v>1</v>
      </c>
      <c r="AA247">
        <f>IF(COUNTIF($E247, _xlfn.CONCAT("*",Table13[[#Headers],[Western]],"*")),1,0)</f>
        <v>0</v>
      </c>
    </row>
    <row r="248" spans="1:27">
      <c r="A248" t="s">
        <v>377</v>
      </c>
      <c r="B248">
        <v>18</v>
      </c>
      <c r="C248">
        <f>MAX(Table13[Rank])-Table13[[#This Row],[Rank]]</f>
        <v>246</v>
      </c>
      <c r="D248" t="s">
        <v>7</v>
      </c>
      <c r="E248" t="s">
        <v>21</v>
      </c>
      <c r="F248" s="1">
        <v>24398</v>
      </c>
      <c r="G248">
        <f>YEAR(Table13[[#This Row],[Date]])</f>
        <v>1966</v>
      </c>
      <c r="H248" t="s">
        <v>377</v>
      </c>
      <c r="I248">
        <f>IF(COUNTIF($E248, _xlfn.CONCAT("*",Table13[[#Headers],[Action]],"*")),1,0)</f>
        <v>0</v>
      </c>
      <c r="J248">
        <f>IF(COUNTIF($E248, _xlfn.CONCAT("*",Table13[[#Headers],[Adventure]],"*")),1,0)</f>
        <v>0</v>
      </c>
      <c r="K248">
        <f>IF(COUNTIF($E248, _xlfn.CONCAT("*",Table13[[#Headers],[Animation]],"*")),1,0)</f>
        <v>0</v>
      </c>
      <c r="L248">
        <f>IF(COUNTIF($E248, _xlfn.CONCAT("*",Table13[[#Headers],[Comedy]],"*")),1,0)</f>
        <v>0</v>
      </c>
      <c r="M248">
        <f>IF(COUNTIF($E248, _xlfn.CONCAT("*",Table13[[#Headers],[Crime]],"*")),1,0)</f>
        <v>0</v>
      </c>
      <c r="N248">
        <f>IF(COUNTIF($E248, _xlfn.CONCAT("*",Table13[[#Headers],[Documentary]],"*")),1,0)</f>
        <v>0</v>
      </c>
      <c r="O248">
        <f>IF(COUNTIF($E248, _xlfn.CONCAT("*",Table13[[#Headers],[Drama]],"*")),1,0)</f>
        <v>1</v>
      </c>
      <c r="P248">
        <f>IF(COUNTIF($E248, _xlfn.CONCAT("*",Table13[[#Headers],[Family]],"*")),1,0)</f>
        <v>0</v>
      </c>
      <c r="Q248">
        <f>IF(COUNTIF($E248, _xlfn.CONCAT("*",Table13[[#Headers],[Fantasy]],"*")),1,0)</f>
        <v>0</v>
      </c>
      <c r="R248">
        <f>IF(COUNTIF($E248, _xlfn.CONCAT("*",Table13[[#Headers],[History]],"*")),1,0)</f>
        <v>0</v>
      </c>
      <c r="S248">
        <f>IF(COUNTIF($E248, _xlfn.CONCAT("*",Table13[[#Headers],[Horror]],"*")),1,0)</f>
        <v>0</v>
      </c>
      <c r="T248">
        <f>IF(COUNTIF($E248, _xlfn.CONCAT("*",Table13[[#Headers],[Music]],"*")),1,0)</f>
        <v>0</v>
      </c>
      <c r="U248">
        <f>IF(COUNTIF($E248, _xlfn.CONCAT("*",Table13[[#Headers],[Mystery]],"*")),1,0)</f>
        <v>0</v>
      </c>
      <c r="V248">
        <f>IF(COUNTIF($E248, _xlfn.CONCAT("*",Table13[[#Headers],[Romance]],"*")),1,0)</f>
        <v>0</v>
      </c>
      <c r="W248">
        <f>IF(COUNTIF($E248, _xlfn.CONCAT("*",Table13[[#Headers],[Science Fiction]],"*")),1,0)</f>
        <v>0</v>
      </c>
      <c r="X248">
        <f>IF(COUNTIF($E248, _xlfn.CONCAT("*",Table13[[#Headers],[TV Movie]],"*")),1,0)</f>
        <v>0</v>
      </c>
      <c r="Y248">
        <f>IF(COUNTIF($E248, _xlfn.CONCAT("*",Table13[[#Headers],[Thriller]],"*")),1,0)</f>
        <v>0</v>
      </c>
      <c r="Z248">
        <f>IF(COUNTIF($E248, _xlfn.CONCAT("*",Table13[[#Headers],[War]],"*")),1,0)</f>
        <v>0</v>
      </c>
      <c r="AA248">
        <f>IF(COUNTIF($E248, _xlfn.CONCAT("*",Table13[[#Headers],[Western]],"*")),1,0)</f>
        <v>0</v>
      </c>
    </row>
    <row r="249" spans="1:27">
      <c r="A249" t="s">
        <v>378</v>
      </c>
      <c r="B249">
        <v>17</v>
      </c>
      <c r="C249">
        <f>MAX(Table13[Rank])-Table13[[#This Row],[Rank]]</f>
        <v>247</v>
      </c>
      <c r="D249" t="s">
        <v>7</v>
      </c>
      <c r="E249" t="s">
        <v>156</v>
      </c>
      <c r="F249" s="1">
        <v>33002</v>
      </c>
      <c r="G249">
        <f>YEAR(Table13[[#This Row],[Date]])</f>
        <v>1990</v>
      </c>
      <c r="H249" t="s">
        <v>434</v>
      </c>
      <c r="I249">
        <f>IF(COUNTIF($E249, _xlfn.CONCAT("*",Table13[[#Headers],[Action]],"*")),1,0)</f>
        <v>0</v>
      </c>
      <c r="J249">
        <f>IF(COUNTIF($E249, _xlfn.CONCAT("*",Table13[[#Headers],[Adventure]],"*")),1,0)</f>
        <v>0</v>
      </c>
      <c r="K249">
        <f>IF(COUNTIF($E249, _xlfn.CONCAT("*",Table13[[#Headers],[Animation]],"*")),1,0)</f>
        <v>0</v>
      </c>
      <c r="L249">
        <f>IF(COUNTIF($E249, _xlfn.CONCAT("*",Table13[[#Headers],[Comedy]],"*")),1,0)</f>
        <v>0</v>
      </c>
      <c r="M249">
        <f>IF(COUNTIF($E249, _xlfn.CONCAT("*",Table13[[#Headers],[Crime]],"*")),1,0)</f>
        <v>1</v>
      </c>
      <c r="N249">
        <f>IF(COUNTIF($E249, _xlfn.CONCAT("*",Table13[[#Headers],[Documentary]],"*")),1,0)</f>
        <v>0</v>
      </c>
      <c r="O249">
        <f>IF(COUNTIF($E249, _xlfn.CONCAT("*",Table13[[#Headers],[Drama]],"*")),1,0)</f>
        <v>1</v>
      </c>
      <c r="P249">
        <f>IF(COUNTIF($E249, _xlfn.CONCAT("*",Table13[[#Headers],[Family]],"*")),1,0)</f>
        <v>0</v>
      </c>
      <c r="Q249">
        <f>IF(COUNTIF($E249, _xlfn.CONCAT("*",Table13[[#Headers],[Fantasy]],"*")),1,0)</f>
        <v>0</v>
      </c>
      <c r="R249">
        <f>IF(COUNTIF($E249, _xlfn.CONCAT("*",Table13[[#Headers],[History]],"*")),1,0)</f>
        <v>0</v>
      </c>
      <c r="S249">
        <f>IF(COUNTIF($E249, _xlfn.CONCAT("*",Table13[[#Headers],[Horror]],"*")),1,0)</f>
        <v>0</v>
      </c>
      <c r="T249">
        <f>IF(COUNTIF($E249, _xlfn.CONCAT("*",Table13[[#Headers],[Music]],"*")),1,0)</f>
        <v>0</v>
      </c>
      <c r="U249">
        <f>IF(COUNTIF($E249, _xlfn.CONCAT("*",Table13[[#Headers],[Mystery]],"*")),1,0)</f>
        <v>0</v>
      </c>
      <c r="V249">
        <f>IF(COUNTIF($E249, _xlfn.CONCAT("*",Table13[[#Headers],[Romance]],"*")),1,0)</f>
        <v>0</v>
      </c>
      <c r="W249">
        <f>IF(COUNTIF($E249, _xlfn.CONCAT("*",Table13[[#Headers],[Science Fiction]],"*")),1,0)</f>
        <v>0</v>
      </c>
      <c r="X249">
        <f>IF(COUNTIF($E249, _xlfn.CONCAT("*",Table13[[#Headers],[TV Movie]],"*")),1,0)</f>
        <v>0</v>
      </c>
      <c r="Y249">
        <f>IF(COUNTIF($E249, _xlfn.CONCAT("*",Table13[[#Headers],[Thriller]],"*")),1,0)</f>
        <v>0</v>
      </c>
      <c r="Z249">
        <f>IF(COUNTIF($E249, _xlfn.CONCAT("*",Table13[[#Headers],[War]],"*")),1,0)</f>
        <v>0</v>
      </c>
      <c r="AA249">
        <f>IF(COUNTIF($E249, _xlfn.CONCAT("*",Table13[[#Headers],[Western]],"*")),1,0)</f>
        <v>0</v>
      </c>
    </row>
    <row r="250" spans="1:27">
      <c r="A250" t="s">
        <v>379</v>
      </c>
      <c r="B250">
        <v>16</v>
      </c>
      <c r="C250">
        <f>MAX(Table13[Rank])-Table13[[#This Row],[Rank]]</f>
        <v>248</v>
      </c>
      <c r="D250" t="s">
        <v>7</v>
      </c>
      <c r="E250" t="s">
        <v>380</v>
      </c>
      <c r="F250" s="1">
        <v>15707</v>
      </c>
      <c r="G250">
        <f>YEAR(Table13[[#This Row],[Date]])</f>
        <v>1943</v>
      </c>
      <c r="H250" t="s">
        <v>379</v>
      </c>
      <c r="I250">
        <f>IF(COUNTIF($E250, _xlfn.CONCAT("*",Table13[[#Headers],[Action]],"*")),1,0)</f>
        <v>0</v>
      </c>
      <c r="J250">
        <f>IF(COUNTIF($E250, _xlfn.CONCAT("*",Table13[[#Headers],[Adventure]],"*")),1,0)</f>
        <v>0</v>
      </c>
      <c r="K250">
        <f>IF(COUNTIF($E250, _xlfn.CONCAT("*",Table13[[#Headers],[Animation]],"*")),1,0)</f>
        <v>0</v>
      </c>
      <c r="L250">
        <f>IF(COUNTIF($E250, _xlfn.CONCAT("*",Table13[[#Headers],[Comedy]],"*")),1,0)</f>
        <v>0</v>
      </c>
      <c r="M250">
        <f>IF(COUNTIF($E250, _xlfn.CONCAT("*",Table13[[#Headers],[Crime]],"*")),1,0)</f>
        <v>0</v>
      </c>
      <c r="N250">
        <f>IF(COUNTIF($E250, _xlfn.CONCAT("*",Table13[[#Headers],[Documentary]],"*")),1,0)</f>
        <v>0</v>
      </c>
      <c r="O250">
        <f>IF(COUNTIF($E250, _xlfn.CONCAT("*",Table13[[#Headers],[Drama]],"*")),1,0)</f>
        <v>0</v>
      </c>
      <c r="P250">
        <f>IF(COUNTIF($E250, _xlfn.CONCAT("*",Table13[[#Headers],[Family]],"*")),1,0)</f>
        <v>0</v>
      </c>
      <c r="Q250">
        <f>IF(COUNTIF($E250, _xlfn.CONCAT("*",Table13[[#Headers],[Fantasy]],"*")),1,0)</f>
        <v>1</v>
      </c>
      <c r="R250">
        <f>IF(COUNTIF($E250, _xlfn.CONCAT("*",Table13[[#Headers],[History]],"*")),1,0)</f>
        <v>0</v>
      </c>
      <c r="S250">
        <f>IF(COUNTIF($E250, _xlfn.CONCAT("*",Table13[[#Headers],[Horror]],"*")),1,0)</f>
        <v>0</v>
      </c>
      <c r="T250">
        <f>IF(COUNTIF($E250, _xlfn.CONCAT("*",Table13[[#Headers],[Music]],"*")),1,0)</f>
        <v>0</v>
      </c>
      <c r="U250">
        <f>IF(COUNTIF($E250, _xlfn.CONCAT("*",Table13[[#Headers],[Mystery]],"*")),1,0)</f>
        <v>1</v>
      </c>
      <c r="V250">
        <f>IF(COUNTIF($E250, _xlfn.CONCAT("*",Table13[[#Headers],[Romance]],"*")),1,0)</f>
        <v>0</v>
      </c>
      <c r="W250">
        <f>IF(COUNTIF($E250, _xlfn.CONCAT("*",Table13[[#Headers],[Science Fiction]],"*")),1,0)</f>
        <v>0</v>
      </c>
      <c r="X250">
        <f>IF(COUNTIF($E250, _xlfn.CONCAT("*",Table13[[#Headers],[TV Movie]],"*")),1,0)</f>
        <v>0</v>
      </c>
      <c r="Y250">
        <f>IF(COUNTIF($E250, _xlfn.CONCAT("*",Table13[[#Headers],[Thriller]],"*")),1,0)</f>
        <v>0</v>
      </c>
      <c r="Z250">
        <f>IF(COUNTIF($E250, _xlfn.CONCAT("*",Table13[[#Headers],[War]],"*")),1,0)</f>
        <v>0</v>
      </c>
      <c r="AA250">
        <f>IF(COUNTIF($E250, _xlfn.CONCAT("*",Table13[[#Headers],[Western]],"*")),1,0)</f>
        <v>0</v>
      </c>
    </row>
    <row r="251" spans="1:27">
      <c r="A251" t="s">
        <v>381</v>
      </c>
      <c r="B251">
        <v>15</v>
      </c>
      <c r="C251">
        <f>MAX(Table13[Rank])-Table13[[#This Row],[Rank]]</f>
        <v>249</v>
      </c>
      <c r="D251" t="s">
        <v>7</v>
      </c>
      <c r="E251" t="s">
        <v>141</v>
      </c>
      <c r="F251" s="1">
        <v>20591</v>
      </c>
      <c r="G251">
        <f>YEAR(Table13[[#This Row],[Date]])</f>
        <v>1956</v>
      </c>
      <c r="H251" t="s">
        <v>381</v>
      </c>
      <c r="I251">
        <f>IF(COUNTIF($E251, _xlfn.CONCAT("*",Table13[[#Headers],[Action]],"*")),1,0)</f>
        <v>0</v>
      </c>
      <c r="J251">
        <f>IF(COUNTIF($E251, _xlfn.CONCAT("*",Table13[[#Headers],[Adventure]],"*")),1,0)</f>
        <v>0</v>
      </c>
      <c r="K251">
        <f>IF(COUNTIF($E251, _xlfn.CONCAT("*",Table13[[#Headers],[Animation]],"*")),1,0)</f>
        <v>0</v>
      </c>
      <c r="L251">
        <f>IF(COUNTIF($E251, _xlfn.CONCAT("*",Table13[[#Headers],[Comedy]],"*")),1,0)</f>
        <v>0</v>
      </c>
      <c r="M251">
        <f>IF(COUNTIF($E251, _xlfn.CONCAT("*",Table13[[#Headers],[Crime]],"*")),1,0)</f>
        <v>0</v>
      </c>
      <c r="N251">
        <f>IF(COUNTIF($E251, _xlfn.CONCAT("*",Table13[[#Headers],[Documentary]],"*")),1,0)</f>
        <v>0</v>
      </c>
      <c r="O251">
        <f>IF(COUNTIF($E251, _xlfn.CONCAT("*",Table13[[#Headers],[Drama]],"*")),1,0)</f>
        <v>0</v>
      </c>
      <c r="P251">
        <f>IF(COUNTIF($E251, _xlfn.CONCAT("*",Table13[[#Headers],[Family]],"*")),1,0)</f>
        <v>0</v>
      </c>
      <c r="Q251">
        <f>IF(COUNTIF($E251, _xlfn.CONCAT("*",Table13[[#Headers],[Fantasy]],"*")),1,0)</f>
        <v>0</v>
      </c>
      <c r="R251">
        <f>IF(COUNTIF($E251, _xlfn.CONCAT("*",Table13[[#Headers],[History]],"*")),1,0)</f>
        <v>0</v>
      </c>
      <c r="S251">
        <f>IF(COUNTIF($E251, _xlfn.CONCAT("*",Table13[[#Headers],[Horror]],"*")),1,0)</f>
        <v>0</v>
      </c>
      <c r="T251">
        <f>IF(COUNTIF($E251, _xlfn.CONCAT("*",Table13[[#Headers],[Music]],"*")),1,0)</f>
        <v>0</v>
      </c>
      <c r="U251">
        <f>IF(COUNTIF($E251, _xlfn.CONCAT("*",Table13[[#Headers],[Mystery]],"*")),1,0)</f>
        <v>0</v>
      </c>
      <c r="V251">
        <f>IF(COUNTIF($E251, _xlfn.CONCAT("*",Table13[[#Headers],[Romance]],"*")),1,0)</f>
        <v>0</v>
      </c>
      <c r="W251">
        <f>IF(COUNTIF($E251, _xlfn.CONCAT("*",Table13[[#Headers],[Science Fiction]],"*")),1,0)</f>
        <v>0</v>
      </c>
      <c r="X251">
        <f>IF(COUNTIF($E251, _xlfn.CONCAT("*",Table13[[#Headers],[TV Movie]],"*")),1,0)</f>
        <v>0</v>
      </c>
      <c r="Y251">
        <f>IF(COUNTIF($E251, _xlfn.CONCAT("*",Table13[[#Headers],[Thriller]],"*")),1,0)</f>
        <v>0</v>
      </c>
      <c r="Z251">
        <f>IF(COUNTIF($E251, _xlfn.CONCAT("*",Table13[[#Headers],[War]],"*")),1,0)</f>
        <v>0</v>
      </c>
      <c r="AA251">
        <f>IF(COUNTIF($E251, _xlfn.CONCAT("*",Table13[[#Headers],[Western]],"*")),1,0)</f>
        <v>1</v>
      </c>
    </row>
    <row r="252" spans="1:27">
      <c r="A252" t="s">
        <v>382</v>
      </c>
      <c r="B252">
        <v>14</v>
      </c>
      <c r="C252">
        <f>MAX(Table13[Rank])-Table13[[#This Row],[Rank]]</f>
        <v>250</v>
      </c>
      <c r="D252" t="s">
        <v>7</v>
      </c>
      <c r="E252" t="s">
        <v>21</v>
      </c>
      <c r="F252" s="1">
        <v>22747</v>
      </c>
      <c r="G252">
        <f>YEAR(Table13[[#This Row],[Date]])</f>
        <v>1962</v>
      </c>
      <c r="H252" t="s">
        <v>382</v>
      </c>
      <c r="I252">
        <f>IF(COUNTIF($E252, _xlfn.CONCAT("*",Table13[[#Headers],[Action]],"*")),1,0)</f>
        <v>0</v>
      </c>
      <c r="J252">
        <f>IF(COUNTIF($E252, _xlfn.CONCAT("*",Table13[[#Headers],[Adventure]],"*")),1,0)</f>
        <v>0</v>
      </c>
      <c r="K252">
        <f>IF(COUNTIF($E252, _xlfn.CONCAT("*",Table13[[#Headers],[Animation]],"*")),1,0)</f>
        <v>0</v>
      </c>
      <c r="L252">
        <f>IF(COUNTIF($E252, _xlfn.CONCAT("*",Table13[[#Headers],[Comedy]],"*")),1,0)</f>
        <v>0</v>
      </c>
      <c r="M252">
        <f>IF(COUNTIF($E252, _xlfn.CONCAT("*",Table13[[#Headers],[Crime]],"*")),1,0)</f>
        <v>0</v>
      </c>
      <c r="N252">
        <f>IF(COUNTIF($E252, _xlfn.CONCAT("*",Table13[[#Headers],[Documentary]],"*")),1,0)</f>
        <v>0</v>
      </c>
      <c r="O252">
        <f>IF(COUNTIF($E252, _xlfn.CONCAT("*",Table13[[#Headers],[Drama]],"*")),1,0)</f>
        <v>1</v>
      </c>
      <c r="P252">
        <f>IF(COUNTIF($E252, _xlfn.CONCAT("*",Table13[[#Headers],[Family]],"*")),1,0)</f>
        <v>0</v>
      </c>
      <c r="Q252">
        <f>IF(COUNTIF($E252, _xlfn.CONCAT("*",Table13[[#Headers],[Fantasy]],"*")),1,0)</f>
        <v>0</v>
      </c>
      <c r="R252">
        <f>IF(COUNTIF($E252, _xlfn.CONCAT("*",Table13[[#Headers],[History]],"*")),1,0)</f>
        <v>0</v>
      </c>
      <c r="S252">
        <f>IF(COUNTIF($E252, _xlfn.CONCAT("*",Table13[[#Headers],[Horror]],"*")),1,0)</f>
        <v>0</v>
      </c>
      <c r="T252">
        <f>IF(COUNTIF($E252, _xlfn.CONCAT("*",Table13[[#Headers],[Music]],"*")),1,0)</f>
        <v>0</v>
      </c>
      <c r="U252">
        <f>IF(COUNTIF($E252, _xlfn.CONCAT("*",Table13[[#Headers],[Mystery]],"*")),1,0)</f>
        <v>0</v>
      </c>
      <c r="V252">
        <f>IF(COUNTIF($E252, _xlfn.CONCAT("*",Table13[[#Headers],[Romance]],"*")),1,0)</f>
        <v>0</v>
      </c>
      <c r="W252">
        <f>IF(COUNTIF($E252, _xlfn.CONCAT("*",Table13[[#Headers],[Science Fiction]],"*")),1,0)</f>
        <v>0</v>
      </c>
      <c r="X252">
        <f>IF(COUNTIF($E252, _xlfn.CONCAT("*",Table13[[#Headers],[TV Movie]],"*")),1,0)</f>
        <v>0</v>
      </c>
      <c r="Y252">
        <f>IF(COUNTIF($E252, _xlfn.CONCAT("*",Table13[[#Headers],[Thriller]],"*")),1,0)</f>
        <v>0</v>
      </c>
      <c r="Z252">
        <f>IF(COUNTIF($E252, _xlfn.CONCAT("*",Table13[[#Headers],[War]],"*")),1,0)</f>
        <v>0</v>
      </c>
      <c r="AA252">
        <f>IF(COUNTIF($E252, _xlfn.CONCAT("*",Table13[[#Headers],[Western]],"*")),1,0)</f>
        <v>0</v>
      </c>
    </row>
    <row r="253" spans="1:27">
      <c r="A253" t="s">
        <v>383</v>
      </c>
      <c r="B253">
        <v>13</v>
      </c>
      <c r="C253">
        <f>MAX(Table13[Rank])-Table13[[#This Row],[Rank]]</f>
        <v>251</v>
      </c>
      <c r="D253" t="s">
        <v>7</v>
      </c>
      <c r="E253" t="s">
        <v>194</v>
      </c>
      <c r="F253" s="1">
        <v>14435</v>
      </c>
      <c r="G253">
        <f>YEAR(Table13[[#This Row],[Date]])</f>
        <v>1939</v>
      </c>
      <c r="H253" t="s">
        <v>483</v>
      </c>
      <c r="I253">
        <f>IF(COUNTIF($E253, _xlfn.CONCAT("*",Table13[[#Headers],[Action]],"*")),1,0)</f>
        <v>0</v>
      </c>
      <c r="J253">
        <f>IF(COUNTIF($E253, _xlfn.CONCAT("*",Table13[[#Headers],[Adventure]],"*")),1,0)</f>
        <v>0</v>
      </c>
      <c r="K253">
        <f>IF(COUNTIF($E253, _xlfn.CONCAT("*",Table13[[#Headers],[Animation]],"*")),1,0)</f>
        <v>0</v>
      </c>
      <c r="L253">
        <f>IF(COUNTIF($E253, _xlfn.CONCAT("*",Table13[[#Headers],[Comedy]],"*")),1,0)</f>
        <v>1</v>
      </c>
      <c r="M253">
        <f>IF(COUNTIF($E253, _xlfn.CONCAT("*",Table13[[#Headers],[Crime]],"*")),1,0)</f>
        <v>0</v>
      </c>
      <c r="N253">
        <f>IF(COUNTIF($E253, _xlfn.CONCAT("*",Table13[[#Headers],[Documentary]],"*")),1,0)</f>
        <v>0</v>
      </c>
      <c r="O253">
        <f>IF(COUNTIF($E253, _xlfn.CONCAT("*",Table13[[#Headers],[Drama]],"*")),1,0)</f>
        <v>1</v>
      </c>
      <c r="P253">
        <f>IF(COUNTIF($E253, _xlfn.CONCAT("*",Table13[[#Headers],[Family]],"*")),1,0)</f>
        <v>0</v>
      </c>
      <c r="Q253">
        <f>IF(COUNTIF($E253, _xlfn.CONCAT("*",Table13[[#Headers],[Fantasy]],"*")),1,0)</f>
        <v>0</v>
      </c>
      <c r="R253">
        <f>IF(COUNTIF($E253, _xlfn.CONCAT("*",Table13[[#Headers],[History]],"*")),1,0)</f>
        <v>0</v>
      </c>
      <c r="S253">
        <f>IF(COUNTIF($E253, _xlfn.CONCAT("*",Table13[[#Headers],[Horror]],"*")),1,0)</f>
        <v>0</v>
      </c>
      <c r="T253">
        <f>IF(COUNTIF($E253, _xlfn.CONCAT("*",Table13[[#Headers],[Music]],"*")),1,0)</f>
        <v>0</v>
      </c>
      <c r="U253">
        <f>IF(COUNTIF($E253, _xlfn.CONCAT("*",Table13[[#Headers],[Mystery]],"*")),1,0)</f>
        <v>0</v>
      </c>
      <c r="V253">
        <f>IF(COUNTIF($E253, _xlfn.CONCAT("*",Table13[[#Headers],[Romance]],"*")),1,0)</f>
        <v>1</v>
      </c>
      <c r="W253">
        <f>IF(COUNTIF($E253, _xlfn.CONCAT("*",Table13[[#Headers],[Science Fiction]],"*")),1,0)</f>
        <v>0</v>
      </c>
      <c r="X253">
        <f>IF(COUNTIF($E253, _xlfn.CONCAT("*",Table13[[#Headers],[TV Movie]],"*")),1,0)</f>
        <v>0</v>
      </c>
      <c r="Y253">
        <f>IF(COUNTIF($E253, _xlfn.CONCAT("*",Table13[[#Headers],[Thriller]],"*")),1,0)</f>
        <v>0</v>
      </c>
      <c r="Z253">
        <f>IF(COUNTIF($E253, _xlfn.CONCAT("*",Table13[[#Headers],[War]],"*")),1,0)</f>
        <v>0</v>
      </c>
      <c r="AA253">
        <f>IF(COUNTIF($E253, _xlfn.CONCAT("*",Table13[[#Headers],[Western]],"*")),1,0)</f>
        <v>0</v>
      </c>
    </row>
    <row r="254" spans="1:27">
      <c r="A254" t="s">
        <v>384</v>
      </c>
      <c r="B254">
        <v>12</v>
      </c>
      <c r="C254">
        <f>MAX(Table13[Rank])-Table13[[#This Row],[Rank]]</f>
        <v>252</v>
      </c>
      <c r="D254" t="s">
        <v>7</v>
      </c>
      <c r="E254" t="s">
        <v>166</v>
      </c>
      <c r="F254" s="1">
        <v>26372</v>
      </c>
      <c r="G254">
        <f>YEAR(Table13[[#This Row],[Date]])</f>
        <v>1972</v>
      </c>
      <c r="H254" t="s">
        <v>384</v>
      </c>
      <c r="I254">
        <f>IF(COUNTIF($E254, _xlfn.CONCAT("*",Table13[[#Headers],[Action]],"*")),1,0)</f>
        <v>0</v>
      </c>
      <c r="J254">
        <f>IF(COUNTIF($E254, _xlfn.CONCAT("*",Table13[[#Headers],[Adventure]],"*")),1,0)</f>
        <v>0</v>
      </c>
      <c r="K254">
        <f>IF(COUNTIF($E254, _xlfn.CONCAT("*",Table13[[#Headers],[Animation]],"*")),1,0)</f>
        <v>0</v>
      </c>
      <c r="L254">
        <f>IF(COUNTIF($E254, _xlfn.CONCAT("*",Table13[[#Headers],[Comedy]],"*")),1,0)</f>
        <v>0</v>
      </c>
      <c r="M254">
        <f>IF(COUNTIF($E254, _xlfn.CONCAT("*",Table13[[#Headers],[Crime]],"*")),1,0)</f>
        <v>1</v>
      </c>
      <c r="N254">
        <f>IF(COUNTIF($E254, _xlfn.CONCAT("*",Table13[[#Headers],[Documentary]],"*")),1,0)</f>
        <v>0</v>
      </c>
      <c r="O254">
        <f>IF(COUNTIF($E254, _xlfn.CONCAT("*",Table13[[#Headers],[Drama]],"*")),1,0)</f>
        <v>1</v>
      </c>
      <c r="P254">
        <f>IF(COUNTIF($E254, _xlfn.CONCAT("*",Table13[[#Headers],[Family]],"*")),1,0)</f>
        <v>0</v>
      </c>
      <c r="Q254">
        <f>IF(COUNTIF($E254, _xlfn.CONCAT("*",Table13[[#Headers],[Fantasy]],"*")),1,0)</f>
        <v>0</v>
      </c>
      <c r="R254">
        <f>IF(COUNTIF($E254, _xlfn.CONCAT("*",Table13[[#Headers],[History]],"*")),1,0)</f>
        <v>0</v>
      </c>
      <c r="S254">
        <f>IF(COUNTIF($E254, _xlfn.CONCAT("*",Table13[[#Headers],[Horror]],"*")),1,0)</f>
        <v>0</v>
      </c>
      <c r="T254">
        <f>IF(COUNTIF($E254, _xlfn.CONCAT("*",Table13[[#Headers],[Music]],"*")),1,0)</f>
        <v>0</v>
      </c>
      <c r="U254">
        <f>IF(COUNTIF($E254, _xlfn.CONCAT("*",Table13[[#Headers],[Mystery]],"*")),1,0)</f>
        <v>0</v>
      </c>
      <c r="V254">
        <f>IF(COUNTIF($E254, _xlfn.CONCAT("*",Table13[[#Headers],[Romance]],"*")),1,0)</f>
        <v>0</v>
      </c>
      <c r="W254">
        <f>IF(COUNTIF($E254, _xlfn.CONCAT("*",Table13[[#Headers],[Science Fiction]],"*")),1,0)</f>
        <v>0</v>
      </c>
      <c r="X254">
        <f>IF(COUNTIF($E254, _xlfn.CONCAT("*",Table13[[#Headers],[TV Movie]],"*")),1,0)</f>
        <v>0</v>
      </c>
      <c r="Y254">
        <f>IF(COUNTIF($E254, _xlfn.CONCAT("*",Table13[[#Headers],[Thriller]],"*")),1,0)</f>
        <v>0</v>
      </c>
      <c r="Z254">
        <f>IF(COUNTIF($E254, _xlfn.CONCAT("*",Table13[[#Headers],[War]],"*")),1,0)</f>
        <v>0</v>
      </c>
      <c r="AA254">
        <f>IF(COUNTIF($E254, _xlfn.CONCAT("*",Table13[[#Headers],[Western]],"*")),1,0)</f>
        <v>0</v>
      </c>
    </row>
    <row r="255" spans="1:27">
      <c r="A255" t="s">
        <v>385</v>
      </c>
      <c r="B255">
        <v>11</v>
      </c>
      <c r="C255">
        <f>MAX(Table13[Rank])-Table13[[#This Row],[Rank]]</f>
        <v>253</v>
      </c>
      <c r="D255" t="s">
        <v>7</v>
      </c>
      <c r="E255" t="s">
        <v>35</v>
      </c>
      <c r="F255" s="1">
        <v>10170</v>
      </c>
      <c r="G255">
        <f>YEAR(Table13[[#This Row],[Date]])</f>
        <v>1927</v>
      </c>
      <c r="H255" t="s">
        <v>385</v>
      </c>
      <c r="I255">
        <f>IF(COUNTIF($E255, _xlfn.CONCAT("*",Table13[[#Headers],[Action]],"*")),1,0)</f>
        <v>0</v>
      </c>
      <c r="J255">
        <f>IF(COUNTIF($E255, _xlfn.CONCAT("*",Table13[[#Headers],[Adventure]],"*")),1,0)</f>
        <v>0</v>
      </c>
      <c r="K255">
        <f>IF(COUNTIF($E255, _xlfn.CONCAT("*",Table13[[#Headers],[Animation]],"*")),1,0)</f>
        <v>0</v>
      </c>
      <c r="L255">
        <f>IF(COUNTIF($E255, _xlfn.CONCAT("*",Table13[[#Headers],[Comedy]],"*")),1,0)</f>
        <v>0</v>
      </c>
      <c r="M255">
        <f>IF(COUNTIF($E255, _xlfn.CONCAT("*",Table13[[#Headers],[Crime]],"*")),1,0)</f>
        <v>0</v>
      </c>
      <c r="N255">
        <f>IF(COUNTIF($E255, _xlfn.CONCAT("*",Table13[[#Headers],[Documentary]],"*")),1,0)</f>
        <v>0</v>
      </c>
      <c r="O255">
        <f>IF(COUNTIF($E255, _xlfn.CONCAT("*",Table13[[#Headers],[Drama]],"*")),1,0)</f>
        <v>1</v>
      </c>
      <c r="P255">
        <f>IF(COUNTIF($E255, _xlfn.CONCAT("*",Table13[[#Headers],[Family]],"*")),1,0)</f>
        <v>0</v>
      </c>
      <c r="Q255">
        <f>IF(COUNTIF($E255, _xlfn.CONCAT("*",Table13[[#Headers],[Fantasy]],"*")),1,0)</f>
        <v>0</v>
      </c>
      <c r="R255">
        <f>IF(COUNTIF($E255, _xlfn.CONCAT("*",Table13[[#Headers],[History]],"*")),1,0)</f>
        <v>0</v>
      </c>
      <c r="S255">
        <f>IF(COUNTIF($E255, _xlfn.CONCAT("*",Table13[[#Headers],[Horror]],"*")),1,0)</f>
        <v>0</v>
      </c>
      <c r="T255">
        <f>IF(COUNTIF($E255, _xlfn.CONCAT("*",Table13[[#Headers],[Music]],"*")),1,0)</f>
        <v>0</v>
      </c>
      <c r="U255">
        <f>IF(COUNTIF($E255, _xlfn.CONCAT("*",Table13[[#Headers],[Mystery]],"*")),1,0)</f>
        <v>0</v>
      </c>
      <c r="V255">
        <f>IF(COUNTIF($E255, _xlfn.CONCAT("*",Table13[[#Headers],[Romance]],"*")),1,0)</f>
        <v>1</v>
      </c>
      <c r="W255">
        <f>IF(COUNTIF($E255, _xlfn.CONCAT("*",Table13[[#Headers],[Science Fiction]],"*")),1,0)</f>
        <v>0</v>
      </c>
      <c r="X255">
        <f>IF(COUNTIF($E255, _xlfn.CONCAT("*",Table13[[#Headers],[TV Movie]],"*")),1,0)</f>
        <v>0</v>
      </c>
      <c r="Y255">
        <f>IF(COUNTIF($E255, _xlfn.CONCAT("*",Table13[[#Headers],[Thriller]],"*")),1,0)</f>
        <v>0</v>
      </c>
      <c r="Z255">
        <f>IF(COUNTIF($E255, _xlfn.CONCAT("*",Table13[[#Headers],[War]],"*")),1,0)</f>
        <v>0</v>
      </c>
      <c r="AA255">
        <f>IF(COUNTIF($E255, _xlfn.CONCAT("*",Table13[[#Headers],[Western]],"*")),1,0)</f>
        <v>0</v>
      </c>
    </row>
    <row r="256" spans="1:27">
      <c r="A256" t="s">
        <v>386</v>
      </c>
      <c r="B256">
        <v>10</v>
      </c>
      <c r="C256">
        <f>MAX(Table13[Rank])-Table13[[#This Row],[Rank]]</f>
        <v>254</v>
      </c>
      <c r="D256" t="s">
        <v>7</v>
      </c>
      <c r="E256" t="s">
        <v>220</v>
      </c>
      <c r="F256" s="1">
        <v>19093</v>
      </c>
      <c r="G256">
        <f>YEAR(Table13[[#This Row],[Date]])</f>
        <v>1952</v>
      </c>
      <c r="H256" t="s">
        <v>386</v>
      </c>
      <c r="I256">
        <f>IF(COUNTIF($E256, _xlfn.CONCAT("*",Table13[[#Headers],[Action]],"*")),1,0)</f>
        <v>0</v>
      </c>
      <c r="J256">
        <f>IF(COUNTIF($E256, _xlfn.CONCAT("*",Table13[[#Headers],[Adventure]],"*")),1,0)</f>
        <v>0</v>
      </c>
      <c r="K256">
        <f>IF(COUNTIF($E256, _xlfn.CONCAT("*",Table13[[#Headers],[Animation]],"*")),1,0)</f>
        <v>0</v>
      </c>
      <c r="L256">
        <f>IF(COUNTIF($E256, _xlfn.CONCAT("*",Table13[[#Headers],[Comedy]],"*")),1,0)</f>
        <v>1</v>
      </c>
      <c r="M256">
        <f>IF(COUNTIF($E256, _xlfn.CONCAT("*",Table13[[#Headers],[Crime]],"*")),1,0)</f>
        <v>0</v>
      </c>
      <c r="N256">
        <f>IF(COUNTIF($E256, _xlfn.CONCAT("*",Table13[[#Headers],[Documentary]],"*")),1,0)</f>
        <v>0</v>
      </c>
      <c r="O256">
        <f>IF(COUNTIF($E256, _xlfn.CONCAT("*",Table13[[#Headers],[Drama]],"*")),1,0)</f>
        <v>0</v>
      </c>
      <c r="P256">
        <f>IF(COUNTIF($E256, _xlfn.CONCAT("*",Table13[[#Headers],[Family]],"*")),1,0)</f>
        <v>0</v>
      </c>
      <c r="Q256">
        <f>IF(COUNTIF($E256, _xlfn.CONCAT("*",Table13[[#Headers],[Fantasy]],"*")),1,0)</f>
        <v>0</v>
      </c>
      <c r="R256">
        <f>IF(COUNTIF($E256, _xlfn.CONCAT("*",Table13[[#Headers],[History]],"*")),1,0)</f>
        <v>0</v>
      </c>
      <c r="S256">
        <f>IF(COUNTIF($E256, _xlfn.CONCAT("*",Table13[[#Headers],[Horror]],"*")),1,0)</f>
        <v>0</v>
      </c>
      <c r="T256">
        <f>IF(COUNTIF($E256, _xlfn.CONCAT("*",Table13[[#Headers],[Music]],"*")),1,0)</f>
        <v>0</v>
      </c>
      <c r="U256">
        <f>IF(COUNTIF($E256, _xlfn.CONCAT("*",Table13[[#Headers],[Mystery]],"*")),1,0)</f>
        <v>0</v>
      </c>
      <c r="V256">
        <f>IF(COUNTIF($E256, _xlfn.CONCAT("*",Table13[[#Headers],[Romance]],"*")),1,0)</f>
        <v>1</v>
      </c>
      <c r="W256">
        <f>IF(COUNTIF($E256, _xlfn.CONCAT("*",Table13[[#Headers],[Science Fiction]],"*")),1,0)</f>
        <v>0</v>
      </c>
      <c r="X256">
        <f>IF(COUNTIF($E256, _xlfn.CONCAT("*",Table13[[#Headers],[TV Movie]],"*")),1,0)</f>
        <v>0</v>
      </c>
      <c r="Y256">
        <f>IF(COUNTIF($E256, _xlfn.CONCAT("*",Table13[[#Headers],[Thriller]],"*")),1,0)</f>
        <v>0</v>
      </c>
      <c r="Z256">
        <f>IF(COUNTIF($E256, _xlfn.CONCAT("*",Table13[[#Headers],[War]],"*")),1,0)</f>
        <v>0</v>
      </c>
      <c r="AA256">
        <f>IF(COUNTIF($E256, _xlfn.CONCAT("*",Table13[[#Headers],[Western]],"*")),1,0)</f>
        <v>0</v>
      </c>
    </row>
    <row r="257" spans="1:27">
      <c r="A257" t="s">
        <v>387</v>
      </c>
      <c r="B257">
        <v>9</v>
      </c>
      <c r="C257">
        <f>MAX(Table13[Rank])-Table13[[#This Row],[Rank]]</f>
        <v>255</v>
      </c>
      <c r="D257" t="s">
        <v>7</v>
      </c>
      <c r="E257" t="s">
        <v>17</v>
      </c>
      <c r="F257" s="1">
        <v>10725</v>
      </c>
      <c r="G257">
        <f>YEAR(Table13[[#This Row],[Date]])</f>
        <v>1929</v>
      </c>
      <c r="H257" t="s">
        <v>387</v>
      </c>
      <c r="I257">
        <f>IF(COUNTIF($E257, _xlfn.CONCAT("*",Table13[[#Headers],[Action]],"*")),1,0)</f>
        <v>0</v>
      </c>
      <c r="J257">
        <f>IF(COUNTIF($E257, _xlfn.CONCAT("*",Table13[[#Headers],[Adventure]],"*")),1,0)</f>
        <v>0</v>
      </c>
      <c r="K257">
        <f>IF(COUNTIF($E257, _xlfn.CONCAT("*",Table13[[#Headers],[Animation]],"*")),1,0)</f>
        <v>0</v>
      </c>
      <c r="L257">
        <f>IF(COUNTIF($E257, _xlfn.CONCAT("*",Table13[[#Headers],[Comedy]],"*")),1,0)</f>
        <v>0</v>
      </c>
      <c r="M257">
        <f>IF(COUNTIF($E257, _xlfn.CONCAT("*",Table13[[#Headers],[Crime]],"*")),1,0)</f>
        <v>0</v>
      </c>
      <c r="N257">
        <f>IF(COUNTIF($E257, _xlfn.CONCAT("*",Table13[[#Headers],[Documentary]],"*")),1,0)</f>
        <v>1</v>
      </c>
      <c r="O257">
        <f>IF(COUNTIF($E257, _xlfn.CONCAT("*",Table13[[#Headers],[Drama]],"*")),1,0)</f>
        <v>0</v>
      </c>
      <c r="P257">
        <f>IF(COUNTIF($E257, _xlfn.CONCAT("*",Table13[[#Headers],[Family]],"*")),1,0)</f>
        <v>0</v>
      </c>
      <c r="Q257">
        <f>IF(COUNTIF($E257, _xlfn.CONCAT("*",Table13[[#Headers],[Fantasy]],"*")),1,0)</f>
        <v>0</v>
      </c>
      <c r="R257">
        <f>IF(COUNTIF($E257, _xlfn.CONCAT("*",Table13[[#Headers],[History]],"*")),1,0)</f>
        <v>0</v>
      </c>
      <c r="S257">
        <f>IF(COUNTIF($E257, _xlfn.CONCAT("*",Table13[[#Headers],[Horror]],"*")),1,0)</f>
        <v>0</v>
      </c>
      <c r="T257">
        <f>IF(COUNTIF($E257, _xlfn.CONCAT("*",Table13[[#Headers],[Music]],"*")),1,0)</f>
        <v>0</v>
      </c>
      <c r="U257">
        <f>IF(COUNTIF($E257, _xlfn.CONCAT("*",Table13[[#Headers],[Mystery]],"*")),1,0)</f>
        <v>0</v>
      </c>
      <c r="V257">
        <f>IF(COUNTIF($E257, _xlfn.CONCAT("*",Table13[[#Headers],[Romance]],"*")),1,0)</f>
        <v>0</v>
      </c>
      <c r="W257">
        <f>IF(COUNTIF($E257, _xlfn.CONCAT("*",Table13[[#Headers],[Science Fiction]],"*")),1,0)</f>
        <v>0</v>
      </c>
      <c r="X257">
        <f>IF(COUNTIF($E257, _xlfn.CONCAT("*",Table13[[#Headers],[TV Movie]],"*")),1,0)</f>
        <v>0</v>
      </c>
      <c r="Y257">
        <f>IF(COUNTIF($E257, _xlfn.CONCAT("*",Table13[[#Headers],[Thriller]],"*")),1,0)</f>
        <v>0</v>
      </c>
      <c r="Z257">
        <f>IF(COUNTIF($E257, _xlfn.CONCAT("*",Table13[[#Headers],[War]],"*")),1,0)</f>
        <v>0</v>
      </c>
      <c r="AA257">
        <f>IF(COUNTIF($E257, _xlfn.CONCAT("*",Table13[[#Headers],[Western]],"*")),1,0)</f>
        <v>0</v>
      </c>
    </row>
    <row r="258" spans="1:27">
      <c r="A258" t="s">
        <v>388</v>
      </c>
      <c r="B258">
        <v>8</v>
      </c>
      <c r="C258">
        <f>MAX(Table13[Rank])-Table13[[#This Row],[Rank]]</f>
        <v>256</v>
      </c>
      <c r="D258" t="s">
        <v>7</v>
      </c>
      <c r="E258" t="s">
        <v>389</v>
      </c>
      <c r="F258" s="1">
        <v>36161</v>
      </c>
      <c r="G258">
        <f>YEAR(Table13[[#This Row],[Date]])</f>
        <v>1999</v>
      </c>
      <c r="H258" t="s">
        <v>388</v>
      </c>
      <c r="I258">
        <f>IF(COUNTIF($E258, _xlfn.CONCAT("*",Table13[[#Headers],[Action]],"*")),1,0)</f>
        <v>0</v>
      </c>
      <c r="J258">
        <f>IF(COUNTIF($E258, _xlfn.CONCAT("*",Table13[[#Headers],[Adventure]],"*")),1,0)</f>
        <v>0</v>
      </c>
      <c r="K258">
        <f>IF(COUNTIF($E258, _xlfn.CONCAT("*",Table13[[#Headers],[Animation]],"*")),1,0)</f>
        <v>0</v>
      </c>
      <c r="L258">
        <f>IF(COUNTIF($E258, _xlfn.CONCAT("*",Table13[[#Headers],[Comedy]],"*")),1,0)</f>
        <v>0</v>
      </c>
      <c r="M258">
        <f>IF(COUNTIF($E258, _xlfn.CONCAT("*",Table13[[#Headers],[Crime]],"*")),1,0)</f>
        <v>0</v>
      </c>
      <c r="N258">
        <f>IF(COUNTIF($E258, _xlfn.CONCAT("*",Table13[[#Headers],[Documentary]],"*")),1,0)</f>
        <v>0</v>
      </c>
      <c r="O258">
        <f>IF(COUNTIF($E258, _xlfn.CONCAT("*",Table13[[#Headers],[Drama]],"*")),1,0)</f>
        <v>1</v>
      </c>
      <c r="P258">
        <f>IF(COUNTIF($E258, _xlfn.CONCAT("*",Table13[[#Headers],[Family]],"*")),1,0)</f>
        <v>0</v>
      </c>
      <c r="Q258">
        <f>IF(COUNTIF($E258, _xlfn.CONCAT("*",Table13[[#Headers],[Fantasy]],"*")),1,0)</f>
        <v>0</v>
      </c>
      <c r="R258">
        <f>IF(COUNTIF($E258, _xlfn.CONCAT("*",Table13[[#Headers],[History]],"*")),1,0)</f>
        <v>0</v>
      </c>
      <c r="S258">
        <f>IF(COUNTIF($E258, _xlfn.CONCAT("*",Table13[[#Headers],[Horror]],"*")),1,0)</f>
        <v>0</v>
      </c>
      <c r="T258">
        <f>IF(COUNTIF($E258, _xlfn.CONCAT("*",Table13[[#Headers],[Music]],"*")),1,0)</f>
        <v>0</v>
      </c>
      <c r="U258">
        <f>IF(COUNTIF($E258, _xlfn.CONCAT("*",Table13[[#Headers],[Mystery]],"*")),1,0)</f>
        <v>1</v>
      </c>
      <c r="V258">
        <f>IF(COUNTIF($E258, _xlfn.CONCAT("*",Table13[[#Headers],[Romance]],"*")),1,0)</f>
        <v>0</v>
      </c>
      <c r="W258">
        <f>IF(COUNTIF($E258, _xlfn.CONCAT("*",Table13[[#Headers],[Science Fiction]],"*")),1,0)</f>
        <v>0</v>
      </c>
      <c r="X258">
        <f>IF(COUNTIF($E258, _xlfn.CONCAT("*",Table13[[#Headers],[TV Movie]],"*")),1,0)</f>
        <v>1</v>
      </c>
      <c r="Y258">
        <f>IF(COUNTIF($E258, _xlfn.CONCAT("*",Table13[[#Headers],[Thriller]],"*")),1,0)</f>
        <v>1</v>
      </c>
      <c r="Z258">
        <f>IF(COUNTIF($E258, _xlfn.CONCAT("*",Table13[[#Headers],[War]],"*")),1,0)</f>
        <v>0</v>
      </c>
      <c r="AA258">
        <f>IF(COUNTIF($E258, _xlfn.CONCAT("*",Table13[[#Headers],[Western]],"*")),1,0)</f>
        <v>0</v>
      </c>
    </row>
    <row r="259" spans="1:27">
      <c r="A259" t="s">
        <v>390</v>
      </c>
      <c r="B259">
        <v>7</v>
      </c>
      <c r="C259">
        <f>MAX(Table13[Rank])-Table13[[#This Row],[Rank]]</f>
        <v>257</v>
      </c>
      <c r="D259" t="s">
        <v>7</v>
      </c>
      <c r="E259" t="s">
        <v>21</v>
      </c>
      <c r="F259" s="1">
        <v>36649</v>
      </c>
      <c r="G259">
        <f>YEAR(Table13[[#This Row],[Date]])</f>
        <v>2000</v>
      </c>
      <c r="H259" t="s">
        <v>453</v>
      </c>
      <c r="I259">
        <f>IF(COUNTIF($E259, _xlfn.CONCAT("*",Table13[[#Headers],[Action]],"*")),1,0)</f>
        <v>0</v>
      </c>
      <c r="J259">
        <f>IF(COUNTIF($E259, _xlfn.CONCAT("*",Table13[[#Headers],[Adventure]],"*")),1,0)</f>
        <v>0</v>
      </c>
      <c r="K259">
        <f>IF(COUNTIF($E259, _xlfn.CONCAT("*",Table13[[#Headers],[Animation]],"*")),1,0)</f>
        <v>0</v>
      </c>
      <c r="L259">
        <f>IF(COUNTIF($E259, _xlfn.CONCAT("*",Table13[[#Headers],[Comedy]],"*")),1,0)</f>
        <v>0</v>
      </c>
      <c r="M259">
        <f>IF(COUNTIF($E259, _xlfn.CONCAT("*",Table13[[#Headers],[Crime]],"*")),1,0)</f>
        <v>0</v>
      </c>
      <c r="N259">
        <f>IF(COUNTIF($E259, _xlfn.CONCAT("*",Table13[[#Headers],[Documentary]],"*")),1,0)</f>
        <v>0</v>
      </c>
      <c r="O259">
        <f>IF(COUNTIF($E259, _xlfn.CONCAT("*",Table13[[#Headers],[Drama]],"*")),1,0)</f>
        <v>1</v>
      </c>
      <c r="P259">
        <f>IF(COUNTIF($E259, _xlfn.CONCAT("*",Table13[[#Headers],[Family]],"*")),1,0)</f>
        <v>0</v>
      </c>
      <c r="Q259">
        <f>IF(COUNTIF($E259, _xlfn.CONCAT("*",Table13[[#Headers],[Fantasy]],"*")),1,0)</f>
        <v>0</v>
      </c>
      <c r="R259">
        <f>IF(COUNTIF($E259, _xlfn.CONCAT("*",Table13[[#Headers],[History]],"*")),1,0)</f>
        <v>0</v>
      </c>
      <c r="S259">
        <f>IF(COUNTIF($E259, _xlfn.CONCAT("*",Table13[[#Headers],[Horror]],"*")),1,0)</f>
        <v>0</v>
      </c>
      <c r="T259">
        <f>IF(COUNTIF($E259, _xlfn.CONCAT("*",Table13[[#Headers],[Music]],"*")),1,0)</f>
        <v>0</v>
      </c>
      <c r="U259">
        <f>IF(COUNTIF($E259, _xlfn.CONCAT("*",Table13[[#Headers],[Mystery]],"*")),1,0)</f>
        <v>0</v>
      </c>
      <c r="V259">
        <f>IF(COUNTIF($E259, _xlfn.CONCAT("*",Table13[[#Headers],[Romance]],"*")),1,0)</f>
        <v>0</v>
      </c>
      <c r="W259">
        <f>IF(COUNTIF($E259, _xlfn.CONCAT("*",Table13[[#Headers],[Science Fiction]],"*")),1,0)</f>
        <v>0</v>
      </c>
      <c r="X259">
        <f>IF(COUNTIF($E259, _xlfn.CONCAT("*",Table13[[#Headers],[TV Movie]],"*")),1,0)</f>
        <v>0</v>
      </c>
      <c r="Y259">
        <f>IF(COUNTIF($E259, _xlfn.CONCAT("*",Table13[[#Headers],[Thriller]],"*")),1,0)</f>
        <v>0</v>
      </c>
      <c r="Z259">
        <f>IF(COUNTIF($E259, _xlfn.CONCAT("*",Table13[[#Headers],[War]],"*")),1,0)</f>
        <v>0</v>
      </c>
      <c r="AA259">
        <f>IF(COUNTIF($E259, _xlfn.CONCAT("*",Table13[[#Headers],[Western]],"*")),1,0)</f>
        <v>0</v>
      </c>
    </row>
    <row r="260" spans="1:27">
      <c r="A260" t="s">
        <v>391</v>
      </c>
      <c r="B260">
        <v>6</v>
      </c>
      <c r="C260">
        <f>MAX(Table13[Rank])-Table13[[#This Row],[Rank]]</f>
        <v>258</v>
      </c>
      <c r="D260" t="s">
        <v>7</v>
      </c>
      <c r="E260" t="s">
        <v>392</v>
      </c>
      <c r="F260" s="1">
        <v>24930</v>
      </c>
      <c r="G260">
        <f>YEAR(Table13[[#This Row],[Date]])</f>
        <v>1968</v>
      </c>
      <c r="H260" t="s">
        <v>391</v>
      </c>
      <c r="I260">
        <f>IF(COUNTIF($E260, _xlfn.CONCAT("*",Table13[[#Headers],[Action]],"*")),1,0)</f>
        <v>0</v>
      </c>
      <c r="J260">
        <f>IF(COUNTIF($E260, _xlfn.CONCAT("*",Table13[[#Headers],[Adventure]],"*")),1,0)</f>
        <v>1</v>
      </c>
      <c r="K260">
        <f>IF(COUNTIF($E260, _xlfn.CONCAT("*",Table13[[#Headers],[Animation]],"*")),1,0)</f>
        <v>0</v>
      </c>
      <c r="L260">
        <f>IF(COUNTIF($E260, _xlfn.CONCAT("*",Table13[[#Headers],[Comedy]],"*")),1,0)</f>
        <v>0</v>
      </c>
      <c r="M260">
        <f>IF(COUNTIF($E260, _xlfn.CONCAT("*",Table13[[#Headers],[Crime]],"*")),1,0)</f>
        <v>0</v>
      </c>
      <c r="N260">
        <f>IF(COUNTIF($E260, _xlfn.CONCAT("*",Table13[[#Headers],[Documentary]],"*")),1,0)</f>
        <v>0</v>
      </c>
      <c r="O260">
        <f>IF(COUNTIF($E260, _xlfn.CONCAT("*",Table13[[#Headers],[Drama]],"*")),1,0)</f>
        <v>0</v>
      </c>
      <c r="P260">
        <f>IF(COUNTIF($E260, _xlfn.CONCAT("*",Table13[[#Headers],[Family]],"*")),1,0)</f>
        <v>0</v>
      </c>
      <c r="Q260">
        <f>IF(COUNTIF($E260, _xlfn.CONCAT("*",Table13[[#Headers],[Fantasy]],"*")),1,0)</f>
        <v>0</v>
      </c>
      <c r="R260">
        <f>IF(COUNTIF($E260, _xlfn.CONCAT("*",Table13[[#Headers],[History]],"*")),1,0)</f>
        <v>0</v>
      </c>
      <c r="S260">
        <f>IF(COUNTIF($E260, _xlfn.CONCAT("*",Table13[[#Headers],[Horror]],"*")),1,0)</f>
        <v>0</v>
      </c>
      <c r="T260">
        <f>IF(COUNTIF($E260, _xlfn.CONCAT("*",Table13[[#Headers],[Music]],"*")),1,0)</f>
        <v>0</v>
      </c>
      <c r="U260">
        <f>IF(COUNTIF($E260, _xlfn.CONCAT("*",Table13[[#Headers],[Mystery]],"*")),1,0)</f>
        <v>1</v>
      </c>
      <c r="V260">
        <f>IF(COUNTIF($E260, _xlfn.CONCAT("*",Table13[[#Headers],[Romance]],"*")),1,0)</f>
        <v>0</v>
      </c>
      <c r="W260">
        <f>IF(COUNTIF($E260, _xlfn.CONCAT("*",Table13[[#Headers],[Science Fiction]],"*")),1,0)</f>
        <v>1</v>
      </c>
      <c r="X260">
        <f>IF(COUNTIF($E260, _xlfn.CONCAT("*",Table13[[#Headers],[TV Movie]],"*")),1,0)</f>
        <v>0</v>
      </c>
      <c r="Y260">
        <f>IF(COUNTIF($E260, _xlfn.CONCAT("*",Table13[[#Headers],[Thriller]],"*")),1,0)</f>
        <v>0</v>
      </c>
      <c r="Z260">
        <f>IF(COUNTIF($E260, _xlfn.CONCAT("*",Table13[[#Headers],[War]],"*")),1,0)</f>
        <v>0</v>
      </c>
      <c r="AA260">
        <f>IF(COUNTIF($E260, _xlfn.CONCAT("*",Table13[[#Headers],[Western]],"*")),1,0)</f>
        <v>0</v>
      </c>
    </row>
    <row r="261" spans="1:27">
      <c r="A261" t="s">
        <v>393</v>
      </c>
      <c r="B261">
        <v>5</v>
      </c>
      <c r="C261">
        <f>MAX(Table13[Rank])-Table13[[#This Row],[Rank]]</f>
        <v>259</v>
      </c>
      <c r="D261" t="s">
        <v>7</v>
      </c>
      <c r="E261" t="s">
        <v>35</v>
      </c>
      <c r="F261" s="1">
        <v>36798</v>
      </c>
      <c r="G261">
        <f>YEAR(Table13[[#This Row],[Date]])</f>
        <v>2000</v>
      </c>
      <c r="H261" t="s">
        <v>393</v>
      </c>
      <c r="I261">
        <f>IF(COUNTIF($E261, _xlfn.CONCAT("*",Table13[[#Headers],[Action]],"*")),1,0)</f>
        <v>0</v>
      </c>
      <c r="J261">
        <f>IF(COUNTIF($E261, _xlfn.CONCAT("*",Table13[[#Headers],[Adventure]],"*")),1,0)</f>
        <v>0</v>
      </c>
      <c r="K261">
        <f>IF(COUNTIF($E261, _xlfn.CONCAT("*",Table13[[#Headers],[Animation]],"*")),1,0)</f>
        <v>0</v>
      </c>
      <c r="L261">
        <f>IF(COUNTIF($E261, _xlfn.CONCAT("*",Table13[[#Headers],[Comedy]],"*")),1,0)</f>
        <v>0</v>
      </c>
      <c r="M261">
        <f>IF(COUNTIF($E261, _xlfn.CONCAT("*",Table13[[#Headers],[Crime]],"*")),1,0)</f>
        <v>0</v>
      </c>
      <c r="N261">
        <f>IF(COUNTIF($E261, _xlfn.CONCAT("*",Table13[[#Headers],[Documentary]],"*")),1,0)</f>
        <v>0</v>
      </c>
      <c r="O261">
        <f>IF(COUNTIF($E261, _xlfn.CONCAT("*",Table13[[#Headers],[Drama]],"*")),1,0)</f>
        <v>1</v>
      </c>
      <c r="P261">
        <f>IF(COUNTIF($E261, _xlfn.CONCAT("*",Table13[[#Headers],[Family]],"*")),1,0)</f>
        <v>0</v>
      </c>
      <c r="Q261">
        <f>IF(COUNTIF($E261, _xlfn.CONCAT("*",Table13[[#Headers],[Fantasy]],"*")),1,0)</f>
        <v>0</v>
      </c>
      <c r="R261">
        <f>IF(COUNTIF($E261, _xlfn.CONCAT("*",Table13[[#Headers],[History]],"*")),1,0)</f>
        <v>0</v>
      </c>
      <c r="S261">
        <f>IF(COUNTIF($E261, _xlfn.CONCAT("*",Table13[[#Headers],[Horror]],"*")),1,0)</f>
        <v>0</v>
      </c>
      <c r="T261">
        <f>IF(COUNTIF($E261, _xlfn.CONCAT("*",Table13[[#Headers],[Music]],"*")),1,0)</f>
        <v>0</v>
      </c>
      <c r="U261">
        <f>IF(COUNTIF($E261, _xlfn.CONCAT("*",Table13[[#Headers],[Mystery]],"*")),1,0)</f>
        <v>0</v>
      </c>
      <c r="V261">
        <f>IF(COUNTIF($E261, _xlfn.CONCAT("*",Table13[[#Headers],[Romance]],"*")),1,0)</f>
        <v>1</v>
      </c>
      <c r="W261">
        <f>IF(COUNTIF($E261, _xlfn.CONCAT("*",Table13[[#Headers],[Science Fiction]],"*")),1,0)</f>
        <v>0</v>
      </c>
      <c r="X261">
        <f>IF(COUNTIF($E261, _xlfn.CONCAT("*",Table13[[#Headers],[TV Movie]],"*")),1,0)</f>
        <v>0</v>
      </c>
      <c r="Y261">
        <f>IF(COUNTIF($E261, _xlfn.CONCAT("*",Table13[[#Headers],[Thriller]],"*")),1,0)</f>
        <v>0</v>
      </c>
      <c r="Z261">
        <f>IF(COUNTIF($E261, _xlfn.CONCAT("*",Table13[[#Headers],[War]],"*")),1,0)</f>
        <v>0</v>
      </c>
      <c r="AA261">
        <f>IF(COUNTIF($E261, _xlfn.CONCAT("*",Table13[[#Headers],[Western]],"*")),1,0)</f>
        <v>0</v>
      </c>
    </row>
    <row r="262" spans="1:27">
      <c r="A262" t="s">
        <v>394</v>
      </c>
      <c r="B262">
        <v>4</v>
      </c>
      <c r="C262">
        <f>MAX(Table13[Rank])-Table13[[#This Row],[Rank]]</f>
        <v>260</v>
      </c>
      <c r="D262" t="s">
        <v>7</v>
      </c>
      <c r="E262" t="s">
        <v>21</v>
      </c>
      <c r="F262" s="1">
        <v>19666</v>
      </c>
      <c r="G262">
        <f>YEAR(Table13[[#This Row],[Date]])</f>
        <v>1953</v>
      </c>
      <c r="H262" t="s">
        <v>394</v>
      </c>
      <c r="I262">
        <f>IF(COUNTIF($E262, _xlfn.CONCAT("*",Table13[[#Headers],[Action]],"*")),1,0)</f>
        <v>0</v>
      </c>
      <c r="J262">
        <f>IF(COUNTIF($E262, _xlfn.CONCAT("*",Table13[[#Headers],[Adventure]],"*")),1,0)</f>
        <v>0</v>
      </c>
      <c r="K262">
        <f>IF(COUNTIF($E262, _xlfn.CONCAT("*",Table13[[#Headers],[Animation]],"*")),1,0)</f>
        <v>0</v>
      </c>
      <c r="L262">
        <f>IF(COUNTIF($E262, _xlfn.CONCAT("*",Table13[[#Headers],[Comedy]],"*")),1,0)</f>
        <v>0</v>
      </c>
      <c r="M262">
        <f>IF(COUNTIF($E262, _xlfn.CONCAT("*",Table13[[#Headers],[Crime]],"*")),1,0)</f>
        <v>0</v>
      </c>
      <c r="N262">
        <f>IF(COUNTIF($E262, _xlfn.CONCAT("*",Table13[[#Headers],[Documentary]],"*")),1,0)</f>
        <v>0</v>
      </c>
      <c r="O262">
        <f>IF(COUNTIF($E262, _xlfn.CONCAT("*",Table13[[#Headers],[Drama]],"*")),1,0)</f>
        <v>1</v>
      </c>
      <c r="P262">
        <f>IF(COUNTIF($E262, _xlfn.CONCAT("*",Table13[[#Headers],[Family]],"*")),1,0)</f>
        <v>0</v>
      </c>
      <c r="Q262">
        <f>IF(COUNTIF($E262, _xlfn.CONCAT("*",Table13[[#Headers],[Fantasy]],"*")),1,0)</f>
        <v>0</v>
      </c>
      <c r="R262">
        <f>IF(COUNTIF($E262, _xlfn.CONCAT("*",Table13[[#Headers],[History]],"*")),1,0)</f>
        <v>0</v>
      </c>
      <c r="S262">
        <f>IF(COUNTIF($E262, _xlfn.CONCAT("*",Table13[[#Headers],[Horror]],"*")),1,0)</f>
        <v>0</v>
      </c>
      <c r="T262">
        <f>IF(COUNTIF($E262, _xlfn.CONCAT("*",Table13[[#Headers],[Music]],"*")),1,0)</f>
        <v>0</v>
      </c>
      <c r="U262">
        <f>IF(COUNTIF($E262, _xlfn.CONCAT("*",Table13[[#Headers],[Mystery]],"*")),1,0)</f>
        <v>0</v>
      </c>
      <c r="V262">
        <f>IF(COUNTIF($E262, _xlfn.CONCAT("*",Table13[[#Headers],[Romance]],"*")),1,0)</f>
        <v>0</v>
      </c>
      <c r="W262">
        <f>IF(COUNTIF($E262, _xlfn.CONCAT("*",Table13[[#Headers],[Science Fiction]],"*")),1,0)</f>
        <v>0</v>
      </c>
      <c r="X262">
        <f>IF(COUNTIF($E262, _xlfn.CONCAT("*",Table13[[#Headers],[TV Movie]],"*")),1,0)</f>
        <v>0</v>
      </c>
      <c r="Y262">
        <f>IF(COUNTIF($E262, _xlfn.CONCAT("*",Table13[[#Headers],[Thriller]],"*")),1,0)</f>
        <v>0</v>
      </c>
      <c r="Z262">
        <f>IF(COUNTIF($E262, _xlfn.CONCAT("*",Table13[[#Headers],[War]],"*")),1,0)</f>
        <v>0</v>
      </c>
      <c r="AA262">
        <f>IF(COUNTIF($E262, _xlfn.CONCAT("*",Table13[[#Headers],[Western]],"*")),1,0)</f>
        <v>0</v>
      </c>
    </row>
    <row r="263" spans="1:27">
      <c r="A263" t="s">
        <v>395</v>
      </c>
      <c r="B263">
        <v>3</v>
      </c>
      <c r="C263">
        <f>MAX(Table13[Rank])-Table13[[#This Row],[Rank]]</f>
        <v>261</v>
      </c>
      <c r="D263" t="s">
        <v>7</v>
      </c>
      <c r="E263" t="s">
        <v>152</v>
      </c>
      <c r="F263" s="1">
        <v>15083</v>
      </c>
      <c r="G263">
        <f>YEAR(Table13[[#This Row],[Date]])</f>
        <v>1941</v>
      </c>
      <c r="H263" t="s">
        <v>395</v>
      </c>
      <c r="I263">
        <f>IF(COUNTIF($E263, _xlfn.CONCAT("*",Table13[[#Headers],[Action]],"*")),1,0)</f>
        <v>0</v>
      </c>
      <c r="J263">
        <f>IF(COUNTIF($E263, _xlfn.CONCAT("*",Table13[[#Headers],[Adventure]],"*")),1,0)</f>
        <v>0</v>
      </c>
      <c r="K263">
        <f>IF(COUNTIF($E263, _xlfn.CONCAT("*",Table13[[#Headers],[Animation]],"*")),1,0)</f>
        <v>0</v>
      </c>
      <c r="L263">
        <f>IF(COUNTIF($E263, _xlfn.CONCAT("*",Table13[[#Headers],[Comedy]],"*")),1,0)</f>
        <v>0</v>
      </c>
      <c r="M263">
        <f>IF(COUNTIF($E263, _xlfn.CONCAT("*",Table13[[#Headers],[Crime]],"*")),1,0)</f>
        <v>0</v>
      </c>
      <c r="N263">
        <f>IF(COUNTIF($E263, _xlfn.CONCAT("*",Table13[[#Headers],[Documentary]],"*")),1,0)</f>
        <v>0</v>
      </c>
      <c r="O263">
        <f>IF(COUNTIF($E263, _xlfn.CONCAT("*",Table13[[#Headers],[Drama]],"*")),1,0)</f>
        <v>1</v>
      </c>
      <c r="P263">
        <f>IF(COUNTIF($E263, _xlfn.CONCAT("*",Table13[[#Headers],[Family]],"*")),1,0)</f>
        <v>0</v>
      </c>
      <c r="Q263">
        <f>IF(COUNTIF($E263, _xlfn.CONCAT("*",Table13[[#Headers],[Fantasy]],"*")),1,0)</f>
        <v>0</v>
      </c>
      <c r="R263">
        <f>IF(COUNTIF($E263, _xlfn.CONCAT("*",Table13[[#Headers],[History]],"*")),1,0)</f>
        <v>0</v>
      </c>
      <c r="S263">
        <f>IF(COUNTIF($E263, _xlfn.CONCAT("*",Table13[[#Headers],[Horror]],"*")),1,0)</f>
        <v>0</v>
      </c>
      <c r="T263">
        <f>IF(COUNTIF($E263, _xlfn.CONCAT("*",Table13[[#Headers],[Music]],"*")),1,0)</f>
        <v>0</v>
      </c>
      <c r="U263">
        <f>IF(COUNTIF($E263, _xlfn.CONCAT("*",Table13[[#Headers],[Mystery]],"*")),1,0)</f>
        <v>1</v>
      </c>
      <c r="V263">
        <f>IF(COUNTIF($E263, _xlfn.CONCAT("*",Table13[[#Headers],[Romance]],"*")),1,0)</f>
        <v>0</v>
      </c>
      <c r="W263">
        <f>IF(COUNTIF($E263, _xlfn.CONCAT("*",Table13[[#Headers],[Science Fiction]],"*")),1,0)</f>
        <v>0</v>
      </c>
      <c r="X263">
        <f>IF(COUNTIF($E263, _xlfn.CONCAT("*",Table13[[#Headers],[TV Movie]],"*")),1,0)</f>
        <v>0</v>
      </c>
      <c r="Y263">
        <f>IF(COUNTIF($E263, _xlfn.CONCAT("*",Table13[[#Headers],[Thriller]],"*")),1,0)</f>
        <v>0</v>
      </c>
      <c r="Z263">
        <f>IF(COUNTIF($E263, _xlfn.CONCAT("*",Table13[[#Headers],[War]],"*")),1,0)</f>
        <v>0</v>
      </c>
      <c r="AA263">
        <f>IF(COUNTIF($E263, _xlfn.CONCAT("*",Table13[[#Headers],[Western]],"*")),1,0)</f>
        <v>0</v>
      </c>
    </row>
    <row r="264" spans="1:27">
      <c r="A264" t="s">
        <v>396</v>
      </c>
      <c r="B264">
        <v>2</v>
      </c>
      <c r="C264">
        <f>MAX(Table13[Rank])-Table13[[#This Row],[Rank]]</f>
        <v>262</v>
      </c>
      <c r="D264" t="s">
        <v>7</v>
      </c>
      <c r="E264" t="s">
        <v>397</v>
      </c>
      <c r="F264" s="1">
        <v>21333</v>
      </c>
      <c r="G264">
        <f>YEAR(Table13[[#This Row],[Date]])</f>
        <v>1958</v>
      </c>
      <c r="H264" t="s">
        <v>396</v>
      </c>
      <c r="I264">
        <f>IF(COUNTIF($E264, _xlfn.CONCAT("*",Table13[[#Headers],[Action]],"*")),1,0)</f>
        <v>0</v>
      </c>
      <c r="J264">
        <f>IF(COUNTIF($E264, _xlfn.CONCAT("*",Table13[[#Headers],[Adventure]],"*")),1,0)</f>
        <v>0</v>
      </c>
      <c r="K264">
        <f>IF(COUNTIF($E264, _xlfn.CONCAT("*",Table13[[#Headers],[Animation]],"*")),1,0)</f>
        <v>0</v>
      </c>
      <c r="L264">
        <f>IF(COUNTIF($E264, _xlfn.CONCAT("*",Table13[[#Headers],[Comedy]],"*")),1,0)</f>
        <v>0</v>
      </c>
      <c r="M264">
        <f>IF(COUNTIF($E264, _xlfn.CONCAT("*",Table13[[#Headers],[Crime]],"*")),1,0)</f>
        <v>0</v>
      </c>
      <c r="N264">
        <f>IF(COUNTIF($E264, _xlfn.CONCAT("*",Table13[[#Headers],[Documentary]],"*")),1,0)</f>
        <v>0</v>
      </c>
      <c r="O264">
        <f>IF(COUNTIF($E264, _xlfn.CONCAT("*",Table13[[#Headers],[Drama]],"*")),1,0)</f>
        <v>0</v>
      </c>
      <c r="P264">
        <f>IF(COUNTIF($E264, _xlfn.CONCAT("*",Table13[[#Headers],[Family]],"*")),1,0)</f>
        <v>0</v>
      </c>
      <c r="Q264">
        <f>IF(COUNTIF($E264, _xlfn.CONCAT("*",Table13[[#Headers],[Fantasy]],"*")),1,0)</f>
        <v>0</v>
      </c>
      <c r="R264">
        <f>IF(COUNTIF($E264, _xlfn.CONCAT("*",Table13[[#Headers],[History]],"*")),1,0)</f>
        <v>0</v>
      </c>
      <c r="S264">
        <f>IF(COUNTIF($E264, _xlfn.CONCAT("*",Table13[[#Headers],[Horror]],"*")),1,0)</f>
        <v>0</v>
      </c>
      <c r="T264">
        <f>IF(COUNTIF($E264, _xlfn.CONCAT("*",Table13[[#Headers],[Music]],"*")),1,0)</f>
        <v>0</v>
      </c>
      <c r="U264">
        <f>IF(COUNTIF($E264, _xlfn.CONCAT("*",Table13[[#Headers],[Mystery]],"*")),1,0)</f>
        <v>1</v>
      </c>
      <c r="V264">
        <f>IF(COUNTIF($E264, _xlfn.CONCAT("*",Table13[[#Headers],[Romance]],"*")),1,0)</f>
        <v>1</v>
      </c>
      <c r="W264">
        <f>IF(COUNTIF($E264, _xlfn.CONCAT("*",Table13[[#Headers],[Science Fiction]],"*")),1,0)</f>
        <v>0</v>
      </c>
      <c r="X264">
        <f>IF(COUNTIF($E264, _xlfn.CONCAT("*",Table13[[#Headers],[TV Movie]],"*")),1,0)</f>
        <v>0</v>
      </c>
      <c r="Y264">
        <f>IF(COUNTIF($E264, _xlfn.CONCAT("*",Table13[[#Headers],[Thriller]],"*")),1,0)</f>
        <v>1</v>
      </c>
      <c r="Z264">
        <f>IF(COUNTIF($E264, _xlfn.CONCAT("*",Table13[[#Headers],[War]],"*")),1,0)</f>
        <v>0</v>
      </c>
      <c r="AA264">
        <f>IF(COUNTIF($E264, _xlfn.CONCAT("*",Table13[[#Headers],[Western]],"*")),1,0)</f>
        <v>0</v>
      </c>
    </row>
    <row r="265" spans="1:27">
      <c r="A265" t="s">
        <v>398</v>
      </c>
      <c r="B265">
        <v>1</v>
      </c>
      <c r="C265">
        <f>MAX(Table13[Rank])-Table13[[#This Row],[Rank]]</f>
        <v>263</v>
      </c>
      <c r="D265" t="s">
        <v>7</v>
      </c>
      <c r="E265" t="s">
        <v>21</v>
      </c>
      <c r="F265" s="1">
        <v>27780</v>
      </c>
      <c r="G265">
        <f>YEAR(Table13[[#This Row],[Date]])</f>
        <v>1976</v>
      </c>
      <c r="H265" t="s">
        <v>399</v>
      </c>
      <c r="I265">
        <f>IF(COUNTIF($E265, _xlfn.CONCAT("*",Table13[[#Headers],[Action]],"*")),1,0)</f>
        <v>0</v>
      </c>
      <c r="J265">
        <f>IF(COUNTIF($E265, _xlfn.CONCAT("*",Table13[[#Headers],[Adventure]],"*")),1,0)</f>
        <v>0</v>
      </c>
      <c r="K265">
        <f>IF(COUNTIF($E265, _xlfn.CONCAT("*",Table13[[#Headers],[Animation]],"*")),1,0)</f>
        <v>0</v>
      </c>
      <c r="L265">
        <f>IF(COUNTIF($E265, _xlfn.CONCAT("*",Table13[[#Headers],[Comedy]],"*")),1,0)</f>
        <v>0</v>
      </c>
      <c r="M265">
        <f>IF(COUNTIF($E265, _xlfn.CONCAT("*",Table13[[#Headers],[Crime]],"*")),1,0)</f>
        <v>0</v>
      </c>
      <c r="N265">
        <f>IF(COUNTIF($E265, _xlfn.CONCAT("*",Table13[[#Headers],[Documentary]],"*")),1,0)</f>
        <v>0</v>
      </c>
      <c r="O265">
        <f>IF(COUNTIF($E265, _xlfn.CONCAT("*",Table13[[#Headers],[Drama]],"*")),1,0)</f>
        <v>1</v>
      </c>
      <c r="P265">
        <f>IF(COUNTIF($E265, _xlfn.CONCAT("*",Table13[[#Headers],[Family]],"*")),1,0)</f>
        <v>0</v>
      </c>
      <c r="Q265">
        <f>IF(COUNTIF($E265, _xlfn.CONCAT("*",Table13[[#Headers],[Fantasy]],"*")),1,0)</f>
        <v>0</v>
      </c>
      <c r="R265">
        <f>IF(COUNTIF($E265, _xlfn.CONCAT("*",Table13[[#Headers],[History]],"*")),1,0)</f>
        <v>0</v>
      </c>
      <c r="S265">
        <f>IF(COUNTIF($E265, _xlfn.CONCAT("*",Table13[[#Headers],[Horror]],"*")),1,0)</f>
        <v>0</v>
      </c>
      <c r="T265">
        <f>IF(COUNTIF($E265, _xlfn.CONCAT("*",Table13[[#Headers],[Music]],"*")),1,0)</f>
        <v>0</v>
      </c>
      <c r="U265">
        <f>IF(COUNTIF($E265, _xlfn.CONCAT("*",Table13[[#Headers],[Mystery]],"*")),1,0)</f>
        <v>0</v>
      </c>
      <c r="V265">
        <f>IF(COUNTIF($E265, _xlfn.CONCAT("*",Table13[[#Headers],[Romance]],"*")),1,0)</f>
        <v>0</v>
      </c>
      <c r="W265">
        <f>IF(COUNTIF($E265, _xlfn.CONCAT("*",Table13[[#Headers],[Science Fiction]],"*")),1,0)</f>
        <v>0</v>
      </c>
      <c r="X265">
        <f>IF(COUNTIF($E265, _xlfn.CONCAT("*",Table13[[#Headers],[TV Movie]],"*")),1,0)</f>
        <v>0</v>
      </c>
      <c r="Y265">
        <f>IF(COUNTIF($E265, _xlfn.CONCAT("*",Table13[[#Headers],[Thriller]],"*")),1,0)</f>
        <v>0</v>
      </c>
      <c r="Z265">
        <f>IF(COUNTIF($E265, _xlfn.CONCAT("*",Table13[[#Headers],[War]],"*")),1,0)</f>
        <v>0</v>
      </c>
      <c r="AA265">
        <f>IF(COUNTIF($E265, _xlfn.CONCAT("*",Table13[[#Headers],[Western]],"*")),1,0)</f>
        <v>0</v>
      </c>
    </row>
    <row r="266" spans="1:27">
      <c r="A266" t="s">
        <v>75</v>
      </c>
      <c r="B266">
        <v>20</v>
      </c>
      <c r="C266">
        <f>MAX(Table13[Rank])-Table13[[#This Row],[Rank]]</f>
        <v>244</v>
      </c>
      <c r="D266" t="s">
        <v>400</v>
      </c>
      <c r="E266" t="s">
        <v>21</v>
      </c>
      <c r="F266" s="1">
        <v>18576</v>
      </c>
      <c r="G266">
        <f>YEAR(Table13[[#This Row],[Date]])</f>
        <v>1950</v>
      </c>
      <c r="H266" t="s">
        <v>75</v>
      </c>
      <c r="I266">
        <f>IF(COUNTIF($E266, _xlfn.CONCAT("*",Table13[[#Headers],[Action]],"*")),1,0)</f>
        <v>0</v>
      </c>
      <c r="J266">
        <f>IF(COUNTIF($E266, _xlfn.CONCAT("*",Table13[[#Headers],[Adventure]],"*")),1,0)</f>
        <v>0</v>
      </c>
      <c r="K266">
        <f>IF(COUNTIF($E266, _xlfn.CONCAT("*",Table13[[#Headers],[Animation]],"*")),1,0)</f>
        <v>0</v>
      </c>
      <c r="L266">
        <f>IF(COUNTIF($E266, _xlfn.CONCAT("*",Table13[[#Headers],[Comedy]],"*")),1,0)</f>
        <v>0</v>
      </c>
      <c r="M266">
        <f>IF(COUNTIF($E266, _xlfn.CONCAT("*",Table13[[#Headers],[Crime]],"*")),1,0)</f>
        <v>0</v>
      </c>
      <c r="N266">
        <f>IF(COUNTIF($E266, _xlfn.CONCAT("*",Table13[[#Headers],[Documentary]],"*")),1,0)</f>
        <v>0</v>
      </c>
      <c r="O266">
        <f>IF(COUNTIF($E266, _xlfn.CONCAT("*",Table13[[#Headers],[Drama]],"*")),1,0)</f>
        <v>1</v>
      </c>
      <c r="P266">
        <f>IF(COUNTIF($E266, _xlfn.CONCAT("*",Table13[[#Headers],[Family]],"*")),1,0)</f>
        <v>0</v>
      </c>
      <c r="Q266">
        <f>IF(COUNTIF($E266, _xlfn.CONCAT("*",Table13[[#Headers],[Fantasy]],"*")),1,0)</f>
        <v>0</v>
      </c>
      <c r="R266">
        <f>IF(COUNTIF($E266, _xlfn.CONCAT("*",Table13[[#Headers],[History]],"*")),1,0)</f>
        <v>0</v>
      </c>
      <c r="S266">
        <f>IF(COUNTIF($E266, _xlfn.CONCAT("*",Table13[[#Headers],[Horror]],"*")),1,0)</f>
        <v>0</v>
      </c>
      <c r="T266">
        <f>IF(COUNTIF($E266, _xlfn.CONCAT("*",Table13[[#Headers],[Music]],"*")),1,0)</f>
        <v>0</v>
      </c>
      <c r="U266">
        <f>IF(COUNTIF($E266, _xlfn.CONCAT("*",Table13[[#Headers],[Mystery]],"*")),1,0)</f>
        <v>0</v>
      </c>
      <c r="V266">
        <f>IF(COUNTIF($E266, _xlfn.CONCAT("*",Table13[[#Headers],[Romance]],"*")),1,0)</f>
        <v>0</v>
      </c>
      <c r="W266">
        <f>IF(COUNTIF($E266, _xlfn.CONCAT("*",Table13[[#Headers],[Science Fiction]],"*")),1,0)</f>
        <v>0</v>
      </c>
      <c r="X266">
        <f>IF(COUNTIF($E266, _xlfn.CONCAT("*",Table13[[#Headers],[TV Movie]],"*")),1,0)</f>
        <v>0</v>
      </c>
      <c r="Y266">
        <f>IF(COUNTIF($E266, _xlfn.CONCAT("*",Table13[[#Headers],[Thriller]],"*")),1,0)</f>
        <v>0</v>
      </c>
      <c r="Z266">
        <f>IF(COUNTIF($E266, _xlfn.CONCAT("*",Table13[[#Headers],[War]],"*")),1,0)</f>
        <v>0</v>
      </c>
      <c r="AA266">
        <f>IF(COUNTIF($E266, _xlfn.CONCAT("*",Table13[[#Headers],[Western]],"*")),1,0)</f>
        <v>0</v>
      </c>
    </row>
    <row r="267" spans="1:27">
      <c r="A267" t="s">
        <v>401</v>
      </c>
      <c r="B267">
        <v>19</v>
      </c>
      <c r="C267">
        <f>MAX(Table13[Rank])-Table13[[#This Row],[Rank]]</f>
        <v>245</v>
      </c>
      <c r="D267" t="s">
        <v>400</v>
      </c>
      <c r="E267" t="s">
        <v>402</v>
      </c>
      <c r="F267" s="1">
        <v>42935</v>
      </c>
      <c r="G267">
        <f>YEAR(Table13[[#This Row],[Date]])</f>
        <v>2017</v>
      </c>
      <c r="H267" t="s">
        <v>401</v>
      </c>
      <c r="I267">
        <f>IF(COUNTIF($E267, _xlfn.CONCAT("*",Table13[[#Headers],[Action]],"*")),1,0)</f>
        <v>1</v>
      </c>
      <c r="J267">
        <f>IF(COUNTIF($E267, _xlfn.CONCAT("*",Table13[[#Headers],[Adventure]],"*")),1,0)</f>
        <v>0</v>
      </c>
      <c r="K267">
        <f>IF(COUNTIF($E267, _xlfn.CONCAT("*",Table13[[#Headers],[Animation]],"*")),1,0)</f>
        <v>0</v>
      </c>
      <c r="L267">
        <f>IF(COUNTIF($E267, _xlfn.CONCAT("*",Table13[[#Headers],[Comedy]],"*")),1,0)</f>
        <v>0</v>
      </c>
      <c r="M267">
        <f>IF(COUNTIF($E267, _xlfn.CONCAT("*",Table13[[#Headers],[Crime]],"*")),1,0)</f>
        <v>0</v>
      </c>
      <c r="N267">
        <f>IF(COUNTIF($E267, _xlfn.CONCAT("*",Table13[[#Headers],[Documentary]],"*")),1,0)</f>
        <v>0</v>
      </c>
      <c r="O267">
        <f>IF(COUNTIF($E267, _xlfn.CONCAT("*",Table13[[#Headers],[Drama]],"*")),1,0)</f>
        <v>1</v>
      </c>
      <c r="P267">
        <f>IF(COUNTIF($E267, _xlfn.CONCAT("*",Table13[[#Headers],[Family]],"*")),1,0)</f>
        <v>0</v>
      </c>
      <c r="Q267">
        <f>IF(COUNTIF($E267, _xlfn.CONCAT("*",Table13[[#Headers],[Fantasy]],"*")),1,0)</f>
        <v>0</v>
      </c>
      <c r="R267">
        <f>IF(COUNTIF($E267, _xlfn.CONCAT("*",Table13[[#Headers],[History]],"*")),1,0)</f>
        <v>0</v>
      </c>
      <c r="S267">
        <f>IF(COUNTIF($E267, _xlfn.CONCAT("*",Table13[[#Headers],[Horror]],"*")),1,0)</f>
        <v>0</v>
      </c>
      <c r="T267">
        <f>IF(COUNTIF($E267, _xlfn.CONCAT("*",Table13[[#Headers],[Music]],"*")),1,0)</f>
        <v>0</v>
      </c>
      <c r="U267">
        <f>IF(COUNTIF($E267, _xlfn.CONCAT("*",Table13[[#Headers],[Mystery]],"*")),1,0)</f>
        <v>0</v>
      </c>
      <c r="V267">
        <f>IF(COUNTIF($E267, _xlfn.CONCAT("*",Table13[[#Headers],[Romance]],"*")),1,0)</f>
        <v>0</v>
      </c>
      <c r="W267">
        <f>IF(COUNTIF($E267, _xlfn.CONCAT("*",Table13[[#Headers],[Science Fiction]],"*")),1,0)</f>
        <v>0</v>
      </c>
      <c r="X267">
        <f>IF(COUNTIF($E267, _xlfn.CONCAT("*",Table13[[#Headers],[TV Movie]],"*")),1,0)</f>
        <v>0</v>
      </c>
      <c r="Y267">
        <f>IF(COUNTIF($E267, _xlfn.CONCAT("*",Table13[[#Headers],[Thriller]],"*")),1,0)</f>
        <v>0</v>
      </c>
      <c r="Z267">
        <f>IF(COUNTIF($E267, _xlfn.CONCAT("*",Table13[[#Headers],[War]],"*")),1,0)</f>
        <v>1</v>
      </c>
      <c r="AA267">
        <f>IF(COUNTIF($E267, _xlfn.CONCAT("*",Table13[[#Headers],[Western]],"*")),1,0)</f>
        <v>0</v>
      </c>
    </row>
    <row r="268" spans="1:27">
      <c r="A268" t="s">
        <v>403</v>
      </c>
      <c r="B268">
        <v>18</v>
      </c>
      <c r="C268">
        <f>MAX(Table13[Rank])-Table13[[#This Row],[Rank]]</f>
        <v>246</v>
      </c>
      <c r="D268" t="s">
        <v>400</v>
      </c>
      <c r="E268" t="s">
        <v>404</v>
      </c>
      <c r="F268" s="1">
        <v>30113</v>
      </c>
      <c r="G268">
        <f>YEAR(Table13[[#This Row],[Date]])</f>
        <v>1982</v>
      </c>
      <c r="H268" t="s">
        <v>403</v>
      </c>
      <c r="I268">
        <f>IF(COUNTIF($E268, _xlfn.CONCAT("*",Table13[[#Headers],[Action]],"*")),1,0)</f>
        <v>0</v>
      </c>
      <c r="J268">
        <f>IF(COUNTIF($E268, _xlfn.CONCAT("*",Table13[[#Headers],[Adventure]],"*")),1,0)</f>
        <v>1</v>
      </c>
      <c r="K268">
        <f>IF(COUNTIF($E268, _xlfn.CONCAT("*",Table13[[#Headers],[Animation]],"*")),1,0)</f>
        <v>0</v>
      </c>
      <c r="L268">
        <f>IF(COUNTIF($E268, _xlfn.CONCAT("*",Table13[[#Headers],[Comedy]],"*")),1,0)</f>
        <v>0</v>
      </c>
      <c r="M268">
        <f>IF(COUNTIF($E268, _xlfn.CONCAT("*",Table13[[#Headers],[Crime]],"*")),1,0)</f>
        <v>0</v>
      </c>
      <c r="N268">
        <f>IF(COUNTIF($E268, _xlfn.CONCAT("*",Table13[[#Headers],[Documentary]],"*")),1,0)</f>
        <v>0</v>
      </c>
      <c r="O268">
        <f>IF(COUNTIF($E268, _xlfn.CONCAT("*",Table13[[#Headers],[Drama]],"*")),1,0)</f>
        <v>0</v>
      </c>
      <c r="P268">
        <f>IF(COUNTIF($E268, _xlfn.CONCAT("*",Table13[[#Headers],[Family]],"*")),1,0)</f>
        <v>1</v>
      </c>
      <c r="Q268">
        <f>IF(COUNTIF($E268, _xlfn.CONCAT("*",Table13[[#Headers],[Fantasy]],"*")),1,0)</f>
        <v>1</v>
      </c>
      <c r="R268">
        <f>IF(COUNTIF($E268, _xlfn.CONCAT("*",Table13[[#Headers],[History]],"*")),1,0)</f>
        <v>0</v>
      </c>
      <c r="S268">
        <f>IF(COUNTIF($E268, _xlfn.CONCAT("*",Table13[[#Headers],[Horror]],"*")),1,0)</f>
        <v>0</v>
      </c>
      <c r="T268">
        <f>IF(COUNTIF($E268, _xlfn.CONCAT("*",Table13[[#Headers],[Music]],"*")),1,0)</f>
        <v>0</v>
      </c>
      <c r="U268">
        <f>IF(COUNTIF($E268, _xlfn.CONCAT("*",Table13[[#Headers],[Mystery]],"*")),1,0)</f>
        <v>0</v>
      </c>
      <c r="V268">
        <f>IF(COUNTIF($E268, _xlfn.CONCAT("*",Table13[[#Headers],[Romance]],"*")),1,0)</f>
        <v>0</v>
      </c>
      <c r="W268">
        <f>IF(COUNTIF($E268, _xlfn.CONCAT("*",Table13[[#Headers],[Science Fiction]],"*")),1,0)</f>
        <v>1</v>
      </c>
      <c r="X268">
        <f>IF(COUNTIF($E268, _xlfn.CONCAT("*",Table13[[#Headers],[TV Movie]],"*")),1,0)</f>
        <v>0</v>
      </c>
      <c r="Y268">
        <f>IF(COUNTIF($E268, _xlfn.CONCAT("*",Table13[[#Headers],[Thriller]],"*")),1,0)</f>
        <v>0</v>
      </c>
      <c r="Z268">
        <f>IF(COUNTIF($E268, _xlfn.CONCAT("*",Table13[[#Headers],[War]],"*")),1,0)</f>
        <v>0</v>
      </c>
      <c r="AA268">
        <f>IF(COUNTIF($E268, _xlfn.CONCAT("*",Table13[[#Headers],[Western]],"*")),1,0)</f>
        <v>0</v>
      </c>
    </row>
    <row r="269" spans="1:27">
      <c r="A269" t="s">
        <v>405</v>
      </c>
      <c r="B269">
        <v>17</v>
      </c>
      <c r="C269">
        <f>MAX(Table13[Rank])-Table13[[#This Row],[Rank]]</f>
        <v>247</v>
      </c>
      <c r="D269" t="s">
        <v>400</v>
      </c>
      <c r="E269" t="s">
        <v>406</v>
      </c>
      <c r="F269" s="1">
        <v>43035</v>
      </c>
      <c r="G269">
        <f>YEAR(Table13[[#This Row],[Date]])</f>
        <v>2017</v>
      </c>
      <c r="H269" t="s">
        <v>405</v>
      </c>
      <c r="I269">
        <f>IF(COUNTIF($E269, _xlfn.CONCAT("*",Table13[[#Headers],[Action]],"*")),1,0)</f>
        <v>0</v>
      </c>
      <c r="J269">
        <f>IF(COUNTIF($E269, _xlfn.CONCAT("*",Table13[[#Headers],[Adventure]],"*")),1,0)</f>
        <v>1</v>
      </c>
      <c r="K269">
        <f>IF(COUNTIF($E269, _xlfn.CONCAT("*",Table13[[#Headers],[Animation]],"*")),1,0)</f>
        <v>1</v>
      </c>
      <c r="L269">
        <f>IF(COUNTIF($E269, _xlfn.CONCAT("*",Table13[[#Headers],[Comedy]],"*")),1,0)</f>
        <v>1</v>
      </c>
      <c r="M269">
        <f>IF(COUNTIF($E269, _xlfn.CONCAT("*",Table13[[#Headers],[Crime]],"*")),1,0)</f>
        <v>0</v>
      </c>
      <c r="N269">
        <f>IF(COUNTIF($E269, _xlfn.CONCAT("*",Table13[[#Headers],[Documentary]],"*")),1,0)</f>
        <v>0</v>
      </c>
      <c r="O269">
        <f>IF(COUNTIF($E269, _xlfn.CONCAT("*",Table13[[#Headers],[Drama]],"*")),1,0)</f>
        <v>0</v>
      </c>
      <c r="P269">
        <f>IF(COUNTIF($E269, _xlfn.CONCAT("*",Table13[[#Headers],[Family]],"*")),1,0)</f>
        <v>1</v>
      </c>
      <c r="Q269">
        <f>IF(COUNTIF($E269, _xlfn.CONCAT("*",Table13[[#Headers],[Fantasy]],"*")),1,0)</f>
        <v>1</v>
      </c>
      <c r="R269">
        <f>IF(COUNTIF($E269, _xlfn.CONCAT("*",Table13[[#Headers],[History]],"*")),1,0)</f>
        <v>0</v>
      </c>
      <c r="S269">
        <f>IF(COUNTIF($E269, _xlfn.CONCAT("*",Table13[[#Headers],[Horror]],"*")),1,0)</f>
        <v>0</v>
      </c>
      <c r="T269">
        <f>IF(COUNTIF($E269, _xlfn.CONCAT("*",Table13[[#Headers],[Music]],"*")),1,0)</f>
        <v>1</v>
      </c>
      <c r="U269">
        <f>IF(COUNTIF($E269, _xlfn.CONCAT("*",Table13[[#Headers],[Mystery]],"*")),1,0)</f>
        <v>0</v>
      </c>
      <c r="V269">
        <f>IF(COUNTIF($E269, _xlfn.CONCAT("*",Table13[[#Headers],[Romance]],"*")),1,0)</f>
        <v>0</v>
      </c>
      <c r="W269">
        <f>IF(COUNTIF($E269, _xlfn.CONCAT("*",Table13[[#Headers],[Science Fiction]],"*")),1,0)</f>
        <v>0</v>
      </c>
      <c r="X269">
        <f>IF(COUNTIF($E269, _xlfn.CONCAT("*",Table13[[#Headers],[TV Movie]],"*")),1,0)</f>
        <v>0</v>
      </c>
      <c r="Y269">
        <f>IF(COUNTIF($E269, _xlfn.CONCAT("*",Table13[[#Headers],[Thriller]],"*")),1,0)</f>
        <v>0</v>
      </c>
      <c r="Z269">
        <f>IF(COUNTIF($E269, _xlfn.CONCAT("*",Table13[[#Headers],[War]],"*")),1,0)</f>
        <v>0</v>
      </c>
      <c r="AA269">
        <f>IF(COUNTIF($E269, _xlfn.CONCAT("*",Table13[[#Headers],[Western]],"*")),1,0)</f>
        <v>0</v>
      </c>
    </row>
    <row r="270" spans="1:27">
      <c r="A270" t="s">
        <v>290</v>
      </c>
      <c r="B270">
        <v>16</v>
      </c>
      <c r="C270">
        <f>MAX(Table13[Rank])-Table13[[#This Row],[Rank]]</f>
        <v>248</v>
      </c>
      <c r="D270" t="s">
        <v>400</v>
      </c>
      <c r="E270" t="s">
        <v>164</v>
      </c>
      <c r="F270" s="1">
        <v>13185</v>
      </c>
      <c r="G270">
        <f>YEAR(Table13[[#This Row],[Date]])</f>
        <v>1936</v>
      </c>
      <c r="H270" t="s">
        <v>290</v>
      </c>
      <c r="I270">
        <f>IF(COUNTIF($E270, _xlfn.CONCAT("*",Table13[[#Headers],[Action]],"*")),1,0)</f>
        <v>0</v>
      </c>
      <c r="J270">
        <f>IF(COUNTIF($E270, _xlfn.CONCAT("*",Table13[[#Headers],[Adventure]],"*")),1,0)</f>
        <v>0</v>
      </c>
      <c r="K270">
        <f>IF(COUNTIF($E270, _xlfn.CONCAT("*",Table13[[#Headers],[Animation]],"*")),1,0)</f>
        <v>0</v>
      </c>
      <c r="L270">
        <f>IF(COUNTIF($E270, _xlfn.CONCAT("*",Table13[[#Headers],[Comedy]],"*")),1,0)</f>
        <v>1</v>
      </c>
      <c r="M270">
        <f>IF(COUNTIF($E270, _xlfn.CONCAT("*",Table13[[#Headers],[Crime]],"*")),1,0)</f>
        <v>0</v>
      </c>
      <c r="N270">
        <f>IF(COUNTIF($E270, _xlfn.CONCAT("*",Table13[[#Headers],[Documentary]],"*")),1,0)</f>
        <v>0</v>
      </c>
      <c r="O270">
        <f>IF(COUNTIF($E270, _xlfn.CONCAT("*",Table13[[#Headers],[Drama]],"*")),1,0)</f>
        <v>1</v>
      </c>
      <c r="P270">
        <f>IF(COUNTIF($E270, _xlfn.CONCAT("*",Table13[[#Headers],[Family]],"*")),1,0)</f>
        <v>0</v>
      </c>
      <c r="Q270">
        <f>IF(COUNTIF($E270, _xlfn.CONCAT("*",Table13[[#Headers],[Fantasy]],"*")),1,0)</f>
        <v>0</v>
      </c>
      <c r="R270">
        <f>IF(COUNTIF($E270, _xlfn.CONCAT("*",Table13[[#Headers],[History]],"*")),1,0)</f>
        <v>0</v>
      </c>
      <c r="S270">
        <f>IF(COUNTIF($E270, _xlfn.CONCAT("*",Table13[[#Headers],[Horror]],"*")),1,0)</f>
        <v>0</v>
      </c>
      <c r="T270">
        <f>IF(COUNTIF($E270, _xlfn.CONCAT("*",Table13[[#Headers],[Music]],"*")),1,0)</f>
        <v>0</v>
      </c>
      <c r="U270">
        <f>IF(COUNTIF($E270, _xlfn.CONCAT("*",Table13[[#Headers],[Mystery]],"*")),1,0)</f>
        <v>0</v>
      </c>
      <c r="V270">
        <f>IF(COUNTIF($E270, _xlfn.CONCAT("*",Table13[[#Headers],[Romance]],"*")),1,0)</f>
        <v>0</v>
      </c>
      <c r="W270">
        <f>IF(COUNTIF($E270, _xlfn.CONCAT("*",Table13[[#Headers],[Science Fiction]],"*")),1,0)</f>
        <v>0</v>
      </c>
      <c r="X270">
        <f>IF(COUNTIF($E270, _xlfn.CONCAT("*",Table13[[#Headers],[TV Movie]],"*")),1,0)</f>
        <v>0</v>
      </c>
      <c r="Y270">
        <f>IF(COUNTIF($E270, _xlfn.CONCAT("*",Table13[[#Headers],[Thriller]],"*")),1,0)</f>
        <v>0</v>
      </c>
      <c r="Z270">
        <f>IF(COUNTIF($E270, _xlfn.CONCAT("*",Table13[[#Headers],[War]],"*")),1,0)</f>
        <v>0</v>
      </c>
      <c r="AA270">
        <f>IF(COUNTIF($E270, _xlfn.CONCAT("*",Table13[[#Headers],[Western]],"*")),1,0)</f>
        <v>0</v>
      </c>
    </row>
    <row r="271" spans="1:27">
      <c r="A271" t="s">
        <v>407</v>
      </c>
      <c r="B271">
        <v>15</v>
      </c>
      <c r="C271">
        <f>MAX(Table13[Rank])-Table13[[#This Row],[Rank]]</f>
        <v>249</v>
      </c>
      <c r="D271" t="s">
        <v>400</v>
      </c>
      <c r="E271" t="s">
        <v>408</v>
      </c>
      <c r="F271" s="1">
        <v>7363</v>
      </c>
      <c r="G271">
        <f>YEAR(Table13[[#This Row],[Date]])</f>
        <v>1920</v>
      </c>
      <c r="H271" t="s">
        <v>407</v>
      </c>
      <c r="I271">
        <f>IF(COUNTIF($E271, _xlfn.CONCAT("*",Table13[[#Headers],[Action]],"*")),1,0)</f>
        <v>0</v>
      </c>
      <c r="J271">
        <f>IF(COUNTIF($E271, _xlfn.CONCAT("*",Table13[[#Headers],[Adventure]],"*")),1,0)</f>
        <v>0</v>
      </c>
      <c r="K271">
        <f>IF(COUNTIF($E271, _xlfn.CONCAT("*",Table13[[#Headers],[Animation]],"*")),1,0)</f>
        <v>0</v>
      </c>
      <c r="L271">
        <f>IF(COUNTIF($E271, _xlfn.CONCAT("*",Table13[[#Headers],[Comedy]],"*")),1,0)</f>
        <v>0</v>
      </c>
      <c r="M271">
        <f>IF(COUNTIF($E271, _xlfn.CONCAT("*",Table13[[#Headers],[Crime]],"*")),1,0)</f>
        <v>1</v>
      </c>
      <c r="N271">
        <f>IF(COUNTIF($E271, _xlfn.CONCAT("*",Table13[[#Headers],[Documentary]],"*")),1,0)</f>
        <v>0</v>
      </c>
      <c r="O271">
        <f>IF(COUNTIF($E271, _xlfn.CONCAT("*",Table13[[#Headers],[Drama]],"*")),1,0)</f>
        <v>1</v>
      </c>
      <c r="P271">
        <f>IF(COUNTIF($E271, _xlfn.CONCAT("*",Table13[[#Headers],[Family]],"*")),1,0)</f>
        <v>0</v>
      </c>
      <c r="Q271">
        <f>IF(COUNTIF($E271, _xlfn.CONCAT("*",Table13[[#Headers],[Fantasy]],"*")),1,0)</f>
        <v>0</v>
      </c>
      <c r="R271">
        <f>IF(COUNTIF($E271, _xlfn.CONCAT("*",Table13[[#Headers],[History]],"*")),1,0)</f>
        <v>0</v>
      </c>
      <c r="S271">
        <f>IF(COUNTIF($E271, _xlfn.CONCAT("*",Table13[[#Headers],[Horror]],"*")),1,0)</f>
        <v>1</v>
      </c>
      <c r="T271">
        <f>IF(COUNTIF($E271, _xlfn.CONCAT("*",Table13[[#Headers],[Music]],"*")),1,0)</f>
        <v>0</v>
      </c>
      <c r="U271">
        <f>IF(COUNTIF($E271, _xlfn.CONCAT("*",Table13[[#Headers],[Mystery]],"*")),1,0)</f>
        <v>0</v>
      </c>
      <c r="V271">
        <f>IF(COUNTIF($E271, _xlfn.CONCAT("*",Table13[[#Headers],[Romance]],"*")),1,0)</f>
        <v>0</v>
      </c>
      <c r="W271">
        <f>IF(COUNTIF($E271, _xlfn.CONCAT("*",Table13[[#Headers],[Science Fiction]],"*")),1,0)</f>
        <v>0</v>
      </c>
      <c r="X271">
        <f>IF(COUNTIF($E271, _xlfn.CONCAT("*",Table13[[#Headers],[TV Movie]],"*")),1,0)</f>
        <v>0</v>
      </c>
      <c r="Y271">
        <f>IF(COUNTIF($E271, _xlfn.CONCAT("*",Table13[[#Headers],[Thriller]],"*")),1,0)</f>
        <v>1</v>
      </c>
      <c r="Z271">
        <f>IF(COUNTIF($E271, _xlfn.CONCAT("*",Table13[[#Headers],[War]],"*")),1,0)</f>
        <v>0</v>
      </c>
      <c r="AA271">
        <f>IF(COUNTIF($E271, _xlfn.CONCAT("*",Table13[[#Headers],[Western]],"*")),1,0)</f>
        <v>0</v>
      </c>
    </row>
    <row r="272" spans="1:27">
      <c r="A272" t="s">
        <v>317</v>
      </c>
      <c r="B272">
        <v>14</v>
      </c>
      <c r="C272">
        <f>MAX(Table13[Rank])-Table13[[#This Row],[Rank]]</f>
        <v>250</v>
      </c>
      <c r="D272" t="s">
        <v>400</v>
      </c>
      <c r="E272" t="s">
        <v>35</v>
      </c>
      <c r="F272" s="1">
        <v>15721</v>
      </c>
      <c r="G272">
        <f>YEAR(Table13[[#This Row],[Date]])</f>
        <v>1943</v>
      </c>
      <c r="H272" t="s">
        <v>317</v>
      </c>
      <c r="I272">
        <f>IF(COUNTIF($E272, _xlfn.CONCAT("*",Table13[[#Headers],[Action]],"*")),1,0)</f>
        <v>0</v>
      </c>
      <c r="J272">
        <f>IF(COUNTIF($E272, _xlfn.CONCAT("*",Table13[[#Headers],[Adventure]],"*")),1,0)</f>
        <v>0</v>
      </c>
      <c r="K272">
        <f>IF(COUNTIF($E272, _xlfn.CONCAT("*",Table13[[#Headers],[Animation]],"*")),1,0)</f>
        <v>0</v>
      </c>
      <c r="L272">
        <f>IF(COUNTIF($E272, _xlfn.CONCAT("*",Table13[[#Headers],[Comedy]],"*")),1,0)</f>
        <v>0</v>
      </c>
      <c r="M272">
        <f>IF(COUNTIF($E272, _xlfn.CONCAT("*",Table13[[#Headers],[Crime]],"*")),1,0)</f>
        <v>0</v>
      </c>
      <c r="N272">
        <f>IF(COUNTIF($E272, _xlfn.CONCAT("*",Table13[[#Headers],[Documentary]],"*")),1,0)</f>
        <v>0</v>
      </c>
      <c r="O272">
        <f>IF(COUNTIF($E272, _xlfn.CONCAT("*",Table13[[#Headers],[Drama]],"*")),1,0)</f>
        <v>1</v>
      </c>
      <c r="P272">
        <f>IF(COUNTIF($E272, _xlfn.CONCAT("*",Table13[[#Headers],[Family]],"*")),1,0)</f>
        <v>0</v>
      </c>
      <c r="Q272">
        <f>IF(COUNTIF($E272, _xlfn.CONCAT("*",Table13[[#Headers],[Fantasy]],"*")),1,0)</f>
        <v>0</v>
      </c>
      <c r="R272">
        <f>IF(COUNTIF($E272, _xlfn.CONCAT("*",Table13[[#Headers],[History]],"*")),1,0)</f>
        <v>0</v>
      </c>
      <c r="S272">
        <f>IF(COUNTIF($E272, _xlfn.CONCAT("*",Table13[[#Headers],[Horror]],"*")),1,0)</f>
        <v>0</v>
      </c>
      <c r="T272">
        <f>IF(COUNTIF($E272, _xlfn.CONCAT("*",Table13[[#Headers],[Music]],"*")),1,0)</f>
        <v>0</v>
      </c>
      <c r="U272">
        <f>IF(COUNTIF($E272, _xlfn.CONCAT("*",Table13[[#Headers],[Mystery]],"*")),1,0)</f>
        <v>0</v>
      </c>
      <c r="V272">
        <f>IF(COUNTIF($E272, _xlfn.CONCAT("*",Table13[[#Headers],[Romance]],"*")),1,0)</f>
        <v>1</v>
      </c>
      <c r="W272">
        <f>IF(COUNTIF($E272, _xlfn.CONCAT("*",Table13[[#Headers],[Science Fiction]],"*")),1,0)</f>
        <v>0</v>
      </c>
      <c r="X272">
        <f>IF(COUNTIF($E272, _xlfn.CONCAT("*",Table13[[#Headers],[TV Movie]],"*")),1,0)</f>
        <v>0</v>
      </c>
      <c r="Y272">
        <f>IF(COUNTIF($E272, _xlfn.CONCAT("*",Table13[[#Headers],[Thriller]],"*")),1,0)</f>
        <v>0</v>
      </c>
      <c r="Z272">
        <f>IF(COUNTIF($E272, _xlfn.CONCAT("*",Table13[[#Headers],[War]],"*")),1,0)</f>
        <v>0</v>
      </c>
      <c r="AA272">
        <f>IF(COUNTIF($E272, _xlfn.CONCAT("*",Table13[[#Headers],[Western]],"*")),1,0)</f>
        <v>0</v>
      </c>
    </row>
    <row r="273" spans="1:27">
      <c r="A273" t="s">
        <v>409</v>
      </c>
      <c r="B273">
        <v>13</v>
      </c>
      <c r="C273">
        <f>MAX(Table13[Rank])-Table13[[#This Row],[Rank]]</f>
        <v>251</v>
      </c>
      <c r="D273" t="s">
        <v>400</v>
      </c>
      <c r="E273" t="s">
        <v>220</v>
      </c>
      <c r="F273" s="1">
        <v>12472</v>
      </c>
      <c r="G273">
        <f>YEAR(Table13[[#This Row],[Date]])</f>
        <v>1934</v>
      </c>
      <c r="H273" t="s">
        <v>409</v>
      </c>
      <c r="I273">
        <f>IF(COUNTIF($E273, _xlfn.CONCAT("*",Table13[[#Headers],[Action]],"*")),1,0)</f>
        <v>0</v>
      </c>
      <c r="J273">
        <f>IF(COUNTIF($E273, _xlfn.CONCAT("*",Table13[[#Headers],[Adventure]],"*")),1,0)</f>
        <v>0</v>
      </c>
      <c r="K273">
        <f>IF(COUNTIF($E273, _xlfn.CONCAT("*",Table13[[#Headers],[Animation]],"*")),1,0)</f>
        <v>0</v>
      </c>
      <c r="L273">
        <f>IF(COUNTIF($E273, _xlfn.CONCAT("*",Table13[[#Headers],[Comedy]],"*")),1,0)</f>
        <v>1</v>
      </c>
      <c r="M273">
        <f>IF(COUNTIF($E273, _xlfn.CONCAT("*",Table13[[#Headers],[Crime]],"*")),1,0)</f>
        <v>0</v>
      </c>
      <c r="N273">
        <f>IF(COUNTIF($E273, _xlfn.CONCAT("*",Table13[[#Headers],[Documentary]],"*")),1,0)</f>
        <v>0</v>
      </c>
      <c r="O273">
        <f>IF(COUNTIF($E273, _xlfn.CONCAT("*",Table13[[#Headers],[Drama]],"*")),1,0)</f>
        <v>0</v>
      </c>
      <c r="P273">
        <f>IF(COUNTIF($E273, _xlfn.CONCAT("*",Table13[[#Headers],[Family]],"*")),1,0)</f>
        <v>0</v>
      </c>
      <c r="Q273">
        <f>IF(COUNTIF($E273, _xlfn.CONCAT("*",Table13[[#Headers],[Fantasy]],"*")),1,0)</f>
        <v>0</v>
      </c>
      <c r="R273">
        <f>IF(COUNTIF($E273, _xlfn.CONCAT("*",Table13[[#Headers],[History]],"*")),1,0)</f>
        <v>0</v>
      </c>
      <c r="S273">
        <f>IF(COUNTIF($E273, _xlfn.CONCAT("*",Table13[[#Headers],[Horror]],"*")),1,0)</f>
        <v>0</v>
      </c>
      <c r="T273">
        <f>IF(COUNTIF($E273, _xlfn.CONCAT("*",Table13[[#Headers],[Music]],"*")),1,0)</f>
        <v>0</v>
      </c>
      <c r="U273">
        <f>IF(COUNTIF($E273, _xlfn.CONCAT("*",Table13[[#Headers],[Mystery]],"*")),1,0)</f>
        <v>0</v>
      </c>
      <c r="V273">
        <f>IF(COUNTIF($E273, _xlfn.CONCAT("*",Table13[[#Headers],[Romance]],"*")),1,0)</f>
        <v>1</v>
      </c>
      <c r="W273">
        <f>IF(COUNTIF($E273, _xlfn.CONCAT("*",Table13[[#Headers],[Science Fiction]],"*")),1,0)</f>
        <v>0</v>
      </c>
      <c r="X273">
        <f>IF(COUNTIF($E273, _xlfn.CONCAT("*",Table13[[#Headers],[TV Movie]],"*")),1,0)</f>
        <v>0</v>
      </c>
      <c r="Y273">
        <f>IF(COUNTIF($E273, _xlfn.CONCAT("*",Table13[[#Headers],[Thriller]],"*")),1,0)</f>
        <v>0</v>
      </c>
      <c r="Z273">
        <f>IF(COUNTIF($E273, _xlfn.CONCAT("*",Table13[[#Headers],[War]],"*")),1,0)</f>
        <v>0</v>
      </c>
      <c r="AA273">
        <f>IF(COUNTIF($E273, _xlfn.CONCAT("*",Table13[[#Headers],[Western]],"*")),1,0)</f>
        <v>0</v>
      </c>
    </row>
    <row r="274" spans="1:27">
      <c r="A274" t="s">
        <v>410</v>
      </c>
      <c r="B274">
        <v>12</v>
      </c>
      <c r="C274">
        <f>MAX(Table13[Rank])-Table13[[#This Row],[Rank]]</f>
        <v>252</v>
      </c>
      <c r="D274" t="s">
        <v>400</v>
      </c>
      <c r="E274" t="s">
        <v>164</v>
      </c>
      <c r="F274" s="1">
        <v>43119</v>
      </c>
      <c r="G274">
        <f>YEAR(Table13[[#This Row],[Date]])</f>
        <v>2018</v>
      </c>
      <c r="H274" t="s">
        <v>410</v>
      </c>
      <c r="I274">
        <f>IF(COUNTIF($E274, _xlfn.CONCAT("*",Table13[[#Headers],[Action]],"*")),1,0)</f>
        <v>0</v>
      </c>
      <c r="J274">
        <f>IF(COUNTIF($E274, _xlfn.CONCAT("*",Table13[[#Headers],[Adventure]],"*")),1,0)</f>
        <v>0</v>
      </c>
      <c r="K274">
        <f>IF(COUNTIF($E274, _xlfn.CONCAT("*",Table13[[#Headers],[Animation]],"*")),1,0)</f>
        <v>0</v>
      </c>
      <c r="L274">
        <f>IF(COUNTIF($E274, _xlfn.CONCAT("*",Table13[[#Headers],[Comedy]],"*")),1,0)</f>
        <v>1</v>
      </c>
      <c r="M274">
        <f>IF(COUNTIF($E274, _xlfn.CONCAT("*",Table13[[#Headers],[Crime]],"*")),1,0)</f>
        <v>0</v>
      </c>
      <c r="N274">
        <f>IF(COUNTIF($E274, _xlfn.CONCAT("*",Table13[[#Headers],[Documentary]],"*")),1,0)</f>
        <v>0</v>
      </c>
      <c r="O274">
        <f>IF(COUNTIF($E274, _xlfn.CONCAT("*",Table13[[#Headers],[Drama]],"*")),1,0)</f>
        <v>1</v>
      </c>
      <c r="P274">
        <f>IF(COUNTIF($E274, _xlfn.CONCAT("*",Table13[[#Headers],[Family]],"*")),1,0)</f>
        <v>0</v>
      </c>
      <c r="Q274">
        <f>IF(COUNTIF($E274, _xlfn.CONCAT("*",Table13[[#Headers],[Fantasy]],"*")),1,0)</f>
        <v>0</v>
      </c>
      <c r="R274">
        <f>IF(COUNTIF($E274, _xlfn.CONCAT("*",Table13[[#Headers],[History]],"*")),1,0)</f>
        <v>0</v>
      </c>
      <c r="S274">
        <f>IF(COUNTIF($E274, _xlfn.CONCAT("*",Table13[[#Headers],[Horror]],"*")),1,0)</f>
        <v>0</v>
      </c>
      <c r="T274">
        <f>IF(COUNTIF($E274, _xlfn.CONCAT("*",Table13[[#Headers],[Music]],"*")),1,0)</f>
        <v>0</v>
      </c>
      <c r="U274">
        <f>IF(COUNTIF($E274, _xlfn.CONCAT("*",Table13[[#Headers],[Mystery]],"*")),1,0)</f>
        <v>0</v>
      </c>
      <c r="V274">
        <f>IF(COUNTIF($E274, _xlfn.CONCAT("*",Table13[[#Headers],[Romance]],"*")),1,0)</f>
        <v>0</v>
      </c>
      <c r="W274">
        <f>IF(COUNTIF($E274, _xlfn.CONCAT("*",Table13[[#Headers],[Science Fiction]],"*")),1,0)</f>
        <v>0</v>
      </c>
      <c r="X274">
        <f>IF(COUNTIF($E274, _xlfn.CONCAT("*",Table13[[#Headers],[TV Movie]],"*")),1,0)</f>
        <v>0</v>
      </c>
      <c r="Y274">
        <f>IF(COUNTIF($E274, _xlfn.CONCAT("*",Table13[[#Headers],[Thriller]],"*")),1,0)</f>
        <v>0</v>
      </c>
      <c r="Z274">
        <f>IF(COUNTIF($E274, _xlfn.CONCAT("*",Table13[[#Headers],[War]],"*")),1,0)</f>
        <v>0</v>
      </c>
      <c r="AA274">
        <f>IF(COUNTIF($E274, _xlfn.CONCAT("*",Table13[[#Headers],[Western]],"*")),1,0)</f>
        <v>0</v>
      </c>
    </row>
    <row r="275" spans="1:27">
      <c r="A275" t="s">
        <v>411</v>
      </c>
      <c r="B275">
        <v>11</v>
      </c>
      <c r="C275">
        <f>MAX(Table13[Rank])-Table13[[#This Row],[Rank]]</f>
        <v>253</v>
      </c>
      <c r="D275" t="s">
        <v>400</v>
      </c>
      <c r="E275" t="s">
        <v>412</v>
      </c>
      <c r="F275" s="1">
        <v>42164</v>
      </c>
      <c r="G275">
        <f>YEAR(Table13[[#This Row],[Date]])</f>
        <v>2015</v>
      </c>
      <c r="H275" t="s">
        <v>411</v>
      </c>
      <c r="I275">
        <f>IF(COUNTIF($E275, _xlfn.CONCAT("*",Table13[[#Headers],[Action]],"*")),1,0)</f>
        <v>0</v>
      </c>
      <c r="J275">
        <f>IF(COUNTIF($E275, _xlfn.CONCAT("*",Table13[[#Headers],[Adventure]],"*")),1,0)</f>
        <v>1</v>
      </c>
      <c r="K275">
        <f>IF(COUNTIF($E275, _xlfn.CONCAT("*",Table13[[#Headers],[Animation]],"*")),1,0)</f>
        <v>1</v>
      </c>
      <c r="L275">
        <f>IF(COUNTIF($E275, _xlfn.CONCAT("*",Table13[[#Headers],[Comedy]],"*")),1,0)</f>
        <v>1</v>
      </c>
      <c r="M275">
        <f>IF(COUNTIF($E275, _xlfn.CONCAT("*",Table13[[#Headers],[Crime]],"*")),1,0)</f>
        <v>0</v>
      </c>
      <c r="N275">
        <f>IF(COUNTIF($E275, _xlfn.CONCAT("*",Table13[[#Headers],[Documentary]],"*")),1,0)</f>
        <v>0</v>
      </c>
      <c r="O275">
        <f>IF(COUNTIF($E275, _xlfn.CONCAT("*",Table13[[#Headers],[Drama]],"*")),1,0)</f>
        <v>1</v>
      </c>
      <c r="P275">
        <f>IF(COUNTIF($E275, _xlfn.CONCAT("*",Table13[[#Headers],[Family]],"*")),1,0)</f>
        <v>1</v>
      </c>
      <c r="Q275">
        <f>IF(COUNTIF($E275, _xlfn.CONCAT("*",Table13[[#Headers],[Fantasy]],"*")),1,0)</f>
        <v>0</v>
      </c>
      <c r="R275">
        <f>IF(COUNTIF($E275, _xlfn.CONCAT("*",Table13[[#Headers],[History]],"*")),1,0)</f>
        <v>0</v>
      </c>
      <c r="S275">
        <f>IF(COUNTIF($E275, _xlfn.CONCAT("*",Table13[[#Headers],[Horror]],"*")),1,0)</f>
        <v>0</v>
      </c>
      <c r="T275">
        <f>IF(COUNTIF($E275, _xlfn.CONCAT("*",Table13[[#Headers],[Music]],"*")),1,0)</f>
        <v>0</v>
      </c>
      <c r="U275">
        <f>IF(COUNTIF($E275, _xlfn.CONCAT("*",Table13[[#Headers],[Mystery]],"*")),1,0)</f>
        <v>0</v>
      </c>
      <c r="V275">
        <f>IF(COUNTIF($E275, _xlfn.CONCAT("*",Table13[[#Headers],[Romance]],"*")),1,0)</f>
        <v>0</v>
      </c>
      <c r="W275">
        <f>IF(COUNTIF($E275, _xlfn.CONCAT("*",Table13[[#Headers],[Science Fiction]],"*")),1,0)</f>
        <v>0</v>
      </c>
      <c r="X275">
        <f>IF(COUNTIF($E275, _xlfn.CONCAT("*",Table13[[#Headers],[TV Movie]],"*")),1,0)</f>
        <v>0</v>
      </c>
      <c r="Y275">
        <f>IF(COUNTIF($E275, _xlfn.CONCAT("*",Table13[[#Headers],[Thriller]],"*")),1,0)</f>
        <v>0</v>
      </c>
      <c r="Z275">
        <f>IF(COUNTIF($E275, _xlfn.CONCAT("*",Table13[[#Headers],[War]],"*")),1,0)</f>
        <v>0</v>
      </c>
      <c r="AA275">
        <f>IF(COUNTIF($E275, _xlfn.CONCAT("*",Table13[[#Headers],[Western]],"*")),1,0)</f>
        <v>0</v>
      </c>
    </row>
    <row r="276" spans="1:27">
      <c r="A276" t="s">
        <v>413</v>
      </c>
      <c r="B276">
        <v>10</v>
      </c>
      <c r="C276">
        <f>MAX(Table13[Rank])-Table13[[#This Row],[Rank]]</f>
        <v>254</v>
      </c>
      <c r="D276" t="s">
        <v>400</v>
      </c>
      <c r="E276" t="s">
        <v>58</v>
      </c>
      <c r="F276" s="1">
        <v>42885</v>
      </c>
      <c r="G276">
        <f>YEAR(Table13[[#This Row],[Date]])</f>
        <v>2017</v>
      </c>
      <c r="H276" t="s">
        <v>413</v>
      </c>
      <c r="I276">
        <f>IF(COUNTIF($E276, _xlfn.CONCAT("*",Table13[[#Headers],[Action]],"*")),1,0)</f>
        <v>1</v>
      </c>
      <c r="J276">
        <f>IF(COUNTIF($E276, _xlfn.CONCAT("*",Table13[[#Headers],[Adventure]],"*")),1,0)</f>
        <v>1</v>
      </c>
      <c r="K276">
        <f>IF(COUNTIF($E276, _xlfn.CONCAT("*",Table13[[#Headers],[Animation]],"*")),1,0)</f>
        <v>0</v>
      </c>
      <c r="L276">
        <f>IF(COUNTIF($E276, _xlfn.CONCAT("*",Table13[[#Headers],[Comedy]],"*")),1,0)</f>
        <v>0</v>
      </c>
      <c r="M276">
        <f>IF(COUNTIF($E276, _xlfn.CONCAT("*",Table13[[#Headers],[Crime]],"*")),1,0)</f>
        <v>0</v>
      </c>
      <c r="N276">
        <f>IF(COUNTIF($E276, _xlfn.CONCAT("*",Table13[[#Headers],[Documentary]],"*")),1,0)</f>
        <v>0</v>
      </c>
      <c r="O276">
        <f>IF(COUNTIF($E276, _xlfn.CONCAT("*",Table13[[#Headers],[Drama]],"*")),1,0)</f>
        <v>0</v>
      </c>
      <c r="P276">
        <f>IF(COUNTIF($E276, _xlfn.CONCAT("*",Table13[[#Headers],[Family]],"*")),1,0)</f>
        <v>0</v>
      </c>
      <c r="Q276">
        <f>IF(COUNTIF($E276, _xlfn.CONCAT("*",Table13[[#Headers],[Fantasy]],"*")),1,0)</f>
        <v>1</v>
      </c>
      <c r="R276">
        <f>IF(COUNTIF($E276, _xlfn.CONCAT("*",Table13[[#Headers],[History]],"*")),1,0)</f>
        <v>0</v>
      </c>
      <c r="S276">
        <f>IF(COUNTIF($E276, _xlfn.CONCAT("*",Table13[[#Headers],[Horror]],"*")),1,0)</f>
        <v>0</v>
      </c>
      <c r="T276">
        <f>IF(COUNTIF($E276, _xlfn.CONCAT("*",Table13[[#Headers],[Music]],"*")),1,0)</f>
        <v>0</v>
      </c>
      <c r="U276">
        <f>IF(COUNTIF($E276, _xlfn.CONCAT("*",Table13[[#Headers],[Mystery]],"*")),1,0)</f>
        <v>0</v>
      </c>
      <c r="V276">
        <f>IF(COUNTIF($E276, _xlfn.CONCAT("*",Table13[[#Headers],[Romance]],"*")),1,0)</f>
        <v>0</v>
      </c>
      <c r="W276">
        <f>IF(COUNTIF($E276, _xlfn.CONCAT("*",Table13[[#Headers],[Science Fiction]],"*")),1,0)</f>
        <v>0</v>
      </c>
      <c r="X276">
        <f>IF(COUNTIF($E276, _xlfn.CONCAT("*",Table13[[#Headers],[TV Movie]],"*")),1,0)</f>
        <v>0</v>
      </c>
      <c r="Y276">
        <f>IF(COUNTIF($E276, _xlfn.CONCAT("*",Table13[[#Headers],[Thriller]],"*")),1,0)</f>
        <v>0</v>
      </c>
      <c r="Z276">
        <f>IF(COUNTIF($E276, _xlfn.CONCAT("*",Table13[[#Headers],[War]],"*")),1,0)</f>
        <v>0</v>
      </c>
      <c r="AA276">
        <f>IF(COUNTIF($E276, _xlfn.CONCAT("*",Table13[[#Headers],[Western]],"*")),1,0)</f>
        <v>0</v>
      </c>
    </row>
    <row r="277" spans="1:27">
      <c r="A277" t="s">
        <v>320</v>
      </c>
      <c r="B277">
        <v>9</v>
      </c>
      <c r="C277">
        <f>MAX(Table13[Rank])-Table13[[#This Row],[Rank]]</f>
        <v>255</v>
      </c>
      <c r="D277" t="s">
        <v>400</v>
      </c>
      <c r="E277" t="s">
        <v>21</v>
      </c>
      <c r="F277" s="1">
        <v>42664</v>
      </c>
      <c r="G277">
        <f>YEAR(Table13[[#This Row],[Date]])</f>
        <v>2016</v>
      </c>
      <c r="H277" t="s">
        <v>320</v>
      </c>
      <c r="I277">
        <f>IF(COUNTIF($E277, _xlfn.CONCAT("*",Table13[[#Headers],[Action]],"*")),1,0)</f>
        <v>0</v>
      </c>
      <c r="J277">
        <f>IF(COUNTIF($E277, _xlfn.CONCAT("*",Table13[[#Headers],[Adventure]],"*")),1,0)</f>
        <v>0</v>
      </c>
      <c r="K277">
        <f>IF(COUNTIF($E277, _xlfn.CONCAT("*",Table13[[#Headers],[Animation]],"*")),1,0)</f>
        <v>0</v>
      </c>
      <c r="L277">
        <f>IF(COUNTIF($E277, _xlfn.CONCAT("*",Table13[[#Headers],[Comedy]],"*")),1,0)</f>
        <v>0</v>
      </c>
      <c r="M277">
        <f>IF(COUNTIF($E277, _xlfn.CONCAT("*",Table13[[#Headers],[Crime]],"*")),1,0)</f>
        <v>0</v>
      </c>
      <c r="N277">
        <f>IF(COUNTIF($E277, _xlfn.CONCAT("*",Table13[[#Headers],[Documentary]],"*")),1,0)</f>
        <v>0</v>
      </c>
      <c r="O277">
        <f>IF(COUNTIF($E277, _xlfn.CONCAT("*",Table13[[#Headers],[Drama]],"*")),1,0)</f>
        <v>1</v>
      </c>
      <c r="P277">
        <f>IF(COUNTIF($E277, _xlfn.CONCAT("*",Table13[[#Headers],[Family]],"*")),1,0)</f>
        <v>0</v>
      </c>
      <c r="Q277">
        <f>IF(COUNTIF($E277, _xlfn.CONCAT("*",Table13[[#Headers],[Fantasy]],"*")),1,0)</f>
        <v>0</v>
      </c>
      <c r="R277">
        <f>IF(COUNTIF($E277, _xlfn.CONCAT("*",Table13[[#Headers],[History]],"*")),1,0)</f>
        <v>0</v>
      </c>
      <c r="S277">
        <f>IF(COUNTIF($E277, _xlfn.CONCAT("*",Table13[[#Headers],[Horror]],"*")),1,0)</f>
        <v>0</v>
      </c>
      <c r="T277">
        <f>IF(COUNTIF($E277, _xlfn.CONCAT("*",Table13[[#Headers],[Music]],"*")),1,0)</f>
        <v>0</v>
      </c>
      <c r="U277">
        <f>IF(COUNTIF($E277, _xlfn.CONCAT("*",Table13[[#Headers],[Mystery]],"*")),1,0)</f>
        <v>0</v>
      </c>
      <c r="V277">
        <f>IF(COUNTIF($E277, _xlfn.CONCAT("*",Table13[[#Headers],[Romance]],"*")),1,0)</f>
        <v>0</v>
      </c>
      <c r="W277">
        <f>IF(COUNTIF($E277, _xlfn.CONCAT("*",Table13[[#Headers],[Science Fiction]],"*")),1,0)</f>
        <v>0</v>
      </c>
      <c r="X277">
        <f>IF(COUNTIF($E277, _xlfn.CONCAT("*",Table13[[#Headers],[TV Movie]],"*")),1,0)</f>
        <v>0</v>
      </c>
      <c r="Y277">
        <f>IF(COUNTIF($E277, _xlfn.CONCAT("*",Table13[[#Headers],[Thriller]],"*")),1,0)</f>
        <v>0</v>
      </c>
      <c r="Z277">
        <f>IF(COUNTIF($E277, _xlfn.CONCAT("*",Table13[[#Headers],[War]],"*")),1,0)</f>
        <v>0</v>
      </c>
      <c r="AA277">
        <f>IF(COUNTIF($E277, _xlfn.CONCAT("*",Table13[[#Headers],[Western]],"*")),1,0)</f>
        <v>0</v>
      </c>
    </row>
    <row r="278" spans="1:27">
      <c r="A278" t="s">
        <v>314</v>
      </c>
      <c r="B278">
        <v>8</v>
      </c>
      <c r="C278">
        <f>MAX(Table13[Rank])-Table13[[#This Row],[Rank]]</f>
        <v>256</v>
      </c>
      <c r="D278" t="s">
        <v>400</v>
      </c>
      <c r="E278" t="s">
        <v>315</v>
      </c>
      <c r="F278" s="1">
        <v>18141</v>
      </c>
      <c r="G278">
        <f>YEAR(Table13[[#This Row],[Date]])</f>
        <v>1949</v>
      </c>
      <c r="H278" t="s">
        <v>314</v>
      </c>
      <c r="I278">
        <f>IF(COUNTIF($E278, _xlfn.CONCAT("*",Table13[[#Headers],[Action]],"*")),1,0)</f>
        <v>0</v>
      </c>
      <c r="J278">
        <f>IF(COUNTIF($E278, _xlfn.CONCAT("*",Table13[[#Headers],[Adventure]],"*")),1,0)</f>
        <v>0</v>
      </c>
      <c r="K278">
        <f>IF(COUNTIF($E278, _xlfn.CONCAT("*",Table13[[#Headers],[Animation]],"*")),1,0)</f>
        <v>0</v>
      </c>
      <c r="L278">
        <f>IF(COUNTIF($E278, _xlfn.CONCAT("*",Table13[[#Headers],[Comedy]],"*")),1,0)</f>
        <v>0</v>
      </c>
      <c r="M278">
        <f>IF(COUNTIF($E278, _xlfn.CONCAT("*",Table13[[#Headers],[Crime]],"*")),1,0)</f>
        <v>0</v>
      </c>
      <c r="N278">
        <f>IF(COUNTIF($E278, _xlfn.CONCAT("*",Table13[[#Headers],[Documentary]],"*")),1,0)</f>
        <v>0</v>
      </c>
      <c r="O278">
        <f>IF(COUNTIF($E278, _xlfn.CONCAT("*",Table13[[#Headers],[Drama]],"*")),1,0)</f>
        <v>0</v>
      </c>
      <c r="P278">
        <f>IF(COUNTIF($E278, _xlfn.CONCAT("*",Table13[[#Headers],[Family]],"*")),1,0)</f>
        <v>0</v>
      </c>
      <c r="Q278">
        <f>IF(COUNTIF($E278, _xlfn.CONCAT("*",Table13[[#Headers],[Fantasy]],"*")),1,0)</f>
        <v>0</v>
      </c>
      <c r="R278">
        <f>IF(COUNTIF($E278, _xlfn.CONCAT("*",Table13[[#Headers],[History]],"*")),1,0)</f>
        <v>0</v>
      </c>
      <c r="S278">
        <f>IF(COUNTIF($E278, _xlfn.CONCAT("*",Table13[[#Headers],[Horror]],"*")),1,0)</f>
        <v>0</v>
      </c>
      <c r="T278">
        <f>IF(COUNTIF($E278, _xlfn.CONCAT("*",Table13[[#Headers],[Music]],"*")),1,0)</f>
        <v>0</v>
      </c>
      <c r="U278">
        <f>IF(COUNTIF($E278, _xlfn.CONCAT("*",Table13[[#Headers],[Mystery]],"*")),1,0)</f>
        <v>1</v>
      </c>
      <c r="V278">
        <f>IF(COUNTIF($E278, _xlfn.CONCAT("*",Table13[[#Headers],[Romance]],"*")),1,0)</f>
        <v>0</v>
      </c>
      <c r="W278">
        <f>IF(COUNTIF($E278, _xlfn.CONCAT("*",Table13[[#Headers],[Science Fiction]],"*")),1,0)</f>
        <v>0</v>
      </c>
      <c r="X278">
        <f>IF(COUNTIF($E278, _xlfn.CONCAT("*",Table13[[#Headers],[TV Movie]],"*")),1,0)</f>
        <v>0</v>
      </c>
      <c r="Y278">
        <f>IF(COUNTIF($E278, _xlfn.CONCAT("*",Table13[[#Headers],[Thriller]],"*")),1,0)</f>
        <v>1</v>
      </c>
      <c r="Z278">
        <f>IF(COUNTIF($E278, _xlfn.CONCAT("*",Table13[[#Headers],[War]],"*")),1,0)</f>
        <v>0</v>
      </c>
      <c r="AA278">
        <f>IF(COUNTIF($E278, _xlfn.CONCAT("*",Table13[[#Headers],[Western]],"*")),1,0)</f>
        <v>0</v>
      </c>
    </row>
    <row r="279" spans="1:27">
      <c r="A279" t="s">
        <v>110</v>
      </c>
      <c r="B279">
        <v>7</v>
      </c>
      <c r="C279">
        <f>MAX(Table13[Rank])-Table13[[#This Row],[Rank]]</f>
        <v>257</v>
      </c>
      <c r="D279" t="s">
        <v>400</v>
      </c>
      <c r="E279" t="s">
        <v>111</v>
      </c>
      <c r="F279" s="1">
        <v>42137</v>
      </c>
      <c r="G279">
        <f>YEAR(Table13[[#This Row],[Date]])</f>
        <v>2015</v>
      </c>
      <c r="H279" t="s">
        <v>110</v>
      </c>
      <c r="I279">
        <f>IF(COUNTIF($E279, _xlfn.CONCAT("*",Table13[[#Headers],[Action]],"*")),1,0)</f>
        <v>1</v>
      </c>
      <c r="J279">
        <f>IF(COUNTIF($E279, _xlfn.CONCAT("*",Table13[[#Headers],[Adventure]],"*")),1,0)</f>
        <v>1</v>
      </c>
      <c r="K279">
        <f>IF(COUNTIF($E279, _xlfn.CONCAT("*",Table13[[#Headers],[Animation]],"*")),1,0)</f>
        <v>0</v>
      </c>
      <c r="L279">
        <f>IF(COUNTIF($E279, _xlfn.CONCAT("*",Table13[[#Headers],[Comedy]],"*")),1,0)</f>
        <v>0</v>
      </c>
      <c r="M279">
        <f>IF(COUNTIF($E279, _xlfn.CONCAT("*",Table13[[#Headers],[Crime]],"*")),1,0)</f>
        <v>0</v>
      </c>
      <c r="N279">
        <f>IF(COUNTIF($E279, _xlfn.CONCAT("*",Table13[[#Headers],[Documentary]],"*")),1,0)</f>
        <v>0</v>
      </c>
      <c r="O279">
        <f>IF(COUNTIF($E279, _xlfn.CONCAT("*",Table13[[#Headers],[Drama]],"*")),1,0)</f>
        <v>0</v>
      </c>
      <c r="P279">
        <f>IF(COUNTIF($E279, _xlfn.CONCAT("*",Table13[[#Headers],[Family]],"*")),1,0)</f>
        <v>0</v>
      </c>
      <c r="Q279">
        <f>IF(COUNTIF($E279, _xlfn.CONCAT("*",Table13[[#Headers],[Fantasy]],"*")),1,0)</f>
        <v>0</v>
      </c>
      <c r="R279">
        <f>IF(COUNTIF($E279, _xlfn.CONCAT("*",Table13[[#Headers],[History]],"*")),1,0)</f>
        <v>0</v>
      </c>
      <c r="S279">
        <f>IF(COUNTIF($E279, _xlfn.CONCAT("*",Table13[[#Headers],[Horror]],"*")),1,0)</f>
        <v>0</v>
      </c>
      <c r="T279">
        <f>IF(COUNTIF($E279, _xlfn.CONCAT("*",Table13[[#Headers],[Music]],"*")),1,0)</f>
        <v>0</v>
      </c>
      <c r="U279">
        <f>IF(COUNTIF($E279, _xlfn.CONCAT("*",Table13[[#Headers],[Mystery]],"*")),1,0)</f>
        <v>0</v>
      </c>
      <c r="V279">
        <f>IF(COUNTIF($E279, _xlfn.CONCAT("*",Table13[[#Headers],[Romance]],"*")),1,0)</f>
        <v>0</v>
      </c>
      <c r="W279">
        <f>IF(COUNTIF($E279, _xlfn.CONCAT("*",Table13[[#Headers],[Science Fiction]],"*")),1,0)</f>
        <v>1</v>
      </c>
      <c r="X279">
        <f>IF(COUNTIF($E279, _xlfn.CONCAT("*",Table13[[#Headers],[TV Movie]],"*")),1,0)</f>
        <v>0</v>
      </c>
      <c r="Y279">
        <f>IF(COUNTIF($E279, _xlfn.CONCAT("*",Table13[[#Headers],[Thriller]],"*")),1,0)</f>
        <v>0</v>
      </c>
      <c r="Z279">
        <f>IF(COUNTIF($E279, _xlfn.CONCAT("*",Table13[[#Headers],[War]],"*")),1,0)</f>
        <v>0</v>
      </c>
      <c r="AA279">
        <f>IF(COUNTIF($E279, _xlfn.CONCAT("*",Table13[[#Headers],[Western]],"*")),1,0)</f>
        <v>0</v>
      </c>
    </row>
    <row r="280" spans="1:27">
      <c r="A280" t="s">
        <v>273</v>
      </c>
      <c r="B280">
        <v>6</v>
      </c>
      <c r="C280">
        <f>MAX(Table13[Rank])-Table13[[#This Row],[Rank]]</f>
        <v>258</v>
      </c>
      <c r="D280" t="s">
        <v>400</v>
      </c>
      <c r="E280" t="s">
        <v>274</v>
      </c>
      <c r="F280" s="1">
        <v>42790</v>
      </c>
      <c r="G280">
        <f>YEAR(Table13[[#This Row],[Date]])</f>
        <v>2017</v>
      </c>
      <c r="H280" t="s">
        <v>273</v>
      </c>
      <c r="I280">
        <f>IF(COUNTIF($E280, _xlfn.CONCAT("*",Table13[[#Headers],[Action]],"*")),1,0)</f>
        <v>0</v>
      </c>
      <c r="J280">
        <f>IF(COUNTIF($E280, _xlfn.CONCAT("*",Table13[[#Headers],[Adventure]],"*")),1,0)</f>
        <v>0</v>
      </c>
      <c r="K280">
        <f>IF(COUNTIF($E280, _xlfn.CONCAT("*",Table13[[#Headers],[Animation]],"*")),1,0)</f>
        <v>0</v>
      </c>
      <c r="L280">
        <f>IF(COUNTIF($E280, _xlfn.CONCAT("*",Table13[[#Headers],[Comedy]],"*")),1,0)</f>
        <v>0</v>
      </c>
      <c r="M280">
        <f>IF(COUNTIF($E280, _xlfn.CONCAT("*",Table13[[#Headers],[Crime]],"*")),1,0)</f>
        <v>0</v>
      </c>
      <c r="N280">
        <f>IF(COUNTIF($E280, _xlfn.CONCAT("*",Table13[[#Headers],[Documentary]],"*")),1,0)</f>
        <v>0</v>
      </c>
      <c r="O280">
        <f>IF(COUNTIF($E280, _xlfn.CONCAT("*",Table13[[#Headers],[Drama]],"*")),1,0)</f>
        <v>0</v>
      </c>
      <c r="P280">
        <f>IF(COUNTIF($E280, _xlfn.CONCAT("*",Table13[[#Headers],[Family]],"*")),1,0)</f>
        <v>0</v>
      </c>
      <c r="Q280">
        <f>IF(COUNTIF($E280, _xlfn.CONCAT("*",Table13[[#Headers],[Fantasy]],"*")),1,0)</f>
        <v>0</v>
      </c>
      <c r="R280">
        <f>IF(COUNTIF($E280, _xlfn.CONCAT("*",Table13[[#Headers],[History]],"*")),1,0)</f>
        <v>0</v>
      </c>
      <c r="S280">
        <f>IF(COUNTIF($E280, _xlfn.CONCAT("*",Table13[[#Headers],[Horror]],"*")),1,0)</f>
        <v>1</v>
      </c>
      <c r="T280">
        <f>IF(COUNTIF($E280, _xlfn.CONCAT("*",Table13[[#Headers],[Music]],"*")),1,0)</f>
        <v>0</v>
      </c>
      <c r="U280">
        <f>IF(COUNTIF($E280, _xlfn.CONCAT("*",Table13[[#Headers],[Mystery]],"*")),1,0)</f>
        <v>1</v>
      </c>
      <c r="V280">
        <f>IF(COUNTIF($E280, _xlfn.CONCAT("*",Table13[[#Headers],[Romance]],"*")),1,0)</f>
        <v>0</v>
      </c>
      <c r="W280">
        <f>IF(COUNTIF($E280, _xlfn.CONCAT("*",Table13[[#Headers],[Science Fiction]],"*")),1,0)</f>
        <v>0</v>
      </c>
      <c r="X280">
        <f>IF(COUNTIF($E280, _xlfn.CONCAT("*",Table13[[#Headers],[TV Movie]],"*")),1,0)</f>
        <v>0</v>
      </c>
      <c r="Y280">
        <f>IF(COUNTIF($E280, _xlfn.CONCAT("*",Table13[[#Headers],[Thriller]],"*")),1,0)</f>
        <v>1</v>
      </c>
      <c r="Z280">
        <f>IF(COUNTIF($E280, _xlfn.CONCAT("*",Table13[[#Headers],[War]],"*")),1,0)</f>
        <v>0</v>
      </c>
      <c r="AA280">
        <f>IF(COUNTIF($E280, _xlfn.CONCAT("*",Table13[[#Headers],[Western]],"*")),1,0)</f>
        <v>0</v>
      </c>
    </row>
    <row r="281" spans="1:27">
      <c r="A281" t="s">
        <v>414</v>
      </c>
      <c r="B281">
        <v>5</v>
      </c>
      <c r="C281">
        <f>MAX(Table13[Rank])-Table13[[#This Row],[Rank]]</f>
        <v>259</v>
      </c>
      <c r="D281" t="s">
        <v>400</v>
      </c>
      <c r="E281" t="s">
        <v>415</v>
      </c>
      <c r="F281" s="1">
        <v>43321</v>
      </c>
      <c r="G281">
        <f>YEAR(Table13[[#This Row],[Date]])</f>
        <v>2018</v>
      </c>
      <c r="H281" t="s">
        <v>414</v>
      </c>
      <c r="I281">
        <f>IF(COUNTIF($E281, _xlfn.CONCAT("*",Table13[[#Headers],[Action]],"*")),1,0)</f>
        <v>0</v>
      </c>
      <c r="J281">
        <f>IF(COUNTIF($E281, _xlfn.CONCAT("*",Table13[[#Headers],[Adventure]],"*")),1,0)</f>
        <v>0</v>
      </c>
      <c r="K281">
        <f>IF(COUNTIF($E281, _xlfn.CONCAT("*",Table13[[#Headers],[Animation]],"*")),1,0)</f>
        <v>0</v>
      </c>
      <c r="L281">
        <f>IF(COUNTIF($E281, _xlfn.CONCAT("*",Table13[[#Headers],[Comedy]],"*")),1,0)</f>
        <v>1</v>
      </c>
      <c r="M281">
        <f>IF(COUNTIF($E281, _xlfn.CONCAT("*",Table13[[#Headers],[Crime]],"*")),1,0)</f>
        <v>1</v>
      </c>
      <c r="N281">
        <f>IF(COUNTIF($E281, _xlfn.CONCAT("*",Table13[[#Headers],[Documentary]],"*")),1,0)</f>
        <v>0</v>
      </c>
      <c r="O281">
        <f>IF(COUNTIF($E281, _xlfn.CONCAT("*",Table13[[#Headers],[Drama]],"*")),1,0)</f>
        <v>1</v>
      </c>
      <c r="P281">
        <f>IF(COUNTIF($E281, _xlfn.CONCAT("*",Table13[[#Headers],[Family]],"*")),1,0)</f>
        <v>0</v>
      </c>
      <c r="Q281">
        <f>IF(COUNTIF($E281, _xlfn.CONCAT("*",Table13[[#Headers],[Fantasy]],"*")),1,0)</f>
        <v>0</v>
      </c>
      <c r="R281">
        <f>IF(COUNTIF($E281, _xlfn.CONCAT("*",Table13[[#Headers],[History]],"*")),1,0)</f>
        <v>0</v>
      </c>
      <c r="S281">
        <f>IF(COUNTIF($E281, _xlfn.CONCAT("*",Table13[[#Headers],[Horror]],"*")),1,0)</f>
        <v>0</v>
      </c>
      <c r="T281">
        <f>IF(COUNTIF($E281, _xlfn.CONCAT("*",Table13[[#Headers],[Music]],"*")),1,0)</f>
        <v>0</v>
      </c>
      <c r="U281">
        <f>IF(COUNTIF($E281, _xlfn.CONCAT("*",Table13[[#Headers],[Mystery]],"*")),1,0)</f>
        <v>0</v>
      </c>
      <c r="V281">
        <f>IF(COUNTIF($E281, _xlfn.CONCAT("*",Table13[[#Headers],[Romance]],"*")),1,0)</f>
        <v>0</v>
      </c>
      <c r="W281">
        <f>IF(COUNTIF($E281, _xlfn.CONCAT("*",Table13[[#Headers],[Science Fiction]],"*")),1,0)</f>
        <v>0</v>
      </c>
      <c r="X281">
        <f>IF(COUNTIF($E281, _xlfn.CONCAT("*",Table13[[#Headers],[TV Movie]],"*")),1,0)</f>
        <v>0</v>
      </c>
      <c r="Y281">
        <f>IF(COUNTIF($E281, _xlfn.CONCAT("*",Table13[[#Headers],[Thriller]],"*")),1,0)</f>
        <v>0</v>
      </c>
      <c r="Z281">
        <f>IF(COUNTIF($E281, _xlfn.CONCAT("*",Table13[[#Headers],[War]],"*")),1,0)</f>
        <v>0</v>
      </c>
      <c r="AA281">
        <f>IF(COUNTIF($E281, _xlfn.CONCAT("*",Table13[[#Headers],[Western]],"*")),1,0)</f>
        <v>0</v>
      </c>
    </row>
    <row r="282" spans="1:27">
      <c r="A282" t="s">
        <v>395</v>
      </c>
      <c r="B282">
        <v>4</v>
      </c>
      <c r="C282">
        <f>MAX(Table13[Rank])-Table13[[#This Row],[Rank]]</f>
        <v>260</v>
      </c>
      <c r="D282" t="s">
        <v>400</v>
      </c>
      <c r="E282" t="s">
        <v>152</v>
      </c>
      <c r="F282" s="1">
        <v>15083</v>
      </c>
      <c r="G282">
        <f>YEAR(Table13[[#This Row],[Date]])</f>
        <v>1941</v>
      </c>
      <c r="H282" t="s">
        <v>395</v>
      </c>
      <c r="I282">
        <f>IF(COUNTIF($E282, _xlfn.CONCAT("*",Table13[[#Headers],[Action]],"*")),1,0)</f>
        <v>0</v>
      </c>
      <c r="J282">
        <f>IF(COUNTIF($E282, _xlfn.CONCAT("*",Table13[[#Headers],[Adventure]],"*")),1,0)</f>
        <v>0</v>
      </c>
      <c r="K282">
        <f>IF(COUNTIF($E282, _xlfn.CONCAT("*",Table13[[#Headers],[Animation]],"*")),1,0)</f>
        <v>0</v>
      </c>
      <c r="L282">
        <f>IF(COUNTIF($E282, _xlfn.CONCAT("*",Table13[[#Headers],[Comedy]],"*")),1,0)</f>
        <v>0</v>
      </c>
      <c r="M282">
        <f>IF(COUNTIF($E282, _xlfn.CONCAT("*",Table13[[#Headers],[Crime]],"*")),1,0)</f>
        <v>0</v>
      </c>
      <c r="N282">
        <f>IF(COUNTIF($E282, _xlfn.CONCAT("*",Table13[[#Headers],[Documentary]],"*")),1,0)</f>
        <v>0</v>
      </c>
      <c r="O282">
        <f>IF(COUNTIF($E282, _xlfn.CONCAT("*",Table13[[#Headers],[Drama]],"*")),1,0)</f>
        <v>1</v>
      </c>
      <c r="P282">
        <f>IF(COUNTIF($E282, _xlfn.CONCAT("*",Table13[[#Headers],[Family]],"*")),1,0)</f>
        <v>0</v>
      </c>
      <c r="Q282">
        <f>IF(COUNTIF($E282, _xlfn.CONCAT("*",Table13[[#Headers],[Fantasy]],"*")),1,0)</f>
        <v>0</v>
      </c>
      <c r="R282">
        <f>IF(COUNTIF($E282, _xlfn.CONCAT("*",Table13[[#Headers],[History]],"*")),1,0)</f>
        <v>0</v>
      </c>
      <c r="S282">
        <f>IF(COUNTIF($E282, _xlfn.CONCAT("*",Table13[[#Headers],[Horror]],"*")),1,0)</f>
        <v>0</v>
      </c>
      <c r="T282">
        <f>IF(COUNTIF($E282, _xlfn.CONCAT("*",Table13[[#Headers],[Music]],"*")),1,0)</f>
        <v>0</v>
      </c>
      <c r="U282">
        <f>IF(COUNTIF($E282, _xlfn.CONCAT("*",Table13[[#Headers],[Mystery]],"*")),1,0)</f>
        <v>1</v>
      </c>
      <c r="V282">
        <f>IF(COUNTIF($E282, _xlfn.CONCAT("*",Table13[[#Headers],[Romance]],"*")),1,0)</f>
        <v>0</v>
      </c>
      <c r="W282">
        <f>IF(COUNTIF($E282, _xlfn.CONCAT("*",Table13[[#Headers],[Science Fiction]],"*")),1,0)</f>
        <v>0</v>
      </c>
      <c r="X282">
        <f>IF(COUNTIF($E282, _xlfn.CONCAT("*",Table13[[#Headers],[TV Movie]],"*")),1,0)</f>
        <v>0</v>
      </c>
      <c r="Y282">
        <f>IF(COUNTIF($E282, _xlfn.CONCAT("*",Table13[[#Headers],[Thriller]],"*")),1,0)</f>
        <v>0</v>
      </c>
      <c r="Z282">
        <f>IF(COUNTIF($E282, _xlfn.CONCAT("*",Table13[[#Headers],[War]],"*")),1,0)</f>
        <v>0</v>
      </c>
      <c r="AA282">
        <f>IF(COUNTIF($E282, _xlfn.CONCAT("*",Table13[[#Headers],[Western]],"*")),1,0)</f>
        <v>0</v>
      </c>
    </row>
    <row r="283" spans="1:27">
      <c r="A283" t="s">
        <v>253</v>
      </c>
      <c r="B283">
        <v>3</v>
      </c>
      <c r="C283">
        <f>MAX(Table13[Rank])-Table13[[#This Row],[Rank]]</f>
        <v>261</v>
      </c>
      <c r="D283" t="s">
        <v>400</v>
      </c>
      <c r="E283" t="s">
        <v>254</v>
      </c>
      <c r="F283" s="1">
        <v>14472</v>
      </c>
      <c r="G283">
        <f>YEAR(Table13[[#This Row],[Date]])</f>
        <v>1939</v>
      </c>
      <c r="H283" t="s">
        <v>253</v>
      </c>
      <c r="I283">
        <f>IF(COUNTIF($E283, _xlfn.CONCAT("*",Table13[[#Headers],[Action]],"*")),1,0)</f>
        <v>0</v>
      </c>
      <c r="J283">
        <f>IF(COUNTIF($E283, _xlfn.CONCAT("*",Table13[[#Headers],[Adventure]],"*")),1,0)</f>
        <v>1</v>
      </c>
      <c r="K283">
        <f>IF(COUNTIF($E283, _xlfn.CONCAT("*",Table13[[#Headers],[Animation]],"*")),1,0)</f>
        <v>0</v>
      </c>
      <c r="L283">
        <f>IF(COUNTIF($E283, _xlfn.CONCAT("*",Table13[[#Headers],[Comedy]],"*")),1,0)</f>
        <v>0</v>
      </c>
      <c r="M283">
        <f>IF(COUNTIF($E283, _xlfn.CONCAT("*",Table13[[#Headers],[Crime]],"*")),1,0)</f>
        <v>0</v>
      </c>
      <c r="N283">
        <f>IF(COUNTIF($E283, _xlfn.CONCAT("*",Table13[[#Headers],[Documentary]],"*")),1,0)</f>
        <v>0</v>
      </c>
      <c r="O283">
        <f>IF(COUNTIF($E283, _xlfn.CONCAT("*",Table13[[#Headers],[Drama]],"*")),1,0)</f>
        <v>0</v>
      </c>
      <c r="P283">
        <f>IF(COUNTIF($E283, _xlfn.CONCAT("*",Table13[[#Headers],[Family]],"*")),1,0)</f>
        <v>1</v>
      </c>
      <c r="Q283">
        <f>IF(COUNTIF($E283, _xlfn.CONCAT("*",Table13[[#Headers],[Fantasy]],"*")),1,0)</f>
        <v>1</v>
      </c>
      <c r="R283">
        <f>IF(COUNTIF($E283, _xlfn.CONCAT("*",Table13[[#Headers],[History]],"*")),1,0)</f>
        <v>0</v>
      </c>
      <c r="S283">
        <f>IF(COUNTIF($E283, _xlfn.CONCAT("*",Table13[[#Headers],[Horror]],"*")),1,0)</f>
        <v>0</v>
      </c>
      <c r="T283">
        <f>IF(COUNTIF($E283, _xlfn.CONCAT("*",Table13[[#Headers],[Music]],"*")),1,0)</f>
        <v>0</v>
      </c>
      <c r="U283">
        <f>IF(COUNTIF($E283, _xlfn.CONCAT("*",Table13[[#Headers],[Mystery]],"*")),1,0)</f>
        <v>0</v>
      </c>
      <c r="V283">
        <f>IF(COUNTIF($E283, _xlfn.CONCAT("*",Table13[[#Headers],[Romance]],"*")),1,0)</f>
        <v>0</v>
      </c>
      <c r="W283">
        <f>IF(COUNTIF($E283, _xlfn.CONCAT("*",Table13[[#Headers],[Science Fiction]],"*")),1,0)</f>
        <v>0</v>
      </c>
      <c r="X283">
        <f>IF(COUNTIF($E283, _xlfn.CONCAT("*",Table13[[#Headers],[TV Movie]],"*")),1,0)</f>
        <v>0</v>
      </c>
      <c r="Y283">
        <f>IF(COUNTIF($E283, _xlfn.CONCAT("*",Table13[[#Headers],[Thriller]],"*")),1,0)</f>
        <v>0</v>
      </c>
      <c r="Z283">
        <f>IF(COUNTIF($E283, _xlfn.CONCAT("*",Table13[[#Headers],[War]],"*")),1,0)</f>
        <v>0</v>
      </c>
      <c r="AA283">
        <f>IF(COUNTIF($E283, _xlfn.CONCAT("*",Table13[[#Headers],[Western]],"*")),1,0)</f>
        <v>0</v>
      </c>
    </row>
    <row r="284" spans="1:27">
      <c r="A284" t="s">
        <v>416</v>
      </c>
      <c r="B284">
        <v>2</v>
      </c>
      <c r="C284">
        <f>MAX(Table13[Rank])-Table13[[#This Row],[Rank]]</f>
        <v>262</v>
      </c>
      <c r="D284" t="s">
        <v>400</v>
      </c>
      <c r="E284" t="s">
        <v>256</v>
      </c>
      <c r="F284" s="1">
        <v>42979</v>
      </c>
      <c r="G284">
        <f>YEAR(Table13[[#This Row],[Date]])</f>
        <v>2017</v>
      </c>
      <c r="H284" t="s">
        <v>416</v>
      </c>
      <c r="I284">
        <f>IF(COUNTIF($E284, _xlfn.CONCAT("*",Table13[[#Headers],[Action]],"*")),1,0)</f>
        <v>0</v>
      </c>
      <c r="J284">
        <f>IF(COUNTIF($E284, _xlfn.CONCAT("*",Table13[[#Headers],[Adventure]],"*")),1,0)</f>
        <v>0</v>
      </c>
      <c r="K284">
        <f>IF(COUNTIF($E284, _xlfn.CONCAT("*",Table13[[#Headers],[Animation]],"*")),1,0)</f>
        <v>0</v>
      </c>
      <c r="L284">
        <f>IF(COUNTIF($E284, _xlfn.CONCAT("*",Table13[[#Headers],[Comedy]],"*")),1,0)</f>
        <v>1</v>
      </c>
      <c r="M284">
        <f>IF(COUNTIF($E284, _xlfn.CONCAT("*",Table13[[#Headers],[Crime]],"*")),1,0)</f>
        <v>0</v>
      </c>
      <c r="N284">
        <f>IF(COUNTIF($E284, _xlfn.CONCAT("*",Table13[[#Headers],[Documentary]],"*")),1,0)</f>
        <v>0</v>
      </c>
      <c r="O284">
        <f>IF(COUNTIF($E284, _xlfn.CONCAT("*",Table13[[#Headers],[Drama]],"*")),1,0)</f>
        <v>1</v>
      </c>
      <c r="P284">
        <f>IF(COUNTIF($E284, _xlfn.CONCAT("*",Table13[[#Headers],[Family]],"*")),1,0)</f>
        <v>0</v>
      </c>
      <c r="Q284">
        <f>IF(COUNTIF($E284, _xlfn.CONCAT("*",Table13[[#Headers],[Fantasy]],"*")),1,0)</f>
        <v>0</v>
      </c>
      <c r="R284">
        <f>IF(COUNTIF($E284, _xlfn.CONCAT("*",Table13[[#Headers],[History]],"*")),1,0)</f>
        <v>0</v>
      </c>
      <c r="S284">
        <f>IF(COUNTIF($E284, _xlfn.CONCAT("*",Table13[[#Headers],[Horror]],"*")),1,0)</f>
        <v>0</v>
      </c>
      <c r="T284">
        <f>IF(COUNTIF($E284, _xlfn.CONCAT("*",Table13[[#Headers],[Music]],"*")),1,0)</f>
        <v>0</v>
      </c>
      <c r="U284">
        <f>IF(COUNTIF($E284, _xlfn.CONCAT("*",Table13[[#Headers],[Mystery]],"*")),1,0)</f>
        <v>0</v>
      </c>
      <c r="V284">
        <f>IF(COUNTIF($E284, _xlfn.CONCAT("*",Table13[[#Headers],[Romance]],"*")),1,0)</f>
        <v>0</v>
      </c>
      <c r="W284">
        <f>IF(COUNTIF($E284, _xlfn.CONCAT("*",Table13[[#Headers],[Science Fiction]],"*")),1,0)</f>
        <v>0</v>
      </c>
      <c r="X284">
        <f>IF(COUNTIF($E284, _xlfn.CONCAT("*",Table13[[#Headers],[TV Movie]],"*")),1,0)</f>
        <v>0</v>
      </c>
      <c r="Y284">
        <f>IF(COUNTIF($E284, _xlfn.CONCAT("*",Table13[[#Headers],[Thriller]],"*")),1,0)</f>
        <v>0</v>
      </c>
      <c r="Z284">
        <f>IF(COUNTIF($E284, _xlfn.CONCAT("*",Table13[[#Headers],[War]],"*")),1,0)</f>
        <v>0</v>
      </c>
      <c r="AA284">
        <f>IF(COUNTIF($E284, _xlfn.CONCAT("*",Table13[[#Headers],[Western]],"*")),1,0)</f>
        <v>0</v>
      </c>
    </row>
    <row r="285" spans="1:27">
      <c r="A285" t="s">
        <v>417</v>
      </c>
      <c r="B285">
        <v>1</v>
      </c>
      <c r="C285">
        <f>MAX(Table13[Rank])-Table13[[#This Row],[Rank]]</f>
        <v>263</v>
      </c>
      <c r="D285" t="s">
        <v>400</v>
      </c>
      <c r="E285" t="s">
        <v>111</v>
      </c>
      <c r="F285" s="1">
        <v>43144</v>
      </c>
      <c r="G285">
        <f>YEAR(Table13[[#This Row],[Date]])</f>
        <v>2018</v>
      </c>
      <c r="H285" t="s">
        <v>417</v>
      </c>
      <c r="I285">
        <f>IF(COUNTIF($E285, _xlfn.CONCAT("*",Table13[[#Headers],[Action]],"*")),1,0)</f>
        <v>1</v>
      </c>
      <c r="J285">
        <f>IF(COUNTIF($E285, _xlfn.CONCAT("*",Table13[[#Headers],[Adventure]],"*")),1,0)</f>
        <v>1</v>
      </c>
      <c r="K285">
        <f>IF(COUNTIF($E285, _xlfn.CONCAT("*",Table13[[#Headers],[Animation]],"*")),1,0)</f>
        <v>0</v>
      </c>
      <c r="L285">
        <f>IF(COUNTIF($E285, _xlfn.CONCAT("*",Table13[[#Headers],[Comedy]],"*")),1,0)</f>
        <v>0</v>
      </c>
      <c r="M285">
        <f>IF(COUNTIF($E285, _xlfn.CONCAT("*",Table13[[#Headers],[Crime]],"*")),1,0)</f>
        <v>0</v>
      </c>
      <c r="N285">
        <f>IF(COUNTIF($E285, _xlfn.CONCAT("*",Table13[[#Headers],[Documentary]],"*")),1,0)</f>
        <v>0</v>
      </c>
      <c r="O285">
        <f>IF(COUNTIF($E285, _xlfn.CONCAT("*",Table13[[#Headers],[Drama]],"*")),1,0)</f>
        <v>0</v>
      </c>
      <c r="P285">
        <f>IF(COUNTIF($E285, _xlfn.CONCAT("*",Table13[[#Headers],[Family]],"*")),1,0)</f>
        <v>0</v>
      </c>
      <c r="Q285">
        <f>IF(COUNTIF($E285, _xlfn.CONCAT("*",Table13[[#Headers],[Fantasy]],"*")),1,0)</f>
        <v>0</v>
      </c>
      <c r="R285">
        <f>IF(COUNTIF($E285, _xlfn.CONCAT("*",Table13[[#Headers],[History]],"*")),1,0)</f>
        <v>0</v>
      </c>
      <c r="S285">
        <f>IF(COUNTIF($E285, _xlfn.CONCAT("*",Table13[[#Headers],[Horror]],"*")),1,0)</f>
        <v>0</v>
      </c>
      <c r="T285">
        <f>IF(COUNTIF($E285, _xlfn.CONCAT("*",Table13[[#Headers],[Music]],"*")),1,0)</f>
        <v>0</v>
      </c>
      <c r="U285">
        <f>IF(COUNTIF($E285, _xlfn.CONCAT("*",Table13[[#Headers],[Mystery]],"*")),1,0)</f>
        <v>0</v>
      </c>
      <c r="V285">
        <f>IF(COUNTIF($E285, _xlfn.CONCAT("*",Table13[[#Headers],[Romance]],"*")),1,0)</f>
        <v>0</v>
      </c>
      <c r="W285">
        <f>IF(COUNTIF($E285, _xlfn.CONCAT("*",Table13[[#Headers],[Science Fiction]],"*")),1,0)</f>
        <v>1</v>
      </c>
      <c r="X285">
        <f>IF(COUNTIF($E285, _xlfn.CONCAT("*",Table13[[#Headers],[TV Movie]],"*")),1,0)</f>
        <v>0</v>
      </c>
      <c r="Y285">
        <f>IF(COUNTIF($E285, _xlfn.CONCAT("*",Table13[[#Headers],[Thriller]],"*")),1,0)</f>
        <v>0</v>
      </c>
      <c r="Z285">
        <f>IF(COUNTIF($E285, _xlfn.CONCAT("*",Table13[[#Headers],[War]],"*")),1,0)</f>
        <v>0</v>
      </c>
      <c r="AA285">
        <f>IF(COUNTIF($E285, _xlfn.CONCAT("*",Table13[[#Headers],[Western]],"*")),1,0)</f>
        <v>0</v>
      </c>
    </row>
    <row r="286" spans="1:27">
      <c r="A286" t="s">
        <v>418</v>
      </c>
      <c r="B286">
        <v>100</v>
      </c>
      <c r="C286">
        <f>MAX(Table13[Rank])-Table13[[#This Row],[Rank]]</f>
        <v>164</v>
      </c>
      <c r="D286" t="s">
        <v>419</v>
      </c>
      <c r="E286" t="s">
        <v>15</v>
      </c>
      <c r="F286" s="1">
        <v>24827</v>
      </c>
      <c r="G286">
        <f>YEAR(Table13[[#This Row],[Date]])</f>
        <v>1967</v>
      </c>
      <c r="H286" t="s">
        <v>418</v>
      </c>
      <c r="I286">
        <f>IF(COUNTIF($E286, _xlfn.CONCAT("*",Table13[[#Headers],[Action]],"*")),1,0)</f>
        <v>0</v>
      </c>
      <c r="J286">
        <f>IF(COUNTIF($E286, _xlfn.CONCAT("*",Table13[[#Headers],[Adventure]],"*")),1,0)</f>
        <v>0</v>
      </c>
      <c r="K286">
        <f>IF(COUNTIF($E286, _xlfn.CONCAT("*",Table13[[#Headers],[Animation]],"*")),1,0)</f>
        <v>0</v>
      </c>
      <c r="L286">
        <f>IF(COUNTIF($E286, _xlfn.CONCAT("*",Table13[[#Headers],[Comedy]],"*")),1,0)</f>
        <v>1</v>
      </c>
      <c r="M286">
        <f>IF(COUNTIF($E286, _xlfn.CONCAT("*",Table13[[#Headers],[Crime]],"*")),1,0)</f>
        <v>0</v>
      </c>
      <c r="N286">
        <f>IF(COUNTIF($E286, _xlfn.CONCAT("*",Table13[[#Headers],[Documentary]],"*")),1,0)</f>
        <v>0</v>
      </c>
      <c r="O286">
        <f>IF(COUNTIF($E286, _xlfn.CONCAT("*",Table13[[#Headers],[Drama]],"*")),1,0)</f>
        <v>1</v>
      </c>
      <c r="P286">
        <f>IF(COUNTIF($E286, _xlfn.CONCAT("*",Table13[[#Headers],[Family]],"*")),1,0)</f>
        <v>0</v>
      </c>
      <c r="Q286">
        <f>IF(COUNTIF($E286, _xlfn.CONCAT("*",Table13[[#Headers],[Fantasy]],"*")),1,0)</f>
        <v>0</v>
      </c>
      <c r="R286">
        <f>IF(COUNTIF($E286, _xlfn.CONCAT("*",Table13[[#Headers],[History]],"*")),1,0)</f>
        <v>0</v>
      </c>
      <c r="S286">
        <f>IF(COUNTIF($E286, _xlfn.CONCAT("*",Table13[[#Headers],[Horror]],"*")),1,0)</f>
        <v>0</v>
      </c>
      <c r="T286">
        <f>IF(COUNTIF($E286, _xlfn.CONCAT("*",Table13[[#Headers],[Music]],"*")),1,0)</f>
        <v>0</v>
      </c>
      <c r="U286">
        <f>IF(COUNTIF($E286, _xlfn.CONCAT("*",Table13[[#Headers],[Mystery]],"*")),1,0)</f>
        <v>0</v>
      </c>
      <c r="V286">
        <f>IF(COUNTIF($E286, _xlfn.CONCAT("*",Table13[[#Headers],[Romance]],"*")),1,0)</f>
        <v>1</v>
      </c>
      <c r="W286">
        <f>IF(COUNTIF($E286, _xlfn.CONCAT("*",Table13[[#Headers],[Science Fiction]],"*")),1,0)</f>
        <v>0</v>
      </c>
      <c r="X286">
        <f>IF(COUNTIF($E286, _xlfn.CONCAT("*",Table13[[#Headers],[TV Movie]],"*")),1,0)</f>
        <v>0</v>
      </c>
      <c r="Y286">
        <f>IF(COUNTIF($E286, _xlfn.CONCAT("*",Table13[[#Headers],[Thriller]],"*")),1,0)</f>
        <v>0</v>
      </c>
      <c r="Z286">
        <f>IF(COUNTIF($E286, _xlfn.CONCAT("*",Table13[[#Headers],[War]],"*")),1,0)</f>
        <v>0</v>
      </c>
      <c r="AA286">
        <f>IF(COUNTIF($E286, _xlfn.CONCAT("*",Table13[[#Headers],[Western]],"*")),1,0)</f>
        <v>0</v>
      </c>
    </row>
    <row r="287" spans="1:27">
      <c r="A287" t="s">
        <v>420</v>
      </c>
      <c r="B287">
        <v>99</v>
      </c>
      <c r="C287">
        <f>MAX(Table13[Rank])-Table13[[#This Row],[Rank]]</f>
        <v>165</v>
      </c>
      <c r="D287" t="s">
        <v>419</v>
      </c>
      <c r="E287" t="s">
        <v>21</v>
      </c>
      <c r="F287" s="1">
        <v>20920</v>
      </c>
      <c r="G287">
        <f>YEAR(Table13[[#This Row],[Date]])</f>
        <v>1957</v>
      </c>
      <c r="H287" t="s">
        <v>420</v>
      </c>
      <c r="I287">
        <f>IF(COUNTIF($E287, _xlfn.CONCAT("*",Table13[[#Headers],[Action]],"*")),1,0)</f>
        <v>0</v>
      </c>
      <c r="J287">
        <f>IF(COUNTIF($E287, _xlfn.CONCAT("*",Table13[[#Headers],[Adventure]],"*")),1,0)</f>
        <v>0</v>
      </c>
      <c r="K287">
        <f>IF(COUNTIF($E287, _xlfn.CONCAT("*",Table13[[#Headers],[Animation]],"*")),1,0)</f>
        <v>0</v>
      </c>
      <c r="L287">
        <f>IF(COUNTIF($E287, _xlfn.CONCAT("*",Table13[[#Headers],[Comedy]],"*")),1,0)</f>
        <v>0</v>
      </c>
      <c r="M287">
        <f>IF(COUNTIF($E287, _xlfn.CONCAT("*",Table13[[#Headers],[Crime]],"*")),1,0)</f>
        <v>0</v>
      </c>
      <c r="N287">
        <f>IF(COUNTIF($E287, _xlfn.CONCAT("*",Table13[[#Headers],[Documentary]],"*")),1,0)</f>
        <v>0</v>
      </c>
      <c r="O287">
        <f>IF(COUNTIF($E287, _xlfn.CONCAT("*",Table13[[#Headers],[Drama]],"*")),1,0)</f>
        <v>1</v>
      </c>
      <c r="P287">
        <f>IF(COUNTIF($E287, _xlfn.CONCAT("*",Table13[[#Headers],[Family]],"*")),1,0)</f>
        <v>0</v>
      </c>
      <c r="Q287">
        <f>IF(COUNTIF($E287, _xlfn.CONCAT("*",Table13[[#Headers],[Fantasy]],"*")),1,0)</f>
        <v>0</v>
      </c>
      <c r="R287">
        <f>IF(COUNTIF($E287, _xlfn.CONCAT("*",Table13[[#Headers],[History]],"*")),1,0)</f>
        <v>0</v>
      </c>
      <c r="S287">
        <f>IF(COUNTIF($E287, _xlfn.CONCAT("*",Table13[[#Headers],[Horror]],"*")),1,0)</f>
        <v>0</v>
      </c>
      <c r="T287">
        <f>IF(COUNTIF($E287, _xlfn.CONCAT("*",Table13[[#Headers],[Music]],"*")),1,0)</f>
        <v>0</v>
      </c>
      <c r="U287">
        <f>IF(COUNTIF($E287, _xlfn.CONCAT("*",Table13[[#Headers],[Mystery]],"*")),1,0)</f>
        <v>0</v>
      </c>
      <c r="V287">
        <f>IF(COUNTIF($E287, _xlfn.CONCAT("*",Table13[[#Headers],[Romance]],"*")),1,0)</f>
        <v>0</v>
      </c>
      <c r="W287">
        <f>IF(COUNTIF($E287, _xlfn.CONCAT("*",Table13[[#Headers],[Science Fiction]],"*")),1,0)</f>
        <v>0</v>
      </c>
      <c r="X287">
        <f>IF(COUNTIF($E287, _xlfn.CONCAT("*",Table13[[#Headers],[TV Movie]],"*")),1,0)</f>
        <v>0</v>
      </c>
      <c r="Y287">
        <f>IF(COUNTIF($E287, _xlfn.CONCAT("*",Table13[[#Headers],[Thriller]],"*")),1,0)</f>
        <v>0</v>
      </c>
      <c r="Z287">
        <f>IF(COUNTIF($E287, _xlfn.CONCAT("*",Table13[[#Headers],[War]],"*")),1,0)</f>
        <v>0</v>
      </c>
      <c r="AA287">
        <f>IF(COUNTIF($E287, _xlfn.CONCAT("*",Table13[[#Headers],[Western]],"*")),1,0)</f>
        <v>0</v>
      </c>
    </row>
    <row r="288" spans="1:27">
      <c r="A288" t="s">
        <v>421</v>
      </c>
      <c r="B288">
        <v>98</v>
      </c>
      <c r="C288">
        <f>MAX(Table13[Rank])-Table13[[#This Row],[Rank]]</f>
        <v>166</v>
      </c>
      <c r="D288" t="s">
        <v>419</v>
      </c>
      <c r="E288" t="s">
        <v>164</v>
      </c>
      <c r="F288" s="1">
        <v>32227</v>
      </c>
      <c r="G288">
        <f>YEAR(Table13[[#This Row],[Date]])</f>
        <v>1988</v>
      </c>
      <c r="H288" t="s">
        <v>421</v>
      </c>
      <c r="I288">
        <f>IF(COUNTIF($E288, _xlfn.CONCAT("*",Table13[[#Headers],[Action]],"*")),1,0)</f>
        <v>0</v>
      </c>
      <c r="J288">
        <f>IF(COUNTIF($E288, _xlfn.CONCAT("*",Table13[[#Headers],[Adventure]],"*")),1,0)</f>
        <v>0</v>
      </c>
      <c r="K288">
        <f>IF(COUNTIF($E288, _xlfn.CONCAT("*",Table13[[#Headers],[Animation]],"*")),1,0)</f>
        <v>0</v>
      </c>
      <c r="L288">
        <f>IF(COUNTIF($E288, _xlfn.CONCAT("*",Table13[[#Headers],[Comedy]],"*")),1,0)</f>
        <v>1</v>
      </c>
      <c r="M288">
        <f>IF(COUNTIF($E288, _xlfn.CONCAT("*",Table13[[#Headers],[Crime]],"*")),1,0)</f>
        <v>0</v>
      </c>
      <c r="N288">
        <f>IF(COUNTIF($E288, _xlfn.CONCAT("*",Table13[[#Headers],[Documentary]],"*")),1,0)</f>
        <v>0</v>
      </c>
      <c r="O288">
        <f>IF(COUNTIF($E288, _xlfn.CONCAT("*",Table13[[#Headers],[Drama]],"*")),1,0)</f>
        <v>1</v>
      </c>
      <c r="P288">
        <f>IF(COUNTIF($E288, _xlfn.CONCAT("*",Table13[[#Headers],[Family]],"*")),1,0)</f>
        <v>0</v>
      </c>
      <c r="Q288">
        <f>IF(COUNTIF($E288, _xlfn.CONCAT("*",Table13[[#Headers],[Fantasy]],"*")),1,0)</f>
        <v>0</v>
      </c>
      <c r="R288">
        <f>IF(COUNTIF($E288, _xlfn.CONCAT("*",Table13[[#Headers],[History]],"*")),1,0)</f>
        <v>0</v>
      </c>
      <c r="S288">
        <f>IF(COUNTIF($E288, _xlfn.CONCAT("*",Table13[[#Headers],[Horror]],"*")),1,0)</f>
        <v>0</v>
      </c>
      <c r="T288">
        <f>IF(COUNTIF($E288, _xlfn.CONCAT("*",Table13[[#Headers],[Music]],"*")),1,0)</f>
        <v>0</v>
      </c>
      <c r="U288">
        <f>IF(COUNTIF($E288, _xlfn.CONCAT("*",Table13[[#Headers],[Mystery]],"*")),1,0)</f>
        <v>0</v>
      </c>
      <c r="V288">
        <f>IF(COUNTIF($E288, _xlfn.CONCAT("*",Table13[[#Headers],[Romance]],"*")),1,0)</f>
        <v>0</v>
      </c>
      <c r="W288">
        <f>IF(COUNTIF($E288, _xlfn.CONCAT("*",Table13[[#Headers],[Science Fiction]],"*")),1,0)</f>
        <v>0</v>
      </c>
      <c r="X288">
        <f>IF(COUNTIF($E288, _xlfn.CONCAT("*",Table13[[#Headers],[TV Movie]],"*")),1,0)</f>
        <v>0</v>
      </c>
      <c r="Y288">
        <f>IF(COUNTIF($E288, _xlfn.CONCAT("*",Table13[[#Headers],[Thriller]],"*")),1,0)</f>
        <v>0</v>
      </c>
      <c r="Z288">
        <f>IF(COUNTIF($E288, _xlfn.CONCAT("*",Table13[[#Headers],[War]],"*")),1,0)</f>
        <v>0</v>
      </c>
      <c r="AA288">
        <f>IF(COUNTIF($E288, _xlfn.CONCAT("*",Table13[[#Headers],[Western]],"*")),1,0)</f>
        <v>0</v>
      </c>
    </row>
    <row r="289" spans="1:27">
      <c r="A289" t="s">
        <v>188</v>
      </c>
      <c r="B289">
        <v>97</v>
      </c>
      <c r="C289">
        <f>MAX(Table13[Rank])-Table13[[#This Row],[Rank]]</f>
        <v>167</v>
      </c>
      <c r="D289" t="s">
        <v>419</v>
      </c>
      <c r="E289" t="s">
        <v>189</v>
      </c>
      <c r="F289" s="1">
        <v>29000</v>
      </c>
      <c r="G289">
        <f>YEAR(Table13[[#This Row],[Date]])</f>
        <v>1979</v>
      </c>
      <c r="H289" t="s">
        <v>188</v>
      </c>
      <c r="I289">
        <f>IF(COUNTIF($E289, _xlfn.CONCAT("*",Table13[[#Headers],[Action]],"*")),1,0)</f>
        <v>0</v>
      </c>
      <c r="J289">
        <f>IF(COUNTIF($E289, _xlfn.CONCAT("*",Table13[[#Headers],[Adventure]],"*")),1,0)</f>
        <v>0</v>
      </c>
      <c r="K289">
        <f>IF(COUNTIF($E289, _xlfn.CONCAT("*",Table13[[#Headers],[Animation]],"*")),1,0)</f>
        <v>0</v>
      </c>
      <c r="L289">
        <f>IF(COUNTIF($E289, _xlfn.CONCAT("*",Table13[[#Headers],[Comedy]],"*")),1,0)</f>
        <v>0</v>
      </c>
      <c r="M289">
        <f>IF(COUNTIF($E289, _xlfn.CONCAT("*",Table13[[#Headers],[Crime]],"*")),1,0)</f>
        <v>0</v>
      </c>
      <c r="N289">
        <f>IF(COUNTIF($E289, _xlfn.CONCAT("*",Table13[[#Headers],[Documentary]],"*")),1,0)</f>
        <v>0</v>
      </c>
      <c r="O289">
        <f>IF(COUNTIF($E289, _xlfn.CONCAT("*",Table13[[#Headers],[Drama]],"*")),1,0)</f>
        <v>0</v>
      </c>
      <c r="P289">
        <f>IF(COUNTIF($E289, _xlfn.CONCAT("*",Table13[[#Headers],[Family]],"*")),1,0)</f>
        <v>0</v>
      </c>
      <c r="Q289">
        <f>IF(COUNTIF($E289, _xlfn.CONCAT("*",Table13[[#Headers],[Fantasy]],"*")),1,0)</f>
        <v>0</v>
      </c>
      <c r="R289">
        <f>IF(COUNTIF($E289, _xlfn.CONCAT("*",Table13[[#Headers],[History]],"*")),1,0)</f>
        <v>0</v>
      </c>
      <c r="S289">
        <f>IF(COUNTIF($E289, _xlfn.CONCAT("*",Table13[[#Headers],[Horror]],"*")),1,0)</f>
        <v>1</v>
      </c>
      <c r="T289">
        <f>IF(COUNTIF($E289, _xlfn.CONCAT("*",Table13[[#Headers],[Music]],"*")),1,0)</f>
        <v>0</v>
      </c>
      <c r="U289">
        <f>IF(COUNTIF($E289, _xlfn.CONCAT("*",Table13[[#Headers],[Mystery]],"*")),1,0)</f>
        <v>0</v>
      </c>
      <c r="V289">
        <f>IF(COUNTIF($E289, _xlfn.CONCAT("*",Table13[[#Headers],[Romance]],"*")),1,0)</f>
        <v>0</v>
      </c>
      <c r="W289">
        <f>IF(COUNTIF($E289, _xlfn.CONCAT("*",Table13[[#Headers],[Science Fiction]],"*")),1,0)</f>
        <v>1</v>
      </c>
      <c r="X289">
        <f>IF(COUNTIF($E289, _xlfn.CONCAT("*",Table13[[#Headers],[TV Movie]],"*")),1,0)</f>
        <v>0</v>
      </c>
      <c r="Y289">
        <f>IF(COUNTIF($E289, _xlfn.CONCAT("*",Table13[[#Headers],[Thriller]],"*")),1,0)</f>
        <v>0</v>
      </c>
      <c r="Z289">
        <f>IF(COUNTIF($E289, _xlfn.CONCAT("*",Table13[[#Headers],[War]],"*")),1,0)</f>
        <v>0</v>
      </c>
      <c r="AA289">
        <f>IF(COUNTIF($E289, _xlfn.CONCAT("*",Table13[[#Headers],[Western]],"*")),1,0)</f>
        <v>0</v>
      </c>
    </row>
    <row r="290" spans="1:27">
      <c r="A290" t="s">
        <v>422</v>
      </c>
      <c r="B290">
        <v>96</v>
      </c>
      <c r="C290">
        <f>MAX(Table13[Rank])-Table13[[#This Row],[Rank]]</f>
        <v>168</v>
      </c>
      <c r="D290" t="s">
        <v>419</v>
      </c>
      <c r="E290" t="s">
        <v>423</v>
      </c>
      <c r="F290" s="1">
        <v>23565</v>
      </c>
      <c r="G290">
        <f>YEAR(Table13[[#This Row],[Date]])</f>
        <v>1964</v>
      </c>
      <c r="H290" t="s">
        <v>424</v>
      </c>
      <c r="I290">
        <f>IF(COUNTIF($E290, _xlfn.CONCAT("*",Table13[[#Headers],[Action]],"*")),1,0)</f>
        <v>0</v>
      </c>
      <c r="J290">
        <f>IF(COUNTIF($E290, _xlfn.CONCAT("*",Table13[[#Headers],[Adventure]],"*")),1,0)</f>
        <v>0</v>
      </c>
      <c r="K290">
        <f>IF(COUNTIF($E290, _xlfn.CONCAT("*",Table13[[#Headers],[Animation]],"*")),1,0)</f>
        <v>0</v>
      </c>
      <c r="L290">
        <f>IF(COUNTIF($E290, _xlfn.CONCAT("*",Table13[[#Headers],[Comedy]],"*")),1,0)</f>
        <v>1</v>
      </c>
      <c r="M290">
        <f>IF(COUNTIF($E290, _xlfn.CONCAT("*",Table13[[#Headers],[Crime]],"*")),1,0)</f>
        <v>0</v>
      </c>
      <c r="N290">
        <f>IF(COUNTIF($E290, _xlfn.CONCAT("*",Table13[[#Headers],[Documentary]],"*")),1,0)</f>
        <v>0</v>
      </c>
      <c r="O290">
        <f>IF(COUNTIF($E290, _xlfn.CONCAT("*",Table13[[#Headers],[Drama]],"*")),1,0)</f>
        <v>0</v>
      </c>
      <c r="P290">
        <f>IF(COUNTIF($E290, _xlfn.CONCAT("*",Table13[[#Headers],[Family]],"*")),1,0)</f>
        <v>0</v>
      </c>
      <c r="Q290">
        <f>IF(COUNTIF($E290, _xlfn.CONCAT("*",Table13[[#Headers],[Fantasy]],"*")),1,0)</f>
        <v>0</v>
      </c>
      <c r="R290">
        <f>IF(COUNTIF($E290, _xlfn.CONCAT("*",Table13[[#Headers],[History]],"*")),1,0)</f>
        <v>0</v>
      </c>
      <c r="S290">
        <f>IF(COUNTIF($E290, _xlfn.CONCAT("*",Table13[[#Headers],[Horror]],"*")),1,0)</f>
        <v>0</v>
      </c>
      <c r="T290">
        <f>IF(COUNTIF($E290, _xlfn.CONCAT("*",Table13[[#Headers],[Music]],"*")),1,0)</f>
        <v>1</v>
      </c>
      <c r="U290">
        <f>IF(COUNTIF($E290, _xlfn.CONCAT("*",Table13[[#Headers],[Mystery]],"*")),1,0)</f>
        <v>0</v>
      </c>
      <c r="V290">
        <f>IF(COUNTIF($E290, _xlfn.CONCAT("*",Table13[[#Headers],[Romance]],"*")),1,0)</f>
        <v>0</v>
      </c>
      <c r="W290">
        <f>IF(COUNTIF($E290, _xlfn.CONCAT("*",Table13[[#Headers],[Science Fiction]],"*")),1,0)</f>
        <v>0</v>
      </c>
      <c r="X290">
        <f>IF(COUNTIF($E290, _xlfn.CONCAT("*",Table13[[#Headers],[TV Movie]],"*")),1,0)</f>
        <v>0</v>
      </c>
      <c r="Y290">
        <f>IF(COUNTIF($E290, _xlfn.CONCAT("*",Table13[[#Headers],[Thriller]],"*")),1,0)</f>
        <v>0</v>
      </c>
      <c r="Z290">
        <f>IF(COUNTIF($E290, _xlfn.CONCAT("*",Table13[[#Headers],[War]],"*")),1,0)</f>
        <v>0</v>
      </c>
      <c r="AA290">
        <f>IF(COUNTIF($E290, _xlfn.CONCAT("*",Table13[[#Headers],[Western]],"*")),1,0)</f>
        <v>0</v>
      </c>
    </row>
    <row r="291" spans="1:27">
      <c r="A291" t="s">
        <v>425</v>
      </c>
      <c r="B291">
        <v>95</v>
      </c>
      <c r="C291">
        <f>MAX(Table13[Rank])-Table13[[#This Row],[Rank]]</f>
        <v>169</v>
      </c>
      <c r="D291" t="s">
        <v>419</v>
      </c>
      <c r="E291" t="s">
        <v>426</v>
      </c>
      <c r="F291" s="1">
        <v>35002</v>
      </c>
      <c r="G291">
        <f>YEAR(Table13[[#This Row],[Date]])</f>
        <v>1995</v>
      </c>
      <c r="H291" t="s">
        <v>425</v>
      </c>
      <c r="I291">
        <f>IF(COUNTIF($E291, _xlfn.CONCAT("*",Table13[[#Headers],[Action]],"*")),1,0)</f>
        <v>0</v>
      </c>
      <c r="J291">
        <f>IF(COUNTIF($E291, _xlfn.CONCAT("*",Table13[[#Headers],[Adventure]],"*")),1,0)</f>
        <v>1</v>
      </c>
      <c r="K291">
        <f>IF(COUNTIF($E291, _xlfn.CONCAT("*",Table13[[#Headers],[Animation]],"*")),1,0)</f>
        <v>1</v>
      </c>
      <c r="L291">
        <f>IF(COUNTIF($E291, _xlfn.CONCAT("*",Table13[[#Headers],[Comedy]],"*")),1,0)</f>
        <v>1</v>
      </c>
      <c r="M291">
        <f>IF(COUNTIF($E291, _xlfn.CONCAT("*",Table13[[#Headers],[Crime]],"*")),1,0)</f>
        <v>0</v>
      </c>
      <c r="N291">
        <f>IF(COUNTIF($E291, _xlfn.CONCAT("*",Table13[[#Headers],[Documentary]],"*")),1,0)</f>
        <v>0</v>
      </c>
      <c r="O291">
        <f>IF(COUNTIF($E291, _xlfn.CONCAT("*",Table13[[#Headers],[Drama]],"*")),1,0)</f>
        <v>0</v>
      </c>
      <c r="P291">
        <f>IF(COUNTIF($E291, _xlfn.CONCAT("*",Table13[[#Headers],[Family]],"*")),1,0)</f>
        <v>1</v>
      </c>
      <c r="Q291">
        <f>IF(COUNTIF($E291, _xlfn.CONCAT("*",Table13[[#Headers],[Fantasy]],"*")),1,0)</f>
        <v>0</v>
      </c>
      <c r="R291">
        <f>IF(COUNTIF($E291, _xlfn.CONCAT("*",Table13[[#Headers],[History]],"*")),1,0)</f>
        <v>0</v>
      </c>
      <c r="S291">
        <f>IF(COUNTIF($E291, _xlfn.CONCAT("*",Table13[[#Headers],[Horror]],"*")),1,0)</f>
        <v>0</v>
      </c>
      <c r="T291">
        <f>IF(COUNTIF($E291, _xlfn.CONCAT("*",Table13[[#Headers],[Music]],"*")),1,0)</f>
        <v>0</v>
      </c>
      <c r="U291">
        <f>IF(COUNTIF($E291, _xlfn.CONCAT("*",Table13[[#Headers],[Mystery]],"*")),1,0)</f>
        <v>0</v>
      </c>
      <c r="V291">
        <f>IF(COUNTIF($E291, _xlfn.CONCAT("*",Table13[[#Headers],[Romance]],"*")),1,0)</f>
        <v>0</v>
      </c>
      <c r="W291">
        <f>IF(COUNTIF($E291, _xlfn.CONCAT("*",Table13[[#Headers],[Science Fiction]],"*")),1,0)</f>
        <v>0</v>
      </c>
      <c r="X291">
        <f>IF(COUNTIF($E291, _xlfn.CONCAT("*",Table13[[#Headers],[TV Movie]],"*")),1,0)</f>
        <v>0</v>
      </c>
      <c r="Y291">
        <f>IF(COUNTIF($E291, _xlfn.CONCAT("*",Table13[[#Headers],[Thriller]],"*")),1,0)</f>
        <v>0</v>
      </c>
      <c r="Z291">
        <f>IF(COUNTIF($E291, _xlfn.CONCAT("*",Table13[[#Headers],[War]],"*")),1,0)</f>
        <v>0</v>
      </c>
      <c r="AA291">
        <f>IF(COUNTIF($E291, _xlfn.CONCAT("*",Table13[[#Headers],[Western]],"*")),1,0)</f>
        <v>0</v>
      </c>
    </row>
    <row r="292" spans="1:27">
      <c r="A292" t="s">
        <v>427</v>
      </c>
      <c r="B292">
        <v>94</v>
      </c>
      <c r="C292">
        <f>MAX(Table13[Rank])-Table13[[#This Row],[Rank]]</f>
        <v>170</v>
      </c>
      <c r="D292" t="s">
        <v>419</v>
      </c>
      <c r="E292" t="s">
        <v>220</v>
      </c>
      <c r="F292" s="1">
        <v>40676</v>
      </c>
      <c r="G292">
        <f>YEAR(Table13[[#This Row],[Date]])</f>
        <v>2011</v>
      </c>
      <c r="H292" t="s">
        <v>427</v>
      </c>
      <c r="I292">
        <f>IF(COUNTIF($E292, _xlfn.CONCAT("*",Table13[[#Headers],[Action]],"*")),1,0)</f>
        <v>0</v>
      </c>
      <c r="J292">
        <f>IF(COUNTIF($E292, _xlfn.CONCAT("*",Table13[[#Headers],[Adventure]],"*")),1,0)</f>
        <v>0</v>
      </c>
      <c r="K292">
        <f>IF(COUNTIF($E292, _xlfn.CONCAT("*",Table13[[#Headers],[Animation]],"*")),1,0)</f>
        <v>0</v>
      </c>
      <c r="L292">
        <f>IF(COUNTIF($E292, _xlfn.CONCAT("*",Table13[[#Headers],[Comedy]],"*")),1,0)</f>
        <v>1</v>
      </c>
      <c r="M292">
        <f>IF(COUNTIF($E292, _xlfn.CONCAT("*",Table13[[#Headers],[Crime]],"*")),1,0)</f>
        <v>0</v>
      </c>
      <c r="N292">
        <f>IF(COUNTIF($E292, _xlfn.CONCAT("*",Table13[[#Headers],[Documentary]],"*")),1,0)</f>
        <v>0</v>
      </c>
      <c r="O292">
        <f>IF(COUNTIF($E292, _xlfn.CONCAT("*",Table13[[#Headers],[Drama]],"*")),1,0)</f>
        <v>0</v>
      </c>
      <c r="P292">
        <f>IF(COUNTIF($E292, _xlfn.CONCAT("*",Table13[[#Headers],[Family]],"*")),1,0)</f>
        <v>0</v>
      </c>
      <c r="Q292">
        <f>IF(COUNTIF($E292, _xlfn.CONCAT("*",Table13[[#Headers],[Fantasy]],"*")),1,0)</f>
        <v>0</v>
      </c>
      <c r="R292">
        <f>IF(COUNTIF($E292, _xlfn.CONCAT("*",Table13[[#Headers],[History]],"*")),1,0)</f>
        <v>0</v>
      </c>
      <c r="S292">
        <f>IF(COUNTIF($E292, _xlfn.CONCAT("*",Table13[[#Headers],[Horror]],"*")),1,0)</f>
        <v>0</v>
      </c>
      <c r="T292">
        <f>IF(COUNTIF($E292, _xlfn.CONCAT("*",Table13[[#Headers],[Music]],"*")),1,0)</f>
        <v>0</v>
      </c>
      <c r="U292">
        <f>IF(COUNTIF($E292, _xlfn.CONCAT("*",Table13[[#Headers],[Mystery]],"*")),1,0)</f>
        <v>0</v>
      </c>
      <c r="V292">
        <f>IF(COUNTIF($E292, _xlfn.CONCAT("*",Table13[[#Headers],[Romance]],"*")),1,0)</f>
        <v>1</v>
      </c>
      <c r="W292">
        <f>IF(COUNTIF($E292, _xlfn.CONCAT("*",Table13[[#Headers],[Science Fiction]],"*")),1,0)</f>
        <v>0</v>
      </c>
      <c r="X292">
        <f>IF(COUNTIF($E292, _xlfn.CONCAT("*",Table13[[#Headers],[TV Movie]],"*")),1,0)</f>
        <v>0</v>
      </c>
      <c r="Y292">
        <f>IF(COUNTIF($E292, _xlfn.CONCAT("*",Table13[[#Headers],[Thriller]],"*")),1,0)</f>
        <v>0</v>
      </c>
      <c r="Z292">
        <f>IF(COUNTIF($E292, _xlfn.CONCAT("*",Table13[[#Headers],[War]],"*")),1,0)</f>
        <v>0</v>
      </c>
      <c r="AA292">
        <f>IF(COUNTIF($E292, _xlfn.CONCAT("*",Table13[[#Headers],[Western]],"*")),1,0)</f>
        <v>0</v>
      </c>
    </row>
    <row r="293" spans="1:27">
      <c r="A293" t="s">
        <v>428</v>
      </c>
      <c r="B293">
        <v>93</v>
      </c>
      <c r="C293">
        <f>MAX(Table13[Rank])-Table13[[#This Row],[Rank]]</f>
        <v>171</v>
      </c>
      <c r="D293" t="s">
        <v>419</v>
      </c>
      <c r="E293" t="s">
        <v>102</v>
      </c>
      <c r="F293" s="1">
        <v>24770</v>
      </c>
      <c r="G293">
        <f>YEAR(Table13[[#This Row],[Date]])</f>
        <v>1967</v>
      </c>
      <c r="H293" t="s">
        <v>428</v>
      </c>
      <c r="I293">
        <f>IF(COUNTIF($E293, _xlfn.CONCAT("*",Table13[[#Headers],[Action]],"*")),1,0)</f>
        <v>0</v>
      </c>
      <c r="J293">
        <f>IF(COUNTIF($E293, _xlfn.CONCAT("*",Table13[[#Headers],[Adventure]],"*")),1,0)</f>
        <v>0</v>
      </c>
      <c r="K293">
        <f>IF(COUNTIF($E293, _xlfn.CONCAT("*",Table13[[#Headers],[Animation]],"*")),1,0)</f>
        <v>0</v>
      </c>
      <c r="L293">
        <f>IF(COUNTIF($E293, _xlfn.CONCAT("*",Table13[[#Headers],[Comedy]],"*")),1,0)</f>
        <v>0</v>
      </c>
      <c r="M293">
        <f>IF(COUNTIF($E293, _xlfn.CONCAT("*",Table13[[#Headers],[Crime]],"*")),1,0)</f>
        <v>1</v>
      </c>
      <c r="N293">
        <f>IF(COUNTIF($E293, _xlfn.CONCAT("*",Table13[[#Headers],[Documentary]],"*")),1,0)</f>
        <v>0</v>
      </c>
      <c r="O293">
        <f>IF(COUNTIF($E293, _xlfn.CONCAT("*",Table13[[#Headers],[Drama]],"*")),1,0)</f>
        <v>0</v>
      </c>
      <c r="P293">
        <f>IF(COUNTIF($E293, _xlfn.CONCAT("*",Table13[[#Headers],[Family]],"*")),1,0)</f>
        <v>0</v>
      </c>
      <c r="Q293">
        <f>IF(COUNTIF($E293, _xlfn.CONCAT("*",Table13[[#Headers],[Fantasy]],"*")),1,0)</f>
        <v>0</v>
      </c>
      <c r="R293">
        <f>IF(COUNTIF($E293, _xlfn.CONCAT("*",Table13[[#Headers],[History]],"*")),1,0)</f>
        <v>0</v>
      </c>
      <c r="S293">
        <f>IF(COUNTIF($E293, _xlfn.CONCAT("*",Table13[[#Headers],[Horror]],"*")),1,0)</f>
        <v>0</v>
      </c>
      <c r="T293">
        <f>IF(COUNTIF($E293, _xlfn.CONCAT("*",Table13[[#Headers],[Music]],"*")),1,0)</f>
        <v>0</v>
      </c>
      <c r="U293">
        <f>IF(COUNTIF($E293, _xlfn.CONCAT("*",Table13[[#Headers],[Mystery]],"*")),1,0)</f>
        <v>0</v>
      </c>
      <c r="V293">
        <f>IF(COUNTIF($E293, _xlfn.CONCAT("*",Table13[[#Headers],[Romance]],"*")),1,0)</f>
        <v>0</v>
      </c>
      <c r="W293">
        <f>IF(COUNTIF($E293, _xlfn.CONCAT("*",Table13[[#Headers],[Science Fiction]],"*")),1,0)</f>
        <v>0</v>
      </c>
      <c r="X293">
        <f>IF(COUNTIF($E293, _xlfn.CONCAT("*",Table13[[#Headers],[TV Movie]],"*")),1,0)</f>
        <v>0</v>
      </c>
      <c r="Y293">
        <f>IF(COUNTIF($E293, _xlfn.CONCAT("*",Table13[[#Headers],[Thriller]],"*")),1,0)</f>
        <v>1</v>
      </c>
      <c r="Z293">
        <f>IF(COUNTIF($E293, _xlfn.CONCAT("*",Table13[[#Headers],[War]],"*")),1,0)</f>
        <v>0</v>
      </c>
      <c r="AA293">
        <f>IF(COUNTIF($E293, _xlfn.CONCAT("*",Table13[[#Headers],[Western]],"*")),1,0)</f>
        <v>0</v>
      </c>
    </row>
    <row r="294" spans="1:27">
      <c r="A294" t="s">
        <v>88</v>
      </c>
      <c r="B294">
        <v>92</v>
      </c>
      <c r="C294">
        <f>MAX(Table13[Rank])-Table13[[#This Row],[Rank]]</f>
        <v>172</v>
      </c>
      <c r="D294" t="s">
        <v>419</v>
      </c>
      <c r="E294" t="s">
        <v>89</v>
      </c>
      <c r="F294" s="1">
        <v>26375</v>
      </c>
      <c r="G294">
        <f>YEAR(Table13[[#This Row],[Date]])</f>
        <v>1972</v>
      </c>
      <c r="H294" t="s">
        <v>88</v>
      </c>
      <c r="I294">
        <f>IF(COUNTIF($E294, _xlfn.CONCAT("*",Table13[[#Headers],[Action]],"*")),1,0)</f>
        <v>0</v>
      </c>
      <c r="J294">
        <f>IF(COUNTIF($E294, _xlfn.CONCAT("*",Table13[[#Headers],[Adventure]],"*")),1,0)</f>
        <v>0</v>
      </c>
      <c r="K294">
        <f>IF(COUNTIF($E294, _xlfn.CONCAT("*",Table13[[#Headers],[Animation]],"*")),1,0)</f>
        <v>0</v>
      </c>
      <c r="L294">
        <f>IF(COUNTIF($E294, _xlfn.CONCAT("*",Table13[[#Headers],[Comedy]],"*")),1,0)</f>
        <v>1</v>
      </c>
      <c r="M294">
        <f>IF(COUNTIF($E294, _xlfn.CONCAT("*",Table13[[#Headers],[Crime]],"*")),1,0)</f>
        <v>1</v>
      </c>
      <c r="N294">
        <f>IF(COUNTIF($E294, _xlfn.CONCAT("*",Table13[[#Headers],[Documentary]],"*")),1,0)</f>
        <v>0</v>
      </c>
      <c r="O294">
        <f>IF(COUNTIF($E294, _xlfn.CONCAT("*",Table13[[#Headers],[Drama]],"*")),1,0)</f>
        <v>0</v>
      </c>
      <c r="P294">
        <f>IF(COUNTIF($E294, _xlfn.CONCAT("*",Table13[[#Headers],[Family]],"*")),1,0)</f>
        <v>0</v>
      </c>
      <c r="Q294">
        <f>IF(COUNTIF($E294, _xlfn.CONCAT("*",Table13[[#Headers],[Fantasy]],"*")),1,0)</f>
        <v>0</v>
      </c>
      <c r="R294">
        <f>IF(COUNTIF($E294, _xlfn.CONCAT("*",Table13[[#Headers],[History]],"*")),1,0)</f>
        <v>0</v>
      </c>
      <c r="S294">
        <f>IF(COUNTIF($E294, _xlfn.CONCAT("*",Table13[[#Headers],[Horror]],"*")),1,0)</f>
        <v>1</v>
      </c>
      <c r="T294">
        <f>IF(COUNTIF($E294, _xlfn.CONCAT("*",Table13[[#Headers],[Music]],"*")),1,0)</f>
        <v>0</v>
      </c>
      <c r="U294">
        <f>IF(COUNTIF($E294, _xlfn.CONCAT("*",Table13[[#Headers],[Mystery]],"*")),1,0)</f>
        <v>0</v>
      </c>
      <c r="V294">
        <f>IF(COUNTIF($E294, _xlfn.CONCAT("*",Table13[[#Headers],[Romance]],"*")),1,0)</f>
        <v>0</v>
      </c>
      <c r="W294">
        <f>IF(COUNTIF($E294, _xlfn.CONCAT("*",Table13[[#Headers],[Science Fiction]],"*")),1,0)</f>
        <v>0</v>
      </c>
      <c r="X294">
        <f>IF(COUNTIF($E294, _xlfn.CONCAT("*",Table13[[#Headers],[TV Movie]],"*")),1,0)</f>
        <v>0</v>
      </c>
      <c r="Y294">
        <f>IF(COUNTIF($E294, _xlfn.CONCAT("*",Table13[[#Headers],[Thriller]],"*")),1,0)</f>
        <v>0</v>
      </c>
      <c r="Z294">
        <f>IF(COUNTIF($E294, _xlfn.CONCAT("*",Table13[[#Headers],[War]],"*")),1,0)</f>
        <v>0</v>
      </c>
      <c r="AA294">
        <f>IF(COUNTIF($E294, _xlfn.CONCAT("*",Table13[[#Headers],[Western]],"*")),1,0)</f>
        <v>0</v>
      </c>
    </row>
    <row r="295" spans="1:27">
      <c r="A295" t="s">
        <v>429</v>
      </c>
      <c r="B295">
        <v>91</v>
      </c>
      <c r="C295">
        <f>MAX(Table13[Rank])-Table13[[#This Row],[Rank]]</f>
        <v>173</v>
      </c>
      <c r="D295" t="s">
        <v>419</v>
      </c>
      <c r="E295" t="s">
        <v>35</v>
      </c>
      <c r="F295" s="1">
        <v>27287</v>
      </c>
      <c r="G295">
        <f>YEAR(Table13[[#This Row],[Date]])</f>
        <v>1974</v>
      </c>
      <c r="H295" t="s">
        <v>819</v>
      </c>
      <c r="I295">
        <f>IF(COUNTIF($E295, _xlfn.CONCAT("*",Table13[[#Headers],[Action]],"*")),1,0)</f>
        <v>0</v>
      </c>
      <c r="J295">
        <f>IF(COUNTIF($E295, _xlfn.CONCAT("*",Table13[[#Headers],[Adventure]],"*")),1,0)</f>
        <v>0</v>
      </c>
      <c r="K295">
        <f>IF(COUNTIF($E295, _xlfn.CONCAT("*",Table13[[#Headers],[Animation]],"*")),1,0)</f>
        <v>0</v>
      </c>
      <c r="L295">
        <f>IF(COUNTIF($E295, _xlfn.CONCAT("*",Table13[[#Headers],[Comedy]],"*")),1,0)</f>
        <v>0</v>
      </c>
      <c r="M295">
        <f>IF(COUNTIF($E295, _xlfn.CONCAT("*",Table13[[#Headers],[Crime]],"*")),1,0)</f>
        <v>0</v>
      </c>
      <c r="N295">
        <f>IF(COUNTIF($E295, _xlfn.CONCAT("*",Table13[[#Headers],[Documentary]],"*")),1,0)</f>
        <v>0</v>
      </c>
      <c r="O295">
        <f>IF(COUNTIF($E295, _xlfn.CONCAT("*",Table13[[#Headers],[Drama]],"*")),1,0)</f>
        <v>1</v>
      </c>
      <c r="P295">
        <f>IF(COUNTIF($E295, _xlfn.CONCAT("*",Table13[[#Headers],[Family]],"*")),1,0)</f>
        <v>0</v>
      </c>
      <c r="Q295">
        <f>IF(COUNTIF($E295, _xlfn.CONCAT("*",Table13[[#Headers],[Fantasy]],"*")),1,0)</f>
        <v>0</v>
      </c>
      <c r="R295">
        <f>IF(COUNTIF($E295, _xlfn.CONCAT("*",Table13[[#Headers],[History]],"*")),1,0)</f>
        <v>0</v>
      </c>
      <c r="S295">
        <f>IF(COUNTIF($E295, _xlfn.CONCAT("*",Table13[[#Headers],[Horror]],"*")),1,0)</f>
        <v>0</v>
      </c>
      <c r="T295">
        <f>IF(COUNTIF($E295, _xlfn.CONCAT("*",Table13[[#Headers],[Music]],"*")),1,0)</f>
        <v>0</v>
      </c>
      <c r="U295">
        <f>IF(COUNTIF($E295, _xlfn.CONCAT("*",Table13[[#Headers],[Mystery]],"*")),1,0)</f>
        <v>0</v>
      </c>
      <c r="V295">
        <f>IF(COUNTIF($E295, _xlfn.CONCAT("*",Table13[[#Headers],[Romance]],"*")),1,0)</f>
        <v>1</v>
      </c>
      <c r="W295">
        <f>IF(COUNTIF($E295, _xlfn.CONCAT("*",Table13[[#Headers],[Science Fiction]],"*")),1,0)</f>
        <v>0</v>
      </c>
      <c r="X295">
        <f>IF(COUNTIF($E295, _xlfn.CONCAT("*",Table13[[#Headers],[TV Movie]],"*")),1,0)</f>
        <v>0</v>
      </c>
      <c r="Y295">
        <f>IF(COUNTIF($E295, _xlfn.CONCAT("*",Table13[[#Headers],[Thriller]],"*")),1,0)</f>
        <v>0</v>
      </c>
      <c r="Z295">
        <f>IF(COUNTIF($E295, _xlfn.CONCAT("*",Table13[[#Headers],[War]],"*")),1,0)</f>
        <v>0</v>
      </c>
      <c r="AA295">
        <f>IF(COUNTIF($E295, _xlfn.CONCAT("*",Table13[[#Headers],[Western]],"*")),1,0)</f>
        <v>0</v>
      </c>
    </row>
    <row r="296" spans="1:27">
      <c r="A296" t="s">
        <v>280</v>
      </c>
      <c r="B296">
        <v>90</v>
      </c>
      <c r="C296">
        <f>MAX(Table13[Rank])-Table13[[#This Row],[Rank]]</f>
        <v>174</v>
      </c>
      <c r="D296" t="s">
        <v>419</v>
      </c>
      <c r="E296" t="s">
        <v>281</v>
      </c>
      <c r="F296" s="1">
        <v>29364</v>
      </c>
      <c r="G296">
        <f>YEAR(Table13[[#This Row],[Date]])</f>
        <v>1980</v>
      </c>
      <c r="H296" t="s">
        <v>280</v>
      </c>
      <c r="I296">
        <f>IF(COUNTIF($E296, _xlfn.CONCAT("*",Table13[[#Headers],[Action]],"*")),1,0)</f>
        <v>0</v>
      </c>
      <c r="J296">
        <f>IF(COUNTIF($E296, _xlfn.CONCAT("*",Table13[[#Headers],[Adventure]],"*")),1,0)</f>
        <v>0</v>
      </c>
      <c r="K296">
        <f>IF(COUNTIF($E296, _xlfn.CONCAT("*",Table13[[#Headers],[Animation]],"*")),1,0)</f>
        <v>0</v>
      </c>
      <c r="L296">
        <f>IF(COUNTIF($E296, _xlfn.CONCAT("*",Table13[[#Headers],[Comedy]],"*")),1,0)</f>
        <v>0</v>
      </c>
      <c r="M296">
        <f>IF(COUNTIF($E296, _xlfn.CONCAT("*",Table13[[#Headers],[Crime]],"*")),1,0)</f>
        <v>0</v>
      </c>
      <c r="N296">
        <f>IF(COUNTIF($E296, _xlfn.CONCAT("*",Table13[[#Headers],[Documentary]],"*")),1,0)</f>
        <v>0</v>
      </c>
      <c r="O296">
        <f>IF(COUNTIF($E296, _xlfn.CONCAT("*",Table13[[#Headers],[Drama]],"*")),1,0)</f>
        <v>0</v>
      </c>
      <c r="P296">
        <f>IF(COUNTIF($E296, _xlfn.CONCAT("*",Table13[[#Headers],[Family]],"*")),1,0)</f>
        <v>0</v>
      </c>
      <c r="Q296">
        <f>IF(COUNTIF($E296, _xlfn.CONCAT("*",Table13[[#Headers],[Fantasy]],"*")),1,0)</f>
        <v>0</v>
      </c>
      <c r="R296">
        <f>IF(COUNTIF($E296, _xlfn.CONCAT("*",Table13[[#Headers],[History]],"*")),1,0)</f>
        <v>0</v>
      </c>
      <c r="S296">
        <f>IF(COUNTIF($E296, _xlfn.CONCAT("*",Table13[[#Headers],[Horror]],"*")),1,0)</f>
        <v>1</v>
      </c>
      <c r="T296">
        <f>IF(COUNTIF($E296, _xlfn.CONCAT("*",Table13[[#Headers],[Music]],"*")),1,0)</f>
        <v>0</v>
      </c>
      <c r="U296">
        <f>IF(COUNTIF($E296, _xlfn.CONCAT("*",Table13[[#Headers],[Mystery]],"*")),1,0)</f>
        <v>0</v>
      </c>
      <c r="V296">
        <f>IF(COUNTIF($E296, _xlfn.CONCAT("*",Table13[[#Headers],[Romance]],"*")),1,0)</f>
        <v>0</v>
      </c>
      <c r="W296">
        <f>IF(COUNTIF($E296, _xlfn.CONCAT("*",Table13[[#Headers],[Science Fiction]],"*")),1,0)</f>
        <v>0</v>
      </c>
      <c r="X296">
        <f>IF(COUNTIF($E296, _xlfn.CONCAT("*",Table13[[#Headers],[TV Movie]],"*")),1,0)</f>
        <v>0</v>
      </c>
      <c r="Y296">
        <f>IF(COUNTIF($E296, _xlfn.CONCAT("*",Table13[[#Headers],[Thriller]],"*")),1,0)</f>
        <v>1</v>
      </c>
      <c r="Z296">
        <f>IF(COUNTIF($E296, _xlfn.CONCAT("*",Table13[[#Headers],[War]],"*")),1,0)</f>
        <v>0</v>
      </c>
      <c r="AA296">
        <f>IF(COUNTIF($E296, _xlfn.CONCAT("*",Table13[[#Headers],[Western]],"*")),1,0)</f>
        <v>0</v>
      </c>
    </row>
    <row r="297" spans="1:27">
      <c r="A297" t="s">
        <v>430</v>
      </c>
      <c r="B297">
        <v>89</v>
      </c>
      <c r="C297">
        <f>MAX(Table13[Rank])-Table13[[#This Row],[Rank]]</f>
        <v>175</v>
      </c>
      <c r="D297" t="s">
        <v>419</v>
      </c>
      <c r="E297" t="s">
        <v>35</v>
      </c>
      <c r="F297" s="1">
        <v>24616</v>
      </c>
      <c r="G297">
        <f>YEAR(Table13[[#This Row],[Date]])</f>
        <v>1967</v>
      </c>
      <c r="H297" t="s">
        <v>430</v>
      </c>
      <c r="I297">
        <f>IF(COUNTIF($E297, _xlfn.CONCAT("*",Table13[[#Headers],[Action]],"*")),1,0)</f>
        <v>0</v>
      </c>
      <c r="J297">
        <f>IF(COUNTIF($E297, _xlfn.CONCAT("*",Table13[[#Headers],[Adventure]],"*")),1,0)</f>
        <v>0</v>
      </c>
      <c r="K297">
        <f>IF(COUNTIF($E297, _xlfn.CONCAT("*",Table13[[#Headers],[Animation]],"*")),1,0)</f>
        <v>0</v>
      </c>
      <c r="L297">
        <f>IF(COUNTIF($E297, _xlfn.CONCAT("*",Table13[[#Headers],[Comedy]],"*")),1,0)</f>
        <v>0</v>
      </c>
      <c r="M297">
        <f>IF(COUNTIF($E297, _xlfn.CONCAT("*",Table13[[#Headers],[Crime]],"*")),1,0)</f>
        <v>0</v>
      </c>
      <c r="N297">
        <f>IF(COUNTIF($E297, _xlfn.CONCAT("*",Table13[[#Headers],[Documentary]],"*")),1,0)</f>
        <v>0</v>
      </c>
      <c r="O297">
        <f>IF(COUNTIF($E297, _xlfn.CONCAT("*",Table13[[#Headers],[Drama]],"*")),1,0)</f>
        <v>1</v>
      </c>
      <c r="P297">
        <f>IF(COUNTIF($E297, _xlfn.CONCAT("*",Table13[[#Headers],[Family]],"*")),1,0)</f>
        <v>0</v>
      </c>
      <c r="Q297">
        <f>IF(COUNTIF($E297, _xlfn.CONCAT("*",Table13[[#Headers],[Fantasy]],"*")),1,0)</f>
        <v>0</v>
      </c>
      <c r="R297">
        <f>IF(COUNTIF($E297, _xlfn.CONCAT("*",Table13[[#Headers],[History]],"*")),1,0)</f>
        <v>0</v>
      </c>
      <c r="S297">
        <f>IF(COUNTIF($E297, _xlfn.CONCAT("*",Table13[[#Headers],[Horror]],"*")),1,0)</f>
        <v>0</v>
      </c>
      <c r="T297">
        <f>IF(COUNTIF($E297, _xlfn.CONCAT("*",Table13[[#Headers],[Music]],"*")),1,0)</f>
        <v>0</v>
      </c>
      <c r="U297">
        <f>IF(COUNTIF($E297, _xlfn.CONCAT("*",Table13[[#Headers],[Mystery]],"*")),1,0)</f>
        <v>0</v>
      </c>
      <c r="V297">
        <f>IF(COUNTIF($E297, _xlfn.CONCAT("*",Table13[[#Headers],[Romance]],"*")),1,0)</f>
        <v>1</v>
      </c>
      <c r="W297">
        <f>IF(COUNTIF($E297, _xlfn.CONCAT("*",Table13[[#Headers],[Science Fiction]],"*")),1,0)</f>
        <v>0</v>
      </c>
      <c r="X297">
        <f>IF(COUNTIF($E297, _xlfn.CONCAT("*",Table13[[#Headers],[TV Movie]],"*")),1,0)</f>
        <v>0</v>
      </c>
      <c r="Y297">
        <f>IF(COUNTIF($E297, _xlfn.CONCAT("*",Table13[[#Headers],[Thriller]],"*")),1,0)</f>
        <v>0</v>
      </c>
      <c r="Z297">
        <f>IF(COUNTIF($E297, _xlfn.CONCAT("*",Table13[[#Headers],[War]],"*")),1,0)</f>
        <v>0</v>
      </c>
      <c r="AA297">
        <f>IF(COUNTIF($E297, _xlfn.CONCAT("*",Table13[[#Headers],[Western]],"*")),1,0)</f>
        <v>0</v>
      </c>
    </row>
    <row r="298" spans="1:27">
      <c r="A298" t="s">
        <v>431</v>
      </c>
      <c r="B298">
        <v>88</v>
      </c>
      <c r="C298">
        <f>MAX(Table13[Rank])-Table13[[#This Row],[Rank]]</f>
        <v>176</v>
      </c>
      <c r="D298" t="s">
        <v>419</v>
      </c>
      <c r="E298" t="s">
        <v>109</v>
      </c>
      <c r="F298" s="1">
        <v>33926</v>
      </c>
      <c r="G298">
        <f>YEAR(Table13[[#This Row],[Date]])</f>
        <v>1992</v>
      </c>
      <c r="H298" t="s">
        <v>431</v>
      </c>
      <c r="I298">
        <f>IF(COUNTIF($E298, _xlfn.CONCAT("*",Table13[[#Headers],[Action]],"*")),1,0)</f>
        <v>0</v>
      </c>
      <c r="J298">
        <f>IF(COUNTIF($E298, _xlfn.CONCAT("*",Table13[[#Headers],[Adventure]],"*")),1,0)</f>
        <v>0</v>
      </c>
      <c r="K298">
        <f>IF(COUNTIF($E298, _xlfn.CONCAT("*",Table13[[#Headers],[Animation]],"*")),1,0)</f>
        <v>0</v>
      </c>
      <c r="L298">
        <f>IF(COUNTIF($E298, _xlfn.CONCAT("*",Table13[[#Headers],[Comedy]],"*")),1,0)</f>
        <v>0</v>
      </c>
      <c r="M298">
        <f>IF(COUNTIF($E298, _xlfn.CONCAT("*",Table13[[#Headers],[Crime]],"*")),1,0)</f>
        <v>0</v>
      </c>
      <c r="N298">
        <f>IF(COUNTIF($E298, _xlfn.CONCAT("*",Table13[[#Headers],[Documentary]],"*")),1,0)</f>
        <v>0</v>
      </c>
      <c r="O298">
        <f>IF(COUNTIF($E298, _xlfn.CONCAT("*",Table13[[#Headers],[Drama]],"*")),1,0)</f>
        <v>1</v>
      </c>
      <c r="P298">
        <f>IF(COUNTIF($E298, _xlfn.CONCAT("*",Table13[[#Headers],[Family]],"*")),1,0)</f>
        <v>0</v>
      </c>
      <c r="Q298">
        <f>IF(COUNTIF($E298, _xlfn.CONCAT("*",Table13[[#Headers],[Fantasy]],"*")),1,0)</f>
        <v>0</v>
      </c>
      <c r="R298">
        <f>IF(COUNTIF($E298, _xlfn.CONCAT("*",Table13[[#Headers],[History]],"*")),1,0)</f>
        <v>1</v>
      </c>
      <c r="S298">
        <f>IF(COUNTIF($E298, _xlfn.CONCAT("*",Table13[[#Headers],[Horror]],"*")),1,0)</f>
        <v>0</v>
      </c>
      <c r="T298">
        <f>IF(COUNTIF($E298, _xlfn.CONCAT("*",Table13[[#Headers],[Music]],"*")),1,0)</f>
        <v>0</v>
      </c>
      <c r="U298">
        <f>IF(COUNTIF($E298, _xlfn.CONCAT("*",Table13[[#Headers],[Mystery]],"*")),1,0)</f>
        <v>0</v>
      </c>
      <c r="V298">
        <f>IF(COUNTIF($E298, _xlfn.CONCAT("*",Table13[[#Headers],[Romance]],"*")),1,0)</f>
        <v>0</v>
      </c>
      <c r="W298">
        <f>IF(COUNTIF($E298, _xlfn.CONCAT("*",Table13[[#Headers],[Science Fiction]],"*")),1,0)</f>
        <v>0</v>
      </c>
      <c r="X298">
        <f>IF(COUNTIF($E298, _xlfn.CONCAT("*",Table13[[#Headers],[TV Movie]],"*")),1,0)</f>
        <v>0</v>
      </c>
      <c r="Y298">
        <f>IF(COUNTIF($E298, _xlfn.CONCAT("*",Table13[[#Headers],[Thriller]],"*")),1,0)</f>
        <v>0</v>
      </c>
      <c r="Z298">
        <f>IF(COUNTIF($E298, _xlfn.CONCAT("*",Table13[[#Headers],[War]],"*")),1,0)</f>
        <v>0</v>
      </c>
      <c r="AA298">
        <f>IF(COUNTIF($E298, _xlfn.CONCAT("*",Table13[[#Headers],[Western]],"*")),1,0)</f>
        <v>0</v>
      </c>
    </row>
    <row r="299" spans="1:27">
      <c r="A299" t="s">
        <v>432</v>
      </c>
      <c r="B299">
        <v>87</v>
      </c>
      <c r="C299">
        <f>MAX(Table13[Rank])-Table13[[#This Row],[Rank]]</f>
        <v>177</v>
      </c>
      <c r="D299" t="s">
        <v>419</v>
      </c>
      <c r="E299" t="s">
        <v>433</v>
      </c>
      <c r="F299" s="1">
        <v>23830</v>
      </c>
      <c r="G299">
        <f>YEAR(Table13[[#This Row],[Date]])</f>
        <v>1965</v>
      </c>
      <c r="H299" t="s">
        <v>432</v>
      </c>
      <c r="I299">
        <f>IF(COUNTIF($E299, _xlfn.CONCAT("*",Table13[[#Headers],[Action]],"*")),1,0)</f>
        <v>0</v>
      </c>
      <c r="J299">
        <f>IF(COUNTIF($E299, _xlfn.CONCAT("*",Table13[[#Headers],[Adventure]],"*")),1,0)</f>
        <v>0</v>
      </c>
      <c r="K299">
        <f>IF(COUNTIF($E299, _xlfn.CONCAT("*",Table13[[#Headers],[Animation]],"*")),1,0)</f>
        <v>0</v>
      </c>
      <c r="L299">
        <f>IF(COUNTIF($E299, _xlfn.CONCAT("*",Table13[[#Headers],[Comedy]],"*")),1,0)</f>
        <v>0</v>
      </c>
      <c r="M299">
        <f>IF(COUNTIF($E299, _xlfn.CONCAT("*",Table13[[#Headers],[Crime]],"*")),1,0)</f>
        <v>0</v>
      </c>
      <c r="N299">
        <f>IF(COUNTIF($E299, _xlfn.CONCAT("*",Table13[[#Headers],[Documentary]],"*")),1,0)</f>
        <v>0</v>
      </c>
      <c r="O299">
        <f>IF(COUNTIF($E299, _xlfn.CONCAT("*",Table13[[#Headers],[Drama]],"*")),1,0)</f>
        <v>1</v>
      </c>
      <c r="P299">
        <f>IF(COUNTIF($E299, _xlfn.CONCAT("*",Table13[[#Headers],[Family]],"*")),1,0)</f>
        <v>1</v>
      </c>
      <c r="Q299">
        <f>IF(COUNTIF($E299, _xlfn.CONCAT("*",Table13[[#Headers],[Fantasy]],"*")),1,0)</f>
        <v>0</v>
      </c>
      <c r="R299">
        <f>IF(COUNTIF($E299, _xlfn.CONCAT("*",Table13[[#Headers],[History]],"*")),1,0)</f>
        <v>0</v>
      </c>
      <c r="S299">
        <f>IF(COUNTIF($E299, _xlfn.CONCAT("*",Table13[[#Headers],[Horror]],"*")),1,0)</f>
        <v>0</v>
      </c>
      <c r="T299">
        <f>IF(COUNTIF($E299, _xlfn.CONCAT("*",Table13[[#Headers],[Music]],"*")),1,0)</f>
        <v>1</v>
      </c>
      <c r="U299">
        <f>IF(COUNTIF($E299, _xlfn.CONCAT("*",Table13[[#Headers],[Mystery]],"*")),1,0)</f>
        <v>0</v>
      </c>
      <c r="V299">
        <f>IF(COUNTIF($E299, _xlfn.CONCAT("*",Table13[[#Headers],[Romance]],"*")),1,0)</f>
        <v>1</v>
      </c>
      <c r="W299">
        <f>IF(COUNTIF($E299, _xlfn.CONCAT("*",Table13[[#Headers],[Science Fiction]],"*")),1,0)</f>
        <v>0</v>
      </c>
      <c r="X299">
        <f>IF(COUNTIF($E299, _xlfn.CONCAT("*",Table13[[#Headers],[TV Movie]],"*")),1,0)</f>
        <v>0</v>
      </c>
      <c r="Y299">
        <f>IF(COUNTIF($E299, _xlfn.CONCAT("*",Table13[[#Headers],[Thriller]],"*")),1,0)</f>
        <v>0</v>
      </c>
      <c r="Z299">
        <f>IF(COUNTIF($E299, _xlfn.CONCAT("*",Table13[[#Headers],[War]],"*")),1,0)</f>
        <v>0</v>
      </c>
      <c r="AA299">
        <f>IF(COUNTIF($E299, _xlfn.CONCAT("*",Table13[[#Headers],[Western]],"*")),1,0)</f>
        <v>0</v>
      </c>
    </row>
    <row r="300" spans="1:27">
      <c r="A300" t="s">
        <v>434</v>
      </c>
      <c r="B300">
        <v>86</v>
      </c>
      <c r="C300">
        <f>MAX(Table13[Rank])-Table13[[#This Row],[Rank]]</f>
        <v>178</v>
      </c>
      <c r="D300" t="s">
        <v>419</v>
      </c>
      <c r="E300" t="s">
        <v>156</v>
      </c>
      <c r="F300" s="1">
        <v>33002</v>
      </c>
      <c r="G300">
        <f>YEAR(Table13[[#This Row],[Date]])</f>
        <v>1990</v>
      </c>
      <c r="H300" t="s">
        <v>434</v>
      </c>
      <c r="I300">
        <f>IF(COUNTIF($E300, _xlfn.CONCAT("*",Table13[[#Headers],[Action]],"*")),1,0)</f>
        <v>0</v>
      </c>
      <c r="J300">
        <f>IF(COUNTIF($E300, _xlfn.CONCAT("*",Table13[[#Headers],[Adventure]],"*")),1,0)</f>
        <v>0</v>
      </c>
      <c r="K300">
        <f>IF(COUNTIF($E300, _xlfn.CONCAT("*",Table13[[#Headers],[Animation]],"*")),1,0)</f>
        <v>0</v>
      </c>
      <c r="L300">
        <f>IF(COUNTIF($E300, _xlfn.CONCAT("*",Table13[[#Headers],[Comedy]],"*")),1,0)</f>
        <v>0</v>
      </c>
      <c r="M300">
        <f>IF(COUNTIF($E300, _xlfn.CONCAT("*",Table13[[#Headers],[Crime]],"*")),1,0)</f>
        <v>1</v>
      </c>
      <c r="N300">
        <f>IF(COUNTIF($E300, _xlfn.CONCAT("*",Table13[[#Headers],[Documentary]],"*")),1,0)</f>
        <v>0</v>
      </c>
      <c r="O300">
        <f>IF(COUNTIF($E300, _xlfn.CONCAT("*",Table13[[#Headers],[Drama]],"*")),1,0)</f>
        <v>1</v>
      </c>
      <c r="P300">
        <f>IF(COUNTIF($E300, _xlfn.CONCAT("*",Table13[[#Headers],[Family]],"*")),1,0)</f>
        <v>0</v>
      </c>
      <c r="Q300">
        <f>IF(COUNTIF($E300, _xlfn.CONCAT("*",Table13[[#Headers],[Fantasy]],"*")),1,0)</f>
        <v>0</v>
      </c>
      <c r="R300">
        <f>IF(COUNTIF($E300, _xlfn.CONCAT("*",Table13[[#Headers],[History]],"*")),1,0)</f>
        <v>0</v>
      </c>
      <c r="S300">
        <f>IF(COUNTIF($E300, _xlfn.CONCAT("*",Table13[[#Headers],[Horror]],"*")),1,0)</f>
        <v>0</v>
      </c>
      <c r="T300">
        <f>IF(COUNTIF($E300, _xlfn.CONCAT("*",Table13[[#Headers],[Music]],"*")),1,0)</f>
        <v>0</v>
      </c>
      <c r="U300">
        <f>IF(COUNTIF($E300, _xlfn.CONCAT("*",Table13[[#Headers],[Mystery]],"*")),1,0)</f>
        <v>0</v>
      </c>
      <c r="V300">
        <f>IF(COUNTIF($E300, _xlfn.CONCAT("*",Table13[[#Headers],[Romance]],"*")),1,0)</f>
        <v>0</v>
      </c>
      <c r="W300">
        <f>IF(COUNTIF($E300, _xlfn.CONCAT("*",Table13[[#Headers],[Science Fiction]],"*")),1,0)</f>
        <v>0</v>
      </c>
      <c r="X300">
        <f>IF(COUNTIF($E300, _xlfn.CONCAT("*",Table13[[#Headers],[TV Movie]],"*")),1,0)</f>
        <v>0</v>
      </c>
      <c r="Y300">
        <f>IF(COUNTIF($E300, _xlfn.CONCAT("*",Table13[[#Headers],[Thriller]],"*")),1,0)</f>
        <v>0</v>
      </c>
      <c r="Z300">
        <f>IF(COUNTIF($E300, _xlfn.CONCAT("*",Table13[[#Headers],[War]],"*")),1,0)</f>
        <v>0</v>
      </c>
      <c r="AA300">
        <f>IF(COUNTIF($E300, _xlfn.CONCAT("*",Table13[[#Headers],[Western]],"*")),1,0)</f>
        <v>0</v>
      </c>
    </row>
    <row r="301" spans="1:27">
      <c r="A301" t="s">
        <v>435</v>
      </c>
      <c r="B301">
        <v>85</v>
      </c>
      <c r="C301">
        <f>MAX(Table13[Rank])-Table13[[#This Row],[Rank]]</f>
        <v>179</v>
      </c>
      <c r="D301" t="s">
        <v>419</v>
      </c>
      <c r="E301" t="s">
        <v>436</v>
      </c>
      <c r="F301" s="1">
        <v>34572</v>
      </c>
      <c r="G301">
        <f>YEAR(Table13[[#This Row],[Date]])</f>
        <v>1994</v>
      </c>
      <c r="H301" t="s">
        <v>435</v>
      </c>
      <c r="I301">
        <f>IF(COUNTIF($E301, _xlfn.CONCAT("*",Table13[[#Headers],[Action]],"*")),1,0)</f>
        <v>0</v>
      </c>
      <c r="J301">
        <f>IF(COUNTIF($E301, _xlfn.CONCAT("*",Table13[[#Headers],[Adventure]],"*")),1,0)</f>
        <v>0</v>
      </c>
      <c r="K301">
        <f>IF(COUNTIF($E301, _xlfn.CONCAT("*",Table13[[#Headers],[Animation]],"*")),1,0)</f>
        <v>0</v>
      </c>
      <c r="L301">
        <f>IF(COUNTIF($E301, _xlfn.CONCAT("*",Table13[[#Headers],[Comedy]],"*")),1,0)</f>
        <v>0</v>
      </c>
      <c r="M301">
        <f>IF(COUNTIF($E301, _xlfn.CONCAT("*",Table13[[#Headers],[Crime]],"*")),1,0)</f>
        <v>1</v>
      </c>
      <c r="N301">
        <f>IF(COUNTIF($E301, _xlfn.CONCAT("*",Table13[[#Headers],[Documentary]],"*")),1,0)</f>
        <v>0</v>
      </c>
      <c r="O301">
        <f>IF(COUNTIF($E301, _xlfn.CONCAT("*",Table13[[#Headers],[Drama]],"*")),1,0)</f>
        <v>1</v>
      </c>
      <c r="P301">
        <f>IF(COUNTIF($E301, _xlfn.CONCAT("*",Table13[[#Headers],[Family]],"*")),1,0)</f>
        <v>0</v>
      </c>
      <c r="Q301">
        <f>IF(COUNTIF($E301, _xlfn.CONCAT("*",Table13[[#Headers],[Fantasy]],"*")),1,0)</f>
        <v>0</v>
      </c>
      <c r="R301">
        <f>IF(COUNTIF($E301, _xlfn.CONCAT("*",Table13[[#Headers],[History]],"*")),1,0)</f>
        <v>0</v>
      </c>
      <c r="S301">
        <f>IF(COUNTIF($E301, _xlfn.CONCAT("*",Table13[[#Headers],[Horror]],"*")),1,0)</f>
        <v>0</v>
      </c>
      <c r="T301">
        <f>IF(COUNTIF($E301, _xlfn.CONCAT("*",Table13[[#Headers],[Music]],"*")),1,0)</f>
        <v>0</v>
      </c>
      <c r="U301">
        <f>IF(COUNTIF($E301, _xlfn.CONCAT("*",Table13[[#Headers],[Mystery]],"*")),1,0)</f>
        <v>0</v>
      </c>
      <c r="V301">
        <f>IF(COUNTIF($E301, _xlfn.CONCAT("*",Table13[[#Headers],[Romance]],"*")),1,0)</f>
        <v>0</v>
      </c>
      <c r="W301">
        <f>IF(COUNTIF($E301, _xlfn.CONCAT("*",Table13[[#Headers],[Science Fiction]],"*")),1,0)</f>
        <v>0</v>
      </c>
      <c r="X301">
        <f>IF(COUNTIF($E301, _xlfn.CONCAT("*",Table13[[#Headers],[TV Movie]],"*")),1,0)</f>
        <v>0</v>
      </c>
      <c r="Y301">
        <f>IF(COUNTIF($E301, _xlfn.CONCAT("*",Table13[[#Headers],[Thriller]],"*")),1,0)</f>
        <v>1</v>
      </c>
      <c r="Z301">
        <f>IF(COUNTIF($E301, _xlfn.CONCAT("*",Table13[[#Headers],[War]],"*")),1,0)</f>
        <v>0</v>
      </c>
      <c r="AA301">
        <f>IF(COUNTIF($E301, _xlfn.CONCAT("*",Table13[[#Headers],[Western]],"*")),1,0)</f>
        <v>0</v>
      </c>
    </row>
    <row r="302" spans="1:27">
      <c r="A302" t="s">
        <v>437</v>
      </c>
      <c r="B302">
        <v>84</v>
      </c>
      <c r="C302">
        <f>MAX(Table13[Rank])-Table13[[#This Row],[Rank]]</f>
        <v>180</v>
      </c>
      <c r="D302" t="s">
        <v>419</v>
      </c>
      <c r="E302" t="s">
        <v>438</v>
      </c>
      <c r="F302" s="1">
        <v>39000</v>
      </c>
      <c r="G302">
        <f>YEAR(Table13[[#This Row],[Date]])</f>
        <v>2006</v>
      </c>
      <c r="H302" t="s">
        <v>748</v>
      </c>
      <c r="I302">
        <f>IF(COUNTIF($E302, _xlfn.CONCAT("*",Table13[[#Headers],[Action]],"*")),1,0)</f>
        <v>0</v>
      </c>
      <c r="J302">
        <f>IF(COUNTIF($E302, _xlfn.CONCAT("*",Table13[[#Headers],[Adventure]],"*")),1,0)</f>
        <v>0</v>
      </c>
      <c r="K302">
        <f>IF(COUNTIF($E302, _xlfn.CONCAT("*",Table13[[#Headers],[Animation]],"*")),1,0)</f>
        <v>0</v>
      </c>
      <c r="L302">
        <f>IF(COUNTIF($E302, _xlfn.CONCAT("*",Table13[[#Headers],[Comedy]],"*")),1,0)</f>
        <v>0</v>
      </c>
      <c r="M302">
        <f>IF(COUNTIF($E302, _xlfn.CONCAT("*",Table13[[#Headers],[Crime]],"*")),1,0)</f>
        <v>0</v>
      </c>
      <c r="N302">
        <f>IF(COUNTIF($E302, _xlfn.CONCAT("*",Table13[[#Headers],[Documentary]],"*")),1,0)</f>
        <v>0</v>
      </c>
      <c r="O302">
        <f>IF(COUNTIF($E302, _xlfn.CONCAT("*",Table13[[#Headers],[Drama]],"*")),1,0)</f>
        <v>1</v>
      </c>
      <c r="P302">
        <f>IF(COUNTIF($E302, _xlfn.CONCAT("*",Table13[[#Headers],[Family]],"*")),1,0)</f>
        <v>0</v>
      </c>
      <c r="Q302">
        <f>IF(COUNTIF($E302, _xlfn.CONCAT("*",Table13[[#Headers],[Fantasy]],"*")),1,0)</f>
        <v>1</v>
      </c>
      <c r="R302">
        <f>IF(COUNTIF($E302, _xlfn.CONCAT("*",Table13[[#Headers],[History]],"*")),1,0)</f>
        <v>0</v>
      </c>
      <c r="S302">
        <f>IF(COUNTIF($E302, _xlfn.CONCAT("*",Table13[[#Headers],[Horror]],"*")),1,0)</f>
        <v>0</v>
      </c>
      <c r="T302">
        <f>IF(COUNTIF($E302, _xlfn.CONCAT("*",Table13[[#Headers],[Music]],"*")),1,0)</f>
        <v>0</v>
      </c>
      <c r="U302">
        <f>IF(COUNTIF($E302, _xlfn.CONCAT("*",Table13[[#Headers],[Mystery]],"*")),1,0)</f>
        <v>0</v>
      </c>
      <c r="V302">
        <f>IF(COUNTIF($E302, _xlfn.CONCAT("*",Table13[[#Headers],[Romance]],"*")),1,0)</f>
        <v>0</v>
      </c>
      <c r="W302">
        <f>IF(COUNTIF($E302, _xlfn.CONCAT("*",Table13[[#Headers],[Science Fiction]],"*")),1,0)</f>
        <v>0</v>
      </c>
      <c r="X302">
        <f>IF(COUNTIF($E302, _xlfn.CONCAT("*",Table13[[#Headers],[TV Movie]],"*")),1,0)</f>
        <v>0</v>
      </c>
      <c r="Y302">
        <f>IF(COUNTIF($E302, _xlfn.CONCAT("*",Table13[[#Headers],[Thriller]],"*")),1,0)</f>
        <v>0</v>
      </c>
      <c r="Z302">
        <f>IF(COUNTIF($E302, _xlfn.CONCAT("*",Table13[[#Headers],[War]],"*")),1,0)</f>
        <v>1</v>
      </c>
      <c r="AA302">
        <f>IF(COUNTIF($E302, _xlfn.CONCAT("*",Table13[[#Headers],[Western]],"*")),1,0)</f>
        <v>0</v>
      </c>
    </row>
    <row r="303" spans="1:27">
      <c r="A303" t="s">
        <v>439</v>
      </c>
      <c r="B303">
        <v>83</v>
      </c>
      <c r="C303">
        <f>MAX(Table13[Rank])-Table13[[#This Row],[Rank]]</f>
        <v>181</v>
      </c>
      <c r="D303" t="s">
        <v>419</v>
      </c>
      <c r="E303" t="s">
        <v>21</v>
      </c>
      <c r="F303" s="1">
        <v>29196</v>
      </c>
      <c r="G303">
        <f>YEAR(Table13[[#This Row],[Date]])</f>
        <v>1979</v>
      </c>
      <c r="H303" t="s">
        <v>439</v>
      </c>
      <c r="I303">
        <f>IF(COUNTIF($E303, _xlfn.CONCAT("*",Table13[[#Headers],[Action]],"*")),1,0)</f>
        <v>0</v>
      </c>
      <c r="J303">
        <f>IF(COUNTIF($E303, _xlfn.CONCAT("*",Table13[[#Headers],[Adventure]],"*")),1,0)</f>
        <v>0</v>
      </c>
      <c r="K303">
        <f>IF(COUNTIF($E303, _xlfn.CONCAT("*",Table13[[#Headers],[Animation]],"*")),1,0)</f>
        <v>0</v>
      </c>
      <c r="L303">
        <f>IF(COUNTIF($E303, _xlfn.CONCAT("*",Table13[[#Headers],[Comedy]],"*")),1,0)</f>
        <v>0</v>
      </c>
      <c r="M303">
        <f>IF(COUNTIF($E303, _xlfn.CONCAT("*",Table13[[#Headers],[Crime]],"*")),1,0)</f>
        <v>0</v>
      </c>
      <c r="N303">
        <f>IF(COUNTIF($E303, _xlfn.CONCAT("*",Table13[[#Headers],[Documentary]],"*")),1,0)</f>
        <v>0</v>
      </c>
      <c r="O303">
        <f>IF(COUNTIF($E303, _xlfn.CONCAT("*",Table13[[#Headers],[Drama]],"*")),1,0)</f>
        <v>1</v>
      </c>
      <c r="P303">
        <f>IF(COUNTIF($E303, _xlfn.CONCAT("*",Table13[[#Headers],[Family]],"*")),1,0)</f>
        <v>0</v>
      </c>
      <c r="Q303">
        <f>IF(COUNTIF($E303, _xlfn.CONCAT("*",Table13[[#Headers],[Fantasy]],"*")),1,0)</f>
        <v>0</v>
      </c>
      <c r="R303">
        <f>IF(COUNTIF($E303, _xlfn.CONCAT("*",Table13[[#Headers],[History]],"*")),1,0)</f>
        <v>0</v>
      </c>
      <c r="S303">
        <f>IF(COUNTIF($E303, _xlfn.CONCAT("*",Table13[[#Headers],[Horror]],"*")),1,0)</f>
        <v>0</v>
      </c>
      <c r="T303">
        <f>IF(COUNTIF($E303, _xlfn.CONCAT("*",Table13[[#Headers],[Music]],"*")),1,0)</f>
        <v>0</v>
      </c>
      <c r="U303">
        <f>IF(COUNTIF($E303, _xlfn.CONCAT("*",Table13[[#Headers],[Mystery]],"*")),1,0)</f>
        <v>0</v>
      </c>
      <c r="V303">
        <f>IF(COUNTIF($E303, _xlfn.CONCAT("*",Table13[[#Headers],[Romance]],"*")),1,0)</f>
        <v>0</v>
      </c>
      <c r="W303">
        <f>IF(COUNTIF($E303, _xlfn.CONCAT("*",Table13[[#Headers],[Science Fiction]],"*")),1,0)</f>
        <v>0</v>
      </c>
      <c r="X303">
        <f>IF(COUNTIF($E303, _xlfn.CONCAT("*",Table13[[#Headers],[TV Movie]],"*")),1,0)</f>
        <v>0</v>
      </c>
      <c r="Y303">
        <f>IF(COUNTIF($E303, _xlfn.CONCAT("*",Table13[[#Headers],[Thriller]],"*")),1,0)</f>
        <v>0</v>
      </c>
      <c r="Z303">
        <f>IF(COUNTIF($E303, _xlfn.CONCAT("*",Table13[[#Headers],[War]],"*")),1,0)</f>
        <v>0</v>
      </c>
      <c r="AA303">
        <f>IF(COUNTIF($E303, _xlfn.CONCAT("*",Table13[[#Headers],[Western]],"*")),1,0)</f>
        <v>0</v>
      </c>
    </row>
    <row r="304" spans="1:27">
      <c r="A304" t="s">
        <v>275</v>
      </c>
      <c r="B304">
        <v>82</v>
      </c>
      <c r="C304">
        <f>MAX(Table13[Rank])-Table13[[#This Row],[Rank]]</f>
        <v>182</v>
      </c>
      <c r="D304" t="s">
        <v>419</v>
      </c>
      <c r="E304" t="s">
        <v>189</v>
      </c>
      <c r="F304" s="1">
        <v>30022</v>
      </c>
      <c r="G304">
        <f>YEAR(Table13[[#This Row],[Date]])</f>
        <v>1982</v>
      </c>
      <c r="H304" t="s">
        <v>275</v>
      </c>
      <c r="I304">
        <f>IF(COUNTIF($E304, _xlfn.CONCAT("*",Table13[[#Headers],[Action]],"*")),1,0)</f>
        <v>0</v>
      </c>
      <c r="J304">
        <f>IF(COUNTIF($E304, _xlfn.CONCAT("*",Table13[[#Headers],[Adventure]],"*")),1,0)</f>
        <v>0</v>
      </c>
      <c r="K304">
        <f>IF(COUNTIF($E304, _xlfn.CONCAT("*",Table13[[#Headers],[Animation]],"*")),1,0)</f>
        <v>0</v>
      </c>
      <c r="L304">
        <f>IF(COUNTIF($E304, _xlfn.CONCAT("*",Table13[[#Headers],[Comedy]],"*")),1,0)</f>
        <v>0</v>
      </c>
      <c r="M304">
        <f>IF(COUNTIF($E304, _xlfn.CONCAT("*",Table13[[#Headers],[Crime]],"*")),1,0)</f>
        <v>0</v>
      </c>
      <c r="N304">
        <f>IF(COUNTIF($E304, _xlfn.CONCAT("*",Table13[[#Headers],[Documentary]],"*")),1,0)</f>
        <v>0</v>
      </c>
      <c r="O304">
        <f>IF(COUNTIF($E304, _xlfn.CONCAT("*",Table13[[#Headers],[Drama]],"*")),1,0)</f>
        <v>0</v>
      </c>
      <c r="P304">
        <f>IF(COUNTIF($E304, _xlfn.CONCAT("*",Table13[[#Headers],[Family]],"*")),1,0)</f>
        <v>0</v>
      </c>
      <c r="Q304">
        <f>IF(COUNTIF($E304, _xlfn.CONCAT("*",Table13[[#Headers],[Fantasy]],"*")),1,0)</f>
        <v>0</v>
      </c>
      <c r="R304">
        <f>IF(COUNTIF($E304, _xlfn.CONCAT("*",Table13[[#Headers],[History]],"*")),1,0)</f>
        <v>0</v>
      </c>
      <c r="S304">
        <f>IF(COUNTIF($E304, _xlfn.CONCAT("*",Table13[[#Headers],[Horror]],"*")),1,0)</f>
        <v>1</v>
      </c>
      <c r="T304">
        <f>IF(COUNTIF($E304, _xlfn.CONCAT("*",Table13[[#Headers],[Music]],"*")),1,0)</f>
        <v>0</v>
      </c>
      <c r="U304">
        <f>IF(COUNTIF($E304, _xlfn.CONCAT("*",Table13[[#Headers],[Mystery]],"*")),1,0)</f>
        <v>0</v>
      </c>
      <c r="V304">
        <f>IF(COUNTIF($E304, _xlfn.CONCAT("*",Table13[[#Headers],[Romance]],"*")),1,0)</f>
        <v>0</v>
      </c>
      <c r="W304">
        <f>IF(COUNTIF($E304, _xlfn.CONCAT("*",Table13[[#Headers],[Science Fiction]],"*")),1,0)</f>
        <v>1</v>
      </c>
      <c r="X304">
        <f>IF(COUNTIF($E304, _xlfn.CONCAT("*",Table13[[#Headers],[TV Movie]],"*")),1,0)</f>
        <v>0</v>
      </c>
      <c r="Y304">
        <f>IF(COUNTIF($E304, _xlfn.CONCAT("*",Table13[[#Headers],[Thriller]],"*")),1,0)</f>
        <v>0</v>
      </c>
      <c r="Z304">
        <f>IF(COUNTIF($E304, _xlfn.CONCAT("*",Table13[[#Headers],[War]],"*")),1,0)</f>
        <v>0</v>
      </c>
      <c r="AA304">
        <f>IF(COUNTIF($E304, _xlfn.CONCAT("*",Table13[[#Headers],[Western]],"*")),1,0)</f>
        <v>0</v>
      </c>
    </row>
    <row r="305" spans="1:27">
      <c r="A305" t="s">
        <v>440</v>
      </c>
      <c r="B305">
        <v>81</v>
      </c>
      <c r="C305">
        <f>MAX(Table13[Rank])-Table13[[#This Row],[Rank]]</f>
        <v>183</v>
      </c>
      <c r="D305" t="s">
        <v>419</v>
      </c>
      <c r="E305" t="s">
        <v>441</v>
      </c>
      <c r="F305" s="1">
        <v>39645</v>
      </c>
      <c r="G305">
        <f>YEAR(Table13[[#This Row],[Date]])</f>
        <v>2008</v>
      </c>
      <c r="H305" t="s">
        <v>440</v>
      </c>
      <c r="I305">
        <f>IF(COUNTIF($E305, _xlfn.CONCAT("*",Table13[[#Headers],[Action]],"*")),1,0)</f>
        <v>1</v>
      </c>
      <c r="J305">
        <f>IF(COUNTIF($E305, _xlfn.CONCAT("*",Table13[[#Headers],[Adventure]],"*")),1,0)</f>
        <v>0</v>
      </c>
      <c r="K305">
        <f>IF(COUNTIF($E305, _xlfn.CONCAT("*",Table13[[#Headers],[Animation]],"*")),1,0)</f>
        <v>0</v>
      </c>
      <c r="L305">
        <f>IF(COUNTIF($E305, _xlfn.CONCAT("*",Table13[[#Headers],[Comedy]],"*")),1,0)</f>
        <v>0</v>
      </c>
      <c r="M305">
        <f>IF(COUNTIF($E305, _xlfn.CONCAT("*",Table13[[#Headers],[Crime]],"*")),1,0)</f>
        <v>1</v>
      </c>
      <c r="N305">
        <f>IF(COUNTIF($E305, _xlfn.CONCAT("*",Table13[[#Headers],[Documentary]],"*")),1,0)</f>
        <v>0</v>
      </c>
      <c r="O305">
        <f>IF(COUNTIF($E305, _xlfn.CONCAT("*",Table13[[#Headers],[Drama]],"*")),1,0)</f>
        <v>1</v>
      </c>
      <c r="P305">
        <f>IF(COUNTIF($E305, _xlfn.CONCAT("*",Table13[[#Headers],[Family]],"*")),1,0)</f>
        <v>0</v>
      </c>
      <c r="Q305">
        <f>IF(COUNTIF($E305, _xlfn.CONCAT("*",Table13[[#Headers],[Fantasy]],"*")),1,0)</f>
        <v>0</v>
      </c>
      <c r="R305">
        <f>IF(COUNTIF($E305, _xlfn.CONCAT("*",Table13[[#Headers],[History]],"*")),1,0)</f>
        <v>0</v>
      </c>
      <c r="S305">
        <f>IF(COUNTIF($E305, _xlfn.CONCAT("*",Table13[[#Headers],[Horror]],"*")),1,0)</f>
        <v>0</v>
      </c>
      <c r="T305">
        <f>IF(COUNTIF($E305, _xlfn.CONCAT("*",Table13[[#Headers],[Music]],"*")),1,0)</f>
        <v>0</v>
      </c>
      <c r="U305">
        <f>IF(COUNTIF($E305, _xlfn.CONCAT("*",Table13[[#Headers],[Mystery]],"*")),1,0)</f>
        <v>0</v>
      </c>
      <c r="V305">
        <f>IF(COUNTIF($E305, _xlfn.CONCAT("*",Table13[[#Headers],[Romance]],"*")),1,0)</f>
        <v>0</v>
      </c>
      <c r="W305">
        <f>IF(COUNTIF($E305, _xlfn.CONCAT("*",Table13[[#Headers],[Science Fiction]],"*")),1,0)</f>
        <v>0</v>
      </c>
      <c r="X305">
        <f>IF(COUNTIF($E305, _xlfn.CONCAT("*",Table13[[#Headers],[TV Movie]],"*")),1,0)</f>
        <v>0</v>
      </c>
      <c r="Y305">
        <f>IF(COUNTIF($E305, _xlfn.CONCAT("*",Table13[[#Headers],[Thriller]],"*")),1,0)</f>
        <v>1</v>
      </c>
      <c r="Z305">
        <f>IF(COUNTIF($E305, _xlfn.CONCAT("*",Table13[[#Headers],[War]],"*")),1,0)</f>
        <v>0</v>
      </c>
      <c r="AA305">
        <f>IF(COUNTIF($E305, _xlfn.CONCAT("*",Table13[[#Headers],[Western]],"*")),1,0)</f>
        <v>0</v>
      </c>
    </row>
    <row r="306" spans="1:27">
      <c r="A306" t="s">
        <v>442</v>
      </c>
      <c r="B306">
        <v>80</v>
      </c>
      <c r="C306">
        <f>MAX(Table13[Rank])-Table13[[#This Row],[Rank]]</f>
        <v>184</v>
      </c>
      <c r="D306" t="s">
        <v>419</v>
      </c>
      <c r="E306" t="s">
        <v>156</v>
      </c>
      <c r="F306" s="1">
        <v>29490</v>
      </c>
      <c r="G306">
        <f>YEAR(Table13[[#This Row],[Date]])</f>
        <v>1980</v>
      </c>
      <c r="H306" t="s">
        <v>442</v>
      </c>
      <c r="I306">
        <f>IF(COUNTIF($E306, _xlfn.CONCAT("*",Table13[[#Headers],[Action]],"*")),1,0)</f>
        <v>0</v>
      </c>
      <c r="J306">
        <f>IF(COUNTIF($E306, _xlfn.CONCAT("*",Table13[[#Headers],[Adventure]],"*")),1,0)</f>
        <v>0</v>
      </c>
      <c r="K306">
        <f>IF(COUNTIF($E306, _xlfn.CONCAT("*",Table13[[#Headers],[Animation]],"*")),1,0)</f>
        <v>0</v>
      </c>
      <c r="L306">
        <f>IF(COUNTIF($E306, _xlfn.CONCAT("*",Table13[[#Headers],[Comedy]],"*")),1,0)</f>
        <v>0</v>
      </c>
      <c r="M306">
        <f>IF(COUNTIF($E306, _xlfn.CONCAT("*",Table13[[#Headers],[Crime]],"*")),1,0)</f>
        <v>1</v>
      </c>
      <c r="N306">
        <f>IF(COUNTIF($E306, _xlfn.CONCAT("*",Table13[[#Headers],[Documentary]],"*")),1,0)</f>
        <v>0</v>
      </c>
      <c r="O306">
        <f>IF(COUNTIF($E306, _xlfn.CONCAT("*",Table13[[#Headers],[Drama]],"*")),1,0)</f>
        <v>1</v>
      </c>
      <c r="P306">
        <f>IF(COUNTIF($E306, _xlfn.CONCAT("*",Table13[[#Headers],[Family]],"*")),1,0)</f>
        <v>0</v>
      </c>
      <c r="Q306">
        <f>IF(COUNTIF($E306, _xlfn.CONCAT("*",Table13[[#Headers],[Fantasy]],"*")),1,0)</f>
        <v>0</v>
      </c>
      <c r="R306">
        <f>IF(COUNTIF($E306, _xlfn.CONCAT("*",Table13[[#Headers],[History]],"*")),1,0)</f>
        <v>0</v>
      </c>
      <c r="S306">
        <f>IF(COUNTIF($E306, _xlfn.CONCAT("*",Table13[[#Headers],[Horror]],"*")),1,0)</f>
        <v>0</v>
      </c>
      <c r="T306">
        <f>IF(COUNTIF($E306, _xlfn.CONCAT("*",Table13[[#Headers],[Music]],"*")),1,0)</f>
        <v>0</v>
      </c>
      <c r="U306">
        <f>IF(COUNTIF($E306, _xlfn.CONCAT("*",Table13[[#Headers],[Mystery]],"*")),1,0)</f>
        <v>0</v>
      </c>
      <c r="V306">
        <f>IF(COUNTIF($E306, _xlfn.CONCAT("*",Table13[[#Headers],[Romance]],"*")),1,0)</f>
        <v>0</v>
      </c>
      <c r="W306">
        <f>IF(COUNTIF($E306, _xlfn.CONCAT("*",Table13[[#Headers],[Science Fiction]],"*")),1,0)</f>
        <v>0</v>
      </c>
      <c r="X306">
        <f>IF(COUNTIF($E306, _xlfn.CONCAT("*",Table13[[#Headers],[TV Movie]],"*")),1,0)</f>
        <v>0</v>
      </c>
      <c r="Y306">
        <f>IF(COUNTIF($E306, _xlfn.CONCAT("*",Table13[[#Headers],[Thriller]],"*")),1,0)</f>
        <v>0</v>
      </c>
      <c r="Z306">
        <f>IF(COUNTIF($E306, _xlfn.CONCAT("*",Table13[[#Headers],[War]],"*")),1,0)</f>
        <v>0</v>
      </c>
      <c r="AA306">
        <f>IF(COUNTIF($E306, _xlfn.CONCAT("*",Table13[[#Headers],[Western]],"*")),1,0)</f>
        <v>0</v>
      </c>
    </row>
    <row r="307" spans="1:27">
      <c r="A307" t="s">
        <v>443</v>
      </c>
      <c r="B307">
        <v>79</v>
      </c>
      <c r="C307">
        <f>MAX(Table13[Rank])-Table13[[#This Row],[Rank]]</f>
        <v>185</v>
      </c>
      <c r="D307" t="s">
        <v>419</v>
      </c>
      <c r="E307" t="s">
        <v>444</v>
      </c>
      <c r="F307" s="1">
        <v>35298</v>
      </c>
      <c r="G307">
        <f>YEAR(Table13[[#This Row],[Date]])</f>
        <v>1996</v>
      </c>
      <c r="H307" t="s">
        <v>443</v>
      </c>
      <c r="I307">
        <f>IF(COUNTIF($E307, _xlfn.CONCAT("*",Table13[[#Headers],[Action]],"*")),1,0)</f>
        <v>0</v>
      </c>
      <c r="J307">
        <f>IF(COUNTIF($E307, _xlfn.CONCAT("*",Table13[[#Headers],[Adventure]],"*")),1,0)</f>
        <v>0</v>
      </c>
      <c r="K307">
        <f>IF(COUNTIF($E307, _xlfn.CONCAT("*",Table13[[#Headers],[Animation]],"*")),1,0)</f>
        <v>0</v>
      </c>
      <c r="L307">
        <f>IF(COUNTIF($E307, _xlfn.CONCAT("*",Table13[[#Headers],[Comedy]],"*")),1,0)</f>
        <v>1</v>
      </c>
      <c r="M307">
        <f>IF(COUNTIF($E307, _xlfn.CONCAT("*",Table13[[#Headers],[Crime]],"*")),1,0)</f>
        <v>0</v>
      </c>
      <c r="N307">
        <f>IF(COUNTIF($E307, _xlfn.CONCAT("*",Table13[[#Headers],[Documentary]],"*")),1,0)</f>
        <v>0</v>
      </c>
      <c r="O307">
        <f>IF(COUNTIF($E307, _xlfn.CONCAT("*",Table13[[#Headers],[Drama]],"*")),1,0)</f>
        <v>0</v>
      </c>
      <c r="P307">
        <f>IF(COUNTIF($E307, _xlfn.CONCAT("*",Table13[[#Headers],[Family]],"*")),1,0)</f>
        <v>0</v>
      </c>
      <c r="Q307">
        <f>IF(COUNTIF($E307, _xlfn.CONCAT("*",Table13[[#Headers],[Fantasy]],"*")),1,0)</f>
        <v>0</v>
      </c>
      <c r="R307">
        <f>IF(COUNTIF($E307, _xlfn.CONCAT("*",Table13[[#Headers],[History]],"*")),1,0)</f>
        <v>0</v>
      </c>
      <c r="S307">
        <f>IF(COUNTIF($E307, _xlfn.CONCAT("*",Table13[[#Headers],[Horror]],"*")),1,0)</f>
        <v>0</v>
      </c>
      <c r="T307">
        <f>IF(COUNTIF($E307, _xlfn.CONCAT("*",Table13[[#Headers],[Music]],"*")),1,0)</f>
        <v>1</v>
      </c>
      <c r="U307">
        <f>IF(COUNTIF($E307, _xlfn.CONCAT("*",Table13[[#Headers],[Mystery]],"*")),1,0)</f>
        <v>0</v>
      </c>
      <c r="V307">
        <f>IF(COUNTIF($E307, _xlfn.CONCAT("*",Table13[[#Headers],[Romance]],"*")),1,0)</f>
        <v>0</v>
      </c>
      <c r="W307">
        <f>IF(COUNTIF($E307, _xlfn.CONCAT("*",Table13[[#Headers],[Science Fiction]],"*")),1,0)</f>
        <v>0</v>
      </c>
      <c r="X307">
        <f>IF(COUNTIF($E307, _xlfn.CONCAT("*",Table13[[#Headers],[TV Movie]],"*")),1,0)</f>
        <v>0</v>
      </c>
      <c r="Y307">
        <f>IF(COUNTIF($E307, _xlfn.CONCAT("*",Table13[[#Headers],[Thriller]],"*")),1,0)</f>
        <v>0</v>
      </c>
      <c r="Z307">
        <f>IF(COUNTIF($E307, _xlfn.CONCAT("*",Table13[[#Headers],[War]],"*")),1,0)</f>
        <v>0</v>
      </c>
      <c r="AA307">
        <f>IF(COUNTIF($E307, _xlfn.CONCAT("*",Table13[[#Headers],[Western]],"*")),1,0)</f>
        <v>0</v>
      </c>
    </row>
    <row r="308" spans="1:27">
      <c r="A308" t="s">
        <v>399</v>
      </c>
      <c r="B308">
        <v>78</v>
      </c>
      <c r="C308">
        <f>MAX(Table13[Rank])-Table13[[#This Row],[Rank]]</f>
        <v>186</v>
      </c>
      <c r="D308" t="s">
        <v>419</v>
      </c>
      <c r="E308" t="s">
        <v>21</v>
      </c>
      <c r="F308" s="1">
        <v>27780</v>
      </c>
      <c r="G308">
        <f>YEAR(Table13[[#This Row],[Date]])</f>
        <v>1976</v>
      </c>
      <c r="H308" t="s">
        <v>399</v>
      </c>
      <c r="I308">
        <f>IF(COUNTIF($E308, _xlfn.CONCAT("*",Table13[[#Headers],[Action]],"*")),1,0)</f>
        <v>0</v>
      </c>
      <c r="J308">
        <f>IF(COUNTIF($E308, _xlfn.CONCAT("*",Table13[[#Headers],[Adventure]],"*")),1,0)</f>
        <v>0</v>
      </c>
      <c r="K308">
        <f>IF(COUNTIF($E308, _xlfn.CONCAT("*",Table13[[#Headers],[Animation]],"*")),1,0)</f>
        <v>0</v>
      </c>
      <c r="L308">
        <f>IF(COUNTIF($E308, _xlfn.CONCAT("*",Table13[[#Headers],[Comedy]],"*")),1,0)</f>
        <v>0</v>
      </c>
      <c r="M308">
        <f>IF(COUNTIF($E308, _xlfn.CONCAT("*",Table13[[#Headers],[Crime]],"*")),1,0)</f>
        <v>0</v>
      </c>
      <c r="N308">
        <f>IF(COUNTIF($E308, _xlfn.CONCAT("*",Table13[[#Headers],[Documentary]],"*")),1,0)</f>
        <v>0</v>
      </c>
      <c r="O308">
        <f>IF(COUNTIF($E308, _xlfn.CONCAT("*",Table13[[#Headers],[Drama]],"*")),1,0)</f>
        <v>1</v>
      </c>
      <c r="P308">
        <f>IF(COUNTIF($E308, _xlfn.CONCAT("*",Table13[[#Headers],[Family]],"*")),1,0)</f>
        <v>0</v>
      </c>
      <c r="Q308">
        <f>IF(COUNTIF($E308, _xlfn.CONCAT("*",Table13[[#Headers],[Fantasy]],"*")),1,0)</f>
        <v>0</v>
      </c>
      <c r="R308">
        <f>IF(COUNTIF($E308, _xlfn.CONCAT("*",Table13[[#Headers],[History]],"*")),1,0)</f>
        <v>0</v>
      </c>
      <c r="S308">
        <f>IF(COUNTIF($E308, _xlfn.CONCAT("*",Table13[[#Headers],[Horror]],"*")),1,0)</f>
        <v>0</v>
      </c>
      <c r="T308">
        <f>IF(COUNTIF($E308, _xlfn.CONCAT("*",Table13[[#Headers],[Music]],"*")),1,0)</f>
        <v>0</v>
      </c>
      <c r="U308">
        <f>IF(COUNTIF($E308, _xlfn.CONCAT("*",Table13[[#Headers],[Mystery]],"*")),1,0)</f>
        <v>0</v>
      </c>
      <c r="V308">
        <f>IF(COUNTIF($E308, _xlfn.CONCAT("*",Table13[[#Headers],[Romance]],"*")),1,0)</f>
        <v>0</v>
      </c>
      <c r="W308">
        <f>IF(COUNTIF($E308, _xlfn.CONCAT("*",Table13[[#Headers],[Science Fiction]],"*")),1,0)</f>
        <v>0</v>
      </c>
      <c r="X308">
        <f>IF(COUNTIF($E308, _xlfn.CONCAT("*",Table13[[#Headers],[TV Movie]],"*")),1,0)</f>
        <v>0</v>
      </c>
      <c r="Y308">
        <f>IF(COUNTIF($E308, _xlfn.CONCAT("*",Table13[[#Headers],[Thriller]],"*")),1,0)</f>
        <v>0</v>
      </c>
      <c r="Z308">
        <f>IF(COUNTIF($E308, _xlfn.CONCAT("*",Table13[[#Headers],[War]],"*")),1,0)</f>
        <v>0</v>
      </c>
      <c r="AA308">
        <f>IF(COUNTIF($E308, _xlfn.CONCAT("*",Table13[[#Headers],[Western]],"*")),1,0)</f>
        <v>0</v>
      </c>
    </row>
    <row r="309" spans="1:27">
      <c r="A309" t="s">
        <v>445</v>
      </c>
      <c r="B309">
        <v>77</v>
      </c>
      <c r="C309">
        <f>MAX(Table13[Rank])-Table13[[#This Row],[Rank]]</f>
        <v>187</v>
      </c>
      <c r="D309" t="s">
        <v>419</v>
      </c>
      <c r="E309" t="s">
        <v>446</v>
      </c>
      <c r="F309" s="1">
        <v>23640</v>
      </c>
      <c r="G309">
        <f>YEAR(Table13[[#This Row],[Date]])</f>
        <v>1964</v>
      </c>
      <c r="H309" t="s">
        <v>445</v>
      </c>
      <c r="I309">
        <f>IF(COUNTIF($E309, _xlfn.CONCAT("*",Table13[[#Headers],[Action]],"*")),1,0)</f>
        <v>1</v>
      </c>
      <c r="J309">
        <f>IF(COUNTIF($E309, _xlfn.CONCAT("*",Table13[[#Headers],[Adventure]],"*")),1,0)</f>
        <v>1</v>
      </c>
      <c r="K309">
        <f>IF(COUNTIF($E309, _xlfn.CONCAT("*",Table13[[#Headers],[Animation]],"*")),1,0)</f>
        <v>0</v>
      </c>
      <c r="L309">
        <f>IF(COUNTIF($E309, _xlfn.CONCAT("*",Table13[[#Headers],[Comedy]],"*")),1,0)</f>
        <v>0</v>
      </c>
      <c r="M309">
        <f>IF(COUNTIF($E309, _xlfn.CONCAT("*",Table13[[#Headers],[Crime]],"*")),1,0)</f>
        <v>0</v>
      </c>
      <c r="N309">
        <f>IF(COUNTIF($E309, _xlfn.CONCAT("*",Table13[[#Headers],[Documentary]],"*")),1,0)</f>
        <v>0</v>
      </c>
      <c r="O309">
        <f>IF(COUNTIF($E309, _xlfn.CONCAT("*",Table13[[#Headers],[Drama]],"*")),1,0)</f>
        <v>0</v>
      </c>
      <c r="P309">
        <f>IF(COUNTIF($E309, _xlfn.CONCAT("*",Table13[[#Headers],[Family]],"*")),1,0)</f>
        <v>0</v>
      </c>
      <c r="Q309">
        <f>IF(COUNTIF($E309, _xlfn.CONCAT("*",Table13[[#Headers],[Fantasy]],"*")),1,0)</f>
        <v>0</v>
      </c>
      <c r="R309">
        <f>IF(COUNTIF($E309, _xlfn.CONCAT("*",Table13[[#Headers],[History]],"*")),1,0)</f>
        <v>0</v>
      </c>
      <c r="S309">
        <f>IF(COUNTIF($E309, _xlfn.CONCAT("*",Table13[[#Headers],[Horror]],"*")),1,0)</f>
        <v>0</v>
      </c>
      <c r="T309">
        <f>IF(COUNTIF($E309, _xlfn.CONCAT("*",Table13[[#Headers],[Music]],"*")),1,0)</f>
        <v>0</v>
      </c>
      <c r="U309">
        <f>IF(COUNTIF($E309, _xlfn.CONCAT("*",Table13[[#Headers],[Mystery]],"*")),1,0)</f>
        <v>0</v>
      </c>
      <c r="V309">
        <f>IF(COUNTIF($E309, _xlfn.CONCAT("*",Table13[[#Headers],[Romance]],"*")),1,0)</f>
        <v>0</v>
      </c>
      <c r="W309">
        <f>IF(COUNTIF($E309, _xlfn.CONCAT("*",Table13[[#Headers],[Science Fiction]],"*")),1,0)</f>
        <v>0</v>
      </c>
      <c r="X309">
        <f>IF(COUNTIF($E309, _xlfn.CONCAT("*",Table13[[#Headers],[TV Movie]],"*")),1,0)</f>
        <v>0</v>
      </c>
      <c r="Y309">
        <f>IF(COUNTIF($E309, _xlfn.CONCAT("*",Table13[[#Headers],[Thriller]],"*")),1,0)</f>
        <v>1</v>
      </c>
      <c r="Z309">
        <f>IF(COUNTIF($E309, _xlfn.CONCAT("*",Table13[[#Headers],[War]],"*")),1,0)</f>
        <v>0</v>
      </c>
      <c r="AA309">
        <f>IF(COUNTIF($E309, _xlfn.CONCAT("*",Table13[[#Headers],[Western]],"*")),1,0)</f>
        <v>0</v>
      </c>
    </row>
    <row r="310" spans="1:27">
      <c r="A310" t="s">
        <v>112</v>
      </c>
      <c r="B310">
        <v>76</v>
      </c>
      <c r="C310">
        <f>MAX(Table13[Rank])-Table13[[#This Row],[Rank]]</f>
        <v>188</v>
      </c>
      <c r="D310" t="s">
        <v>419</v>
      </c>
      <c r="E310" t="s">
        <v>113</v>
      </c>
      <c r="F310" s="1">
        <v>40680</v>
      </c>
      <c r="G310">
        <f>YEAR(Table13[[#This Row],[Date]])</f>
        <v>2011</v>
      </c>
      <c r="H310" t="s">
        <v>112</v>
      </c>
      <c r="I310">
        <f>IF(COUNTIF($E310, _xlfn.CONCAT("*",Table13[[#Headers],[Action]],"*")),1,0)</f>
        <v>0</v>
      </c>
      <c r="J310">
        <f>IF(COUNTIF($E310, _xlfn.CONCAT("*",Table13[[#Headers],[Adventure]],"*")),1,0)</f>
        <v>0</v>
      </c>
      <c r="K310">
        <f>IF(COUNTIF($E310, _xlfn.CONCAT("*",Table13[[#Headers],[Animation]],"*")),1,0)</f>
        <v>0</v>
      </c>
      <c r="L310">
        <f>IF(COUNTIF($E310, _xlfn.CONCAT("*",Table13[[#Headers],[Comedy]],"*")),1,0)</f>
        <v>0</v>
      </c>
      <c r="M310">
        <f>IF(COUNTIF($E310, _xlfn.CONCAT("*",Table13[[#Headers],[Crime]],"*")),1,0)</f>
        <v>0</v>
      </c>
      <c r="N310">
        <f>IF(COUNTIF($E310, _xlfn.CONCAT("*",Table13[[#Headers],[Documentary]],"*")),1,0)</f>
        <v>0</v>
      </c>
      <c r="O310">
        <f>IF(COUNTIF($E310, _xlfn.CONCAT("*",Table13[[#Headers],[Drama]],"*")),1,0)</f>
        <v>1</v>
      </c>
      <c r="P310">
        <f>IF(COUNTIF($E310, _xlfn.CONCAT("*",Table13[[#Headers],[Family]],"*")),1,0)</f>
        <v>0</v>
      </c>
      <c r="Q310">
        <f>IF(COUNTIF($E310, _xlfn.CONCAT("*",Table13[[#Headers],[Fantasy]],"*")),1,0)</f>
        <v>1</v>
      </c>
      <c r="R310">
        <f>IF(COUNTIF($E310, _xlfn.CONCAT("*",Table13[[#Headers],[History]],"*")),1,0)</f>
        <v>0</v>
      </c>
      <c r="S310">
        <f>IF(COUNTIF($E310, _xlfn.CONCAT("*",Table13[[#Headers],[Horror]],"*")),1,0)</f>
        <v>0</v>
      </c>
      <c r="T310">
        <f>IF(COUNTIF($E310, _xlfn.CONCAT("*",Table13[[#Headers],[Music]],"*")),1,0)</f>
        <v>0</v>
      </c>
      <c r="U310">
        <f>IF(COUNTIF($E310, _xlfn.CONCAT("*",Table13[[#Headers],[Mystery]],"*")),1,0)</f>
        <v>0</v>
      </c>
      <c r="V310">
        <f>IF(COUNTIF($E310, _xlfn.CONCAT("*",Table13[[#Headers],[Romance]],"*")),1,0)</f>
        <v>0</v>
      </c>
      <c r="W310">
        <f>IF(COUNTIF($E310, _xlfn.CONCAT("*",Table13[[#Headers],[Science Fiction]],"*")),1,0)</f>
        <v>0</v>
      </c>
      <c r="X310">
        <f>IF(COUNTIF($E310, _xlfn.CONCAT("*",Table13[[#Headers],[TV Movie]],"*")),1,0)</f>
        <v>0</v>
      </c>
      <c r="Y310">
        <f>IF(COUNTIF($E310, _xlfn.CONCAT("*",Table13[[#Headers],[Thriller]],"*")),1,0)</f>
        <v>0</v>
      </c>
      <c r="Z310">
        <f>IF(COUNTIF($E310, _xlfn.CONCAT("*",Table13[[#Headers],[War]],"*")),1,0)</f>
        <v>0</v>
      </c>
      <c r="AA310">
        <f>IF(COUNTIF($E310, _xlfn.CONCAT("*",Table13[[#Headers],[Western]],"*")),1,0)</f>
        <v>0</v>
      </c>
    </row>
    <row r="311" spans="1:27">
      <c r="A311" t="s">
        <v>447</v>
      </c>
      <c r="B311">
        <v>75</v>
      </c>
      <c r="C311">
        <f>MAX(Table13[Rank])-Table13[[#This Row],[Rank]]</f>
        <v>189</v>
      </c>
      <c r="D311" t="s">
        <v>419</v>
      </c>
      <c r="E311" t="s">
        <v>21</v>
      </c>
      <c r="F311" s="1">
        <v>35710</v>
      </c>
      <c r="G311">
        <f>YEAR(Table13[[#This Row],[Date]])</f>
        <v>1997</v>
      </c>
      <c r="H311" t="s">
        <v>447</v>
      </c>
      <c r="I311">
        <f>IF(COUNTIF($E311, _xlfn.CONCAT("*",Table13[[#Headers],[Action]],"*")),1,0)</f>
        <v>0</v>
      </c>
      <c r="J311">
        <f>IF(COUNTIF($E311, _xlfn.CONCAT("*",Table13[[#Headers],[Adventure]],"*")),1,0)</f>
        <v>0</v>
      </c>
      <c r="K311">
        <f>IF(COUNTIF($E311, _xlfn.CONCAT("*",Table13[[#Headers],[Animation]],"*")),1,0)</f>
        <v>0</v>
      </c>
      <c r="L311">
        <f>IF(COUNTIF($E311, _xlfn.CONCAT("*",Table13[[#Headers],[Comedy]],"*")),1,0)</f>
        <v>0</v>
      </c>
      <c r="M311">
        <f>IF(COUNTIF($E311, _xlfn.CONCAT("*",Table13[[#Headers],[Crime]],"*")),1,0)</f>
        <v>0</v>
      </c>
      <c r="N311">
        <f>IF(COUNTIF($E311, _xlfn.CONCAT("*",Table13[[#Headers],[Documentary]],"*")),1,0)</f>
        <v>0</v>
      </c>
      <c r="O311">
        <f>IF(COUNTIF($E311, _xlfn.CONCAT("*",Table13[[#Headers],[Drama]],"*")),1,0)</f>
        <v>1</v>
      </c>
      <c r="P311">
        <f>IF(COUNTIF($E311, _xlfn.CONCAT("*",Table13[[#Headers],[Family]],"*")),1,0)</f>
        <v>0</v>
      </c>
      <c r="Q311">
        <f>IF(COUNTIF($E311, _xlfn.CONCAT("*",Table13[[#Headers],[Fantasy]],"*")),1,0)</f>
        <v>0</v>
      </c>
      <c r="R311">
        <f>IF(COUNTIF($E311, _xlfn.CONCAT("*",Table13[[#Headers],[History]],"*")),1,0)</f>
        <v>0</v>
      </c>
      <c r="S311">
        <f>IF(COUNTIF($E311, _xlfn.CONCAT("*",Table13[[#Headers],[Horror]],"*")),1,0)</f>
        <v>0</v>
      </c>
      <c r="T311">
        <f>IF(COUNTIF($E311, _xlfn.CONCAT("*",Table13[[#Headers],[Music]],"*")),1,0)</f>
        <v>0</v>
      </c>
      <c r="U311">
        <f>IF(COUNTIF($E311, _xlfn.CONCAT("*",Table13[[#Headers],[Mystery]],"*")),1,0)</f>
        <v>0</v>
      </c>
      <c r="V311">
        <f>IF(COUNTIF($E311, _xlfn.CONCAT("*",Table13[[#Headers],[Romance]],"*")),1,0)</f>
        <v>0</v>
      </c>
      <c r="W311">
        <f>IF(COUNTIF($E311, _xlfn.CONCAT("*",Table13[[#Headers],[Science Fiction]],"*")),1,0)</f>
        <v>0</v>
      </c>
      <c r="X311">
        <f>IF(COUNTIF($E311, _xlfn.CONCAT("*",Table13[[#Headers],[TV Movie]],"*")),1,0)</f>
        <v>0</v>
      </c>
      <c r="Y311">
        <f>IF(COUNTIF($E311, _xlfn.CONCAT("*",Table13[[#Headers],[Thriller]],"*")),1,0)</f>
        <v>0</v>
      </c>
      <c r="Z311">
        <f>IF(COUNTIF($E311, _xlfn.CONCAT("*",Table13[[#Headers],[War]],"*")),1,0)</f>
        <v>0</v>
      </c>
      <c r="AA311">
        <f>IF(COUNTIF($E311, _xlfn.CONCAT("*",Table13[[#Headers],[Western]],"*")),1,0)</f>
        <v>0</v>
      </c>
    </row>
    <row r="312" spans="1:27">
      <c r="A312" t="s">
        <v>448</v>
      </c>
      <c r="B312">
        <v>74</v>
      </c>
      <c r="C312">
        <f>MAX(Table13[Rank])-Table13[[#This Row],[Rank]]</f>
        <v>190</v>
      </c>
      <c r="D312" t="s">
        <v>419</v>
      </c>
      <c r="E312" t="s">
        <v>306</v>
      </c>
      <c r="F312" s="1">
        <v>32249</v>
      </c>
      <c r="G312">
        <f>YEAR(Table13[[#This Row],[Date]])</f>
        <v>1988</v>
      </c>
      <c r="H312" t="s">
        <v>448</v>
      </c>
      <c r="I312">
        <f>IF(COUNTIF($E312, _xlfn.CONCAT("*",Table13[[#Headers],[Action]],"*")),1,0)</f>
        <v>0</v>
      </c>
      <c r="J312">
        <f>IF(COUNTIF($E312, _xlfn.CONCAT("*",Table13[[#Headers],[Adventure]],"*")),1,0)</f>
        <v>0</v>
      </c>
      <c r="K312">
        <f>IF(COUNTIF($E312, _xlfn.CONCAT("*",Table13[[#Headers],[Animation]],"*")),1,0)</f>
        <v>1</v>
      </c>
      <c r="L312">
        <f>IF(COUNTIF($E312, _xlfn.CONCAT("*",Table13[[#Headers],[Comedy]],"*")),1,0)</f>
        <v>0</v>
      </c>
      <c r="M312">
        <f>IF(COUNTIF($E312, _xlfn.CONCAT("*",Table13[[#Headers],[Crime]],"*")),1,0)</f>
        <v>0</v>
      </c>
      <c r="N312">
        <f>IF(COUNTIF($E312, _xlfn.CONCAT("*",Table13[[#Headers],[Documentary]],"*")),1,0)</f>
        <v>0</v>
      </c>
      <c r="O312">
        <f>IF(COUNTIF($E312, _xlfn.CONCAT("*",Table13[[#Headers],[Drama]],"*")),1,0)</f>
        <v>0</v>
      </c>
      <c r="P312">
        <f>IF(COUNTIF($E312, _xlfn.CONCAT("*",Table13[[#Headers],[Family]],"*")),1,0)</f>
        <v>1</v>
      </c>
      <c r="Q312">
        <f>IF(COUNTIF($E312, _xlfn.CONCAT("*",Table13[[#Headers],[Fantasy]],"*")),1,0)</f>
        <v>1</v>
      </c>
      <c r="R312">
        <f>IF(COUNTIF($E312, _xlfn.CONCAT("*",Table13[[#Headers],[History]],"*")),1,0)</f>
        <v>0</v>
      </c>
      <c r="S312">
        <f>IF(COUNTIF($E312, _xlfn.CONCAT("*",Table13[[#Headers],[Horror]],"*")),1,0)</f>
        <v>0</v>
      </c>
      <c r="T312">
        <f>IF(COUNTIF($E312, _xlfn.CONCAT("*",Table13[[#Headers],[Music]],"*")),1,0)</f>
        <v>0</v>
      </c>
      <c r="U312">
        <f>IF(COUNTIF($E312, _xlfn.CONCAT("*",Table13[[#Headers],[Mystery]],"*")),1,0)</f>
        <v>0</v>
      </c>
      <c r="V312">
        <f>IF(COUNTIF($E312, _xlfn.CONCAT("*",Table13[[#Headers],[Romance]],"*")),1,0)</f>
        <v>0</v>
      </c>
      <c r="W312">
        <f>IF(COUNTIF($E312, _xlfn.CONCAT("*",Table13[[#Headers],[Science Fiction]],"*")),1,0)</f>
        <v>0</v>
      </c>
      <c r="X312">
        <f>IF(COUNTIF($E312, _xlfn.CONCAT("*",Table13[[#Headers],[TV Movie]],"*")),1,0)</f>
        <v>0</v>
      </c>
      <c r="Y312">
        <f>IF(COUNTIF($E312, _xlfn.CONCAT("*",Table13[[#Headers],[Thriller]],"*")),1,0)</f>
        <v>0</v>
      </c>
      <c r="Z312">
        <f>IF(COUNTIF($E312, _xlfn.CONCAT("*",Table13[[#Headers],[War]],"*")),1,0)</f>
        <v>0</v>
      </c>
      <c r="AA312">
        <f>IF(COUNTIF($E312, _xlfn.CONCAT("*",Table13[[#Headers],[Western]],"*")),1,0)</f>
        <v>0</v>
      </c>
    </row>
    <row r="313" spans="1:27">
      <c r="A313" t="s">
        <v>449</v>
      </c>
      <c r="B313">
        <v>73</v>
      </c>
      <c r="C313">
        <f>MAX(Table13[Rank])-Table13[[#This Row],[Rank]]</f>
        <v>191</v>
      </c>
      <c r="D313" t="s">
        <v>419</v>
      </c>
      <c r="E313" t="s">
        <v>21</v>
      </c>
      <c r="F313" s="1">
        <v>35380</v>
      </c>
      <c r="G313">
        <f>YEAR(Table13[[#This Row],[Date]])</f>
        <v>1996</v>
      </c>
      <c r="H313" t="s">
        <v>449</v>
      </c>
      <c r="I313">
        <f>IF(COUNTIF($E313, _xlfn.CONCAT("*",Table13[[#Headers],[Action]],"*")),1,0)</f>
        <v>0</v>
      </c>
      <c r="J313">
        <f>IF(COUNTIF($E313, _xlfn.CONCAT("*",Table13[[#Headers],[Adventure]],"*")),1,0)</f>
        <v>0</v>
      </c>
      <c r="K313">
        <f>IF(COUNTIF($E313, _xlfn.CONCAT("*",Table13[[#Headers],[Animation]],"*")),1,0)</f>
        <v>0</v>
      </c>
      <c r="L313">
        <f>IF(COUNTIF($E313, _xlfn.CONCAT("*",Table13[[#Headers],[Comedy]],"*")),1,0)</f>
        <v>0</v>
      </c>
      <c r="M313">
        <f>IF(COUNTIF($E313, _xlfn.CONCAT("*",Table13[[#Headers],[Crime]],"*")),1,0)</f>
        <v>0</v>
      </c>
      <c r="N313">
        <f>IF(COUNTIF($E313, _xlfn.CONCAT("*",Table13[[#Headers],[Documentary]],"*")),1,0)</f>
        <v>0</v>
      </c>
      <c r="O313">
        <f>IF(COUNTIF($E313, _xlfn.CONCAT("*",Table13[[#Headers],[Drama]],"*")),1,0)</f>
        <v>1</v>
      </c>
      <c r="P313">
        <f>IF(COUNTIF($E313, _xlfn.CONCAT("*",Table13[[#Headers],[Family]],"*")),1,0)</f>
        <v>0</v>
      </c>
      <c r="Q313">
        <f>IF(COUNTIF($E313, _xlfn.CONCAT("*",Table13[[#Headers],[Fantasy]],"*")),1,0)</f>
        <v>0</v>
      </c>
      <c r="R313">
        <f>IF(COUNTIF($E313, _xlfn.CONCAT("*",Table13[[#Headers],[History]],"*")),1,0)</f>
        <v>0</v>
      </c>
      <c r="S313">
        <f>IF(COUNTIF($E313, _xlfn.CONCAT("*",Table13[[#Headers],[Horror]],"*")),1,0)</f>
        <v>0</v>
      </c>
      <c r="T313">
        <f>IF(COUNTIF($E313, _xlfn.CONCAT("*",Table13[[#Headers],[Music]],"*")),1,0)</f>
        <v>0</v>
      </c>
      <c r="U313">
        <f>IF(COUNTIF($E313, _xlfn.CONCAT("*",Table13[[#Headers],[Mystery]],"*")),1,0)</f>
        <v>0</v>
      </c>
      <c r="V313">
        <f>IF(COUNTIF($E313, _xlfn.CONCAT("*",Table13[[#Headers],[Romance]],"*")),1,0)</f>
        <v>0</v>
      </c>
      <c r="W313">
        <f>IF(COUNTIF($E313, _xlfn.CONCAT("*",Table13[[#Headers],[Science Fiction]],"*")),1,0)</f>
        <v>0</v>
      </c>
      <c r="X313">
        <f>IF(COUNTIF($E313, _xlfn.CONCAT("*",Table13[[#Headers],[TV Movie]],"*")),1,0)</f>
        <v>0</v>
      </c>
      <c r="Y313">
        <f>IF(COUNTIF($E313, _xlfn.CONCAT("*",Table13[[#Headers],[Thriller]],"*")),1,0)</f>
        <v>0</v>
      </c>
      <c r="Z313">
        <f>IF(COUNTIF($E313, _xlfn.CONCAT("*",Table13[[#Headers],[War]],"*")),1,0)</f>
        <v>0</v>
      </c>
      <c r="AA313">
        <f>IF(COUNTIF($E313, _xlfn.CONCAT("*",Table13[[#Headers],[Western]],"*")),1,0)</f>
        <v>0</v>
      </c>
    </row>
    <row r="314" spans="1:27">
      <c r="A314" t="s">
        <v>450</v>
      </c>
      <c r="B314">
        <v>72</v>
      </c>
      <c r="C314">
        <f>MAX(Table13[Rank])-Table13[[#This Row],[Rank]]</f>
        <v>192</v>
      </c>
      <c r="D314" t="s">
        <v>419</v>
      </c>
      <c r="E314" t="s">
        <v>35</v>
      </c>
      <c r="F314" s="1">
        <v>35198</v>
      </c>
      <c r="G314">
        <f>YEAR(Table13[[#This Row],[Date]])</f>
        <v>1996</v>
      </c>
      <c r="H314" t="s">
        <v>450</v>
      </c>
      <c r="I314">
        <f>IF(COUNTIF($E314, _xlfn.CONCAT("*",Table13[[#Headers],[Action]],"*")),1,0)</f>
        <v>0</v>
      </c>
      <c r="J314">
        <f>IF(COUNTIF($E314, _xlfn.CONCAT("*",Table13[[#Headers],[Adventure]],"*")),1,0)</f>
        <v>0</v>
      </c>
      <c r="K314">
        <f>IF(COUNTIF($E314, _xlfn.CONCAT("*",Table13[[#Headers],[Animation]],"*")),1,0)</f>
        <v>0</v>
      </c>
      <c r="L314">
        <f>IF(COUNTIF($E314, _xlfn.CONCAT("*",Table13[[#Headers],[Comedy]],"*")),1,0)</f>
        <v>0</v>
      </c>
      <c r="M314">
        <f>IF(COUNTIF($E314, _xlfn.CONCAT("*",Table13[[#Headers],[Crime]],"*")),1,0)</f>
        <v>0</v>
      </c>
      <c r="N314">
        <f>IF(COUNTIF($E314, _xlfn.CONCAT("*",Table13[[#Headers],[Documentary]],"*")),1,0)</f>
        <v>0</v>
      </c>
      <c r="O314">
        <f>IF(COUNTIF($E314, _xlfn.CONCAT("*",Table13[[#Headers],[Drama]],"*")),1,0)</f>
        <v>1</v>
      </c>
      <c r="P314">
        <f>IF(COUNTIF($E314, _xlfn.CONCAT("*",Table13[[#Headers],[Family]],"*")),1,0)</f>
        <v>0</v>
      </c>
      <c r="Q314">
        <f>IF(COUNTIF($E314, _xlfn.CONCAT("*",Table13[[#Headers],[Fantasy]],"*")),1,0)</f>
        <v>0</v>
      </c>
      <c r="R314">
        <f>IF(COUNTIF($E314, _xlfn.CONCAT("*",Table13[[#Headers],[History]],"*")),1,0)</f>
        <v>0</v>
      </c>
      <c r="S314">
        <f>IF(COUNTIF($E314, _xlfn.CONCAT("*",Table13[[#Headers],[Horror]],"*")),1,0)</f>
        <v>0</v>
      </c>
      <c r="T314">
        <f>IF(COUNTIF($E314, _xlfn.CONCAT("*",Table13[[#Headers],[Music]],"*")),1,0)</f>
        <v>0</v>
      </c>
      <c r="U314">
        <f>IF(COUNTIF($E314, _xlfn.CONCAT("*",Table13[[#Headers],[Mystery]],"*")),1,0)</f>
        <v>0</v>
      </c>
      <c r="V314">
        <f>IF(COUNTIF($E314, _xlfn.CONCAT("*",Table13[[#Headers],[Romance]],"*")),1,0)</f>
        <v>1</v>
      </c>
      <c r="W314">
        <f>IF(COUNTIF($E314, _xlfn.CONCAT("*",Table13[[#Headers],[Science Fiction]],"*")),1,0)</f>
        <v>0</v>
      </c>
      <c r="X314">
        <f>IF(COUNTIF($E314, _xlfn.CONCAT("*",Table13[[#Headers],[TV Movie]],"*")),1,0)</f>
        <v>0</v>
      </c>
      <c r="Y314">
        <f>IF(COUNTIF($E314, _xlfn.CONCAT("*",Table13[[#Headers],[Thriller]],"*")),1,0)</f>
        <v>0</v>
      </c>
      <c r="Z314">
        <f>IF(COUNTIF($E314, _xlfn.CONCAT("*",Table13[[#Headers],[War]],"*")),1,0)</f>
        <v>0</v>
      </c>
      <c r="AA314">
        <f>IF(COUNTIF($E314, _xlfn.CONCAT("*",Table13[[#Headers],[Western]],"*")),1,0)</f>
        <v>0</v>
      </c>
    </row>
    <row r="315" spans="1:27">
      <c r="A315" t="s">
        <v>451</v>
      </c>
      <c r="B315">
        <v>71</v>
      </c>
      <c r="C315">
        <f>MAX(Table13[Rank])-Table13[[#This Row],[Rank]]</f>
        <v>193</v>
      </c>
      <c r="D315" t="s">
        <v>419</v>
      </c>
      <c r="E315" t="s">
        <v>220</v>
      </c>
      <c r="F315" s="1">
        <v>43510</v>
      </c>
      <c r="G315">
        <f>YEAR(Table13[[#This Row],[Date]])</f>
        <v>2019</v>
      </c>
      <c r="H315" t="s">
        <v>1292</v>
      </c>
      <c r="I315">
        <f>IF(COUNTIF($E315, _xlfn.CONCAT("*",Table13[[#Headers],[Action]],"*")),1,0)</f>
        <v>0</v>
      </c>
      <c r="J315">
        <f>IF(COUNTIF($E315, _xlfn.CONCAT("*",Table13[[#Headers],[Adventure]],"*")),1,0)</f>
        <v>0</v>
      </c>
      <c r="K315">
        <f>IF(COUNTIF($E315, _xlfn.CONCAT("*",Table13[[#Headers],[Animation]],"*")),1,0)</f>
        <v>0</v>
      </c>
      <c r="L315">
        <f>IF(COUNTIF($E315, _xlfn.CONCAT("*",Table13[[#Headers],[Comedy]],"*")),1,0)</f>
        <v>1</v>
      </c>
      <c r="M315">
        <f>IF(COUNTIF($E315, _xlfn.CONCAT("*",Table13[[#Headers],[Crime]],"*")),1,0)</f>
        <v>0</v>
      </c>
      <c r="N315">
        <f>IF(COUNTIF($E315, _xlfn.CONCAT("*",Table13[[#Headers],[Documentary]],"*")),1,0)</f>
        <v>0</v>
      </c>
      <c r="O315">
        <f>IF(COUNTIF($E315, _xlfn.CONCAT("*",Table13[[#Headers],[Drama]],"*")),1,0)</f>
        <v>0</v>
      </c>
      <c r="P315">
        <f>IF(COUNTIF($E315, _xlfn.CONCAT("*",Table13[[#Headers],[Family]],"*")),1,0)</f>
        <v>0</v>
      </c>
      <c r="Q315">
        <f>IF(COUNTIF($E315, _xlfn.CONCAT("*",Table13[[#Headers],[Fantasy]],"*")),1,0)</f>
        <v>0</v>
      </c>
      <c r="R315">
        <f>IF(COUNTIF($E315, _xlfn.CONCAT("*",Table13[[#Headers],[History]],"*")),1,0)</f>
        <v>0</v>
      </c>
      <c r="S315">
        <f>IF(COUNTIF($E315, _xlfn.CONCAT("*",Table13[[#Headers],[Horror]],"*")),1,0)</f>
        <v>0</v>
      </c>
      <c r="T315">
        <f>IF(COUNTIF($E315, _xlfn.CONCAT("*",Table13[[#Headers],[Music]],"*")),1,0)</f>
        <v>0</v>
      </c>
      <c r="U315">
        <f>IF(COUNTIF($E315, _xlfn.CONCAT("*",Table13[[#Headers],[Mystery]],"*")),1,0)</f>
        <v>0</v>
      </c>
      <c r="V315">
        <f>IF(COUNTIF($E315, _xlfn.CONCAT("*",Table13[[#Headers],[Romance]],"*")),1,0)</f>
        <v>1</v>
      </c>
      <c r="W315">
        <f>IF(COUNTIF($E315, _xlfn.CONCAT("*",Table13[[#Headers],[Science Fiction]],"*")),1,0)</f>
        <v>0</v>
      </c>
      <c r="X315">
        <f>IF(COUNTIF($E315, _xlfn.CONCAT("*",Table13[[#Headers],[TV Movie]],"*")),1,0)</f>
        <v>0</v>
      </c>
      <c r="Y315">
        <f>IF(COUNTIF($E315, _xlfn.CONCAT("*",Table13[[#Headers],[Thriller]],"*")),1,0)</f>
        <v>0</v>
      </c>
      <c r="Z315">
        <f>IF(COUNTIF($E315, _xlfn.CONCAT("*",Table13[[#Headers],[War]],"*")),1,0)</f>
        <v>0</v>
      </c>
      <c r="AA315">
        <f>IF(COUNTIF($E315, _xlfn.CONCAT("*",Table13[[#Headers],[Western]],"*")),1,0)</f>
        <v>0</v>
      </c>
    </row>
    <row r="316" spans="1:27">
      <c r="A316" t="s">
        <v>452</v>
      </c>
      <c r="B316">
        <v>70</v>
      </c>
      <c r="C316">
        <f>MAX(Table13[Rank])-Table13[[#This Row],[Rank]]</f>
        <v>194</v>
      </c>
      <c r="D316" t="s">
        <v>419</v>
      </c>
      <c r="E316" t="s">
        <v>109</v>
      </c>
      <c r="F316" s="1">
        <v>41565</v>
      </c>
      <c r="G316">
        <f>YEAR(Table13[[#This Row],[Date]])</f>
        <v>2013</v>
      </c>
      <c r="H316" t="s">
        <v>452</v>
      </c>
      <c r="I316">
        <f>IF(COUNTIF($E316, _xlfn.CONCAT("*",Table13[[#Headers],[Action]],"*")),1,0)</f>
        <v>0</v>
      </c>
      <c r="J316">
        <f>IF(COUNTIF($E316, _xlfn.CONCAT("*",Table13[[#Headers],[Adventure]],"*")),1,0)</f>
        <v>0</v>
      </c>
      <c r="K316">
        <f>IF(COUNTIF($E316, _xlfn.CONCAT("*",Table13[[#Headers],[Animation]],"*")),1,0)</f>
        <v>0</v>
      </c>
      <c r="L316">
        <f>IF(COUNTIF($E316, _xlfn.CONCAT("*",Table13[[#Headers],[Comedy]],"*")),1,0)</f>
        <v>0</v>
      </c>
      <c r="M316">
        <f>IF(COUNTIF($E316, _xlfn.CONCAT("*",Table13[[#Headers],[Crime]],"*")),1,0)</f>
        <v>0</v>
      </c>
      <c r="N316">
        <f>IF(COUNTIF($E316, _xlfn.CONCAT("*",Table13[[#Headers],[Documentary]],"*")),1,0)</f>
        <v>0</v>
      </c>
      <c r="O316">
        <f>IF(COUNTIF($E316, _xlfn.CONCAT("*",Table13[[#Headers],[Drama]],"*")),1,0)</f>
        <v>1</v>
      </c>
      <c r="P316">
        <f>IF(COUNTIF($E316, _xlfn.CONCAT("*",Table13[[#Headers],[Family]],"*")),1,0)</f>
        <v>0</v>
      </c>
      <c r="Q316">
        <f>IF(COUNTIF($E316, _xlfn.CONCAT("*",Table13[[#Headers],[Fantasy]],"*")),1,0)</f>
        <v>0</v>
      </c>
      <c r="R316">
        <f>IF(COUNTIF($E316, _xlfn.CONCAT("*",Table13[[#Headers],[History]],"*")),1,0)</f>
        <v>1</v>
      </c>
      <c r="S316">
        <f>IF(COUNTIF($E316, _xlfn.CONCAT("*",Table13[[#Headers],[Horror]],"*")),1,0)</f>
        <v>0</v>
      </c>
      <c r="T316">
        <f>IF(COUNTIF($E316, _xlfn.CONCAT("*",Table13[[#Headers],[Music]],"*")),1,0)</f>
        <v>0</v>
      </c>
      <c r="U316">
        <f>IF(COUNTIF($E316, _xlfn.CONCAT("*",Table13[[#Headers],[Mystery]],"*")),1,0)</f>
        <v>0</v>
      </c>
      <c r="V316">
        <f>IF(COUNTIF($E316, _xlfn.CONCAT("*",Table13[[#Headers],[Romance]],"*")),1,0)</f>
        <v>0</v>
      </c>
      <c r="W316">
        <f>IF(COUNTIF($E316, _xlfn.CONCAT("*",Table13[[#Headers],[Science Fiction]],"*")),1,0)</f>
        <v>0</v>
      </c>
      <c r="X316">
        <f>IF(COUNTIF($E316, _xlfn.CONCAT("*",Table13[[#Headers],[TV Movie]],"*")),1,0)</f>
        <v>0</v>
      </c>
      <c r="Y316">
        <f>IF(COUNTIF($E316, _xlfn.CONCAT("*",Table13[[#Headers],[Thriller]],"*")),1,0)</f>
        <v>0</v>
      </c>
      <c r="Z316">
        <f>IF(COUNTIF($E316, _xlfn.CONCAT("*",Table13[[#Headers],[War]],"*")),1,0)</f>
        <v>0</v>
      </c>
      <c r="AA316">
        <f>IF(COUNTIF($E316, _xlfn.CONCAT("*",Table13[[#Headers],[Western]],"*")),1,0)</f>
        <v>0</v>
      </c>
    </row>
    <row r="317" spans="1:27">
      <c r="A317" t="s">
        <v>453</v>
      </c>
      <c r="B317">
        <v>69</v>
      </c>
      <c r="C317">
        <f>MAX(Table13[Rank])-Table13[[#This Row],[Rank]]</f>
        <v>195</v>
      </c>
      <c r="D317" t="s">
        <v>419</v>
      </c>
      <c r="E317" t="s">
        <v>21</v>
      </c>
      <c r="F317" s="1">
        <v>36649</v>
      </c>
      <c r="G317">
        <f>YEAR(Table13[[#This Row],[Date]])</f>
        <v>2000</v>
      </c>
      <c r="H317" t="s">
        <v>453</v>
      </c>
      <c r="I317">
        <f>IF(COUNTIF($E317, _xlfn.CONCAT("*",Table13[[#Headers],[Action]],"*")),1,0)</f>
        <v>0</v>
      </c>
      <c r="J317">
        <f>IF(COUNTIF($E317, _xlfn.CONCAT("*",Table13[[#Headers],[Adventure]],"*")),1,0)</f>
        <v>0</v>
      </c>
      <c r="K317">
        <f>IF(COUNTIF($E317, _xlfn.CONCAT("*",Table13[[#Headers],[Animation]],"*")),1,0)</f>
        <v>0</v>
      </c>
      <c r="L317">
        <f>IF(COUNTIF($E317, _xlfn.CONCAT("*",Table13[[#Headers],[Comedy]],"*")),1,0)</f>
        <v>0</v>
      </c>
      <c r="M317">
        <f>IF(COUNTIF($E317, _xlfn.CONCAT("*",Table13[[#Headers],[Crime]],"*")),1,0)</f>
        <v>0</v>
      </c>
      <c r="N317">
        <f>IF(COUNTIF($E317, _xlfn.CONCAT("*",Table13[[#Headers],[Documentary]],"*")),1,0)</f>
        <v>0</v>
      </c>
      <c r="O317">
        <f>IF(COUNTIF($E317, _xlfn.CONCAT("*",Table13[[#Headers],[Drama]],"*")),1,0)</f>
        <v>1</v>
      </c>
      <c r="P317">
        <f>IF(COUNTIF($E317, _xlfn.CONCAT("*",Table13[[#Headers],[Family]],"*")),1,0)</f>
        <v>0</v>
      </c>
      <c r="Q317">
        <f>IF(COUNTIF($E317, _xlfn.CONCAT("*",Table13[[#Headers],[Fantasy]],"*")),1,0)</f>
        <v>0</v>
      </c>
      <c r="R317">
        <f>IF(COUNTIF($E317, _xlfn.CONCAT("*",Table13[[#Headers],[History]],"*")),1,0)</f>
        <v>0</v>
      </c>
      <c r="S317">
        <f>IF(COUNTIF($E317, _xlfn.CONCAT("*",Table13[[#Headers],[Horror]],"*")),1,0)</f>
        <v>0</v>
      </c>
      <c r="T317">
        <f>IF(COUNTIF($E317, _xlfn.CONCAT("*",Table13[[#Headers],[Music]],"*")),1,0)</f>
        <v>0</v>
      </c>
      <c r="U317">
        <f>IF(COUNTIF($E317, _xlfn.CONCAT("*",Table13[[#Headers],[Mystery]],"*")),1,0)</f>
        <v>0</v>
      </c>
      <c r="V317">
        <f>IF(COUNTIF($E317, _xlfn.CONCAT("*",Table13[[#Headers],[Romance]],"*")),1,0)</f>
        <v>0</v>
      </c>
      <c r="W317">
        <f>IF(COUNTIF($E317, _xlfn.CONCAT("*",Table13[[#Headers],[Science Fiction]],"*")),1,0)</f>
        <v>0</v>
      </c>
      <c r="X317">
        <f>IF(COUNTIF($E317, _xlfn.CONCAT("*",Table13[[#Headers],[TV Movie]],"*")),1,0)</f>
        <v>0</v>
      </c>
      <c r="Y317">
        <f>IF(COUNTIF($E317, _xlfn.CONCAT("*",Table13[[#Headers],[Thriller]],"*")),1,0)</f>
        <v>0</v>
      </c>
      <c r="Z317">
        <f>IF(COUNTIF($E317, _xlfn.CONCAT("*",Table13[[#Headers],[War]],"*")),1,0)</f>
        <v>0</v>
      </c>
      <c r="AA317">
        <f>IF(COUNTIF($E317, _xlfn.CONCAT("*",Table13[[#Headers],[Western]],"*")),1,0)</f>
        <v>0</v>
      </c>
    </row>
    <row r="318" spans="1:27">
      <c r="A318" t="s">
        <v>454</v>
      </c>
      <c r="B318">
        <v>68</v>
      </c>
      <c r="C318">
        <f>MAX(Table13[Rank])-Table13[[#This Row],[Rank]]</f>
        <v>196</v>
      </c>
      <c r="D318" t="s">
        <v>419</v>
      </c>
      <c r="E318" t="s">
        <v>455</v>
      </c>
      <c r="F318" s="1">
        <v>38698</v>
      </c>
      <c r="G318">
        <f>YEAR(Table13[[#This Row],[Date]])</f>
        <v>2005</v>
      </c>
      <c r="H318" t="s">
        <v>454</v>
      </c>
      <c r="I318">
        <f>IF(COUNTIF($E318, _xlfn.CONCAT("*",Table13[[#Headers],[Action]],"*")),1,0)</f>
        <v>1</v>
      </c>
      <c r="J318">
        <f>IF(COUNTIF($E318, _xlfn.CONCAT("*",Table13[[#Headers],[Adventure]],"*")),1,0)</f>
        <v>1</v>
      </c>
      <c r="K318">
        <f>IF(COUNTIF($E318, _xlfn.CONCAT("*",Table13[[#Headers],[Animation]],"*")),1,0)</f>
        <v>0</v>
      </c>
      <c r="L318">
        <f>IF(COUNTIF($E318, _xlfn.CONCAT("*",Table13[[#Headers],[Comedy]],"*")),1,0)</f>
        <v>0</v>
      </c>
      <c r="M318">
        <f>IF(COUNTIF($E318, _xlfn.CONCAT("*",Table13[[#Headers],[Crime]],"*")),1,0)</f>
        <v>0</v>
      </c>
      <c r="N318">
        <f>IF(COUNTIF($E318, _xlfn.CONCAT("*",Table13[[#Headers],[Documentary]],"*")),1,0)</f>
        <v>0</v>
      </c>
      <c r="O318">
        <f>IF(COUNTIF($E318, _xlfn.CONCAT("*",Table13[[#Headers],[Drama]],"*")),1,0)</f>
        <v>1</v>
      </c>
      <c r="P318">
        <f>IF(COUNTIF($E318, _xlfn.CONCAT("*",Table13[[#Headers],[Family]],"*")),1,0)</f>
        <v>0</v>
      </c>
      <c r="Q318">
        <f>IF(COUNTIF($E318, _xlfn.CONCAT("*",Table13[[#Headers],[Fantasy]],"*")),1,0)</f>
        <v>0</v>
      </c>
      <c r="R318">
        <f>IF(COUNTIF($E318, _xlfn.CONCAT("*",Table13[[#Headers],[History]],"*")),1,0)</f>
        <v>0</v>
      </c>
      <c r="S318">
        <f>IF(COUNTIF($E318, _xlfn.CONCAT("*",Table13[[#Headers],[Horror]],"*")),1,0)</f>
        <v>0</v>
      </c>
      <c r="T318">
        <f>IF(COUNTIF($E318, _xlfn.CONCAT("*",Table13[[#Headers],[Music]],"*")),1,0)</f>
        <v>0</v>
      </c>
      <c r="U318">
        <f>IF(COUNTIF($E318, _xlfn.CONCAT("*",Table13[[#Headers],[Mystery]],"*")),1,0)</f>
        <v>0</v>
      </c>
      <c r="V318">
        <f>IF(COUNTIF($E318, _xlfn.CONCAT("*",Table13[[#Headers],[Romance]],"*")),1,0)</f>
        <v>0</v>
      </c>
      <c r="W318">
        <f>IF(COUNTIF($E318, _xlfn.CONCAT("*",Table13[[#Headers],[Science Fiction]],"*")),1,0)</f>
        <v>0</v>
      </c>
      <c r="X318">
        <f>IF(COUNTIF($E318, _xlfn.CONCAT("*",Table13[[#Headers],[TV Movie]],"*")),1,0)</f>
        <v>0</v>
      </c>
      <c r="Y318">
        <f>IF(COUNTIF($E318, _xlfn.CONCAT("*",Table13[[#Headers],[Thriller]],"*")),1,0)</f>
        <v>0</v>
      </c>
      <c r="Z318">
        <f>IF(COUNTIF($E318, _xlfn.CONCAT("*",Table13[[#Headers],[War]],"*")),1,0)</f>
        <v>0</v>
      </c>
      <c r="AA318">
        <f>IF(COUNTIF($E318, _xlfn.CONCAT("*",Table13[[#Headers],[Western]],"*")),1,0)</f>
        <v>0</v>
      </c>
    </row>
    <row r="319" spans="1:27">
      <c r="A319" t="s">
        <v>346</v>
      </c>
      <c r="B319">
        <v>67</v>
      </c>
      <c r="C319">
        <f>MAX(Table13[Rank])-Table13[[#This Row],[Rank]]</f>
        <v>197</v>
      </c>
      <c r="D319" t="s">
        <v>419</v>
      </c>
      <c r="E319" t="s">
        <v>21</v>
      </c>
      <c r="F319" s="1">
        <v>17861</v>
      </c>
      <c r="G319">
        <f>YEAR(Table13[[#This Row],[Date]])</f>
        <v>1948</v>
      </c>
      <c r="H319" t="s">
        <v>346</v>
      </c>
      <c r="I319">
        <f>IF(COUNTIF($E319, _xlfn.CONCAT("*",Table13[[#Headers],[Action]],"*")),1,0)</f>
        <v>0</v>
      </c>
      <c r="J319">
        <f>IF(COUNTIF($E319, _xlfn.CONCAT("*",Table13[[#Headers],[Adventure]],"*")),1,0)</f>
        <v>0</v>
      </c>
      <c r="K319">
        <f>IF(COUNTIF($E319, _xlfn.CONCAT("*",Table13[[#Headers],[Animation]],"*")),1,0)</f>
        <v>0</v>
      </c>
      <c r="L319">
        <f>IF(COUNTIF($E319, _xlfn.CONCAT("*",Table13[[#Headers],[Comedy]],"*")),1,0)</f>
        <v>0</v>
      </c>
      <c r="M319">
        <f>IF(COUNTIF($E319, _xlfn.CONCAT("*",Table13[[#Headers],[Crime]],"*")),1,0)</f>
        <v>0</v>
      </c>
      <c r="N319">
        <f>IF(COUNTIF($E319, _xlfn.CONCAT("*",Table13[[#Headers],[Documentary]],"*")),1,0)</f>
        <v>0</v>
      </c>
      <c r="O319">
        <f>IF(COUNTIF($E319, _xlfn.CONCAT("*",Table13[[#Headers],[Drama]],"*")),1,0)</f>
        <v>1</v>
      </c>
      <c r="P319">
        <f>IF(COUNTIF($E319, _xlfn.CONCAT("*",Table13[[#Headers],[Family]],"*")),1,0)</f>
        <v>0</v>
      </c>
      <c r="Q319">
        <f>IF(COUNTIF($E319, _xlfn.CONCAT("*",Table13[[#Headers],[Fantasy]],"*")),1,0)</f>
        <v>0</v>
      </c>
      <c r="R319">
        <f>IF(COUNTIF($E319, _xlfn.CONCAT("*",Table13[[#Headers],[History]],"*")),1,0)</f>
        <v>0</v>
      </c>
      <c r="S319">
        <f>IF(COUNTIF($E319, _xlfn.CONCAT("*",Table13[[#Headers],[Horror]],"*")),1,0)</f>
        <v>0</v>
      </c>
      <c r="T319">
        <f>IF(COUNTIF($E319, _xlfn.CONCAT("*",Table13[[#Headers],[Music]],"*")),1,0)</f>
        <v>0</v>
      </c>
      <c r="U319">
        <f>IF(COUNTIF($E319, _xlfn.CONCAT("*",Table13[[#Headers],[Mystery]],"*")),1,0)</f>
        <v>0</v>
      </c>
      <c r="V319">
        <f>IF(COUNTIF($E319, _xlfn.CONCAT("*",Table13[[#Headers],[Romance]],"*")),1,0)</f>
        <v>0</v>
      </c>
      <c r="W319">
        <f>IF(COUNTIF($E319, _xlfn.CONCAT("*",Table13[[#Headers],[Science Fiction]],"*")),1,0)</f>
        <v>0</v>
      </c>
      <c r="X319">
        <f>IF(COUNTIF($E319, _xlfn.CONCAT("*",Table13[[#Headers],[TV Movie]],"*")),1,0)</f>
        <v>0</v>
      </c>
      <c r="Y319">
        <f>IF(COUNTIF($E319, _xlfn.CONCAT("*",Table13[[#Headers],[Thriller]],"*")),1,0)</f>
        <v>0</v>
      </c>
      <c r="Z319">
        <f>IF(COUNTIF($E319, _xlfn.CONCAT("*",Table13[[#Headers],[War]],"*")),1,0)</f>
        <v>0</v>
      </c>
      <c r="AA319">
        <f>IF(COUNTIF($E319, _xlfn.CONCAT("*",Table13[[#Headers],[Western]],"*")),1,0)</f>
        <v>0</v>
      </c>
    </row>
    <row r="320" spans="1:27">
      <c r="A320" t="s">
        <v>117</v>
      </c>
      <c r="B320">
        <v>66</v>
      </c>
      <c r="C320">
        <f>MAX(Table13[Rank])-Table13[[#This Row],[Rank]]</f>
        <v>198</v>
      </c>
      <c r="D320" t="s">
        <v>419</v>
      </c>
      <c r="E320" t="s">
        <v>118</v>
      </c>
      <c r="F320" s="1">
        <v>24406</v>
      </c>
      <c r="G320">
        <f>YEAR(Table13[[#This Row],[Date]])</f>
        <v>1966</v>
      </c>
      <c r="H320" t="s">
        <v>1265</v>
      </c>
      <c r="I320">
        <f>IF(COUNTIF($E320, _xlfn.CONCAT("*",Table13[[#Headers],[Action]],"*")),1,0)</f>
        <v>0</v>
      </c>
      <c r="J320">
        <f>IF(COUNTIF($E320, _xlfn.CONCAT("*",Table13[[#Headers],[Adventure]],"*")),1,0)</f>
        <v>0</v>
      </c>
      <c r="K320">
        <f>IF(COUNTIF($E320, _xlfn.CONCAT("*",Table13[[#Headers],[Animation]],"*")),1,0)</f>
        <v>0</v>
      </c>
      <c r="L320">
        <f>IF(COUNTIF($E320, _xlfn.CONCAT("*",Table13[[#Headers],[Comedy]],"*")),1,0)</f>
        <v>0</v>
      </c>
      <c r="M320">
        <f>IF(COUNTIF($E320, _xlfn.CONCAT("*",Table13[[#Headers],[Crime]],"*")),1,0)</f>
        <v>0</v>
      </c>
      <c r="N320">
        <f>IF(COUNTIF($E320, _xlfn.CONCAT("*",Table13[[#Headers],[Documentary]],"*")),1,0)</f>
        <v>0</v>
      </c>
      <c r="O320">
        <f>IF(COUNTIF($E320, _xlfn.CONCAT("*",Table13[[#Headers],[Drama]],"*")),1,0)</f>
        <v>1</v>
      </c>
      <c r="P320">
        <f>IF(COUNTIF($E320, _xlfn.CONCAT("*",Table13[[#Headers],[Family]],"*")),1,0)</f>
        <v>0</v>
      </c>
      <c r="Q320">
        <f>IF(COUNTIF($E320, _xlfn.CONCAT("*",Table13[[#Headers],[Fantasy]],"*")),1,0)</f>
        <v>0</v>
      </c>
      <c r="R320">
        <f>IF(COUNTIF($E320, _xlfn.CONCAT("*",Table13[[#Headers],[History]],"*")),1,0)</f>
        <v>1</v>
      </c>
      <c r="S320">
        <f>IF(COUNTIF($E320, _xlfn.CONCAT("*",Table13[[#Headers],[Horror]],"*")),1,0)</f>
        <v>0</v>
      </c>
      <c r="T320">
        <f>IF(COUNTIF($E320, _xlfn.CONCAT("*",Table13[[#Headers],[Music]],"*")),1,0)</f>
        <v>0</v>
      </c>
      <c r="U320">
        <f>IF(COUNTIF($E320, _xlfn.CONCAT("*",Table13[[#Headers],[Mystery]],"*")),1,0)</f>
        <v>0</v>
      </c>
      <c r="V320">
        <f>IF(COUNTIF($E320, _xlfn.CONCAT("*",Table13[[#Headers],[Romance]],"*")),1,0)</f>
        <v>0</v>
      </c>
      <c r="W320">
        <f>IF(COUNTIF($E320, _xlfn.CONCAT("*",Table13[[#Headers],[Science Fiction]],"*")),1,0)</f>
        <v>0</v>
      </c>
      <c r="X320">
        <f>IF(COUNTIF($E320, _xlfn.CONCAT("*",Table13[[#Headers],[TV Movie]],"*")),1,0)</f>
        <v>0</v>
      </c>
      <c r="Y320">
        <f>IF(COUNTIF($E320, _xlfn.CONCAT("*",Table13[[#Headers],[Thriller]],"*")),1,0)</f>
        <v>0</v>
      </c>
      <c r="Z320">
        <f>IF(COUNTIF($E320, _xlfn.CONCAT("*",Table13[[#Headers],[War]],"*")),1,0)</f>
        <v>1</v>
      </c>
      <c r="AA320">
        <f>IF(COUNTIF($E320, _xlfn.CONCAT("*",Table13[[#Headers],[Western]],"*")),1,0)</f>
        <v>0</v>
      </c>
    </row>
    <row r="321" spans="1:27">
      <c r="A321" t="s">
        <v>267</v>
      </c>
      <c r="B321">
        <v>65</v>
      </c>
      <c r="C321">
        <f>MAX(Table13[Rank])-Table13[[#This Row],[Rank]]</f>
        <v>199</v>
      </c>
      <c r="D321" t="s">
        <v>419</v>
      </c>
      <c r="E321" t="s">
        <v>105</v>
      </c>
      <c r="F321" s="1">
        <v>20770</v>
      </c>
      <c r="G321">
        <f>YEAR(Table13[[#This Row],[Date]])</f>
        <v>1956</v>
      </c>
      <c r="H321" t="s">
        <v>267</v>
      </c>
      <c r="I321">
        <f>IF(COUNTIF($E321, _xlfn.CONCAT("*",Table13[[#Headers],[Action]],"*")),1,0)</f>
        <v>0</v>
      </c>
      <c r="J321">
        <f>IF(COUNTIF($E321, _xlfn.CONCAT("*",Table13[[#Headers],[Adventure]],"*")),1,0)</f>
        <v>0</v>
      </c>
      <c r="K321">
        <f>IF(COUNTIF($E321, _xlfn.CONCAT("*",Table13[[#Headers],[Animation]],"*")),1,0)</f>
        <v>0</v>
      </c>
      <c r="L321">
        <f>IF(COUNTIF($E321, _xlfn.CONCAT("*",Table13[[#Headers],[Comedy]],"*")),1,0)</f>
        <v>0</v>
      </c>
      <c r="M321">
        <f>IF(COUNTIF($E321, _xlfn.CONCAT("*",Table13[[#Headers],[Crime]],"*")),1,0)</f>
        <v>0</v>
      </c>
      <c r="N321">
        <f>IF(COUNTIF($E321, _xlfn.CONCAT("*",Table13[[#Headers],[Documentary]],"*")),1,0)</f>
        <v>0</v>
      </c>
      <c r="O321">
        <f>IF(COUNTIF($E321, _xlfn.CONCAT("*",Table13[[#Headers],[Drama]],"*")),1,0)</f>
        <v>1</v>
      </c>
      <c r="P321">
        <f>IF(COUNTIF($E321, _xlfn.CONCAT("*",Table13[[#Headers],[Family]],"*")),1,0)</f>
        <v>0</v>
      </c>
      <c r="Q321">
        <f>IF(COUNTIF($E321, _xlfn.CONCAT("*",Table13[[#Headers],[Fantasy]],"*")),1,0)</f>
        <v>0</v>
      </c>
      <c r="R321">
        <f>IF(COUNTIF($E321, _xlfn.CONCAT("*",Table13[[#Headers],[History]],"*")),1,0)</f>
        <v>0</v>
      </c>
      <c r="S321">
        <f>IF(COUNTIF($E321, _xlfn.CONCAT("*",Table13[[#Headers],[Horror]],"*")),1,0)</f>
        <v>0</v>
      </c>
      <c r="T321">
        <f>IF(COUNTIF($E321, _xlfn.CONCAT("*",Table13[[#Headers],[Music]],"*")),1,0)</f>
        <v>0</v>
      </c>
      <c r="U321">
        <f>IF(COUNTIF($E321, _xlfn.CONCAT("*",Table13[[#Headers],[Mystery]],"*")),1,0)</f>
        <v>0</v>
      </c>
      <c r="V321">
        <f>IF(COUNTIF($E321, _xlfn.CONCAT("*",Table13[[#Headers],[Romance]],"*")),1,0)</f>
        <v>0</v>
      </c>
      <c r="W321">
        <f>IF(COUNTIF($E321, _xlfn.CONCAT("*",Table13[[#Headers],[Science Fiction]],"*")),1,0)</f>
        <v>0</v>
      </c>
      <c r="X321">
        <f>IF(COUNTIF($E321, _xlfn.CONCAT("*",Table13[[#Headers],[TV Movie]],"*")),1,0)</f>
        <v>0</v>
      </c>
      <c r="Y321">
        <f>IF(COUNTIF($E321, _xlfn.CONCAT("*",Table13[[#Headers],[Thriller]],"*")),1,0)</f>
        <v>1</v>
      </c>
      <c r="Z321">
        <f>IF(COUNTIF($E321, _xlfn.CONCAT("*",Table13[[#Headers],[War]],"*")),1,0)</f>
        <v>0</v>
      </c>
      <c r="AA321">
        <f>IF(COUNTIF($E321, _xlfn.CONCAT("*",Table13[[#Headers],[Western]],"*")),1,0)</f>
        <v>0</v>
      </c>
    </row>
    <row r="322" spans="1:27">
      <c r="A322" t="s">
        <v>456</v>
      </c>
      <c r="B322">
        <v>64</v>
      </c>
      <c r="C322">
        <f>MAX(Table13[Rank])-Table13[[#This Row],[Rank]]</f>
        <v>200</v>
      </c>
      <c r="D322" t="s">
        <v>419</v>
      </c>
      <c r="E322" t="s">
        <v>281</v>
      </c>
      <c r="F322" s="1">
        <v>28067</v>
      </c>
      <c r="G322">
        <f>YEAR(Table13[[#This Row],[Date]])</f>
        <v>1976</v>
      </c>
      <c r="H322" t="s">
        <v>456</v>
      </c>
      <c r="I322">
        <f>IF(COUNTIF($E322, _xlfn.CONCAT("*",Table13[[#Headers],[Action]],"*")),1,0)</f>
        <v>0</v>
      </c>
      <c r="J322">
        <f>IF(COUNTIF($E322, _xlfn.CONCAT("*",Table13[[#Headers],[Adventure]],"*")),1,0)</f>
        <v>0</v>
      </c>
      <c r="K322">
        <f>IF(COUNTIF($E322, _xlfn.CONCAT("*",Table13[[#Headers],[Animation]],"*")),1,0)</f>
        <v>0</v>
      </c>
      <c r="L322">
        <f>IF(COUNTIF($E322, _xlfn.CONCAT("*",Table13[[#Headers],[Comedy]],"*")),1,0)</f>
        <v>0</v>
      </c>
      <c r="M322">
        <f>IF(COUNTIF($E322, _xlfn.CONCAT("*",Table13[[#Headers],[Crime]],"*")),1,0)</f>
        <v>0</v>
      </c>
      <c r="N322">
        <f>IF(COUNTIF($E322, _xlfn.CONCAT("*",Table13[[#Headers],[Documentary]],"*")),1,0)</f>
        <v>0</v>
      </c>
      <c r="O322">
        <f>IF(COUNTIF($E322, _xlfn.CONCAT("*",Table13[[#Headers],[Drama]],"*")),1,0)</f>
        <v>0</v>
      </c>
      <c r="P322">
        <f>IF(COUNTIF($E322, _xlfn.CONCAT("*",Table13[[#Headers],[Family]],"*")),1,0)</f>
        <v>0</v>
      </c>
      <c r="Q322">
        <f>IF(COUNTIF($E322, _xlfn.CONCAT("*",Table13[[#Headers],[Fantasy]],"*")),1,0)</f>
        <v>0</v>
      </c>
      <c r="R322">
        <f>IF(COUNTIF($E322, _xlfn.CONCAT("*",Table13[[#Headers],[History]],"*")),1,0)</f>
        <v>0</v>
      </c>
      <c r="S322">
        <f>IF(COUNTIF($E322, _xlfn.CONCAT("*",Table13[[#Headers],[Horror]],"*")),1,0)</f>
        <v>1</v>
      </c>
      <c r="T322">
        <f>IF(COUNTIF($E322, _xlfn.CONCAT("*",Table13[[#Headers],[Music]],"*")),1,0)</f>
        <v>0</v>
      </c>
      <c r="U322">
        <f>IF(COUNTIF($E322, _xlfn.CONCAT("*",Table13[[#Headers],[Mystery]],"*")),1,0)</f>
        <v>0</v>
      </c>
      <c r="V322">
        <f>IF(COUNTIF($E322, _xlfn.CONCAT("*",Table13[[#Headers],[Romance]],"*")),1,0)</f>
        <v>0</v>
      </c>
      <c r="W322">
        <f>IF(COUNTIF($E322, _xlfn.CONCAT("*",Table13[[#Headers],[Science Fiction]],"*")),1,0)</f>
        <v>0</v>
      </c>
      <c r="X322">
        <f>IF(COUNTIF($E322, _xlfn.CONCAT("*",Table13[[#Headers],[TV Movie]],"*")),1,0)</f>
        <v>0</v>
      </c>
      <c r="Y322">
        <f>IF(COUNTIF($E322, _xlfn.CONCAT("*",Table13[[#Headers],[Thriller]],"*")),1,0)</f>
        <v>1</v>
      </c>
      <c r="Z322">
        <f>IF(COUNTIF($E322, _xlfn.CONCAT("*",Table13[[#Headers],[War]],"*")),1,0)</f>
        <v>0</v>
      </c>
      <c r="AA322">
        <f>IF(COUNTIF($E322, _xlfn.CONCAT("*",Table13[[#Headers],[Western]],"*")),1,0)</f>
        <v>0</v>
      </c>
    </row>
    <row r="323" spans="1:27">
      <c r="A323" t="s">
        <v>457</v>
      </c>
      <c r="B323">
        <v>63</v>
      </c>
      <c r="C323">
        <f>MAX(Table13[Rank])-Table13[[#This Row],[Rank]]</f>
        <v>201</v>
      </c>
      <c r="D323" t="s">
        <v>419</v>
      </c>
      <c r="E323" t="s">
        <v>458</v>
      </c>
      <c r="F323" s="1">
        <v>15567</v>
      </c>
      <c r="G323">
        <f>YEAR(Table13[[#This Row],[Date]])</f>
        <v>1942</v>
      </c>
      <c r="H323" t="s">
        <v>457</v>
      </c>
      <c r="I323">
        <f>IF(COUNTIF($E323, _xlfn.CONCAT("*",Table13[[#Headers],[Action]],"*")),1,0)</f>
        <v>0</v>
      </c>
      <c r="J323">
        <f>IF(COUNTIF($E323, _xlfn.CONCAT("*",Table13[[#Headers],[Adventure]],"*")),1,0)</f>
        <v>0</v>
      </c>
      <c r="K323">
        <f>IF(COUNTIF($E323, _xlfn.CONCAT("*",Table13[[#Headers],[Animation]],"*")),1,0)</f>
        <v>1</v>
      </c>
      <c r="L323">
        <f>IF(COUNTIF($E323, _xlfn.CONCAT("*",Table13[[#Headers],[Comedy]],"*")),1,0)</f>
        <v>0</v>
      </c>
      <c r="M323">
        <f>IF(COUNTIF($E323, _xlfn.CONCAT("*",Table13[[#Headers],[Crime]],"*")),1,0)</f>
        <v>0</v>
      </c>
      <c r="N323">
        <f>IF(COUNTIF($E323, _xlfn.CONCAT("*",Table13[[#Headers],[Documentary]],"*")),1,0)</f>
        <v>0</v>
      </c>
      <c r="O323">
        <f>IF(COUNTIF($E323, _xlfn.CONCAT("*",Table13[[#Headers],[Drama]],"*")),1,0)</f>
        <v>1</v>
      </c>
      <c r="P323">
        <f>IF(COUNTIF($E323, _xlfn.CONCAT("*",Table13[[#Headers],[Family]],"*")),1,0)</f>
        <v>1</v>
      </c>
      <c r="Q323">
        <f>IF(COUNTIF($E323, _xlfn.CONCAT("*",Table13[[#Headers],[Fantasy]],"*")),1,0)</f>
        <v>0</v>
      </c>
      <c r="R323">
        <f>IF(COUNTIF($E323, _xlfn.CONCAT("*",Table13[[#Headers],[History]],"*")),1,0)</f>
        <v>0</v>
      </c>
      <c r="S323">
        <f>IF(COUNTIF($E323, _xlfn.CONCAT("*",Table13[[#Headers],[Horror]],"*")),1,0)</f>
        <v>0</v>
      </c>
      <c r="T323">
        <f>IF(COUNTIF($E323, _xlfn.CONCAT("*",Table13[[#Headers],[Music]],"*")),1,0)</f>
        <v>0</v>
      </c>
      <c r="U323">
        <f>IF(COUNTIF($E323, _xlfn.CONCAT("*",Table13[[#Headers],[Mystery]],"*")),1,0)</f>
        <v>0</v>
      </c>
      <c r="V323">
        <f>IF(COUNTIF($E323, _xlfn.CONCAT("*",Table13[[#Headers],[Romance]],"*")),1,0)</f>
        <v>0</v>
      </c>
      <c r="W323">
        <f>IF(COUNTIF($E323, _xlfn.CONCAT("*",Table13[[#Headers],[Science Fiction]],"*")),1,0)</f>
        <v>0</v>
      </c>
      <c r="X323">
        <f>IF(COUNTIF($E323, _xlfn.CONCAT("*",Table13[[#Headers],[TV Movie]],"*")),1,0)</f>
        <v>0</v>
      </c>
      <c r="Y323">
        <f>IF(COUNTIF($E323, _xlfn.CONCAT("*",Table13[[#Headers],[Thriller]],"*")),1,0)</f>
        <v>0</v>
      </c>
      <c r="Z323">
        <f>IF(COUNTIF($E323, _xlfn.CONCAT("*",Table13[[#Headers],[War]],"*")),1,0)</f>
        <v>0</v>
      </c>
      <c r="AA323">
        <f>IF(COUNTIF($E323, _xlfn.CONCAT("*",Table13[[#Headers],[Western]],"*")),1,0)</f>
        <v>0</v>
      </c>
    </row>
    <row r="324" spans="1:27">
      <c r="A324" t="s">
        <v>459</v>
      </c>
      <c r="B324">
        <v>62</v>
      </c>
      <c r="C324">
        <f>MAX(Table13[Rank])-Table13[[#This Row],[Rank]]</f>
        <v>202</v>
      </c>
      <c r="D324" t="s">
        <v>419</v>
      </c>
      <c r="E324" t="s">
        <v>44</v>
      </c>
      <c r="F324" s="1">
        <v>34236</v>
      </c>
      <c r="G324">
        <f>YEAR(Table13[[#This Row],[Date]])</f>
        <v>1993</v>
      </c>
      <c r="H324" t="s">
        <v>459</v>
      </c>
      <c r="I324">
        <f>IF(COUNTIF($E324, _xlfn.CONCAT("*",Table13[[#Headers],[Action]],"*")),1,0)</f>
        <v>0</v>
      </c>
      <c r="J324">
        <f>IF(COUNTIF($E324, _xlfn.CONCAT("*",Table13[[#Headers],[Adventure]],"*")),1,0)</f>
        <v>0</v>
      </c>
      <c r="K324">
        <f>IF(COUNTIF($E324, _xlfn.CONCAT("*",Table13[[#Headers],[Animation]],"*")),1,0)</f>
        <v>0</v>
      </c>
      <c r="L324">
        <f>IF(COUNTIF($E324, _xlfn.CONCAT("*",Table13[[#Headers],[Comedy]],"*")),1,0)</f>
        <v>1</v>
      </c>
      <c r="M324">
        <f>IF(COUNTIF($E324, _xlfn.CONCAT("*",Table13[[#Headers],[Crime]],"*")),1,0)</f>
        <v>0</v>
      </c>
      <c r="N324">
        <f>IF(COUNTIF($E324, _xlfn.CONCAT("*",Table13[[#Headers],[Documentary]],"*")),1,0)</f>
        <v>0</v>
      </c>
      <c r="O324">
        <f>IF(COUNTIF($E324, _xlfn.CONCAT("*",Table13[[#Headers],[Drama]],"*")),1,0)</f>
        <v>0</v>
      </c>
      <c r="P324">
        <f>IF(COUNTIF($E324, _xlfn.CONCAT("*",Table13[[#Headers],[Family]],"*")),1,0)</f>
        <v>0</v>
      </c>
      <c r="Q324">
        <f>IF(COUNTIF($E324, _xlfn.CONCAT("*",Table13[[#Headers],[Fantasy]],"*")),1,0)</f>
        <v>0</v>
      </c>
      <c r="R324">
        <f>IF(COUNTIF($E324, _xlfn.CONCAT("*",Table13[[#Headers],[History]],"*")),1,0)</f>
        <v>0</v>
      </c>
      <c r="S324">
        <f>IF(COUNTIF($E324, _xlfn.CONCAT("*",Table13[[#Headers],[Horror]],"*")),1,0)</f>
        <v>0</v>
      </c>
      <c r="T324">
        <f>IF(COUNTIF($E324, _xlfn.CONCAT("*",Table13[[#Headers],[Music]],"*")),1,0)</f>
        <v>0</v>
      </c>
      <c r="U324">
        <f>IF(COUNTIF($E324, _xlfn.CONCAT("*",Table13[[#Headers],[Mystery]],"*")),1,0)</f>
        <v>0</v>
      </c>
      <c r="V324">
        <f>IF(COUNTIF($E324, _xlfn.CONCAT("*",Table13[[#Headers],[Romance]],"*")),1,0)</f>
        <v>0</v>
      </c>
      <c r="W324">
        <f>IF(COUNTIF($E324, _xlfn.CONCAT("*",Table13[[#Headers],[Science Fiction]],"*")),1,0)</f>
        <v>0</v>
      </c>
      <c r="X324">
        <f>IF(COUNTIF($E324, _xlfn.CONCAT("*",Table13[[#Headers],[TV Movie]],"*")),1,0)</f>
        <v>0</v>
      </c>
      <c r="Y324">
        <f>IF(COUNTIF($E324, _xlfn.CONCAT("*",Table13[[#Headers],[Thriller]],"*")),1,0)</f>
        <v>0</v>
      </c>
      <c r="Z324">
        <f>IF(COUNTIF($E324, _xlfn.CONCAT("*",Table13[[#Headers],[War]],"*")),1,0)</f>
        <v>0</v>
      </c>
      <c r="AA324">
        <f>IF(COUNTIF($E324, _xlfn.CONCAT("*",Table13[[#Headers],[Western]],"*")),1,0)</f>
        <v>0</v>
      </c>
    </row>
    <row r="325" spans="1:27">
      <c r="A325" t="s">
        <v>373</v>
      </c>
      <c r="B325">
        <v>61</v>
      </c>
      <c r="C325">
        <f>MAX(Table13[Rank])-Table13[[#This Row],[Rank]]</f>
        <v>203</v>
      </c>
      <c r="D325" t="s">
        <v>419</v>
      </c>
      <c r="E325" t="s">
        <v>109</v>
      </c>
      <c r="F325" s="1">
        <v>10339</v>
      </c>
      <c r="G325">
        <f>YEAR(Table13[[#This Row],[Date]])</f>
        <v>1928</v>
      </c>
      <c r="H325" t="s">
        <v>373</v>
      </c>
      <c r="I325">
        <f>IF(COUNTIF($E325, _xlfn.CONCAT("*",Table13[[#Headers],[Action]],"*")),1,0)</f>
        <v>0</v>
      </c>
      <c r="J325">
        <f>IF(COUNTIF($E325, _xlfn.CONCAT("*",Table13[[#Headers],[Adventure]],"*")),1,0)</f>
        <v>0</v>
      </c>
      <c r="K325">
        <f>IF(COUNTIF($E325, _xlfn.CONCAT("*",Table13[[#Headers],[Animation]],"*")),1,0)</f>
        <v>0</v>
      </c>
      <c r="L325">
        <f>IF(COUNTIF($E325, _xlfn.CONCAT("*",Table13[[#Headers],[Comedy]],"*")),1,0)</f>
        <v>0</v>
      </c>
      <c r="M325">
        <f>IF(COUNTIF($E325, _xlfn.CONCAT("*",Table13[[#Headers],[Crime]],"*")),1,0)</f>
        <v>0</v>
      </c>
      <c r="N325">
        <f>IF(COUNTIF($E325, _xlfn.CONCAT("*",Table13[[#Headers],[Documentary]],"*")),1,0)</f>
        <v>0</v>
      </c>
      <c r="O325">
        <f>IF(COUNTIF($E325, _xlfn.CONCAT("*",Table13[[#Headers],[Drama]],"*")),1,0)</f>
        <v>1</v>
      </c>
      <c r="P325">
        <f>IF(COUNTIF($E325, _xlfn.CONCAT("*",Table13[[#Headers],[Family]],"*")),1,0)</f>
        <v>0</v>
      </c>
      <c r="Q325">
        <f>IF(COUNTIF($E325, _xlfn.CONCAT("*",Table13[[#Headers],[Fantasy]],"*")),1,0)</f>
        <v>0</v>
      </c>
      <c r="R325">
        <f>IF(COUNTIF($E325, _xlfn.CONCAT("*",Table13[[#Headers],[History]],"*")),1,0)</f>
        <v>1</v>
      </c>
      <c r="S325">
        <f>IF(COUNTIF($E325, _xlfn.CONCAT("*",Table13[[#Headers],[Horror]],"*")),1,0)</f>
        <v>0</v>
      </c>
      <c r="T325">
        <f>IF(COUNTIF($E325, _xlfn.CONCAT("*",Table13[[#Headers],[Music]],"*")),1,0)</f>
        <v>0</v>
      </c>
      <c r="U325">
        <f>IF(COUNTIF($E325, _xlfn.CONCAT("*",Table13[[#Headers],[Mystery]],"*")),1,0)</f>
        <v>0</v>
      </c>
      <c r="V325">
        <f>IF(COUNTIF($E325, _xlfn.CONCAT("*",Table13[[#Headers],[Romance]],"*")),1,0)</f>
        <v>0</v>
      </c>
      <c r="W325">
        <f>IF(COUNTIF($E325, _xlfn.CONCAT("*",Table13[[#Headers],[Science Fiction]],"*")),1,0)</f>
        <v>0</v>
      </c>
      <c r="X325">
        <f>IF(COUNTIF($E325, _xlfn.CONCAT("*",Table13[[#Headers],[TV Movie]],"*")),1,0)</f>
        <v>0</v>
      </c>
      <c r="Y325">
        <f>IF(COUNTIF($E325, _xlfn.CONCAT("*",Table13[[#Headers],[Thriller]],"*")),1,0)</f>
        <v>0</v>
      </c>
      <c r="Z325">
        <f>IF(COUNTIF($E325, _xlfn.CONCAT("*",Table13[[#Headers],[War]],"*")),1,0)</f>
        <v>0</v>
      </c>
      <c r="AA325">
        <f>IF(COUNTIF($E325, _xlfn.CONCAT("*",Table13[[#Headers],[Western]],"*")),1,0)</f>
        <v>0</v>
      </c>
    </row>
    <row r="326" spans="1:27">
      <c r="A326" t="s">
        <v>460</v>
      </c>
      <c r="B326">
        <v>60</v>
      </c>
      <c r="C326">
        <f>MAX(Table13[Rank])-Table13[[#This Row],[Rank]]</f>
        <v>204</v>
      </c>
      <c r="D326" t="s">
        <v>419</v>
      </c>
      <c r="E326" t="s">
        <v>461</v>
      </c>
      <c r="F326" s="1">
        <v>37035</v>
      </c>
      <c r="G326">
        <f>YEAR(Table13[[#This Row],[Date]])</f>
        <v>2001</v>
      </c>
      <c r="H326" t="s">
        <v>460</v>
      </c>
      <c r="I326">
        <f>IF(COUNTIF($E326, _xlfn.CONCAT("*",Table13[[#Headers],[Action]],"*")),1,0)</f>
        <v>0</v>
      </c>
      <c r="J326">
        <f>IF(COUNTIF($E326, _xlfn.CONCAT("*",Table13[[#Headers],[Adventure]],"*")),1,0)</f>
        <v>0</v>
      </c>
      <c r="K326">
        <f>IF(COUNTIF($E326, _xlfn.CONCAT("*",Table13[[#Headers],[Animation]],"*")),1,0)</f>
        <v>0</v>
      </c>
      <c r="L326">
        <f>IF(COUNTIF($E326, _xlfn.CONCAT("*",Table13[[#Headers],[Comedy]],"*")),1,0)</f>
        <v>0</v>
      </c>
      <c r="M326">
        <f>IF(COUNTIF($E326, _xlfn.CONCAT("*",Table13[[#Headers],[Crime]],"*")),1,0)</f>
        <v>0</v>
      </c>
      <c r="N326">
        <f>IF(COUNTIF($E326, _xlfn.CONCAT("*",Table13[[#Headers],[Documentary]],"*")),1,0)</f>
        <v>0</v>
      </c>
      <c r="O326">
        <f>IF(COUNTIF($E326, _xlfn.CONCAT("*",Table13[[#Headers],[Drama]],"*")),1,0)</f>
        <v>1</v>
      </c>
      <c r="P326">
        <f>IF(COUNTIF($E326, _xlfn.CONCAT("*",Table13[[#Headers],[Family]],"*")),1,0)</f>
        <v>0</v>
      </c>
      <c r="Q326">
        <f>IF(COUNTIF($E326, _xlfn.CONCAT("*",Table13[[#Headers],[Fantasy]],"*")),1,0)</f>
        <v>0</v>
      </c>
      <c r="R326">
        <f>IF(COUNTIF($E326, _xlfn.CONCAT("*",Table13[[#Headers],[History]],"*")),1,0)</f>
        <v>0</v>
      </c>
      <c r="S326">
        <f>IF(COUNTIF($E326, _xlfn.CONCAT("*",Table13[[#Headers],[Horror]],"*")),1,0)</f>
        <v>0</v>
      </c>
      <c r="T326">
        <f>IF(COUNTIF($E326, _xlfn.CONCAT("*",Table13[[#Headers],[Music]],"*")),1,0)</f>
        <v>1</v>
      </c>
      <c r="U326">
        <f>IF(COUNTIF($E326, _xlfn.CONCAT("*",Table13[[#Headers],[Mystery]],"*")),1,0)</f>
        <v>0</v>
      </c>
      <c r="V326">
        <f>IF(COUNTIF($E326, _xlfn.CONCAT("*",Table13[[#Headers],[Romance]],"*")),1,0)</f>
        <v>1</v>
      </c>
      <c r="W326">
        <f>IF(COUNTIF($E326, _xlfn.CONCAT("*",Table13[[#Headers],[Science Fiction]],"*")),1,0)</f>
        <v>0</v>
      </c>
      <c r="X326">
        <f>IF(COUNTIF($E326, _xlfn.CONCAT("*",Table13[[#Headers],[TV Movie]],"*")),1,0)</f>
        <v>0</v>
      </c>
      <c r="Y326">
        <f>IF(COUNTIF($E326, _xlfn.CONCAT("*",Table13[[#Headers],[Thriller]],"*")),1,0)</f>
        <v>0</v>
      </c>
      <c r="Z326">
        <f>IF(COUNTIF($E326, _xlfn.CONCAT("*",Table13[[#Headers],[War]],"*")),1,0)</f>
        <v>0</v>
      </c>
      <c r="AA326">
        <f>IF(COUNTIF($E326, _xlfn.CONCAT("*",Table13[[#Headers],[Western]],"*")),1,0)</f>
        <v>0</v>
      </c>
    </row>
    <row r="327" spans="1:27">
      <c r="A327" t="s">
        <v>262</v>
      </c>
      <c r="B327">
        <v>59</v>
      </c>
      <c r="C327">
        <f>MAX(Table13[Rank])-Table13[[#This Row],[Rank]]</f>
        <v>205</v>
      </c>
      <c r="D327" t="s">
        <v>419</v>
      </c>
      <c r="E327" t="s">
        <v>164</v>
      </c>
      <c r="F327" s="1">
        <v>33912</v>
      </c>
      <c r="G327">
        <f>YEAR(Table13[[#This Row],[Date]])</f>
        <v>1992</v>
      </c>
      <c r="H327" t="s">
        <v>262</v>
      </c>
      <c r="I327">
        <f>IF(COUNTIF($E327, _xlfn.CONCAT("*",Table13[[#Headers],[Action]],"*")),1,0)</f>
        <v>0</v>
      </c>
      <c r="J327">
        <f>IF(COUNTIF($E327, _xlfn.CONCAT("*",Table13[[#Headers],[Adventure]],"*")),1,0)</f>
        <v>0</v>
      </c>
      <c r="K327">
        <f>IF(COUNTIF($E327, _xlfn.CONCAT("*",Table13[[#Headers],[Animation]],"*")),1,0)</f>
        <v>0</v>
      </c>
      <c r="L327">
        <f>IF(COUNTIF($E327, _xlfn.CONCAT("*",Table13[[#Headers],[Comedy]],"*")),1,0)</f>
        <v>1</v>
      </c>
      <c r="M327">
        <f>IF(COUNTIF($E327, _xlfn.CONCAT("*",Table13[[#Headers],[Crime]],"*")),1,0)</f>
        <v>0</v>
      </c>
      <c r="N327">
        <f>IF(COUNTIF($E327, _xlfn.CONCAT("*",Table13[[#Headers],[Documentary]],"*")),1,0)</f>
        <v>0</v>
      </c>
      <c r="O327">
        <f>IF(COUNTIF($E327, _xlfn.CONCAT("*",Table13[[#Headers],[Drama]],"*")),1,0)</f>
        <v>1</v>
      </c>
      <c r="P327">
        <f>IF(COUNTIF($E327, _xlfn.CONCAT("*",Table13[[#Headers],[Family]],"*")),1,0)</f>
        <v>0</v>
      </c>
      <c r="Q327">
        <f>IF(COUNTIF($E327, _xlfn.CONCAT("*",Table13[[#Headers],[Fantasy]],"*")),1,0)</f>
        <v>0</v>
      </c>
      <c r="R327">
        <f>IF(COUNTIF($E327, _xlfn.CONCAT("*",Table13[[#Headers],[History]],"*")),1,0)</f>
        <v>0</v>
      </c>
      <c r="S327">
        <f>IF(COUNTIF($E327, _xlfn.CONCAT("*",Table13[[#Headers],[Horror]],"*")),1,0)</f>
        <v>0</v>
      </c>
      <c r="T327">
        <f>IF(COUNTIF($E327, _xlfn.CONCAT("*",Table13[[#Headers],[Music]],"*")),1,0)</f>
        <v>0</v>
      </c>
      <c r="U327">
        <f>IF(COUNTIF($E327, _xlfn.CONCAT("*",Table13[[#Headers],[Mystery]],"*")),1,0)</f>
        <v>0</v>
      </c>
      <c r="V327">
        <f>IF(COUNTIF($E327, _xlfn.CONCAT("*",Table13[[#Headers],[Romance]],"*")),1,0)</f>
        <v>0</v>
      </c>
      <c r="W327">
        <f>IF(COUNTIF($E327, _xlfn.CONCAT("*",Table13[[#Headers],[Science Fiction]],"*")),1,0)</f>
        <v>0</v>
      </c>
      <c r="X327">
        <f>IF(COUNTIF($E327, _xlfn.CONCAT("*",Table13[[#Headers],[TV Movie]],"*")),1,0)</f>
        <v>0</v>
      </c>
      <c r="Y327">
        <f>IF(COUNTIF($E327, _xlfn.CONCAT("*",Table13[[#Headers],[Thriller]],"*")),1,0)</f>
        <v>0</v>
      </c>
      <c r="Z327">
        <f>IF(COUNTIF($E327, _xlfn.CONCAT("*",Table13[[#Headers],[War]],"*")),1,0)</f>
        <v>0</v>
      </c>
      <c r="AA327">
        <f>IF(COUNTIF($E327, _xlfn.CONCAT("*",Table13[[#Headers],[Western]],"*")),1,0)</f>
        <v>0</v>
      </c>
    </row>
    <row r="328" spans="1:27">
      <c r="A328" t="s">
        <v>462</v>
      </c>
      <c r="B328">
        <v>58</v>
      </c>
      <c r="C328">
        <f>MAX(Table13[Rank])-Table13[[#This Row],[Rank]]</f>
        <v>206</v>
      </c>
      <c r="D328" t="s">
        <v>419</v>
      </c>
      <c r="E328" t="s">
        <v>180</v>
      </c>
      <c r="F328" t="s">
        <v>180</v>
      </c>
      <c r="G328" t="e">
        <f>YEAR(Table13[[#This Row],[Date]])</f>
        <v>#VALUE!</v>
      </c>
      <c r="H328" t="s">
        <v>180</v>
      </c>
      <c r="I328">
        <f>IF(COUNTIF($E328, _xlfn.CONCAT("*",Table13[[#Headers],[Action]],"*")),1,0)</f>
        <v>0</v>
      </c>
      <c r="J328">
        <f>IF(COUNTIF($E328, _xlfn.CONCAT("*",Table13[[#Headers],[Adventure]],"*")),1,0)</f>
        <v>0</v>
      </c>
      <c r="K328">
        <f>IF(COUNTIF($E328, _xlfn.CONCAT("*",Table13[[#Headers],[Animation]],"*")),1,0)</f>
        <v>0</v>
      </c>
      <c r="L328">
        <f>IF(COUNTIF($E328, _xlfn.CONCAT("*",Table13[[#Headers],[Comedy]],"*")),1,0)</f>
        <v>0</v>
      </c>
      <c r="M328">
        <f>IF(COUNTIF($E328, _xlfn.CONCAT("*",Table13[[#Headers],[Crime]],"*")),1,0)</f>
        <v>0</v>
      </c>
      <c r="N328">
        <f>IF(COUNTIF($E328, _xlfn.CONCAT("*",Table13[[#Headers],[Documentary]],"*")),1,0)</f>
        <v>0</v>
      </c>
      <c r="O328">
        <f>IF(COUNTIF($E328, _xlfn.CONCAT("*",Table13[[#Headers],[Drama]],"*")),1,0)</f>
        <v>0</v>
      </c>
      <c r="P328">
        <f>IF(COUNTIF($E328, _xlfn.CONCAT("*",Table13[[#Headers],[Family]],"*")),1,0)</f>
        <v>0</v>
      </c>
      <c r="Q328">
        <f>IF(COUNTIF($E328, _xlfn.CONCAT("*",Table13[[#Headers],[Fantasy]],"*")),1,0)</f>
        <v>0</v>
      </c>
      <c r="R328">
        <f>IF(COUNTIF($E328, _xlfn.CONCAT("*",Table13[[#Headers],[History]],"*")),1,0)</f>
        <v>0</v>
      </c>
      <c r="S328">
        <f>IF(COUNTIF($E328, _xlfn.CONCAT("*",Table13[[#Headers],[Horror]],"*")),1,0)</f>
        <v>0</v>
      </c>
      <c r="T328">
        <f>IF(COUNTIF($E328, _xlfn.CONCAT("*",Table13[[#Headers],[Music]],"*")),1,0)</f>
        <v>0</v>
      </c>
      <c r="U328">
        <f>IF(COUNTIF($E328, _xlfn.CONCAT("*",Table13[[#Headers],[Mystery]],"*")),1,0)</f>
        <v>0</v>
      </c>
      <c r="V328">
        <f>IF(COUNTIF($E328, _xlfn.CONCAT("*",Table13[[#Headers],[Romance]],"*")),1,0)</f>
        <v>0</v>
      </c>
      <c r="W328">
        <f>IF(COUNTIF($E328, _xlfn.CONCAT("*",Table13[[#Headers],[Science Fiction]],"*")),1,0)</f>
        <v>0</v>
      </c>
      <c r="X328">
        <f>IF(COUNTIF($E328, _xlfn.CONCAT("*",Table13[[#Headers],[TV Movie]],"*")),1,0)</f>
        <v>0</v>
      </c>
      <c r="Y328">
        <f>IF(COUNTIF($E328, _xlfn.CONCAT("*",Table13[[#Headers],[Thriller]],"*")),1,0)</f>
        <v>0</v>
      </c>
      <c r="Z328">
        <f>IF(COUNTIF($E328, _xlfn.CONCAT("*",Table13[[#Headers],[War]],"*")),1,0)</f>
        <v>0</v>
      </c>
      <c r="AA328">
        <f>IF(COUNTIF($E328, _xlfn.CONCAT("*",Table13[[#Headers],[Western]],"*")),1,0)</f>
        <v>0</v>
      </c>
    </row>
    <row r="329" spans="1:27">
      <c r="A329" t="s">
        <v>463</v>
      </c>
      <c r="B329">
        <v>57</v>
      </c>
      <c r="C329">
        <f>MAX(Table13[Rank])-Table13[[#This Row],[Rank]]</f>
        <v>207</v>
      </c>
      <c r="D329" t="s">
        <v>419</v>
      </c>
      <c r="E329" t="s">
        <v>35</v>
      </c>
      <c r="F329" s="1">
        <v>38605</v>
      </c>
      <c r="G329">
        <f>YEAR(Table13[[#This Row],[Date]])</f>
        <v>2005</v>
      </c>
      <c r="H329" t="s">
        <v>463</v>
      </c>
      <c r="I329">
        <f>IF(COUNTIF($E329, _xlfn.CONCAT("*",Table13[[#Headers],[Action]],"*")),1,0)</f>
        <v>0</v>
      </c>
      <c r="J329">
        <f>IF(COUNTIF($E329, _xlfn.CONCAT("*",Table13[[#Headers],[Adventure]],"*")),1,0)</f>
        <v>0</v>
      </c>
      <c r="K329">
        <f>IF(COUNTIF($E329, _xlfn.CONCAT("*",Table13[[#Headers],[Animation]],"*")),1,0)</f>
        <v>0</v>
      </c>
      <c r="L329">
        <f>IF(COUNTIF($E329, _xlfn.CONCAT("*",Table13[[#Headers],[Comedy]],"*")),1,0)</f>
        <v>0</v>
      </c>
      <c r="M329">
        <f>IF(COUNTIF($E329, _xlfn.CONCAT("*",Table13[[#Headers],[Crime]],"*")),1,0)</f>
        <v>0</v>
      </c>
      <c r="N329">
        <f>IF(COUNTIF($E329, _xlfn.CONCAT("*",Table13[[#Headers],[Documentary]],"*")),1,0)</f>
        <v>0</v>
      </c>
      <c r="O329">
        <f>IF(COUNTIF($E329, _xlfn.CONCAT("*",Table13[[#Headers],[Drama]],"*")),1,0)</f>
        <v>1</v>
      </c>
      <c r="P329">
        <f>IF(COUNTIF($E329, _xlfn.CONCAT("*",Table13[[#Headers],[Family]],"*")),1,0)</f>
        <v>0</v>
      </c>
      <c r="Q329">
        <f>IF(COUNTIF($E329, _xlfn.CONCAT("*",Table13[[#Headers],[Fantasy]],"*")),1,0)</f>
        <v>0</v>
      </c>
      <c r="R329">
        <f>IF(COUNTIF($E329, _xlfn.CONCAT("*",Table13[[#Headers],[History]],"*")),1,0)</f>
        <v>0</v>
      </c>
      <c r="S329">
        <f>IF(COUNTIF($E329, _xlfn.CONCAT("*",Table13[[#Headers],[Horror]],"*")),1,0)</f>
        <v>0</v>
      </c>
      <c r="T329">
        <f>IF(COUNTIF($E329, _xlfn.CONCAT("*",Table13[[#Headers],[Music]],"*")),1,0)</f>
        <v>0</v>
      </c>
      <c r="U329">
        <f>IF(COUNTIF($E329, _xlfn.CONCAT("*",Table13[[#Headers],[Mystery]],"*")),1,0)</f>
        <v>0</v>
      </c>
      <c r="V329">
        <f>IF(COUNTIF($E329, _xlfn.CONCAT("*",Table13[[#Headers],[Romance]],"*")),1,0)</f>
        <v>1</v>
      </c>
      <c r="W329">
        <f>IF(COUNTIF($E329, _xlfn.CONCAT("*",Table13[[#Headers],[Science Fiction]],"*")),1,0)</f>
        <v>0</v>
      </c>
      <c r="X329">
        <f>IF(COUNTIF($E329, _xlfn.CONCAT("*",Table13[[#Headers],[TV Movie]],"*")),1,0)</f>
        <v>0</v>
      </c>
      <c r="Y329">
        <f>IF(COUNTIF($E329, _xlfn.CONCAT("*",Table13[[#Headers],[Thriller]],"*")),1,0)</f>
        <v>0</v>
      </c>
      <c r="Z329">
        <f>IF(COUNTIF($E329, _xlfn.CONCAT("*",Table13[[#Headers],[War]],"*")),1,0)</f>
        <v>0</v>
      </c>
      <c r="AA329">
        <f>IF(COUNTIF($E329, _xlfn.CONCAT("*",Table13[[#Headers],[Western]],"*")),1,0)</f>
        <v>0</v>
      </c>
    </row>
    <row r="330" spans="1:27">
      <c r="A330" t="s">
        <v>464</v>
      </c>
      <c r="B330">
        <v>56</v>
      </c>
      <c r="C330">
        <f>MAX(Table13[Rank])-Table13[[#This Row],[Rank]]</f>
        <v>208</v>
      </c>
      <c r="D330" t="s">
        <v>419</v>
      </c>
      <c r="E330" t="s">
        <v>465</v>
      </c>
      <c r="F330" s="1">
        <v>25001</v>
      </c>
      <c r="G330">
        <f>YEAR(Table13[[#This Row],[Date]])</f>
        <v>1968</v>
      </c>
      <c r="H330" t="s">
        <v>464</v>
      </c>
      <c r="I330">
        <f>IF(COUNTIF($E330, _xlfn.CONCAT("*",Table13[[#Headers],[Action]],"*")),1,0)</f>
        <v>0</v>
      </c>
      <c r="J330">
        <f>IF(COUNTIF($E330, _xlfn.CONCAT("*",Table13[[#Headers],[Adventure]],"*")),1,0)</f>
        <v>0</v>
      </c>
      <c r="K330">
        <f>IF(COUNTIF($E330, _xlfn.CONCAT("*",Table13[[#Headers],[Animation]],"*")),1,0)</f>
        <v>0</v>
      </c>
      <c r="L330">
        <f>IF(COUNTIF($E330, _xlfn.CONCAT("*",Table13[[#Headers],[Comedy]],"*")),1,0)</f>
        <v>0</v>
      </c>
      <c r="M330">
        <f>IF(COUNTIF($E330, _xlfn.CONCAT("*",Table13[[#Headers],[Crime]],"*")),1,0)</f>
        <v>0</v>
      </c>
      <c r="N330">
        <f>IF(COUNTIF($E330, _xlfn.CONCAT("*",Table13[[#Headers],[Documentary]],"*")),1,0)</f>
        <v>0</v>
      </c>
      <c r="O330">
        <f>IF(COUNTIF($E330, _xlfn.CONCAT("*",Table13[[#Headers],[Drama]],"*")),1,0)</f>
        <v>1</v>
      </c>
      <c r="P330">
        <f>IF(COUNTIF($E330, _xlfn.CONCAT("*",Table13[[#Headers],[Family]],"*")),1,0)</f>
        <v>0</v>
      </c>
      <c r="Q330">
        <f>IF(COUNTIF($E330, _xlfn.CONCAT("*",Table13[[#Headers],[Fantasy]],"*")),1,0)</f>
        <v>0</v>
      </c>
      <c r="R330">
        <f>IF(COUNTIF($E330, _xlfn.CONCAT("*",Table13[[#Headers],[History]],"*")),1,0)</f>
        <v>0</v>
      </c>
      <c r="S330">
        <f>IF(COUNTIF($E330, _xlfn.CONCAT("*",Table13[[#Headers],[Horror]],"*")),1,0)</f>
        <v>1</v>
      </c>
      <c r="T330">
        <f>IF(COUNTIF($E330, _xlfn.CONCAT("*",Table13[[#Headers],[Music]],"*")),1,0)</f>
        <v>0</v>
      </c>
      <c r="U330">
        <f>IF(COUNTIF($E330, _xlfn.CONCAT("*",Table13[[#Headers],[Mystery]],"*")),1,0)</f>
        <v>0</v>
      </c>
      <c r="V330">
        <f>IF(COUNTIF($E330, _xlfn.CONCAT("*",Table13[[#Headers],[Romance]],"*")),1,0)</f>
        <v>0</v>
      </c>
      <c r="W330">
        <f>IF(COUNTIF($E330, _xlfn.CONCAT("*",Table13[[#Headers],[Science Fiction]],"*")),1,0)</f>
        <v>0</v>
      </c>
      <c r="X330">
        <f>IF(COUNTIF($E330, _xlfn.CONCAT("*",Table13[[#Headers],[TV Movie]],"*")),1,0)</f>
        <v>0</v>
      </c>
      <c r="Y330">
        <f>IF(COUNTIF($E330, _xlfn.CONCAT("*",Table13[[#Headers],[Thriller]],"*")),1,0)</f>
        <v>1</v>
      </c>
      <c r="Z330">
        <f>IF(COUNTIF($E330, _xlfn.CONCAT("*",Table13[[#Headers],[War]],"*")),1,0)</f>
        <v>0</v>
      </c>
      <c r="AA330">
        <f>IF(COUNTIF($E330, _xlfn.CONCAT("*",Table13[[#Headers],[Western]],"*")),1,0)</f>
        <v>0</v>
      </c>
    </row>
    <row r="331" spans="1:27">
      <c r="A331" t="s">
        <v>354</v>
      </c>
      <c r="B331">
        <v>55</v>
      </c>
      <c r="C331">
        <f>MAX(Table13[Rank])-Table13[[#This Row],[Rank]]</f>
        <v>209</v>
      </c>
      <c r="D331" t="s">
        <v>419</v>
      </c>
      <c r="E331" t="s">
        <v>21</v>
      </c>
      <c r="F331" s="1">
        <v>20327</v>
      </c>
      <c r="G331">
        <f>YEAR(Table13[[#This Row],[Date]])</f>
        <v>1955</v>
      </c>
      <c r="H331" t="s">
        <v>354</v>
      </c>
      <c r="I331">
        <f>IF(COUNTIF($E331, _xlfn.CONCAT("*",Table13[[#Headers],[Action]],"*")),1,0)</f>
        <v>0</v>
      </c>
      <c r="J331">
        <f>IF(COUNTIF($E331, _xlfn.CONCAT("*",Table13[[#Headers],[Adventure]],"*")),1,0)</f>
        <v>0</v>
      </c>
      <c r="K331">
        <f>IF(COUNTIF($E331, _xlfn.CONCAT("*",Table13[[#Headers],[Animation]],"*")),1,0)</f>
        <v>0</v>
      </c>
      <c r="L331">
        <f>IF(COUNTIF($E331, _xlfn.CONCAT("*",Table13[[#Headers],[Comedy]],"*")),1,0)</f>
        <v>0</v>
      </c>
      <c r="M331">
        <f>IF(COUNTIF($E331, _xlfn.CONCAT("*",Table13[[#Headers],[Crime]],"*")),1,0)</f>
        <v>0</v>
      </c>
      <c r="N331">
        <f>IF(COUNTIF($E331, _xlfn.CONCAT("*",Table13[[#Headers],[Documentary]],"*")),1,0)</f>
        <v>0</v>
      </c>
      <c r="O331">
        <f>IF(COUNTIF($E331, _xlfn.CONCAT("*",Table13[[#Headers],[Drama]],"*")),1,0)</f>
        <v>1</v>
      </c>
      <c r="P331">
        <f>IF(COUNTIF($E331, _xlfn.CONCAT("*",Table13[[#Headers],[Family]],"*")),1,0)</f>
        <v>0</v>
      </c>
      <c r="Q331">
        <f>IF(COUNTIF($E331, _xlfn.CONCAT("*",Table13[[#Headers],[Fantasy]],"*")),1,0)</f>
        <v>0</v>
      </c>
      <c r="R331">
        <f>IF(COUNTIF($E331, _xlfn.CONCAT("*",Table13[[#Headers],[History]],"*")),1,0)</f>
        <v>0</v>
      </c>
      <c r="S331">
        <f>IF(COUNTIF($E331, _xlfn.CONCAT("*",Table13[[#Headers],[Horror]],"*")),1,0)</f>
        <v>0</v>
      </c>
      <c r="T331">
        <f>IF(COUNTIF($E331, _xlfn.CONCAT("*",Table13[[#Headers],[Music]],"*")),1,0)</f>
        <v>0</v>
      </c>
      <c r="U331">
        <f>IF(COUNTIF($E331, _xlfn.CONCAT("*",Table13[[#Headers],[Mystery]],"*")),1,0)</f>
        <v>0</v>
      </c>
      <c r="V331">
        <f>IF(COUNTIF($E331, _xlfn.CONCAT("*",Table13[[#Headers],[Romance]],"*")),1,0)</f>
        <v>0</v>
      </c>
      <c r="W331">
        <f>IF(COUNTIF($E331, _xlfn.CONCAT("*",Table13[[#Headers],[Science Fiction]],"*")),1,0)</f>
        <v>0</v>
      </c>
      <c r="X331">
        <f>IF(COUNTIF($E331, _xlfn.CONCAT("*",Table13[[#Headers],[TV Movie]],"*")),1,0)</f>
        <v>0</v>
      </c>
      <c r="Y331">
        <f>IF(COUNTIF($E331, _xlfn.CONCAT("*",Table13[[#Headers],[Thriller]],"*")),1,0)</f>
        <v>0</v>
      </c>
      <c r="Z331">
        <f>IF(COUNTIF($E331, _xlfn.CONCAT("*",Table13[[#Headers],[War]],"*")),1,0)</f>
        <v>0</v>
      </c>
      <c r="AA331">
        <f>IF(COUNTIF($E331, _xlfn.CONCAT("*",Table13[[#Headers],[Western]],"*")),1,0)</f>
        <v>0</v>
      </c>
    </row>
    <row r="332" spans="1:27">
      <c r="A332" t="s">
        <v>466</v>
      </c>
      <c r="B332">
        <v>54</v>
      </c>
      <c r="C332">
        <f>MAX(Table13[Rank])-Table13[[#This Row],[Rank]]</f>
        <v>210</v>
      </c>
      <c r="D332" t="s">
        <v>419</v>
      </c>
      <c r="E332" t="s">
        <v>21</v>
      </c>
      <c r="F332" s="1">
        <v>41275</v>
      </c>
      <c r="G332">
        <f>YEAR(Table13[[#This Row],[Date]])</f>
        <v>2013</v>
      </c>
      <c r="H332" t="s">
        <v>466</v>
      </c>
      <c r="I332">
        <f>IF(COUNTIF($E332, _xlfn.CONCAT("*",Table13[[#Headers],[Action]],"*")),1,0)</f>
        <v>0</v>
      </c>
      <c r="J332">
        <f>IF(COUNTIF($E332, _xlfn.CONCAT("*",Table13[[#Headers],[Adventure]],"*")),1,0)</f>
        <v>0</v>
      </c>
      <c r="K332">
        <f>IF(COUNTIF($E332, _xlfn.CONCAT("*",Table13[[#Headers],[Animation]],"*")),1,0)</f>
        <v>0</v>
      </c>
      <c r="L332">
        <f>IF(COUNTIF($E332, _xlfn.CONCAT("*",Table13[[#Headers],[Comedy]],"*")),1,0)</f>
        <v>0</v>
      </c>
      <c r="M332">
        <f>IF(COUNTIF($E332, _xlfn.CONCAT("*",Table13[[#Headers],[Crime]],"*")),1,0)</f>
        <v>0</v>
      </c>
      <c r="N332">
        <f>IF(COUNTIF($E332, _xlfn.CONCAT("*",Table13[[#Headers],[Documentary]],"*")),1,0)</f>
        <v>0</v>
      </c>
      <c r="O332">
        <f>IF(COUNTIF($E332, _xlfn.CONCAT("*",Table13[[#Headers],[Drama]],"*")),1,0)</f>
        <v>1</v>
      </c>
      <c r="P332">
        <f>IF(COUNTIF($E332, _xlfn.CONCAT("*",Table13[[#Headers],[Family]],"*")),1,0)</f>
        <v>0</v>
      </c>
      <c r="Q332">
        <f>IF(COUNTIF($E332, _xlfn.CONCAT("*",Table13[[#Headers],[Fantasy]],"*")),1,0)</f>
        <v>0</v>
      </c>
      <c r="R332">
        <f>IF(COUNTIF($E332, _xlfn.CONCAT("*",Table13[[#Headers],[History]],"*")),1,0)</f>
        <v>0</v>
      </c>
      <c r="S332">
        <f>IF(COUNTIF($E332, _xlfn.CONCAT("*",Table13[[#Headers],[Horror]],"*")),1,0)</f>
        <v>0</v>
      </c>
      <c r="T332">
        <f>IF(COUNTIF($E332, _xlfn.CONCAT("*",Table13[[#Headers],[Music]],"*")),1,0)</f>
        <v>0</v>
      </c>
      <c r="U332">
        <f>IF(COUNTIF($E332, _xlfn.CONCAT("*",Table13[[#Headers],[Mystery]],"*")),1,0)</f>
        <v>0</v>
      </c>
      <c r="V332">
        <f>IF(COUNTIF($E332, _xlfn.CONCAT("*",Table13[[#Headers],[Romance]],"*")),1,0)</f>
        <v>0</v>
      </c>
      <c r="W332">
        <f>IF(COUNTIF($E332, _xlfn.CONCAT("*",Table13[[#Headers],[Science Fiction]],"*")),1,0)</f>
        <v>0</v>
      </c>
      <c r="X332">
        <f>IF(COUNTIF($E332, _xlfn.CONCAT("*",Table13[[#Headers],[TV Movie]],"*")),1,0)</f>
        <v>0</v>
      </c>
      <c r="Y332">
        <f>IF(COUNTIF($E332, _xlfn.CONCAT("*",Table13[[#Headers],[Thriller]],"*")),1,0)</f>
        <v>0</v>
      </c>
      <c r="Z332">
        <f>IF(COUNTIF($E332, _xlfn.CONCAT("*",Table13[[#Headers],[War]],"*")),1,0)</f>
        <v>0</v>
      </c>
      <c r="AA332">
        <f>IF(COUNTIF($E332, _xlfn.CONCAT("*",Table13[[#Headers],[Western]],"*")),1,0)</f>
        <v>0</v>
      </c>
    </row>
    <row r="333" spans="1:27">
      <c r="A333" t="s">
        <v>393</v>
      </c>
      <c r="B333">
        <v>53</v>
      </c>
      <c r="C333">
        <f>MAX(Table13[Rank])-Table13[[#This Row],[Rank]]</f>
        <v>211</v>
      </c>
      <c r="D333" t="s">
        <v>419</v>
      </c>
      <c r="E333" t="s">
        <v>35</v>
      </c>
      <c r="F333" s="1">
        <v>36798</v>
      </c>
      <c r="G333">
        <f>YEAR(Table13[[#This Row],[Date]])</f>
        <v>2000</v>
      </c>
      <c r="H333" t="s">
        <v>393</v>
      </c>
      <c r="I333">
        <f>IF(COUNTIF($E333, _xlfn.CONCAT("*",Table13[[#Headers],[Action]],"*")),1,0)</f>
        <v>0</v>
      </c>
      <c r="J333">
        <f>IF(COUNTIF($E333, _xlfn.CONCAT("*",Table13[[#Headers],[Adventure]],"*")),1,0)</f>
        <v>0</v>
      </c>
      <c r="K333">
        <f>IF(COUNTIF($E333, _xlfn.CONCAT("*",Table13[[#Headers],[Animation]],"*")),1,0)</f>
        <v>0</v>
      </c>
      <c r="L333">
        <f>IF(COUNTIF($E333, _xlfn.CONCAT("*",Table13[[#Headers],[Comedy]],"*")),1,0)</f>
        <v>0</v>
      </c>
      <c r="M333">
        <f>IF(COUNTIF($E333, _xlfn.CONCAT("*",Table13[[#Headers],[Crime]],"*")),1,0)</f>
        <v>0</v>
      </c>
      <c r="N333">
        <f>IF(COUNTIF($E333, _xlfn.CONCAT("*",Table13[[#Headers],[Documentary]],"*")),1,0)</f>
        <v>0</v>
      </c>
      <c r="O333">
        <f>IF(COUNTIF($E333, _xlfn.CONCAT("*",Table13[[#Headers],[Drama]],"*")),1,0)</f>
        <v>1</v>
      </c>
      <c r="P333">
        <f>IF(COUNTIF($E333, _xlfn.CONCAT("*",Table13[[#Headers],[Family]],"*")),1,0)</f>
        <v>0</v>
      </c>
      <c r="Q333">
        <f>IF(COUNTIF($E333, _xlfn.CONCAT("*",Table13[[#Headers],[Fantasy]],"*")),1,0)</f>
        <v>0</v>
      </c>
      <c r="R333">
        <f>IF(COUNTIF($E333, _xlfn.CONCAT("*",Table13[[#Headers],[History]],"*")),1,0)</f>
        <v>0</v>
      </c>
      <c r="S333">
        <f>IF(COUNTIF($E333, _xlfn.CONCAT("*",Table13[[#Headers],[Horror]],"*")),1,0)</f>
        <v>0</v>
      </c>
      <c r="T333">
        <f>IF(COUNTIF($E333, _xlfn.CONCAT("*",Table13[[#Headers],[Music]],"*")),1,0)</f>
        <v>0</v>
      </c>
      <c r="U333">
        <f>IF(COUNTIF($E333, _xlfn.CONCAT("*",Table13[[#Headers],[Mystery]],"*")),1,0)</f>
        <v>0</v>
      </c>
      <c r="V333">
        <f>IF(COUNTIF($E333, _xlfn.CONCAT("*",Table13[[#Headers],[Romance]],"*")),1,0)</f>
        <v>1</v>
      </c>
      <c r="W333">
        <f>IF(COUNTIF($E333, _xlfn.CONCAT("*",Table13[[#Headers],[Science Fiction]],"*")),1,0)</f>
        <v>0</v>
      </c>
      <c r="X333">
        <f>IF(COUNTIF($E333, _xlfn.CONCAT("*",Table13[[#Headers],[TV Movie]],"*")),1,0)</f>
        <v>0</v>
      </c>
      <c r="Y333">
        <f>IF(COUNTIF($E333, _xlfn.CONCAT("*",Table13[[#Headers],[Thriller]],"*")),1,0)</f>
        <v>0</v>
      </c>
      <c r="Z333">
        <f>IF(COUNTIF($E333, _xlfn.CONCAT("*",Table13[[#Headers],[War]],"*")),1,0)</f>
        <v>0</v>
      </c>
      <c r="AA333">
        <f>IF(COUNTIF($E333, _xlfn.CONCAT("*",Table13[[#Headers],[Western]],"*")),1,0)</f>
        <v>0</v>
      </c>
    </row>
    <row r="334" spans="1:27">
      <c r="A334" t="s">
        <v>268</v>
      </c>
      <c r="B334">
        <v>52</v>
      </c>
      <c r="C334">
        <f>MAX(Table13[Rank])-Table13[[#This Row],[Rank]]</f>
        <v>212</v>
      </c>
      <c r="D334" t="s">
        <v>419</v>
      </c>
      <c r="E334" t="s">
        <v>269</v>
      </c>
      <c r="F334" s="1">
        <v>9856</v>
      </c>
      <c r="G334">
        <f>YEAR(Table13[[#This Row],[Date]])</f>
        <v>1926</v>
      </c>
      <c r="H334" t="s">
        <v>268</v>
      </c>
      <c r="I334">
        <f>IF(COUNTIF($E334, _xlfn.CONCAT("*",Table13[[#Headers],[Action]],"*")),1,0)</f>
        <v>1</v>
      </c>
      <c r="J334">
        <f>IF(COUNTIF($E334, _xlfn.CONCAT("*",Table13[[#Headers],[Adventure]],"*")),1,0)</f>
        <v>1</v>
      </c>
      <c r="K334">
        <f>IF(COUNTIF($E334, _xlfn.CONCAT("*",Table13[[#Headers],[Animation]],"*")),1,0)</f>
        <v>0</v>
      </c>
      <c r="L334">
        <f>IF(COUNTIF($E334, _xlfn.CONCAT("*",Table13[[#Headers],[Comedy]],"*")),1,0)</f>
        <v>1</v>
      </c>
      <c r="M334">
        <f>IF(COUNTIF($E334, _xlfn.CONCAT("*",Table13[[#Headers],[Crime]],"*")),1,0)</f>
        <v>0</v>
      </c>
      <c r="N334">
        <f>IF(COUNTIF($E334, _xlfn.CONCAT("*",Table13[[#Headers],[Documentary]],"*")),1,0)</f>
        <v>0</v>
      </c>
      <c r="O334">
        <f>IF(COUNTIF($E334, _xlfn.CONCAT("*",Table13[[#Headers],[Drama]],"*")),1,0)</f>
        <v>0</v>
      </c>
      <c r="P334">
        <f>IF(COUNTIF($E334, _xlfn.CONCAT("*",Table13[[#Headers],[Family]],"*")),1,0)</f>
        <v>0</v>
      </c>
      <c r="Q334">
        <f>IF(COUNTIF($E334, _xlfn.CONCAT("*",Table13[[#Headers],[Fantasy]],"*")),1,0)</f>
        <v>0</v>
      </c>
      <c r="R334">
        <f>IF(COUNTIF($E334, _xlfn.CONCAT("*",Table13[[#Headers],[History]],"*")),1,0)</f>
        <v>1</v>
      </c>
      <c r="S334">
        <f>IF(COUNTIF($E334, _xlfn.CONCAT("*",Table13[[#Headers],[Horror]],"*")),1,0)</f>
        <v>0</v>
      </c>
      <c r="T334">
        <f>IF(COUNTIF($E334, _xlfn.CONCAT("*",Table13[[#Headers],[Music]],"*")),1,0)</f>
        <v>0</v>
      </c>
      <c r="U334">
        <f>IF(COUNTIF($E334, _xlfn.CONCAT("*",Table13[[#Headers],[Mystery]],"*")),1,0)</f>
        <v>0</v>
      </c>
      <c r="V334">
        <f>IF(COUNTIF($E334, _xlfn.CONCAT("*",Table13[[#Headers],[Romance]],"*")),1,0)</f>
        <v>0</v>
      </c>
      <c r="W334">
        <f>IF(COUNTIF($E334, _xlfn.CONCAT("*",Table13[[#Headers],[Science Fiction]],"*")),1,0)</f>
        <v>0</v>
      </c>
      <c r="X334">
        <f>IF(COUNTIF($E334, _xlfn.CONCAT("*",Table13[[#Headers],[TV Movie]],"*")),1,0)</f>
        <v>0</v>
      </c>
      <c r="Y334">
        <f>IF(COUNTIF($E334, _xlfn.CONCAT("*",Table13[[#Headers],[Thriller]],"*")),1,0)</f>
        <v>0</v>
      </c>
      <c r="Z334">
        <f>IF(COUNTIF($E334, _xlfn.CONCAT("*",Table13[[#Headers],[War]],"*")),1,0)</f>
        <v>1</v>
      </c>
      <c r="AA334">
        <f>IF(COUNTIF($E334, _xlfn.CONCAT("*",Table13[[#Headers],[Western]],"*")),1,0)</f>
        <v>0</v>
      </c>
    </row>
    <row r="335" spans="1:27">
      <c r="A335" t="s">
        <v>376</v>
      </c>
      <c r="B335">
        <v>51</v>
      </c>
      <c r="C335">
        <f>MAX(Table13[Rank])-Table13[[#This Row],[Rank]]</f>
        <v>213</v>
      </c>
      <c r="D335" t="s">
        <v>419</v>
      </c>
      <c r="E335" t="s">
        <v>81</v>
      </c>
      <c r="F335" s="1">
        <v>29082</v>
      </c>
      <c r="G335">
        <f>YEAR(Table13[[#This Row],[Date]])</f>
        <v>1979</v>
      </c>
      <c r="H335" t="s">
        <v>376</v>
      </c>
      <c r="I335">
        <f>IF(COUNTIF($E335, _xlfn.CONCAT("*",Table13[[#Headers],[Action]],"*")),1,0)</f>
        <v>0</v>
      </c>
      <c r="J335">
        <f>IF(COUNTIF($E335, _xlfn.CONCAT("*",Table13[[#Headers],[Adventure]],"*")),1,0)</f>
        <v>0</v>
      </c>
      <c r="K335">
        <f>IF(COUNTIF($E335, _xlfn.CONCAT("*",Table13[[#Headers],[Animation]],"*")),1,0)</f>
        <v>0</v>
      </c>
      <c r="L335">
        <f>IF(COUNTIF($E335, _xlfn.CONCAT("*",Table13[[#Headers],[Comedy]],"*")),1,0)</f>
        <v>0</v>
      </c>
      <c r="M335">
        <f>IF(COUNTIF($E335, _xlfn.CONCAT("*",Table13[[#Headers],[Crime]],"*")),1,0)</f>
        <v>0</v>
      </c>
      <c r="N335">
        <f>IF(COUNTIF($E335, _xlfn.CONCAT("*",Table13[[#Headers],[Documentary]],"*")),1,0)</f>
        <v>0</v>
      </c>
      <c r="O335">
        <f>IF(COUNTIF($E335, _xlfn.CONCAT("*",Table13[[#Headers],[Drama]],"*")),1,0)</f>
        <v>1</v>
      </c>
      <c r="P335">
        <f>IF(COUNTIF($E335, _xlfn.CONCAT("*",Table13[[#Headers],[Family]],"*")),1,0)</f>
        <v>0</v>
      </c>
      <c r="Q335">
        <f>IF(COUNTIF($E335, _xlfn.CONCAT("*",Table13[[#Headers],[Fantasy]],"*")),1,0)</f>
        <v>0</v>
      </c>
      <c r="R335">
        <f>IF(COUNTIF($E335, _xlfn.CONCAT("*",Table13[[#Headers],[History]],"*")),1,0)</f>
        <v>0</v>
      </c>
      <c r="S335">
        <f>IF(COUNTIF($E335, _xlfn.CONCAT("*",Table13[[#Headers],[Horror]],"*")),1,0)</f>
        <v>0</v>
      </c>
      <c r="T335">
        <f>IF(COUNTIF($E335, _xlfn.CONCAT("*",Table13[[#Headers],[Music]],"*")),1,0)</f>
        <v>0</v>
      </c>
      <c r="U335">
        <f>IF(COUNTIF($E335, _xlfn.CONCAT("*",Table13[[#Headers],[Mystery]],"*")),1,0)</f>
        <v>0</v>
      </c>
      <c r="V335">
        <f>IF(COUNTIF($E335, _xlfn.CONCAT("*",Table13[[#Headers],[Romance]],"*")),1,0)</f>
        <v>0</v>
      </c>
      <c r="W335">
        <f>IF(COUNTIF($E335, _xlfn.CONCAT("*",Table13[[#Headers],[Science Fiction]],"*")),1,0)</f>
        <v>0</v>
      </c>
      <c r="X335">
        <f>IF(COUNTIF($E335, _xlfn.CONCAT("*",Table13[[#Headers],[TV Movie]],"*")),1,0)</f>
        <v>0</v>
      </c>
      <c r="Y335">
        <f>IF(COUNTIF($E335, _xlfn.CONCAT("*",Table13[[#Headers],[Thriller]],"*")),1,0)</f>
        <v>0</v>
      </c>
      <c r="Z335">
        <f>IF(COUNTIF($E335, _xlfn.CONCAT("*",Table13[[#Headers],[War]],"*")),1,0)</f>
        <v>1</v>
      </c>
      <c r="AA335">
        <f>IF(COUNTIF($E335, _xlfn.CONCAT("*",Table13[[#Headers],[Western]],"*")),1,0)</f>
        <v>0</v>
      </c>
    </row>
    <row r="336" spans="1:27">
      <c r="A336" t="s">
        <v>467</v>
      </c>
      <c r="B336">
        <v>50</v>
      </c>
      <c r="C336">
        <f>MAX(Table13[Rank])-Table13[[#This Row],[Rank]]</f>
        <v>214</v>
      </c>
      <c r="D336" t="s">
        <v>419</v>
      </c>
      <c r="E336" t="s">
        <v>468</v>
      </c>
      <c r="F336" s="1">
        <v>30449</v>
      </c>
      <c r="G336">
        <f>YEAR(Table13[[#This Row],[Date]])</f>
        <v>1983</v>
      </c>
      <c r="H336" t="s">
        <v>467</v>
      </c>
      <c r="I336">
        <f>IF(COUNTIF($E336, _xlfn.CONCAT("*",Table13[[#Headers],[Action]],"*")),1,0)</f>
        <v>1</v>
      </c>
      <c r="J336">
        <f>IF(COUNTIF($E336, _xlfn.CONCAT("*",Table13[[#Headers],[Adventure]],"*")),1,0)</f>
        <v>0</v>
      </c>
      <c r="K336">
        <f>IF(COUNTIF($E336, _xlfn.CONCAT("*",Table13[[#Headers],[Animation]],"*")),1,0)</f>
        <v>0</v>
      </c>
      <c r="L336">
        <f>IF(COUNTIF($E336, _xlfn.CONCAT("*",Table13[[#Headers],[Comedy]],"*")),1,0)</f>
        <v>0</v>
      </c>
      <c r="M336">
        <f>IF(COUNTIF($E336, _xlfn.CONCAT("*",Table13[[#Headers],[Crime]],"*")),1,0)</f>
        <v>0</v>
      </c>
      <c r="N336">
        <f>IF(COUNTIF($E336, _xlfn.CONCAT("*",Table13[[#Headers],[Documentary]],"*")),1,0)</f>
        <v>0</v>
      </c>
      <c r="O336">
        <f>IF(COUNTIF($E336, _xlfn.CONCAT("*",Table13[[#Headers],[Drama]],"*")),1,0)</f>
        <v>1</v>
      </c>
      <c r="P336">
        <f>IF(COUNTIF($E336, _xlfn.CONCAT("*",Table13[[#Headers],[Family]],"*")),1,0)</f>
        <v>0</v>
      </c>
      <c r="Q336">
        <f>IF(COUNTIF($E336, _xlfn.CONCAT("*",Table13[[#Headers],[Fantasy]],"*")),1,0)</f>
        <v>0</v>
      </c>
      <c r="R336">
        <f>IF(COUNTIF($E336, _xlfn.CONCAT("*",Table13[[#Headers],[History]],"*")),1,0)</f>
        <v>0</v>
      </c>
      <c r="S336">
        <f>IF(COUNTIF($E336, _xlfn.CONCAT("*",Table13[[#Headers],[Horror]],"*")),1,0)</f>
        <v>0</v>
      </c>
      <c r="T336">
        <f>IF(COUNTIF($E336, _xlfn.CONCAT("*",Table13[[#Headers],[Music]],"*")),1,0)</f>
        <v>0</v>
      </c>
      <c r="U336">
        <f>IF(COUNTIF($E336, _xlfn.CONCAT("*",Table13[[#Headers],[Mystery]],"*")),1,0)</f>
        <v>0</v>
      </c>
      <c r="V336">
        <f>IF(COUNTIF($E336, _xlfn.CONCAT("*",Table13[[#Headers],[Romance]],"*")),1,0)</f>
        <v>1</v>
      </c>
      <c r="W336">
        <f>IF(COUNTIF($E336, _xlfn.CONCAT("*",Table13[[#Headers],[Science Fiction]],"*")),1,0)</f>
        <v>0</v>
      </c>
      <c r="X336">
        <f>IF(COUNTIF($E336, _xlfn.CONCAT("*",Table13[[#Headers],[TV Movie]],"*")),1,0)</f>
        <v>0</v>
      </c>
      <c r="Y336">
        <f>IF(COUNTIF($E336, _xlfn.CONCAT("*",Table13[[#Headers],[Thriller]],"*")),1,0)</f>
        <v>0</v>
      </c>
      <c r="Z336">
        <f>IF(COUNTIF($E336, _xlfn.CONCAT("*",Table13[[#Headers],[War]],"*")),1,0)</f>
        <v>0</v>
      </c>
      <c r="AA336">
        <f>IF(COUNTIF($E336, _xlfn.CONCAT("*",Table13[[#Headers],[Western]],"*")),1,0)</f>
        <v>0</v>
      </c>
    </row>
    <row r="337" spans="1:27">
      <c r="A337" t="s">
        <v>237</v>
      </c>
      <c r="B337">
        <v>49</v>
      </c>
      <c r="C337">
        <f>MAX(Table13[Rank])-Table13[[#This Row],[Rank]]</f>
        <v>215</v>
      </c>
      <c r="D337" t="s">
        <v>419</v>
      </c>
      <c r="E337" t="s">
        <v>29</v>
      </c>
      <c r="F337" s="1">
        <v>27303</v>
      </c>
      <c r="G337">
        <f>YEAR(Table13[[#This Row],[Date]])</f>
        <v>1974</v>
      </c>
      <c r="H337" t="s">
        <v>237</v>
      </c>
      <c r="I337">
        <f>IF(COUNTIF($E337, _xlfn.CONCAT("*",Table13[[#Headers],[Action]],"*")),1,0)</f>
        <v>0</v>
      </c>
      <c r="J337">
        <f>IF(COUNTIF($E337, _xlfn.CONCAT("*",Table13[[#Headers],[Adventure]],"*")),1,0)</f>
        <v>0</v>
      </c>
      <c r="K337">
        <f>IF(COUNTIF($E337, _xlfn.CONCAT("*",Table13[[#Headers],[Animation]],"*")),1,0)</f>
        <v>0</v>
      </c>
      <c r="L337">
        <f>IF(COUNTIF($E337, _xlfn.CONCAT("*",Table13[[#Headers],[Comedy]],"*")),1,0)</f>
        <v>0</v>
      </c>
      <c r="M337">
        <f>IF(COUNTIF($E337, _xlfn.CONCAT("*",Table13[[#Headers],[Crime]],"*")),1,0)</f>
        <v>0</v>
      </c>
      <c r="N337">
        <f>IF(COUNTIF($E337, _xlfn.CONCAT("*",Table13[[#Headers],[Documentary]],"*")),1,0)</f>
        <v>0</v>
      </c>
      <c r="O337">
        <f>IF(COUNTIF($E337, _xlfn.CONCAT("*",Table13[[#Headers],[Drama]],"*")),1,0)</f>
        <v>0</v>
      </c>
      <c r="P337">
        <f>IF(COUNTIF($E337, _xlfn.CONCAT("*",Table13[[#Headers],[Family]],"*")),1,0)</f>
        <v>0</v>
      </c>
      <c r="Q337">
        <f>IF(COUNTIF($E337, _xlfn.CONCAT("*",Table13[[#Headers],[Fantasy]],"*")),1,0)</f>
        <v>0</v>
      </c>
      <c r="R337">
        <f>IF(COUNTIF($E337, _xlfn.CONCAT("*",Table13[[#Headers],[History]],"*")),1,0)</f>
        <v>0</v>
      </c>
      <c r="S337">
        <f>IF(COUNTIF($E337, _xlfn.CONCAT("*",Table13[[#Headers],[Horror]],"*")),1,0)</f>
        <v>1</v>
      </c>
      <c r="T337">
        <f>IF(COUNTIF($E337, _xlfn.CONCAT("*",Table13[[#Headers],[Music]],"*")),1,0)</f>
        <v>0</v>
      </c>
      <c r="U337">
        <f>IF(COUNTIF($E337, _xlfn.CONCAT("*",Table13[[#Headers],[Mystery]],"*")),1,0)</f>
        <v>0</v>
      </c>
      <c r="V337">
        <f>IF(COUNTIF($E337, _xlfn.CONCAT("*",Table13[[#Headers],[Romance]],"*")),1,0)</f>
        <v>0</v>
      </c>
      <c r="W337">
        <f>IF(COUNTIF($E337, _xlfn.CONCAT("*",Table13[[#Headers],[Science Fiction]],"*")),1,0)</f>
        <v>0</v>
      </c>
      <c r="X337">
        <f>IF(COUNTIF($E337, _xlfn.CONCAT("*",Table13[[#Headers],[TV Movie]],"*")),1,0)</f>
        <v>0</v>
      </c>
      <c r="Y337">
        <f>IF(COUNTIF($E337, _xlfn.CONCAT("*",Table13[[#Headers],[Thriller]],"*")),1,0)</f>
        <v>0</v>
      </c>
      <c r="Z337">
        <f>IF(COUNTIF($E337, _xlfn.CONCAT("*",Table13[[#Headers],[War]],"*")),1,0)</f>
        <v>0</v>
      </c>
      <c r="AA337">
        <f>IF(COUNTIF($E337, _xlfn.CONCAT("*",Table13[[#Headers],[Western]],"*")),1,0)</f>
        <v>0</v>
      </c>
    </row>
    <row r="338" spans="1:27">
      <c r="A338" t="s">
        <v>331</v>
      </c>
      <c r="B338">
        <v>48</v>
      </c>
      <c r="C338">
        <f>MAX(Table13[Rank])-Table13[[#This Row],[Rank]]</f>
        <v>216</v>
      </c>
      <c r="D338" t="s">
        <v>419</v>
      </c>
      <c r="E338" t="s">
        <v>35</v>
      </c>
      <c r="F338" s="1">
        <v>34108</v>
      </c>
      <c r="G338">
        <f>YEAR(Table13[[#This Row],[Date]])</f>
        <v>1993</v>
      </c>
      <c r="H338" t="s">
        <v>331</v>
      </c>
      <c r="I338">
        <f>IF(COUNTIF($E338, _xlfn.CONCAT("*",Table13[[#Headers],[Action]],"*")),1,0)</f>
        <v>0</v>
      </c>
      <c r="J338">
        <f>IF(COUNTIF($E338, _xlfn.CONCAT("*",Table13[[#Headers],[Adventure]],"*")),1,0)</f>
        <v>0</v>
      </c>
      <c r="K338">
        <f>IF(COUNTIF($E338, _xlfn.CONCAT("*",Table13[[#Headers],[Animation]],"*")),1,0)</f>
        <v>0</v>
      </c>
      <c r="L338">
        <f>IF(COUNTIF($E338, _xlfn.CONCAT("*",Table13[[#Headers],[Comedy]],"*")),1,0)</f>
        <v>0</v>
      </c>
      <c r="M338">
        <f>IF(COUNTIF($E338, _xlfn.CONCAT("*",Table13[[#Headers],[Crime]],"*")),1,0)</f>
        <v>0</v>
      </c>
      <c r="N338">
        <f>IF(COUNTIF($E338, _xlfn.CONCAT("*",Table13[[#Headers],[Documentary]],"*")),1,0)</f>
        <v>0</v>
      </c>
      <c r="O338">
        <f>IF(COUNTIF($E338, _xlfn.CONCAT("*",Table13[[#Headers],[Drama]],"*")),1,0)</f>
        <v>1</v>
      </c>
      <c r="P338">
        <f>IF(COUNTIF($E338, _xlfn.CONCAT("*",Table13[[#Headers],[Family]],"*")),1,0)</f>
        <v>0</v>
      </c>
      <c r="Q338">
        <f>IF(COUNTIF($E338, _xlfn.CONCAT("*",Table13[[#Headers],[Fantasy]],"*")),1,0)</f>
        <v>0</v>
      </c>
      <c r="R338">
        <f>IF(COUNTIF($E338, _xlfn.CONCAT("*",Table13[[#Headers],[History]],"*")),1,0)</f>
        <v>0</v>
      </c>
      <c r="S338">
        <f>IF(COUNTIF($E338, _xlfn.CONCAT("*",Table13[[#Headers],[Horror]],"*")),1,0)</f>
        <v>0</v>
      </c>
      <c r="T338">
        <f>IF(COUNTIF($E338, _xlfn.CONCAT("*",Table13[[#Headers],[Music]],"*")),1,0)</f>
        <v>0</v>
      </c>
      <c r="U338">
        <f>IF(COUNTIF($E338, _xlfn.CONCAT("*",Table13[[#Headers],[Mystery]],"*")),1,0)</f>
        <v>0</v>
      </c>
      <c r="V338">
        <f>IF(COUNTIF($E338, _xlfn.CONCAT("*",Table13[[#Headers],[Romance]],"*")),1,0)</f>
        <v>1</v>
      </c>
      <c r="W338">
        <f>IF(COUNTIF($E338, _xlfn.CONCAT("*",Table13[[#Headers],[Science Fiction]],"*")),1,0)</f>
        <v>0</v>
      </c>
      <c r="X338">
        <f>IF(COUNTIF($E338, _xlfn.CONCAT("*",Table13[[#Headers],[TV Movie]],"*")),1,0)</f>
        <v>0</v>
      </c>
      <c r="Y338">
        <f>IF(COUNTIF($E338, _xlfn.CONCAT("*",Table13[[#Headers],[Thriller]],"*")),1,0)</f>
        <v>0</v>
      </c>
      <c r="Z338">
        <f>IF(COUNTIF($E338, _xlfn.CONCAT("*",Table13[[#Headers],[War]],"*")),1,0)</f>
        <v>0</v>
      </c>
      <c r="AA338">
        <f>IF(COUNTIF($E338, _xlfn.CONCAT("*",Table13[[#Headers],[Western]],"*")),1,0)</f>
        <v>0</v>
      </c>
    </row>
    <row r="339" spans="1:27">
      <c r="A339" t="s">
        <v>469</v>
      </c>
      <c r="B339">
        <v>47</v>
      </c>
      <c r="C339">
        <f>MAX(Table13[Rank])-Table13[[#This Row],[Rank]]</f>
        <v>217</v>
      </c>
      <c r="D339" t="s">
        <v>419</v>
      </c>
      <c r="E339" t="s">
        <v>166</v>
      </c>
      <c r="F339" s="1">
        <v>26951</v>
      </c>
      <c r="G339">
        <f>YEAR(Table13[[#This Row],[Date]])</f>
        <v>1973</v>
      </c>
      <c r="H339" t="s">
        <v>469</v>
      </c>
      <c r="I339">
        <f>IF(COUNTIF($E339, _xlfn.CONCAT("*",Table13[[#Headers],[Action]],"*")),1,0)</f>
        <v>0</v>
      </c>
      <c r="J339">
        <f>IF(COUNTIF($E339, _xlfn.CONCAT("*",Table13[[#Headers],[Adventure]],"*")),1,0)</f>
        <v>0</v>
      </c>
      <c r="K339">
        <f>IF(COUNTIF($E339, _xlfn.CONCAT("*",Table13[[#Headers],[Animation]],"*")),1,0)</f>
        <v>0</v>
      </c>
      <c r="L339">
        <f>IF(COUNTIF($E339, _xlfn.CONCAT("*",Table13[[#Headers],[Comedy]],"*")),1,0)</f>
        <v>0</v>
      </c>
      <c r="M339">
        <f>IF(COUNTIF($E339, _xlfn.CONCAT("*",Table13[[#Headers],[Crime]],"*")),1,0)</f>
        <v>1</v>
      </c>
      <c r="N339">
        <f>IF(COUNTIF($E339, _xlfn.CONCAT("*",Table13[[#Headers],[Documentary]],"*")),1,0)</f>
        <v>0</v>
      </c>
      <c r="O339">
        <f>IF(COUNTIF($E339, _xlfn.CONCAT("*",Table13[[#Headers],[Drama]],"*")),1,0)</f>
        <v>1</v>
      </c>
      <c r="P339">
        <f>IF(COUNTIF($E339, _xlfn.CONCAT("*",Table13[[#Headers],[Family]],"*")),1,0)</f>
        <v>0</v>
      </c>
      <c r="Q339">
        <f>IF(COUNTIF($E339, _xlfn.CONCAT("*",Table13[[#Headers],[Fantasy]],"*")),1,0)</f>
        <v>0</v>
      </c>
      <c r="R339">
        <f>IF(COUNTIF($E339, _xlfn.CONCAT("*",Table13[[#Headers],[History]],"*")),1,0)</f>
        <v>0</v>
      </c>
      <c r="S339">
        <f>IF(COUNTIF($E339, _xlfn.CONCAT("*",Table13[[#Headers],[Horror]],"*")),1,0)</f>
        <v>0</v>
      </c>
      <c r="T339">
        <f>IF(COUNTIF($E339, _xlfn.CONCAT("*",Table13[[#Headers],[Music]],"*")),1,0)</f>
        <v>0</v>
      </c>
      <c r="U339">
        <f>IF(COUNTIF($E339, _xlfn.CONCAT("*",Table13[[#Headers],[Mystery]],"*")),1,0)</f>
        <v>0</v>
      </c>
      <c r="V339">
        <f>IF(COUNTIF($E339, _xlfn.CONCAT("*",Table13[[#Headers],[Romance]],"*")),1,0)</f>
        <v>0</v>
      </c>
      <c r="W339">
        <f>IF(COUNTIF($E339, _xlfn.CONCAT("*",Table13[[#Headers],[Science Fiction]],"*")),1,0)</f>
        <v>0</v>
      </c>
      <c r="X339">
        <f>IF(COUNTIF($E339, _xlfn.CONCAT("*",Table13[[#Headers],[TV Movie]],"*")),1,0)</f>
        <v>0</v>
      </c>
      <c r="Y339">
        <f>IF(COUNTIF($E339, _xlfn.CONCAT("*",Table13[[#Headers],[Thriller]],"*")),1,0)</f>
        <v>0</v>
      </c>
      <c r="Z339">
        <f>IF(COUNTIF($E339, _xlfn.CONCAT("*",Table13[[#Headers],[War]],"*")),1,0)</f>
        <v>0</v>
      </c>
      <c r="AA339">
        <f>IF(COUNTIF($E339, _xlfn.CONCAT("*",Table13[[#Headers],[Western]],"*")),1,0)</f>
        <v>0</v>
      </c>
    </row>
    <row r="340" spans="1:27">
      <c r="A340" t="s">
        <v>212</v>
      </c>
      <c r="B340">
        <v>46</v>
      </c>
      <c r="C340">
        <f>MAX(Table13[Rank])-Table13[[#This Row],[Rank]]</f>
        <v>218</v>
      </c>
      <c r="D340" t="s">
        <v>419</v>
      </c>
      <c r="E340" t="s">
        <v>213</v>
      </c>
      <c r="F340" s="1">
        <v>39829</v>
      </c>
      <c r="G340">
        <f>YEAR(Table13[[#This Row],[Date]])</f>
        <v>2009</v>
      </c>
      <c r="H340" t="s">
        <v>212</v>
      </c>
      <c r="I340">
        <f>IF(COUNTIF($E340, _xlfn.CONCAT("*",Table13[[#Headers],[Action]],"*")),1,0)</f>
        <v>0</v>
      </c>
      <c r="J340">
        <f>IF(COUNTIF($E340, _xlfn.CONCAT("*",Table13[[#Headers],[Adventure]],"*")),1,0)</f>
        <v>0</v>
      </c>
      <c r="K340">
        <f>IF(COUNTIF($E340, _xlfn.CONCAT("*",Table13[[#Headers],[Animation]],"*")),1,0)</f>
        <v>0</v>
      </c>
      <c r="L340">
        <f>IF(COUNTIF($E340, _xlfn.CONCAT("*",Table13[[#Headers],[Comedy]],"*")),1,0)</f>
        <v>0</v>
      </c>
      <c r="M340">
        <f>IF(COUNTIF($E340, _xlfn.CONCAT("*",Table13[[#Headers],[Crime]],"*")),1,0)</f>
        <v>0</v>
      </c>
      <c r="N340">
        <f>IF(COUNTIF($E340, _xlfn.CONCAT("*",Table13[[#Headers],[Documentary]],"*")),1,0)</f>
        <v>0</v>
      </c>
      <c r="O340">
        <f>IF(COUNTIF($E340, _xlfn.CONCAT("*",Table13[[#Headers],[Drama]],"*")),1,0)</f>
        <v>1</v>
      </c>
      <c r="P340">
        <f>IF(COUNTIF($E340, _xlfn.CONCAT("*",Table13[[#Headers],[Family]],"*")),1,0)</f>
        <v>0</v>
      </c>
      <c r="Q340">
        <f>IF(COUNTIF($E340, _xlfn.CONCAT("*",Table13[[#Headers],[Fantasy]],"*")),1,0)</f>
        <v>0</v>
      </c>
      <c r="R340">
        <f>IF(COUNTIF($E340, _xlfn.CONCAT("*",Table13[[#Headers],[History]],"*")),1,0)</f>
        <v>1</v>
      </c>
      <c r="S340">
        <f>IF(COUNTIF($E340, _xlfn.CONCAT("*",Table13[[#Headers],[Horror]],"*")),1,0)</f>
        <v>0</v>
      </c>
      <c r="T340">
        <f>IF(COUNTIF($E340, _xlfn.CONCAT("*",Table13[[#Headers],[Music]],"*")),1,0)</f>
        <v>1</v>
      </c>
      <c r="U340">
        <f>IF(COUNTIF($E340, _xlfn.CONCAT("*",Table13[[#Headers],[Mystery]],"*")),1,0)</f>
        <v>0</v>
      </c>
      <c r="V340">
        <f>IF(COUNTIF($E340, _xlfn.CONCAT("*",Table13[[#Headers],[Romance]],"*")),1,0)</f>
        <v>0</v>
      </c>
      <c r="W340">
        <f>IF(COUNTIF($E340, _xlfn.CONCAT("*",Table13[[#Headers],[Science Fiction]],"*")),1,0)</f>
        <v>0</v>
      </c>
      <c r="X340">
        <f>IF(COUNTIF($E340, _xlfn.CONCAT("*",Table13[[#Headers],[TV Movie]],"*")),1,0)</f>
        <v>0</v>
      </c>
      <c r="Y340">
        <f>IF(COUNTIF($E340, _xlfn.CONCAT("*",Table13[[#Headers],[Thriller]],"*")),1,0)</f>
        <v>0</v>
      </c>
      <c r="Z340">
        <f>IF(COUNTIF($E340, _xlfn.CONCAT("*",Table13[[#Headers],[War]],"*")),1,0)</f>
        <v>0</v>
      </c>
      <c r="AA340">
        <f>IF(COUNTIF($E340, _xlfn.CONCAT("*",Table13[[#Headers],[Western]],"*")),1,0)</f>
        <v>0</v>
      </c>
    </row>
    <row r="341" spans="1:27">
      <c r="A341" t="s">
        <v>470</v>
      </c>
      <c r="B341">
        <v>45</v>
      </c>
      <c r="C341">
        <f>MAX(Table13[Rank])-Table13[[#This Row],[Rank]]</f>
        <v>219</v>
      </c>
      <c r="D341" t="s">
        <v>419</v>
      </c>
      <c r="E341" t="s">
        <v>35</v>
      </c>
      <c r="F341" s="1">
        <v>35752</v>
      </c>
      <c r="G341">
        <f>YEAR(Table13[[#This Row],[Date]])</f>
        <v>1997</v>
      </c>
      <c r="H341" t="s">
        <v>470</v>
      </c>
      <c r="I341">
        <f>IF(COUNTIF($E341, _xlfn.CONCAT("*",Table13[[#Headers],[Action]],"*")),1,0)</f>
        <v>0</v>
      </c>
      <c r="J341">
        <f>IF(COUNTIF($E341, _xlfn.CONCAT("*",Table13[[#Headers],[Adventure]],"*")),1,0)</f>
        <v>0</v>
      </c>
      <c r="K341">
        <f>IF(COUNTIF($E341, _xlfn.CONCAT("*",Table13[[#Headers],[Animation]],"*")),1,0)</f>
        <v>0</v>
      </c>
      <c r="L341">
        <f>IF(COUNTIF($E341, _xlfn.CONCAT("*",Table13[[#Headers],[Comedy]],"*")),1,0)</f>
        <v>0</v>
      </c>
      <c r="M341">
        <f>IF(COUNTIF($E341, _xlfn.CONCAT("*",Table13[[#Headers],[Crime]],"*")),1,0)</f>
        <v>0</v>
      </c>
      <c r="N341">
        <f>IF(COUNTIF($E341, _xlfn.CONCAT("*",Table13[[#Headers],[Documentary]],"*")),1,0)</f>
        <v>0</v>
      </c>
      <c r="O341">
        <f>IF(COUNTIF($E341, _xlfn.CONCAT("*",Table13[[#Headers],[Drama]],"*")),1,0)</f>
        <v>1</v>
      </c>
      <c r="P341">
        <f>IF(COUNTIF($E341, _xlfn.CONCAT("*",Table13[[#Headers],[Family]],"*")),1,0)</f>
        <v>0</v>
      </c>
      <c r="Q341">
        <f>IF(COUNTIF($E341, _xlfn.CONCAT("*",Table13[[#Headers],[Fantasy]],"*")),1,0)</f>
        <v>0</v>
      </c>
      <c r="R341">
        <f>IF(COUNTIF($E341, _xlfn.CONCAT("*",Table13[[#Headers],[History]],"*")),1,0)</f>
        <v>0</v>
      </c>
      <c r="S341">
        <f>IF(COUNTIF($E341, _xlfn.CONCAT("*",Table13[[#Headers],[Horror]],"*")),1,0)</f>
        <v>0</v>
      </c>
      <c r="T341">
        <f>IF(COUNTIF($E341, _xlfn.CONCAT("*",Table13[[#Headers],[Music]],"*")),1,0)</f>
        <v>0</v>
      </c>
      <c r="U341">
        <f>IF(COUNTIF($E341, _xlfn.CONCAT("*",Table13[[#Headers],[Mystery]],"*")),1,0)</f>
        <v>0</v>
      </c>
      <c r="V341">
        <f>IF(COUNTIF($E341, _xlfn.CONCAT("*",Table13[[#Headers],[Romance]],"*")),1,0)</f>
        <v>1</v>
      </c>
      <c r="W341">
        <f>IF(COUNTIF($E341, _xlfn.CONCAT("*",Table13[[#Headers],[Science Fiction]],"*")),1,0)</f>
        <v>0</v>
      </c>
      <c r="X341">
        <f>IF(COUNTIF($E341, _xlfn.CONCAT("*",Table13[[#Headers],[TV Movie]],"*")),1,0)</f>
        <v>0</v>
      </c>
      <c r="Y341">
        <f>IF(COUNTIF($E341, _xlfn.CONCAT("*",Table13[[#Headers],[Thriller]],"*")),1,0)</f>
        <v>0</v>
      </c>
      <c r="Z341">
        <f>IF(COUNTIF($E341, _xlfn.CONCAT("*",Table13[[#Headers],[War]],"*")),1,0)</f>
        <v>0</v>
      </c>
      <c r="AA341">
        <f>IF(COUNTIF($E341, _xlfn.CONCAT("*",Table13[[#Headers],[Western]],"*")),1,0)</f>
        <v>0</v>
      </c>
    </row>
    <row r="342" spans="1:27">
      <c r="A342" t="s">
        <v>471</v>
      </c>
      <c r="B342">
        <v>44</v>
      </c>
      <c r="C342">
        <f>MAX(Table13[Rank])-Table13[[#This Row],[Rank]]</f>
        <v>220</v>
      </c>
      <c r="D342" t="s">
        <v>419</v>
      </c>
      <c r="E342" t="s">
        <v>303</v>
      </c>
      <c r="F342" s="1">
        <v>22173</v>
      </c>
      <c r="G342">
        <f>YEAR(Table13[[#This Row],[Date]])</f>
        <v>1960</v>
      </c>
      <c r="H342" t="s">
        <v>471</v>
      </c>
      <c r="I342">
        <f>IF(COUNTIF($E342, _xlfn.CONCAT("*",Table13[[#Headers],[Action]],"*")),1,0)</f>
        <v>0</v>
      </c>
      <c r="J342">
        <f>IF(COUNTIF($E342, _xlfn.CONCAT("*",Table13[[#Headers],[Adventure]],"*")),1,0)</f>
        <v>0</v>
      </c>
      <c r="K342">
        <f>IF(COUNTIF($E342, _xlfn.CONCAT("*",Table13[[#Headers],[Animation]],"*")),1,0)</f>
        <v>0</v>
      </c>
      <c r="L342">
        <f>IF(COUNTIF($E342, _xlfn.CONCAT("*",Table13[[#Headers],[Comedy]],"*")),1,0)</f>
        <v>0</v>
      </c>
      <c r="M342">
        <f>IF(COUNTIF($E342, _xlfn.CONCAT("*",Table13[[#Headers],[Crime]],"*")),1,0)</f>
        <v>0</v>
      </c>
      <c r="N342">
        <f>IF(COUNTIF($E342, _xlfn.CONCAT("*",Table13[[#Headers],[Documentary]],"*")),1,0)</f>
        <v>0</v>
      </c>
      <c r="O342">
        <f>IF(COUNTIF($E342, _xlfn.CONCAT("*",Table13[[#Headers],[Drama]],"*")),1,0)</f>
        <v>1</v>
      </c>
      <c r="P342">
        <f>IF(COUNTIF($E342, _xlfn.CONCAT("*",Table13[[#Headers],[Family]],"*")),1,0)</f>
        <v>0</v>
      </c>
      <c r="Q342">
        <f>IF(COUNTIF($E342, _xlfn.CONCAT("*",Table13[[#Headers],[Fantasy]],"*")),1,0)</f>
        <v>0</v>
      </c>
      <c r="R342">
        <f>IF(COUNTIF($E342, _xlfn.CONCAT("*",Table13[[#Headers],[History]],"*")),1,0)</f>
        <v>0</v>
      </c>
      <c r="S342">
        <f>IF(COUNTIF($E342, _xlfn.CONCAT("*",Table13[[#Headers],[Horror]],"*")),1,0)</f>
        <v>0</v>
      </c>
      <c r="T342">
        <f>IF(COUNTIF($E342, _xlfn.CONCAT("*",Table13[[#Headers],[Music]],"*")),1,0)</f>
        <v>0</v>
      </c>
      <c r="U342">
        <f>IF(COUNTIF($E342, _xlfn.CONCAT("*",Table13[[#Headers],[Mystery]],"*")),1,0)</f>
        <v>1</v>
      </c>
      <c r="V342">
        <f>IF(COUNTIF($E342, _xlfn.CONCAT("*",Table13[[#Headers],[Romance]],"*")),1,0)</f>
        <v>0</v>
      </c>
      <c r="W342">
        <f>IF(COUNTIF($E342, _xlfn.CONCAT("*",Table13[[#Headers],[Science Fiction]],"*")),1,0)</f>
        <v>0</v>
      </c>
      <c r="X342">
        <f>IF(COUNTIF($E342, _xlfn.CONCAT("*",Table13[[#Headers],[TV Movie]],"*")),1,0)</f>
        <v>0</v>
      </c>
      <c r="Y342">
        <f>IF(COUNTIF($E342, _xlfn.CONCAT("*",Table13[[#Headers],[Thriller]],"*")),1,0)</f>
        <v>0</v>
      </c>
      <c r="Z342">
        <f>IF(COUNTIF($E342, _xlfn.CONCAT("*",Table13[[#Headers],[War]],"*")),1,0)</f>
        <v>0</v>
      </c>
      <c r="AA342">
        <f>IF(COUNTIF($E342, _xlfn.CONCAT("*",Table13[[#Headers],[Western]],"*")),1,0)</f>
        <v>0</v>
      </c>
    </row>
    <row r="343" spans="1:27">
      <c r="A343" t="s">
        <v>364</v>
      </c>
      <c r="B343">
        <v>43</v>
      </c>
      <c r="C343">
        <f>MAX(Table13[Rank])-Table13[[#This Row],[Rank]]</f>
        <v>221</v>
      </c>
      <c r="D343" t="s">
        <v>419</v>
      </c>
      <c r="E343" t="s">
        <v>365</v>
      </c>
      <c r="F343" s="1">
        <v>31158</v>
      </c>
      <c r="G343">
        <f>YEAR(Table13[[#This Row],[Date]])</f>
        <v>1985</v>
      </c>
      <c r="H343" t="s">
        <v>364</v>
      </c>
      <c r="I343">
        <f>IF(COUNTIF($E343, _xlfn.CONCAT("*",Table13[[#Headers],[Action]],"*")),1,0)</f>
        <v>0</v>
      </c>
      <c r="J343">
        <f>IF(COUNTIF($E343, _xlfn.CONCAT("*",Table13[[#Headers],[Adventure]],"*")),1,0)</f>
        <v>0</v>
      </c>
      <c r="K343">
        <f>IF(COUNTIF($E343, _xlfn.CONCAT("*",Table13[[#Headers],[Animation]],"*")),1,0)</f>
        <v>0</v>
      </c>
      <c r="L343">
        <f>IF(COUNTIF($E343, _xlfn.CONCAT("*",Table13[[#Headers],[Comedy]],"*")),1,0)</f>
        <v>0</v>
      </c>
      <c r="M343">
        <f>IF(COUNTIF($E343, _xlfn.CONCAT("*",Table13[[#Headers],[Crime]],"*")),1,0)</f>
        <v>0</v>
      </c>
      <c r="N343">
        <f>IF(COUNTIF($E343, _xlfn.CONCAT("*",Table13[[#Headers],[Documentary]],"*")),1,0)</f>
        <v>1</v>
      </c>
      <c r="O343">
        <f>IF(COUNTIF($E343, _xlfn.CONCAT("*",Table13[[#Headers],[Drama]],"*")),1,0)</f>
        <v>0</v>
      </c>
      <c r="P343">
        <f>IF(COUNTIF($E343, _xlfn.CONCAT("*",Table13[[#Headers],[Family]],"*")),1,0)</f>
        <v>0</v>
      </c>
      <c r="Q343">
        <f>IF(COUNTIF($E343, _xlfn.CONCAT("*",Table13[[#Headers],[Fantasy]],"*")),1,0)</f>
        <v>0</v>
      </c>
      <c r="R343">
        <f>IF(COUNTIF($E343, _xlfn.CONCAT("*",Table13[[#Headers],[History]],"*")),1,0)</f>
        <v>1</v>
      </c>
      <c r="S343">
        <f>IF(COUNTIF($E343, _xlfn.CONCAT("*",Table13[[#Headers],[Horror]],"*")),1,0)</f>
        <v>0</v>
      </c>
      <c r="T343">
        <f>IF(COUNTIF($E343, _xlfn.CONCAT("*",Table13[[#Headers],[Music]],"*")),1,0)</f>
        <v>0</v>
      </c>
      <c r="U343">
        <f>IF(COUNTIF($E343, _xlfn.CONCAT("*",Table13[[#Headers],[Mystery]],"*")),1,0)</f>
        <v>0</v>
      </c>
      <c r="V343">
        <f>IF(COUNTIF($E343, _xlfn.CONCAT("*",Table13[[#Headers],[Romance]],"*")),1,0)</f>
        <v>0</v>
      </c>
      <c r="W343">
        <f>IF(COUNTIF($E343, _xlfn.CONCAT("*",Table13[[#Headers],[Science Fiction]],"*")),1,0)</f>
        <v>0</v>
      </c>
      <c r="X343">
        <f>IF(COUNTIF($E343, _xlfn.CONCAT("*",Table13[[#Headers],[TV Movie]],"*")),1,0)</f>
        <v>0</v>
      </c>
      <c r="Y343">
        <f>IF(COUNTIF($E343, _xlfn.CONCAT("*",Table13[[#Headers],[Thriller]],"*")),1,0)</f>
        <v>0</v>
      </c>
      <c r="Z343">
        <f>IF(COUNTIF($E343, _xlfn.CONCAT("*",Table13[[#Headers],[War]],"*")),1,0)</f>
        <v>0</v>
      </c>
      <c r="AA343">
        <f>IF(COUNTIF($E343, _xlfn.CONCAT("*",Table13[[#Headers],[Western]],"*")),1,0)</f>
        <v>0</v>
      </c>
    </row>
    <row r="344" spans="1:27">
      <c r="A344" t="s">
        <v>320</v>
      </c>
      <c r="B344">
        <v>42</v>
      </c>
      <c r="C344">
        <f>MAX(Table13[Rank])-Table13[[#This Row],[Rank]]</f>
        <v>222</v>
      </c>
      <c r="D344" t="s">
        <v>419</v>
      </c>
      <c r="E344" t="s">
        <v>21</v>
      </c>
      <c r="F344" s="1">
        <v>42664</v>
      </c>
      <c r="G344">
        <f>YEAR(Table13[[#This Row],[Date]])</f>
        <v>2016</v>
      </c>
      <c r="H344" t="s">
        <v>320</v>
      </c>
      <c r="I344">
        <f>IF(COUNTIF($E344, _xlfn.CONCAT("*",Table13[[#Headers],[Action]],"*")),1,0)</f>
        <v>0</v>
      </c>
      <c r="J344">
        <f>IF(COUNTIF($E344, _xlfn.CONCAT("*",Table13[[#Headers],[Adventure]],"*")),1,0)</f>
        <v>0</v>
      </c>
      <c r="K344">
        <f>IF(COUNTIF($E344, _xlfn.CONCAT("*",Table13[[#Headers],[Animation]],"*")),1,0)</f>
        <v>0</v>
      </c>
      <c r="L344">
        <f>IF(COUNTIF($E344, _xlfn.CONCAT("*",Table13[[#Headers],[Comedy]],"*")),1,0)</f>
        <v>0</v>
      </c>
      <c r="M344">
        <f>IF(COUNTIF($E344, _xlfn.CONCAT("*",Table13[[#Headers],[Crime]],"*")),1,0)</f>
        <v>0</v>
      </c>
      <c r="N344">
        <f>IF(COUNTIF($E344, _xlfn.CONCAT("*",Table13[[#Headers],[Documentary]],"*")),1,0)</f>
        <v>0</v>
      </c>
      <c r="O344">
        <f>IF(COUNTIF($E344, _xlfn.CONCAT("*",Table13[[#Headers],[Drama]],"*")),1,0)</f>
        <v>1</v>
      </c>
      <c r="P344">
        <f>IF(COUNTIF($E344, _xlfn.CONCAT("*",Table13[[#Headers],[Family]],"*")),1,0)</f>
        <v>0</v>
      </c>
      <c r="Q344">
        <f>IF(COUNTIF($E344, _xlfn.CONCAT("*",Table13[[#Headers],[Fantasy]],"*")),1,0)</f>
        <v>0</v>
      </c>
      <c r="R344">
        <f>IF(COUNTIF($E344, _xlfn.CONCAT("*",Table13[[#Headers],[History]],"*")),1,0)</f>
        <v>0</v>
      </c>
      <c r="S344">
        <f>IF(COUNTIF($E344, _xlfn.CONCAT("*",Table13[[#Headers],[Horror]],"*")),1,0)</f>
        <v>0</v>
      </c>
      <c r="T344">
        <f>IF(COUNTIF($E344, _xlfn.CONCAT("*",Table13[[#Headers],[Music]],"*")),1,0)</f>
        <v>0</v>
      </c>
      <c r="U344">
        <f>IF(COUNTIF($E344, _xlfn.CONCAT("*",Table13[[#Headers],[Mystery]],"*")),1,0)</f>
        <v>0</v>
      </c>
      <c r="V344">
        <f>IF(COUNTIF($E344, _xlfn.CONCAT("*",Table13[[#Headers],[Romance]],"*")),1,0)</f>
        <v>0</v>
      </c>
      <c r="W344">
        <f>IF(COUNTIF($E344, _xlfn.CONCAT("*",Table13[[#Headers],[Science Fiction]],"*")),1,0)</f>
        <v>0</v>
      </c>
      <c r="X344">
        <f>IF(COUNTIF($E344, _xlfn.CONCAT("*",Table13[[#Headers],[TV Movie]],"*")),1,0)</f>
        <v>0</v>
      </c>
      <c r="Y344">
        <f>IF(COUNTIF($E344, _xlfn.CONCAT("*",Table13[[#Headers],[Thriller]],"*")),1,0)</f>
        <v>0</v>
      </c>
      <c r="Z344">
        <f>IF(COUNTIF($E344, _xlfn.CONCAT("*",Table13[[#Headers],[War]],"*")),1,0)</f>
        <v>0</v>
      </c>
      <c r="AA344">
        <f>IF(COUNTIF($E344, _xlfn.CONCAT("*",Table13[[#Headers],[Western]],"*")),1,0)</f>
        <v>0</v>
      </c>
    </row>
    <row r="345" spans="1:27">
      <c r="A345" t="s">
        <v>206</v>
      </c>
      <c r="B345">
        <v>41</v>
      </c>
      <c r="C345">
        <f>MAX(Table13[Rank])-Table13[[#This Row],[Rank]]</f>
        <v>223</v>
      </c>
      <c r="D345" t="s">
        <v>419</v>
      </c>
      <c r="E345" t="s">
        <v>141</v>
      </c>
      <c r="F345" s="1">
        <v>25373</v>
      </c>
      <c r="G345">
        <f>YEAR(Table13[[#This Row],[Date]])</f>
        <v>1969</v>
      </c>
      <c r="H345" t="s">
        <v>206</v>
      </c>
      <c r="I345">
        <f>IF(COUNTIF($E345, _xlfn.CONCAT("*",Table13[[#Headers],[Action]],"*")),1,0)</f>
        <v>0</v>
      </c>
      <c r="J345">
        <f>IF(COUNTIF($E345, _xlfn.CONCAT("*",Table13[[#Headers],[Adventure]],"*")),1,0)</f>
        <v>0</v>
      </c>
      <c r="K345">
        <f>IF(COUNTIF($E345, _xlfn.CONCAT("*",Table13[[#Headers],[Animation]],"*")),1,0)</f>
        <v>0</v>
      </c>
      <c r="L345">
        <f>IF(COUNTIF($E345, _xlfn.CONCAT("*",Table13[[#Headers],[Comedy]],"*")),1,0)</f>
        <v>0</v>
      </c>
      <c r="M345">
        <f>IF(COUNTIF($E345, _xlfn.CONCAT("*",Table13[[#Headers],[Crime]],"*")),1,0)</f>
        <v>0</v>
      </c>
      <c r="N345">
        <f>IF(COUNTIF($E345, _xlfn.CONCAT("*",Table13[[#Headers],[Documentary]],"*")),1,0)</f>
        <v>0</v>
      </c>
      <c r="O345">
        <f>IF(COUNTIF($E345, _xlfn.CONCAT("*",Table13[[#Headers],[Drama]],"*")),1,0)</f>
        <v>0</v>
      </c>
      <c r="P345">
        <f>IF(COUNTIF($E345, _xlfn.CONCAT("*",Table13[[#Headers],[Family]],"*")),1,0)</f>
        <v>0</v>
      </c>
      <c r="Q345">
        <f>IF(COUNTIF($E345, _xlfn.CONCAT("*",Table13[[#Headers],[Fantasy]],"*")),1,0)</f>
        <v>0</v>
      </c>
      <c r="R345">
        <f>IF(COUNTIF($E345, _xlfn.CONCAT("*",Table13[[#Headers],[History]],"*")),1,0)</f>
        <v>0</v>
      </c>
      <c r="S345">
        <f>IF(COUNTIF($E345, _xlfn.CONCAT("*",Table13[[#Headers],[Horror]],"*")),1,0)</f>
        <v>0</v>
      </c>
      <c r="T345">
        <f>IF(COUNTIF($E345, _xlfn.CONCAT("*",Table13[[#Headers],[Music]],"*")),1,0)</f>
        <v>0</v>
      </c>
      <c r="U345">
        <f>IF(COUNTIF($E345, _xlfn.CONCAT("*",Table13[[#Headers],[Mystery]],"*")),1,0)</f>
        <v>0</v>
      </c>
      <c r="V345">
        <f>IF(COUNTIF($E345, _xlfn.CONCAT("*",Table13[[#Headers],[Romance]],"*")),1,0)</f>
        <v>0</v>
      </c>
      <c r="W345">
        <f>IF(COUNTIF($E345, _xlfn.CONCAT("*",Table13[[#Headers],[Science Fiction]],"*")),1,0)</f>
        <v>0</v>
      </c>
      <c r="X345">
        <f>IF(COUNTIF($E345, _xlfn.CONCAT("*",Table13[[#Headers],[TV Movie]],"*")),1,0)</f>
        <v>0</v>
      </c>
      <c r="Y345">
        <f>IF(COUNTIF($E345, _xlfn.CONCAT("*",Table13[[#Headers],[Thriller]],"*")),1,0)</f>
        <v>0</v>
      </c>
      <c r="Z345">
        <f>IF(COUNTIF($E345, _xlfn.CONCAT("*",Table13[[#Headers],[War]],"*")),1,0)</f>
        <v>0</v>
      </c>
      <c r="AA345">
        <f>IF(COUNTIF($E345, _xlfn.CONCAT("*",Table13[[#Headers],[Western]],"*")),1,0)</f>
        <v>1</v>
      </c>
    </row>
    <row r="346" spans="1:27">
      <c r="A346" t="s">
        <v>472</v>
      </c>
      <c r="B346">
        <v>40</v>
      </c>
      <c r="C346">
        <f>MAX(Table13[Rank])-Table13[[#This Row],[Rank]]</f>
        <v>224</v>
      </c>
      <c r="D346" t="s">
        <v>419</v>
      </c>
      <c r="E346" t="s">
        <v>367</v>
      </c>
      <c r="F346" s="1">
        <v>35132</v>
      </c>
      <c r="G346">
        <f>YEAR(Table13[[#This Row],[Date]])</f>
        <v>1996</v>
      </c>
      <c r="H346" t="s">
        <v>472</v>
      </c>
      <c r="I346">
        <f>IF(COUNTIF($E346, _xlfn.CONCAT("*",Table13[[#Headers],[Action]],"*")),1,0)</f>
        <v>0</v>
      </c>
      <c r="J346">
        <f>IF(COUNTIF($E346, _xlfn.CONCAT("*",Table13[[#Headers],[Adventure]],"*")),1,0)</f>
        <v>0</v>
      </c>
      <c r="K346">
        <f>IF(COUNTIF($E346, _xlfn.CONCAT("*",Table13[[#Headers],[Animation]],"*")),1,0)</f>
        <v>0</v>
      </c>
      <c r="L346">
        <f>IF(COUNTIF($E346, _xlfn.CONCAT("*",Table13[[#Headers],[Comedy]],"*")),1,0)</f>
        <v>0</v>
      </c>
      <c r="M346">
        <f>IF(COUNTIF($E346, _xlfn.CONCAT("*",Table13[[#Headers],[Crime]],"*")),1,0)</f>
        <v>1</v>
      </c>
      <c r="N346">
        <f>IF(COUNTIF($E346, _xlfn.CONCAT("*",Table13[[#Headers],[Documentary]],"*")),1,0)</f>
        <v>0</v>
      </c>
      <c r="O346">
        <f>IF(COUNTIF($E346, _xlfn.CONCAT("*",Table13[[#Headers],[Drama]],"*")),1,0)</f>
        <v>1</v>
      </c>
      <c r="P346">
        <f>IF(COUNTIF($E346, _xlfn.CONCAT("*",Table13[[#Headers],[Family]],"*")),1,0)</f>
        <v>0</v>
      </c>
      <c r="Q346">
        <f>IF(COUNTIF($E346, _xlfn.CONCAT("*",Table13[[#Headers],[Fantasy]],"*")),1,0)</f>
        <v>0</v>
      </c>
      <c r="R346">
        <f>IF(COUNTIF($E346, _xlfn.CONCAT("*",Table13[[#Headers],[History]],"*")),1,0)</f>
        <v>0</v>
      </c>
      <c r="S346">
        <f>IF(COUNTIF($E346, _xlfn.CONCAT("*",Table13[[#Headers],[Horror]],"*")),1,0)</f>
        <v>0</v>
      </c>
      <c r="T346">
        <f>IF(COUNTIF($E346, _xlfn.CONCAT("*",Table13[[#Headers],[Music]],"*")),1,0)</f>
        <v>0</v>
      </c>
      <c r="U346">
        <f>IF(COUNTIF($E346, _xlfn.CONCAT("*",Table13[[#Headers],[Mystery]],"*")),1,0)</f>
        <v>0</v>
      </c>
      <c r="V346">
        <f>IF(COUNTIF($E346, _xlfn.CONCAT("*",Table13[[#Headers],[Romance]],"*")),1,0)</f>
        <v>0</v>
      </c>
      <c r="W346">
        <f>IF(COUNTIF($E346, _xlfn.CONCAT("*",Table13[[#Headers],[Science Fiction]],"*")),1,0)</f>
        <v>0</v>
      </c>
      <c r="X346">
        <f>IF(COUNTIF($E346, _xlfn.CONCAT("*",Table13[[#Headers],[TV Movie]],"*")),1,0)</f>
        <v>0</v>
      </c>
      <c r="Y346">
        <f>IF(COUNTIF($E346, _xlfn.CONCAT("*",Table13[[#Headers],[Thriller]],"*")),1,0)</f>
        <v>1</v>
      </c>
      <c r="Z346">
        <f>IF(COUNTIF($E346, _xlfn.CONCAT("*",Table13[[#Headers],[War]],"*")),1,0)</f>
        <v>0</v>
      </c>
      <c r="AA346">
        <f>IF(COUNTIF($E346, _xlfn.CONCAT("*",Table13[[#Headers],[Western]],"*")),1,0)</f>
        <v>0</v>
      </c>
    </row>
    <row r="347" spans="1:27">
      <c r="A347" t="s">
        <v>349</v>
      </c>
      <c r="B347">
        <v>39</v>
      </c>
      <c r="C347">
        <f>MAX(Table13[Rank])-Table13[[#This Row],[Rank]]</f>
        <v>225</v>
      </c>
      <c r="D347" t="s">
        <v>419</v>
      </c>
      <c r="E347" t="s">
        <v>350</v>
      </c>
      <c r="F347" s="1">
        <v>21628</v>
      </c>
      <c r="G347">
        <f>YEAR(Table13[[#This Row],[Date]])</f>
        <v>1959</v>
      </c>
      <c r="H347" t="s">
        <v>349</v>
      </c>
      <c r="I347">
        <f>IF(COUNTIF($E347, _xlfn.CONCAT("*",Table13[[#Headers],[Action]],"*")),1,0)</f>
        <v>0</v>
      </c>
      <c r="J347">
        <f>IF(COUNTIF($E347, _xlfn.CONCAT("*",Table13[[#Headers],[Adventure]],"*")),1,0)</f>
        <v>0</v>
      </c>
      <c r="K347">
        <f>IF(COUNTIF($E347, _xlfn.CONCAT("*",Table13[[#Headers],[Animation]],"*")),1,0)</f>
        <v>0</v>
      </c>
      <c r="L347">
        <f>IF(COUNTIF($E347, _xlfn.CONCAT("*",Table13[[#Headers],[Comedy]],"*")),1,0)</f>
        <v>1</v>
      </c>
      <c r="M347">
        <f>IF(COUNTIF($E347, _xlfn.CONCAT("*",Table13[[#Headers],[Crime]],"*")),1,0)</f>
        <v>1</v>
      </c>
      <c r="N347">
        <f>IF(COUNTIF($E347, _xlfn.CONCAT("*",Table13[[#Headers],[Documentary]],"*")),1,0)</f>
        <v>0</v>
      </c>
      <c r="O347">
        <f>IF(COUNTIF($E347, _xlfn.CONCAT("*",Table13[[#Headers],[Drama]],"*")),1,0)</f>
        <v>0</v>
      </c>
      <c r="P347">
        <f>IF(COUNTIF($E347, _xlfn.CONCAT("*",Table13[[#Headers],[Family]],"*")),1,0)</f>
        <v>0</v>
      </c>
      <c r="Q347">
        <f>IF(COUNTIF($E347, _xlfn.CONCAT("*",Table13[[#Headers],[Fantasy]],"*")),1,0)</f>
        <v>0</v>
      </c>
      <c r="R347">
        <f>IF(COUNTIF($E347, _xlfn.CONCAT("*",Table13[[#Headers],[History]],"*")),1,0)</f>
        <v>0</v>
      </c>
      <c r="S347">
        <f>IF(COUNTIF($E347, _xlfn.CONCAT("*",Table13[[#Headers],[Horror]],"*")),1,0)</f>
        <v>0</v>
      </c>
      <c r="T347">
        <f>IF(COUNTIF($E347, _xlfn.CONCAT("*",Table13[[#Headers],[Music]],"*")),1,0)</f>
        <v>0</v>
      </c>
      <c r="U347">
        <f>IF(COUNTIF($E347, _xlfn.CONCAT("*",Table13[[#Headers],[Mystery]],"*")),1,0)</f>
        <v>0</v>
      </c>
      <c r="V347">
        <f>IF(COUNTIF($E347, _xlfn.CONCAT("*",Table13[[#Headers],[Romance]],"*")),1,0)</f>
        <v>1</v>
      </c>
      <c r="W347">
        <f>IF(COUNTIF($E347, _xlfn.CONCAT("*",Table13[[#Headers],[Science Fiction]],"*")),1,0)</f>
        <v>0</v>
      </c>
      <c r="X347">
        <f>IF(COUNTIF($E347, _xlfn.CONCAT("*",Table13[[#Headers],[TV Movie]],"*")),1,0)</f>
        <v>0</v>
      </c>
      <c r="Y347">
        <f>IF(COUNTIF($E347, _xlfn.CONCAT("*",Table13[[#Headers],[Thriller]],"*")),1,0)</f>
        <v>0</v>
      </c>
      <c r="Z347">
        <f>IF(COUNTIF($E347, _xlfn.CONCAT("*",Table13[[#Headers],[War]],"*")),1,0)</f>
        <v>0</v>
      </c>
      <c r="AA347">
        <f>IF(COUNTIF($E347, _xlfn.CONCAT("*",Table13[[#Headers],[Western]],"*")),1,0)</f>
        <v>0</v>
      </c>
    </row>
    <row r="348" spans="1:27">
      <c r="A348" t="s">
        <v>214</v>
      </c>
      <c r="B348">
        <v>38</v>
      </c>
      <c r="C348">
        <f>MAX(Table13[Rank])-Table13[[#This Row],[Rank]]</f>
        <v>226</v>
      </c>
      <c r="D348" t="s">
        <v>419</v>
      </c>
      <c r="E348" t="s">
        <v>215</v>
      </c>
      <c r="F348" s="1">
        <v>22991</v>
      </c>
      <c r="G348">
        <f>YEAR(Table13[[#This Row],[Date]])</f>
        <v>1962</v>
      </c>
      <c r="H348" t="s">
        <v>214</v>
      </c>
      <c r="I348">
        <f>IF(COUNTIF($E348, _xlfn.CONCAT("*",Table13[[#Headers],[Action]],"*")),1,0)</f>
        <v>0</v>
      </c>
      <c r="J348">
        <f>IF(COUNTIF($E348, _xlfn.CONCAT("*",Table13[[#Headers],[Adventure]],"*")),1,0)</f>
        <v>1</v>
      </c>
      <c r="K348">
        <f>IF(COUNTIF($E348, _xlfn.CONCAT("*",Table13[[#Headers],[Animation]],"*")),1,0)</f>
        <v>0</v>
      </c>
      <c r="L348">
        <f>IF(COUNTIF($E348, _xlfn.CONCAT("*",Table13[[#Headers],[Comedy]],"*")),1,0)</f>
        <v>0</v>
      </c>
      <c r="M348">
        <f>IF(COUNTIF($E348, _xlfn.CONCAT("*",Table13[[#Headers],[Crime]],"*")),1,0)</f>
        <v>0</v>
      </c>
      <c r="N348">
        <f>IF(COUNTIF($E348, _xlfn.CONCAT("*",Table13[[#Headers],[Documentary]],"*")),1,0)</f>
        <v>0</v>
      </c>
      <c r="O348">
        <f>IF(COUNTIF($E348, _xlfn.CONCAT("*",Table13[[#Headers],[Drama]],"*")),1,0)</f>
        <v>1</v>
      </c>
      <c r="P348">
        <f>IF(COUNTIF($E348, _xlfn.CONCAT("*",Table13[[#Headers],[Family]],"*")),1,0)</f>
        <v>0</v>
      </c>
      <c r="Q348">
        <f>IF(COUNTIF($E348, _xlfn.CONCAT("*",Table13[[#Headers],[Fantasy]],"*")),1,0)</f>
        <v>0</v>
      </c>
      <c r="R348">
        <f>IF(COUNTIF($E348, _xlfn.CONCAT("*",Table13[[#Headers],[History]],"*")),1,0)</f>
        <v>1</v>
      </c>
      <c r="S348">
        <f>IF(COUNTIF($E348, _xlfn.CONCAT("*",Table13[[#Headers],[Horror]],"*")),1,0)</f>
        <v>0</v>
      </c>
      <c r="T348">
        <f>IF(COUNTIF($E348, _xlfn.CONCAT("*",Table13[[#Headers],[Music]],"*")),1,0)</f>
        <v>0</v>
      </c>
      <c r="U348">
        <f>IF(COUNTIF($E348, _xlfn.CONCAT("*",Table13[[#Headers],[Mystery]],"*")),1,0)</f>
        <v>0</v>
      </c>
      <c r="V348">
        <f>IF(COUNTIF($E348, _xlfn.CONCAT("*",Table13[[#Headers],[Romance]],"*")),1,0)</f>
        <v>0</v>
      </c>
      <c r="W348">
        <f>IF(COUNTIF($E348, _xlfn.CONCAT("*",Table13[[#Headers],[Science Fiction]],"*")),1,0)</f>
        <v>0</v>
      </c>
      <c r="X348">
        <f>IF(COUNTIF($E348, _xlfn.CONCAT("*",Table13[[#Headers],[TV Movie]],"*")),1,0)</f>
        <v>0</v>
      </c>
      <c r="Y348">
        <f>IF(COUNTIF($E348, _xlfn.CONCAT("*",Table13[[#Headers],[Thriller]],"*")),1,0)</f>
        <v>0</v>
      </c>
      <c r="Z348">
        <f>IF(COUNTIF($E348, _xlfn.CONCAT("*",Table13[[#Headers],[War]],"*")),1,0)</f>
        <v>1</v>
      </c>
      <c r="AA348">
        <f>IF(COUNTIF($E348, _xlfn.CONCAT("*",Table13[[#Headers],[Western]],"*")),1,0)</f>
        <v>0</v>
      </c>
    </row>
    <row r="349" spans="1:27">
      <c r="A349" t="s">
        <v>14</v>
      </c>
      <c r="B349">
        <v>37</v>
      </c>
      <c r="C349">
        <f>MAX(Table13[Rank])-Table13[[#This Row],[Rank]]</f>
        <v>227</v>
      </c>
      <c r="D349" t="s">
        <v>419</v>
      </c>
      <c r="E349" t="s">
        <v>15</v>
      </c>
      <c r="F349" s="1">
        <v>28234</v>
      </c>
      <c r="G349">
        <f>YEAR(Table13[[#This Row],[Date]])</f>
        <v>1977</v>
      </c>
      <c r="H349" t="s">
        <v>14</v>
      </c>
      <c r="I349">
        <f>IF(COUNTIF($E349, _xlfn.CONCAT("*",Table13[[#Headers],[Action]],"*")),1,0)</f>
        <v>0</v>
      </c>
      <c r="J349">
        <f>IF(COUNTIF($E349, _xlfn.CONCAT("*",Table13[[#Headers],[Adventure]],"*")),1,0)</f>
        <v>0</v>
      </c>
      <c r="K349">
        <f>IF(COUNTIF($E349, _xlfn.CONCAT("*",Table13[[#Headers],[Animation]],"*")),1,0)</f>
        <v>0</v>
      </c>
      <c r="L349">
        <f>IF(COUNTIF($E349, _xlfn.CONCAT("*",Table13[[#Headers],[Comedy]],"*")),1,0)</f>
        <v>1</v>
      </c>
      <c r="M349">
        <f>IF(COUNTIF($E349, _xlfn.CONCAT("*",Table13[[#Headers],[Crime]],"*")),1,0)</f>
        <v>0</v>
      </c>
      <c r="N349">
        <f>IF(COUNTIF($E349, _xlfn.CONCAT("*",Table13[[#Headers],[Documentary]],"*")),1,0)</f>
        <v>0</v>
      </c>
      <c r="O349">
        <f>IF(COUNTIF($E349, _xlfn.CONCAT("*",Table13[[#Headers],[Drama]],"*")),1,0)</f>
        <v>1</v>
      </c>
      <c r="P349">
        <f>IF(COUNTIF($E349, _xlfn.CONCAT("*",Table13[[#Headers],[Family]],"*")),1,0)</f>
        <v>0</v>
      </c>
      <c r="Q349">
        <f>IF(COUNTIF($E349, _xlfn.CONCAT("*",Table13[[#Headers],[Fantasy]],"*")),1,0)</f>
        <v>0</v>
      </c>
      <c r="R349">
        <f>IF(COUNTIF($E349, _xlfn.CONCAT("*",Table13[[#Headers],[History]],"*")),1,0)</f>
        <v>0</v>
      </c>
      <c r="S349">
        <f>IF(COUNTIF($E349, _xlfn.CONCAT("*",Table13[[#Headers],[Horror]],"*")),1,0)</f>
        <v>0</v>
      </c>
      <c r="T349">
        <f>IF(COUNTIF($E349, _xlfn.CONCAT("*",Table13[[#Headers],[Music]],"*")),1,0)</f>
        <v>0</v>
      </c>
      <c r="U349">
        <f>IF(COUNTIF($E349, _xlfn.CONCAT("*",Table13[[#Headers],[Mystery]],"*")),1,0)</f>
        <v>0</v>
      </c>
      <c r="V349">
        <f>IF(COUNTIF($E349, _xlfn.CONCAT("*",Table13[[#Headers],[Romance]],"*")),1,0)</f>
        <v>1</v>
      </c>
      <c r="W349">
        <f>IF(COUNTIF($E349, _xlfn.CONCAT("*",Table13[[#Headers],[Science Fiction]],"*")),1,0)</f>
        <v>0</v>
      </c>
      <c r="X349">
        <f>IF(COUNTIF($E349, _xlfn.CONCAT("*",Table13[[#Headers],[TV Movie]],"*")),1,0)</f>
        <v>0</v>
      </c>
      <c r="Y349">
        <f>IF(COUNTIF($E349, _xlfn.CONCAT("*",Table13[[#Headers],[Thriller]],"*")),1,0)</f>
        <v>0</v>
      </c>
      <c r="Z349">
        <f>IF(COUNTIF($E349, _xlfn.CONCAT("*",Table13[[#Headers],[War]],"*")),1,0)</f>
        <v>0</v>
      </c>
      <c r="AA349">
        <f>IF(COUNTIF($E349, _xlfn.CONCAT("*",Table13[[#Headers],[Western]],"*")),1,0)</f>
        <v>0</v>
      </c>
    </row>
    <row r="350" spans="1:27">
      <c r="A350" t="s">
        <v>473</v>
      </c>
      <c r="B350">
        <v>36</v>
      </c>
      <c r="C350">
        <f>MAX(Table13[Rank])-Table13[[#This Row],[Rank]]</f>
        <v>228</v>
      </c>
      <c r="D350" t="s">
        <v>419</v>
      </c>
      <c r="E350" t="s">
        <v>296</v>
      </c>
      <c r="F350" s="1">
        <v>19897</v>
      </c>
      <c r="G350">
        <f>YEAR(Table13[[#This Row],[Date]])</f>
        <v>1954</v>
      </c>
      <c r="H350" t="s">
        <v>473</v>
      </c>
      <c r="I350">
        <f>IF(COUNTIF($E350, _xlfn.CONCAT("*",Table13[[#Headers],[Action]],"*")),1,0)</f>
        <v>0</v>
      </c>
      <c r="J350">
        <f>IF(COUNTIF($E350, _xlfn.CONCAT("*",Table13[[#Headers],[Adventure]],"*")),1,0)</f>
        <v>0</v>
      </c>
      <c r="K350">
        <f>IF(COUNTIF($E350, _xlfn.CONCAT("*",Table13[[#Headers],[Animation]],"*")),1,0)</f>
        <v>0</v>
      </c>
      <c r="L350">
        <f>IF(COUNTIF($E350, _xlfn.CONCAT("*",Table13[[#Headers],[Comedy]],"*")),1,0)</f>
        <v>0</v>
      </c>
      <c r="M350">
        <f>IF(COUNTIF($E350, _xlfn.CONCAT("*",Table13[[#Headers],[Crime]],"*")),1,0)</f>
        <v>1</v>
      </c>
      <c r="N350">
        <f>IF(COUNTIF($E350, _xlfn.CONCAT("*",Table13[[#Headers],[Documentary]],"*")),1,0)</f>
        <v>0</v>
      </c>
      <c r="O350">
        <f>IF(COUNTIF($E350, _xlfn.CONCAT("*",Table13[[#Headers],[Drama]],"*")),1,0)</f>
        <v>1</v>
      </c>
      <c r="P350">
        <f>IF(COUNTIF($E350, _xlfn.CONCAT("*",Table13[[#Headers],[Family]],"*")),1,0)</f>
        <v>0</v>
      </c>
      <c r="Q350">
        <f>IF(COUNTIF($E350, _xlfn.CONCAT("*",Table13[[#Headers],[Fantasy]],"*")),1,0)</f>
        <v>0</v>
      </c>
      <c r="R350">
        <f>IF(COUNTIF($E350, _xlfn.CONCAT("*",Table13[[#Headers],[History]],"*")),1,0)</f>
        <v>0</v>
      </c>
      <c r="S350">
        <f>IF(COUNTIF($E350, _xlfn.CONCAT("*",Table13[[#Headers],[Horror]],"*")),1,0)</f>
        <v>0</v>
      </c>
      <c r="T350">
        <f>IF(COUNTIF($E350, _xlfn.CONCAT("*",Table13[[#Headers],[Music]],"*")),1,0)</f>
        <v>0</v>
      </c>
      <c r="U350">
        <f>IF(COUNTIF($E350, _xlfn.CONCAT("*",Table13[[#Headers],[Mystery]],"*")),1,0)</f>
        <v>0</v>
      </c>
      <c r="V350">
        <f>IF(COUNTIF($E350, _xlfn.CONCAT("*",Table13[[#Headers],[Romance]],"*")),1,0)</f>
        <v>1</v>
      </c>
      <c r="W350">
        <f>IF(COUNTIF($E350, _xlfn.CONCAT("*",Table13[[#Headers],[Science Fiction]],"*")),1,0)</f>
        <v>0</v>
      </c>
      <c r="X350">
        <f>IF(COUNTIF($E350, _xlfn.CONCAT("*",Table13[[#Headers],[TV Movie]],"*")),1,0)</f>
        <v>0</v>
      </c>
      <c r="Y350">
        <f>IF(COUNTIF($E350, _xlfn.CONCAT("*",Table13[[#Headers],[Thriller]],"*")),1,0)</f>
        <v>0</v>
      </c>
      <c r="Z350">
        <f>IF(COUNTIF($E350, _xlfn.CONCAT("*",Table13[[#Headers],[War]],"*")),1,0)</f>
        <v>0</v>
      </c>
      <c r="AA350">
        <f>IF(COUNTIF($E350, _xlfn.CONCAT("*",Table13[[#Headers],[Western]],"*")),1,0)</f>
        <v>0</v>
      </c>
    </row>
    <row r="351" spans="1:27">
      <c r="A351" t="s">
        <v>474</v>
      </c>
      <c r="B351">
        <v>35</v>
      </c>
      <c r="C351">
        <f>MAX(Table13[Rank])-Table13[[#This Row],[Rank]]</f>
        <v>229</v>
      </c>
      <c r="D351" t="s">
        <v>419</v>
      </c>
      <c r="E351" t="s">
        <v>367</v>
      </c>
      <c r="F351" s="1">
        <v>33283</v>
      </c>
      <c r="G351">
        <f>YEAR(Table13[[#This Row],[Date]])</f>
        <v>1991</v>
      </c>
      <c r="H351" t="s">
        <v>474</v>
      </c>
      <c r="I351">
        <f>IF(COUNTIF($E351, _xlfn.CONCAT("*",Table13[[#Headers],[Action]],"*")),1,0)</f>
        <v>0</v>
      </c>
      <c r="J351">
        <f>IF(COUNTIF($E351, _xlfn.CONCAT("*",Table13[[#Headers],[Adventure]],"*")),1,0)</f>
        <v>0</v>
      </c>
      <c r="K351">
        <f>IF(COUNTIF($E351, _xlfn.CONCAT("*",Table13[[#Headers],[Animation]],"*")),1,0)</f>
        <v>0</v>
      </c>
      <c r="L351">
        <f>IF(COUNTIF($E351, _xlfn.CONCAT("*",Table13[[#Headers],[Comedy]],"*")),1,0)</f>
        <v>0</v>
      </c>
      <c r="M351">
        <f>IF(COUNTIF($E351, _xlfn.CONCAT("*",Table13[[#Headers],[Crime]],"*")),1,0)</f>
        <v>1</v>
      </c>
      <c r="N351">
        <f>IF(COUNTIF($E351, _xlfn.CONCAT("*",Table13[[#Headers],[Documentary]],"*")),1,0)</f>
        <v>0</v>
      </c>
      <c r="O351">
        <f>IF(COUNTIF($E351, _xlfn.CONCAT("*",Table13[[#Headers],[Drama]],"*")),1,0)</f>
        <v>1</v>
      </c>
      <c r="P351">
        <f>IF(COUNTIF($E351, _xlfn.CONCAT("*",Table13[[#Headers],[Family]],"*")),1,0)</f>
        <v>0</v>
      </c>
      <c r="Q351">
        <f>IF(COUNTIF($E351, _xlfn.CONCAT("*",Table13[[#Headers],[Fantasy]],"*")),1,0)</f>
        <v>0</v>
      </c>
      <c r="R351">
        <f>IF(COUNTIF($E351, _xlfn.CONCAT("*",Table13[[#Headers],[History]],"*")),1,0)</f>
        <v>0</v>
      </c>
      <c r="S351">
        <f>IF(COUNTIF($E351, _xlfn.CONCAT("*",Table13[[#Headers],[Horror]],"*")),1,0)</f>
        <v>0</v>
      </c>
      <c r="T351">
        <f>IF(COUNTIF($E351, _xlfn.CONCAT("*",Table13[[#Headers],[Music]],"*")),1,0)</f>
        <v>0</v>
      </c>
      <c r="U351">
        <f>IF(COUNTIF($E351, _xlfn.CONCAT("*",Table13[[#Headers],[Mystery]],"*")),1,0)</f>
        <v>0</v>
      </c>
      <c r="V351">
        <f>IF(COUNTIF($E351, _xlfn.CONCAT("*",Table13[[#Headers],[Romance]],"*")),1,0)</f>
        <v>0</v>
      </c>
      <c r="W351">
        <f>IF(COUNTIF($E351, _xlfn.CONCAT("*",Table13[[#Headers],[Science Fiction]],"*")),1,0)</f>
        <v>0</v>
      </c>
      <c r="X351">
        <f>IF(COUNTIF($E351, _xlfn.CONCAT("*",Table13[[#Headers],[TV Movie]],"*")),1,0)</f>
        <v>0</v>
      </c>
      <c r="Y351">
        <f>IF(COUNTIF($E351, _xlfn.CONCAT("*",Table13[[#Headers],[Thriller]],"*")),1,0)</f>
        <v>1</v>
      </c>
      <c r="Z351">
        <f>IF(COUNTIF($E351, _xlfn.CONCAT("*",Table13[[#Headers],[War]],"*")),1,0)</f>
        <v>0</v>
      </c>
      <c r="AA351">
        <f>IF(COUNTIF($E351, _xlfn.CONCAT("*",Table13[[#Headers],[Western]],"*")),1,0)</f>
        <v>0</v>
      </c>
    </row>
    <row r="352" spans="1:27">
      <c r="A352" t="s">
        <v>475</v>
      </c>
      <c r="B352">
        <v>34</v>
      </c>
      <c r="C352">
        <f>MAX(Table13[Rank])-Table13[[#This Row],[Rank]]</f>
        <v>230</v>
      </c>
      <c r="D352" t="s">
        <v>419</v>
      </c>
      <c r="E352" t="s">
        <v>476</v>
      </c>
      <c r="F352" s="1">
        <v>14307</v>
      </c>
      <c r="G352">
        <f>YEAR(Table13[[#This Row],[Date]])</f>
        <v>1939</v>
      </c>
      <c r="H352" t="s">
        <v>475</v>
      </c>
      <c r="I352">
        <f>IF(COUNTIF($E352, _xlfn.CONCAT("*",Table13[[#Headers],[Action]],"*")),1,0)</f>
        <v>0</v>
      </c>
      <c r="J352">
        <f>IF(COUNTIF($E352, _xlfn.CONCAT("*",Table13[[#Headers],[Adventure]],"*")),1,0)</f>
        <v>1</v>
      </c>
      <c r="K352">
        <f>IF(COUNTIF($E352, _xlfn.CONCAT("*",Table13[[#Headers],[Animation]],"*")),1,0)</f>
        <v>0</v>
      </c>
      <c r="L352">
        <f>IF(COUNTIF($E352, _xlfn.CONCAT("*",Table13[[#Headers],[Comedy]],"*")),1,0)</f>
        <v>0</v>
      </c>
      <c r="M352">
        <f>IF(COUNTIF($E352, _xlfn.CONCAT("*",Table13[[#Headers],[Crime]],"*")),1,0)</f>
        <v>0</v>
      </c>
      <c r="N352">
        <f>IF(COUNTIF($E352, _xlfn.CONCAT("*",Table13[[#Headers],[Documentary]],"*")),1,0)</f>
        <v>0</v>
      </c>
      <c r="O352">
        <f>IF(COUNTIF($E352, _xlfn.CONCAT("*",Table13[[#Headers],[Drama]],"*")),1,0)</f>
        <v>0</v>
      </c>
      <c r="P352">
        <f>IF(COUNTIF($E352, _xlfn.CONCAT("*",Table13[[#Headers],[Family]],"*")),1,0)</f>
        <v>0</v>
      </c>
      <c r="Q352">
        <f>IF(COUNTIF($E352, _xlfn.CONCAT("*",Table13[[#Headers],[Fantasy]],"*")),1,0)</f>
        <v>0</v>
      </c>
      <c r="R352">
        <f>IF(COUNTIF($E352, _xlfn.CONCAT("*",Table13[[#Headers],[History]],"*")),1,0)</f>
        <v>0</v>
      </c>
      <c r="S352">
        <f>IF(COUNTIF($E352, _xlfn.CONCAT("*",Table13[[#Headers],[Horror]],"*")),1,0)</f>
        <v>0</v>
      </c>
      <c r="T352">
        <f>IF(COUNTIF($E352, _xlfn.CONCAT("*",Table13[[#Headers],[Music]],"*")),1,0)</f>
        <v>0</v>
      </c>
      <c r="U352">
        <f>IF(COUNTIF($E352, _xlfn.CONCAT("*",Table13[[#Headers],[Mystery]],"*")),1,0)</f>
        <v>0</v>
      </c>
      <c r="V352">
        <f>IF(COUNTIF($E352, _xlfn.CONCAT("*",Table13[[#Headers],[Romance]],"*")),1,0)</f>
        <v>0</v>
      </c>
      <c r="W352">
        <f>IF(COUNTIF($E352, _xlfn.CONCAT("*",Table13[[#Headers],[Science Fiction]],"*")),1,0)</f>
        <v>0</v>
      </c>
      <c r="X352">
        <f>IF(COUNTIF($E352, _xlfn.CONCAT("*",Table13[[#Headers],[TV Movie]],"*")),1,0)</f>
        <v>0</v>
      </c>
      <c r="Y352">
        <f>IF(COUNTIF($E352, _xlfn.CONCAT("*",Table13[[#Headers],[Thriller]],"*")),1,0)</f>
        <v>0</v>
      </c>
      <c r="Z352">
        <f>IF(COUNTIF($E352, _xlfn.CONCAT("*",Table13[[#Headers],[War]],"*")),1,0)</f>
        <v>0</v>
      </c>
      <c r="AA352">
        <f>IF(COUNTIF($E352, _xlfn.CONCAT("*",Table13[[#Headers],[Western]],"*")),1,0)</f>
        <v>1</v>
      </c>
    </row>
    <row r="353" spans="1:27">
      <c r="A353" t="s">
        <v>356</v>
      </c>
      <c r="B353">
        <v>33</v>
      </c>
      <c r="C353">
        <f>MAX(Table13[Rank])-Table13[[#This Row],[Rank]]</f>
        <v>231</v>
      </c>
      <c r="D353" t="s">
        <v>419</v>
      </c>
      <c r="E353" t="s">
        <v>21</v>
      </c>
      <c r="F353" s="1">
        <v>23056</v>
      </c>
      <c r="G353">
        <f>YEAR(Table13[[#This Row],[Date]])</f>
        <v>1963</v>
      </c>
      <c r="H353" t="s">
        <v>356</v>
      </c>
      <c r="I353">
        <f>IF(COUNTIF($E353, _xlfn.CONCAT("*",Table13[[#Headers],[Action]],"*")),1,0)</f>
        <v>0</v>
      </c>
      <c r="J353">
        <f>IF(COUNTIF($E353, _xlfn.CONCAT("*",Table13[[#Headers],[Adventure]],"*")),1,0)</f>
        <v>0</v>
      </c>
      <c r="K353">
        <f>IF(COUNTIF($E353, _xlfn.CONCAT("*",Table13[[#Headers],[Animation]],"*")),1,0)</f>
        <v>0</v>
      </c>
      <c r="L353">
        <f>IF(COUNTIF($E353, _xlfn.CONCAT("*",Table13[[#Headers],[Comedy]],"*")),1,0)</f>
        <v>0</v>
      </c>
      <c r="M353">
        <f>IF(COUNTIF($E353, _xlfn.CONCAT("*",Table13[[#Headers],[Crime]],"*")),1,0)</f>
        <v>0</v>
      </c>
      <c r="N353">
        <f>IF(COUNTIF($E353, _xlfn.CONCAT("*",Table13[[#Headers],[Documentary]],"*")),1,0)</f>
        <v>0</v>
      </c>
      <c r="O353">
        <f>IF(COUNTIF($E353, _xlfn.CONCAT("*",Table13[[#Headers],[Drama]],"*")),1,0)</f>
        <v>1</v>
      </c>
      <c r="P353">
        <f>IF(COUNTIF($E353, _xlfn.CONCAT("*",Table13[[#Headers],[Family]],"*")),1,0)</f>
        <v>0</v>
      </c>
      <c r="Q353">
        <f>IF(COUNTIF($E353, _xlfn.CONCAT("*",Table13[[#Headers],[Fantasy]],"*")),1,0)</f>
        <v>0</v>
      </c>
      <c r="R353">
        <f>IF(COUNTIF($E353, _xlfn.CONCAT("*",Table13[[#Headers],[History]],"*")),1,0)</f>
        <v>0</v>
      </c>
      <c r="S353">
        <f>IF(COUNTIF($E353, _xlfn.CONCAT("*",Table13[[#Headers],[Horror]],"*")),1,0)</f>
        <v>0</v>
      </c>
      <c r="T353">
        <f>IF(COUNTIF($E353, _xlfn.CONCAT("*",Table13[[#Headers],[Music]],"*")),1,0)</f>
        <v>0</v>
      </c>
      <c r="U353">
        <f>IF(COUNTIF($E353, _xlfn.CONCAT("*",Table13[[#Headers],[Mystery]],"*")),1,0)</f>
        <v>0</v>
      </c>
      <c r="V353">
        <f>IF(COUNTIF($E353, _xlfn.CONCAT("*",Table13[[#Headers],[Romance]],"*")),1,0)</f>
        <v>0</v>
      </c>
      <c r="W353">
        <f>IF(COUNTIF($E353, _xlfn.CONCAT("*",Table13[[#Headers],[Science Fiction]],"*")),1,0)</f>
        <v>0</v>
      </c>
      <c r="X353">
        <f>IF(COUNTIF($E353, _xlfn.CONCAT("*",Table13[[#Headers],[TV Movie]],"*")),1,0)</f>
        <v>0</v>
      </c>
      <c r="Y353">
        <f>IF(COUNTIF($E353, _xlfn.CONCAT("*",Table13[[#Headers],[Thriller]],"*")),1,0)</f>
        <v>0</v>
      </c>
      <c r="Z353">
        <f>IF(COUNTIF($E353, _xlfn.CONCAT("*",Table13[[#Headers],[War]],"*")),1,0)</f>
        <v>0</v>
      </c>
      <c r="AA353">
        <f>IF(COUNTIF($E353, _xlfn.CONCAT("*",Table13[[#Headers],[Western]],"*")),1,0)</f>
        <v>0</v>
      </c>
    </row>
    <row r="354" spans="1:27">
      <c r="A354" t="s">
        <v>396</v>
      </c>
      <c r="B354">
        <v>32</v>
      </c>
      <c r="C354">
        <f>MAX(Table13[Rank])-Table13[[#This Row],[Rank]]</f>
        <v>232</v>
      </c>
      <c r="D354" t="s">
        <v>419</v>
      </c>
      <c r="E354" t="s">
        <v>397</v>
      </c>
      <c r="F354" s="1">
        <v>21333</v>
      </c>
      <c r="G354">
        <f>YEAR(Table13[[#This Row],[Date]])</f>
        <v>1958</v>
      </c>
      <c r="H354" t="s">
        <v>396</v>
      </c>
      <c r="I354">
        <f>IF(COUNTIF($E354, _xlfn.CONCAT("*",Table13[[#Headers],[Action]],"*")),1,0)</f>
        <v>0</v>
      </c>
      <c r="J354">
        <f>IF(COUNTIF($E354, _xlfn.CONCAT("*",Table13[[#Headers],[Adventure]],"*")),1,0)</f>
        <v>0</v>
      </c>
      <c r="K354">
        <f>IF(COUNTIF($E354, _xlfn.CONCAT("*",Table13[[#Headers],[Animation]],"*")),1,0)</f>
        <v>0</v>
      </c>
      <c r="L354">
        <f>IF(COUNTIF($E354, _xlfn.CONCAT("*",Table13[[#Headers],[Comedy]],"*")),1,0)</f>
        <v>0</v>
      </c>
      <c r="M354">
        <f>IF(COUNTIF($E354, _xlfn.CONCAT("*",Table13[[#Headers],[Crime]],"*")),1,0)</f>
        <v>0</v>
      </c>
      <c r="N354">
        <f>IF(COUNTIF($E354, _xlfn.CONCAT("*",Table13[[#Headers],[Documentary]],"*")),1,0)</f>
        <v>0</v>
      </c>
      <c r="O354">
        <f>IF(COUNTIF($E354, _xlfn.CONCAT("*",Table13[[#Headers],[Drama]],"*")),1,0)</f>
        <v>0</v>
      </c>
      <c r="P354">
        <f>IF(COUNTIF($E354, _xlfn.CONCAT("*",Table13[[#Headers],[Family]],"*")),1,0)</f>
        <v>0</v>
      </c>
      <c r="Q354">
        <f>IF(COUNTIF($E354, _xlfn.CONCAT("*",Table13[[#Headers],[Fantasy]],"*")),1,0)</f>
        <v>0</v>
      </c>
      <c r="R354">
        <f>IF(COUNTIF($E354, _xlfn.CONCAT("*",Table13[[#Headers],[History]],"*")),1,0)</f>
        <v>0</v>
      </c>
      <c r="S354">
        <f>IF(COUNTIF($E354, _xlfn.CONCAT("*",Table13[[#Headers],[Horror]],"*")),1,0)</f>
        <v>0</v>
      </c>
      <c r="T354">
        <f>IF(COUNTIF($E354, _xlfn.CONCAT("*",Table13[[#Headers],[Music]],"*")),1,0)</f>
        <v>0</v>
      </c>
      <c r="U354">
        <f>IF(COUNTIF($E354, _xlfn.CONCAT("*",Table13[[#Headers],[Mystery]],"*")),1,0)</f>
        <v>1</v>
      </c>
      <c r="V354">
        <f>IF(COUNTIF($E354, _xlfn.CONCAT("*",Table13[[#Headers],[Romance]],"*")),1,0)</f>
        <v>1</v>
      </c>
      <c r="W354">
        <f>IF(COUNTIF($E354, _xlfn.CONCAT("*",Table13[[#Headers],[Science Fiction]],"*")),1,0)</f>
        <v>0</v>
      </c>
      <c r="X354">
        <f>IF(COUNTIF($E354, _xlfn.CONCAT("*",Table13[[#Headers],[TV Movie]],"*")),1,0)</f>
        <v>0</v>
      </c>
      <c r="Y354">
        <f>IF(COUNTIF($E354, _xlfn.CONCAT("*",Table13[[#Headers],[Thriller]],"*")),1,0)</f>
        <v>1</v>
      </c>
      <c r="Z354">
        <f>IF(COUNTIF($E354, _xlfn.CONCAT("*",Table13[[#Headers],[War]],"*")),1,0)</f>
        <v>0</v>
      </c>
      <c r="AA354">
        <f>IF(COUNTIF($E354, _xlfn.CONCAT("*",Table13[[#Headers],[Western]],"*")),1,0)</f>
        <v>0</v>
      </c>
    </row>
    <row r="355" spans="1:27">
      <c r="A355" t="s">
        <v>477</v>
      </c>
      <c r="B355">
        <v>31</v>
      </c>
      <c r="C355">
        <f>MAX(Table13[Rank])-Table13[[#This Row],[Rank]]</f>
        <v>233</v>
      </c>
      <c r="D355" t="s">
        <v>419</v>
      </c>
      <c r="E355" t="s">
        <v>21</v>
      </c>
      <c r="F355" s="1">
        <v>28078</v>
      </c>
      <c r="G355">
        <f>YEAR(Table13[[#This Row],[Date]])</f>
        <v>1976</v>
      </c>
      <c r="H355" t="s">
        <v>477</v>
      </c>
      <c r="I355">
        <f>IF(COUNTIF($E355, _xlfn.CONCAT("*",Table13[[#Headers],[Action]],"*")),1,0)</f>
        <v>0</v>
      </c>
      <c r="J355">
        <f>IF(COUNTIF($E355, _xlfn.CONCAT("*",Table13[[#Headers],[Adventure]],"*")),1,0)</f>
        <v>0</v>
      </c>
      <c r="K355">
        <f>IF(COUNTIF($E355, _xlfn.CONCAT("*",Table13[[#Headers],[Animation]],"*")),1,0)</f>
        <v>0</v>
      </c>
      <c r="L355">
        <f>IF(COUNTIF($E355, _xlfn.CONCAT("*",Table13[[#Headers],[Comedy]],"*")),1,0)</f>
        <v>0</v>
      </c>
      <c r="M355">
        <f>IF(COUNTIF($E355, _xlfn.CONCAT("*",Table13[[#Headers],[Crime]],"*")),1,0)</f>
        <v>0</v>
      </c>
      <c r="N355">
        <f>IF(COUNTIF($E355, _xlfn.CONCAT("*",Table13[[#Headers],[Documentary]],"*")),1,0)</f>
        <v>0</v>
      </c>
      <c r="O355">
        <f>IF(COUNTIF($E355, _xlfn.CONCAT("*",Table13[[#Headers],[Drama]],"*")),1,0)</f>
        <v>1</v>
      </c>
      <c r="P355">
        <f>IF(COUNTIF($E355, _xlfn.CONCAT("*",Table13[[#Headers],[Family]],"*")),1,0)</f>
        <v>0</v>
      </c>
      <c r="Q355">
        <f>IF(COUNTIF($E355, _xlfn.CONCAT("*",Table13[[#Headers],[Fantasy]],"*")),1,0)</f>
        <v>0</v>
      </c>
      <c r="R355">
        <f>IF(COUNTIF($E355, _xlfn.CONCAT("*",Table13[[#Headers],[History]],"*")),1,0)</f>
        <v>0</v>
      </c>
      <c r="S355">
        <f>IF(COUNTIF($E355, _xlfn.CONCAT("*",Table13[[#Headers],[Horror]],"*")),1,0)</f>
        <v>0</v>
      </c>
      <c r="T355">
        <f>IF(COUNTIF($E355, _xlfn.CONCAT("*",Table13[[#Headers],[Music]],"*")),1,0)</f>
        <v>0</v>
      </c>
      <c r="U355">
        <f>IF(COUNTIF($E355, _xlfn.CONCAT("*",Table13[[#Headers],[Mystery]],"*")),1,0)</f>
        <v>0</v>
      </c>
      <c r="V355">
        <f>IF(COUNTIF($E355, _xlfn.CONCAT("*",Table13[[#Headers],[Romance]],"*")),1,0)</f>
        <v>0</v>
      </c>
      <c r="W355">
        <f>IF(COUNTIF($E355, _xlfn.CONCAT("*",Table13[[#Headers],[Science Fiction]],"*")),1,0)</f>
        <v>0</v>
      </c>
      <c r="X355">
        <f>IF(COUNTIF($E355, _xlfn.CONCAT("*",Table13[[#Headers],[TV Movie]],"*")),1,0)</f>
        <v>0</v>
      </c>
      <c r="Y355">
        <f>IF(COUNTIF($E355, _xlfn.CONCAT("*",Table13[[#Headers],[Thriller]],"*")),1,0)</f>
        <v>0</v>
      </c>
      <c r="Z355">
        <f>IF(COUNTIF($E355, _xlfn.CONCAT("*",Table13[[#Headers],[War]],"*")),1,0)</f>
        <v>0</v>
      </c>
      <c r="AA355">
        <f>IF(COUNTIF($E355, _xlfn.CONCAT("*",Table13[[#Headers],[Western]],"*")),1,0)</f>
        <v>0</v>
      </c>
    </row>
    <row r="356" spans="1:27">
      <c r="A356" t="s">
        <v>478</v>
      </c>
      <c r="B356">
        <v>30</v>
      </c>
      <c r="C356">
        <f>MAX(Table13[Rank])-Table13[[#This Row],[Rank]]</f>
        <v>234</v>
      </c>
      <c r="D356" t="s">
        <v>419</v>
      </c>
      <c r="E356" t="s">
        <v>49</v>
      </c>
      <c r="F356" s="1">
        <v>29361</v>
      </c>
      <c r="G356">
        <f>YEAR(Table13[[#This Row],[Date]])</f>
        <v>1980</v>
      </c>
      <c r="H356" t="s">
        <v>478</v>
      </c>
      <c r="I356">
        <f>IF(COUNTIF($E356, _xlfn.CONCAT("*",Table13[[#Headers],[Action]],"*")),1,0)</f>
        <v>1</v>
      </c>
      <c r="J356">
        <f>IF(COUNTIF($E356, _xlfn.CONCAT("*",Table13[[#Headers],[Adventure]],"*")),1,0)</f>
        <v>1</v>
      </c>
      <c r="K356">
        <f>IF(COUNTIF($E356, _xlfn.CONCAT("*",Table13[[#Headers],[Animation]],"*")),1,0)</f>
        <v>0</v>
      </c>
      <c r="L356">
        <f>IF(COUNTIF($E356, _xlfn.CONCAT("*",Table13[[#Headers],[Comedy]],"*")),1,0)</f>
        <v>0</v>
      </c>
      <c r="M356">
        <f>IF(COUNTIF($E356, _xlfn.CONCAT("*",Table13[[#Headers],[Crime]],"*")),1,0)</f>
        <v>0</v>
      </c>
      <c r="N356">
        <f>IF(COUNTIF($E356, _xlfn.CONCAT("*",Table13[[#Headers],[Documentary]],"*")),1,0)</f>
        <v>0</v>
      </c>
      <c r="O356">
        <f>IF(COUNTIF($E356, _xlfn.CONCAT("*",Table13[[#Headers],[Drama]],"*")),1,0)</f>
        <v>0</v>
      </c>
      <c r="P356">
        <f>IF(COUNTIF($E356, _xlfn.CONCAT("*",Table13[[#Headers],[Family]],"*")),1,0)</f>
        <v>0</v>
      </c>
      <c r="Q356">
        <f>IF(COUNTIF($E356, _xlfn.CONCAT("*",Table13[[#Headers],[Fantasy]],"*")),1,0)</f>
        <v>0</v>
      </c>
      <c r="R356">
        <f>IF(COUNTIF($E356, _xlfn.CONCAT("*",Table13[[#Headers],[History]],"*")),1,0)</f>
        <v>0</v>
      </c>
      <c r="S356">
        <f>IF(COUNTIF($E356, _xlfn.CONCAT("*",Table13[[#Headers],[Horror]],"*")),1,0)</f>
        <v>0</v>
      </c>
      <c r="T356">
        <f>IF(COUNTIF($E356, _xlfn.CONCAT("*",Table13[[#Headers],[Music]],"*")),1,0)</f>
        <v>0</v>
      </c>
      <c r="U356">
        <f>IF(COUNTIF($E356, _xlfn.CONCAT("*",Table13[[#Headers],[Mystery]],"*")),1,0)</f>
        <v>0</v>
      </c>
      <c r="V356">
        <f>IF(COUNTIF($E356, _xlfn.CONCAT("*",Table13[[#Headers],[Romance]],"*")),1,0)</f>
        <v>0</v>
      </c>
      <c r="W356">
        <f>IF(COUNTIF($E356, _xlfn.CONCAT("*",Table13[[#Headers],[Science Fiction]],"*")),1,0)</f>
        <v>1</v>
      </c>
      <c r="X356">
        <f>IF(COUNTIF($E356, _xlfn.CONCAT("*",Table13[[#Headers],[TV Movie]],"*")),1,0)</f>
        <v>0</v>
      </c>
      <c r="Y356">
        <f>IF(COUNTIF($E356, _xlfn.CONCAT("*",Table13[[#Headers],[Thriller]],"*")),1,0)</f>
        <v>0</v>
      </c>
      <c r="Z356">
        <f>IF(COUNTIF($E356, _xlfn.CONCAT("*",Table13[[#Headers],[War]],"*")),1,0)</f>
        <v>0</v>
      </c>
      <c r="AA356">
        <f>IF(COUNTIF($E356, _xlfn.CONCAT("*",Table13[[#Headers],[Western]],"*")),1,0)</f>
        <v>0</v>
      </c>
    </row>
    <row r="357" spans="1:27">
      <c r="A357" t="s">
        <v>101</v>
      </c>
      <c r="B357">
        <v>29</v>
      </c>
      <c r="C357">
        <f>MAX(Table13[Rank])-Table13[[#This Row],[Rank]]</f>
        <v>235</v>
      </c>
      <c r="D357" t="s">
        <v>419</v>
      </c>
      <c r="E357" t="s">
        <v>102</v>
      </c>
      <c r="F357" s="1">
        <v>16237</v>
      </c>
      <c r="G357">
        <f>YEAR(Table13[[#This Row],[Date]])</f>
        <v>1944</v>
      </c>
      <c r="H357" t="s">
        <v>101</v>
      </c>
      <c r="I357">
        <f>IF(COUNTIF($E357, _xlfn.CONCAT("*",Table13[[#Headers],[Action]],"*")),1,0)</f>
        <v>0</v>
      </c>
      <c r="J357">
        <f>IF(COUNTIF($E357, _xlfn.CONCAT("*",Table13[[#Headers],[Adventure]],"*")),1,0)</f>
        <v>0</v>
      </c>
      <c r="K357">
        <f>IF(COUNTIF($E357, _xlfn.CONCAT("*",Table13[[#Headers],[Animation]],"*")),1,0)</f>
        <v>0</v>
      </c>
      <c r="L357">
        <f>IF(COUNTIF($E357, _xlfn.CONCAT("*",Table13[[#Headers],[Comedy]],"*")),1,0)</f>
        <v>0</v>
      </c>
      <c r="M357">
        <f>IF(COUNTIF($E357, _xlfn.CONCAT("*",Table13[[#Headers],[Crime]],"*")),1,0)</f>
        <v>1</v>
      </c>
      <c r="N357">
        <f>IF(COUNTIF($E357, _xlfn.CONCAT("*",Table13[[#Headers],[Documentary]],"*")),1,0)</f>
        <v>0</v>
      </c>
      <c r="O357">
        <f>IF(COUNTIF($E357, _xlfn.CONCAT("*",Table13[[#Headers],[Drama]],"*")),1,0)</f>
        <v>0</v>
      </c>
      <c r="P357">
        <f>IF(COUNTIF($E357, _xlfn.CONCAT("*",Table13[[#Headers],[Family]],"*")),1,0)</f>
        <v>0</v>
      </c>
      <c r="Q357">
        <f>IF(COUNTIF($E357, _xlfn.CONCAT("*",Table13[[#Headers],[Fantasy]],"*")),1,0)</f>
        <v>0</v>
      </c>
      <c r="R357">
        <f>IF(COUNTIF($E357, _xlfn.CONCAT("*",Table13[[#Headers],[History]],"*")),1,0)</f>
        <v>0</v>
      </c>
      <c r="S357">
        <f>IF(COUNTIF($E357, _xlfn.CONCAT("*",Table13[[#Headers],[Horror]],"*")),1,0)</f>
        <v>0</v>
      </c>
      <c r="T357">
        <f>IF(COUNTIF($E357, _xlfn.CONCAT("*",Table13[[#Headers],[Music]],"*")),1,0)</f>
        <v>0</v>
      </c>
      <c r="U357">
        <f>IF(COUNTIF($E357, _xlfn.CONCAT("*",Table13[[#Headers],[Mystery]],"*")),1,0)</f>
        <v>0</v>
      </c>
      <c r="V357">
        <f>IF(COUNTIF($E357, _xlfn.CONCAT("*",Table13[[#Headers],[Romance]],"*")),1,0)</f>
        <v>0</v>
      </c>
      <c r="W357">
        <f>IF(COUNTIF($E357, _xlfn.CONCAT("*",Table13[[#Headers],[Science Fiction]],"*")),1,0)</f>
        <v>0</v>
      </c>
      <c r="X357">
        <f>IF(COUNTIF($E357, _xlfn.CONCAT("*",Table13[[#Headers],[TV Movie]],"*")),1,0)</f>
        <v>0</v>
      </c>
      <c r="Y357">
        <f>IF(COUNTIF($E357, _xlfn.CONCAT("*",Table13[[#Headers],[Thriller]],"*")),1,0)</f>
        <v>1</v>
      </c>
      <c r="Z357">
        <f>IF(COUNTIF($E357, _xlfn.CONCAT("*",Table13[[#Headers],[War]],"*")),1,0)</f>
        <v>0</v>
      </c>
      <c r="AA357">
        <f>IF(COUNTIF($E357, _xlfn.CONCAT("*",Table13[[#Headers],[Western]],"*")),1,0)</f>
        <v>0</v>
      </c>
    </row>
    <row r="358" spans="1:27">
      <c r="A358" t="s">
        <v>352</v>
      </c>
      <c r="B358">
        <v>28</v>
      </c>
      <c r="C358">
        <f>MAX(Table13[Rank])-Table13[[#This Row],[Rank]]</f>
        <v>236</v>
      </c>
      <c r="D358" t="s">
        <v>419</v>
      </c>
      <c r="E358" t="s">
        <v>353</v>
      </c>
      <c r="F358" s="1">
        <v>11355</v>
      </c>
      <c r="G358">
        <f>YEAR(Table13[[#This Row],[Date]])</f>
        <v>1931</v>
      </c>
      <c r="H358" t="s">
        <v>352</v>
      </c>
      <c r="I358">
        <f>IF(COUNTIF($E358, _xlfn.CONCAT("*",Table13[[#Headers],[Action]],"*")),1,0)</f>
        <v>0</v>
      </c>
      <c r="J358">
        <f>IF(COUNTIF($E358, _xlfn.CONCAT("*",Table13[[#Headers],[Adventure]],"*")),1,0)</f>
        <v>0</v>
      </c>
      <c r="K358">
        <f>IF(COUNTIF($E358, _xlfn.CONCAT("*",Table13[[#Headers],[Animation]],"*")),1,0)</f>
        <v>0</v>
      </c>
      <c r="L358">
        <f>IF(COUNTIF($E358, _xlfn.CONCAT("*",Table13[[#Headers],[Comedy]],"*")),1,0)</f>
        <v>1</v>
      </c>
      <c r="M358">
        <f>IF(COUNTIF($E358, _xlfn.CONCAT("*",Table13[[#Headers],[Crime]],"*")),1,0)</f>
        <v>0</v>
      </c>
      <c r="N358">
        <f>IF(COUNTIF($E358, _xlfn.CONCAT("*",Table13[[#Headers],[Documentary]],"*")),1,0)</f>
        <v>0</v>
      </c>
      <c r="O358">
        <f>IF(COUNTIF($E358, _xlfn.CONCAT("*",Table13[[#Headers],[Drama]],"*")),1,0)</f>
        <v>1</v>
      </c>
      <c r="P358">
        <f>IF(COUNTIF($E358, _xlfn.CONCAT("*",Table13[[#Headers],[Family]],"*")),1,0)</f>
        <v>0</v>
      </c>
      <c r="Q358">
        <f>IF(COUNTIF($E358, _xlfn.CONCAT("*",Table13[[#Headers],[Fantasy]],"*")),1,0)</f>
        <v>0</v>
      </c>
      <c r="R358">
        <f>IF(COUNTIF($E358, _xlfn.CONCAT("*",Table13[[#Headers],[History]],"*")),1,0)</f>
        <v>0</v>
      </c>
      <c r="S358">
        <f>IF(COUNTIF($E358, _xlfn.CONCAT("*",Table13[[#Headers],[Horror]],"*")),1,0)</f>
        <v>0</v>
      </c>
      <c r="T358">
        <f>IF(COUNTIF($E358, _xlfn.CONCAT("*",Table13[[#Headers],[Music]],"*")),1,0)</f>
        <v>0</v>
      </c>
      <c r="U358">
        <f>IF(COUNTIF($E358, _xlfn.CONCAT("*",Table13[[#Headers],[Mystery]],"*")),1,0)</f>
        <v>0</v>
      </c>
      <c r="V358">
        <f>IF(COUNTIF($E358, _xlfn.CONCAT("*",Table13[[#Headers],[Romance]],"*")),1,0)</f>
        <v>1</v>
      </c>
      <c r="W358">
        <f>IF(COUNTIF($E358, _xlfn.CONCAT("*",Table13[[#Headers],[Science Fiction]],"*")),1,0)</f>
        <v>0</v>
      </c>
      <c r="X358">
        <f>IF(COUNTIF($E358, _xlfn.CONCAT("*",Table13[[#Headers],[TV Movie]],"*")),1,0)</f>
        <v>0</v>
      </c>
      <c r="Y358">
        <f>IF(COUNTIF($E358, _xlfn.CONCAT("*",Table13[[#Headers],[Thriller]],"*")),1,0)</f>
        <v>0</v>
      </c>
      <c r="Z358">
        <f>IF(COUNTIF($E358, _xlfn.CONCAT("*",Table13[[#Headers],[War]],"*")),1,0)</f>
        <v>0</v>
      </c>
      <c r="AA358">
        <f>IF(COUNTIF($E358, _xlfn.CONCAT("*",Table13[[#Headers],[Western]],"*")),1,0)</f>
        <v>0</v>
      </c>
    </row>
    <row r="359" spans="1:27">
      <c r="A359" t="s">
        <v>479</v>
      </c>
      <c r="B359">
        <v>27</v>
      </c>
      <c r="C359">
        <f>MAX(Table13[Rank])-Table13[[#This Row],[Rank]]</f>
        <v>237</v>
      </c>
      <c r="D359" t="s">
        <v>419</v>
      </c>
      <c r="E359" t="s">
        <v>156</v>
      </c>
      <c r="F359" s="1">
        <v>24698</v>
      </c>
      <c r="G359">
        <f>YEAR(Table13[[#This Row],[Date]])</f>
        <v>1967</v>
      </c>
      <c r="H359" t="s">
        <v>479</v>
      </c>
      <c r="I359">
        <f>IF(COUNTIF($E359, _xlfn.CONCAT("*",Table13[[#Headers],[Action]],"*")),1,0)</f>
        <v>0</v>
      </c>
      <c r="J359">
        <f>IF(COUNTIF($E359, _xlfn.CONCAT("*",Table13[[#Headers],[Adventure]],"*")),1,0)</f>
        <v>0</v>
      </c>
      <c r="K359">
        <f>IF(COUNTIF($E359, _xlfn.CONCAT("*",Table13[[#Headers],[Animation]],"*")),1,0)</f>
        <v>0</v>
      </c>
      <c r="L359">
        <f>IF(COUNTIF($E359, _xlfn.CONCAT("*",Table13[[#Headers],[Comedy]],"*")),1,0)</f>
        <v>0</v>
      </c>
      <c r="M359">
        <f>IF(COUNTIF($E359, _xlfn.CONCAT("*",Table13[[#Headers],[Crime]],"*")),1,0)</f>
        <v>1</v>
      </c>
      <c r="N359">
        <f>IF(COUNTIF($E359, _xlfn.CONCAT("*",Table13[[#Headers],[Documentary]],"*")),1,0)</f>
        <v>0</v>
      </c>
      <c r="O359">
        <f>IF(COUNTIF($E359, _xlfn.CONCAT("*",Table13[[#Headers],[Drama]],"*")),1,0)</f>
        <v>1</v>
      </c>
      <c r="P359">
        <f>IF(COUNTIF($E359, _xlfn.CONCAT("*",Table13[[#Headers],[Family]],"*")),1,0)</f>
        <v>0</v>
      </c>
      <c r="Q359">
        <f>IF(COUNTIF($E359, _xlfn.CONCAT("*",Table13[[#Headers],[Fantasy]],"*")),1,0)</f>
        <v>0</v>
      </c>
      <c r="R359">
        <f>IF(COUNTIF($E359, _xlfn.CONCAT("*",Table13[[#Headers],[History]],"*")),1,0)</f>
        <v>0</v>
      </c>
      <c r="S359">
        <f>IF(COUNTIF($E359, _xlfn.CONCAT("*",Table13[[#Headers],[Horror]],"*")),1,0)</f>
        <v>0</v>
      </c>
      <c r="T359">
        <f>IF(COUNTIF($E359, _xlfn.CONCAT("*",Table13[[#Headers],[Music]],"*")),1,0)</f>
        <v>0</v>
      </c>
      <c r="U359">
        <f>IF(COUNTIF($E359, _xlfn.CONCAT("*",Table13[[#Headers],[Mystery]],"*")),1,0)</f>
        <v>0</v>
      </c>
      <c r="V359">
        <f>IF(COUNTIF($E359, _xlfn.CONCAT("*",Table13[[#Headers],[Romance]],"*")),1,0)</f>
        <v>0</v>
      </c>
      <c r="W359">
        <f>IF(COUNTIF($E359, _xlfn.CONCAT("*",Table13[[#Headers],[Science Fiction]],"*")),1,0)</f>
        <v>0</v>
      </c>
      <c r="X359">
        <f>IF(COUNTIF($E359, _xlfn.CONCAT("*",Table13[[#Headers],[TV Movie]],"*")),1,0)</f>
        <v>0</v>
      </c>
      <c r="Y359">
        <f>IF(COUNTIF($E359, _xlfn.CONCAT("*",Table13[[#Headers],[Thriller]],"*")),1,0)</f>
        <v>0</v>
      </c>
      <c r="Z359">
        <f>IF(COUNTIF($E359, _xlfn.CONCAT("*",Table13[[#Headers],[War]],"*")),1,0)</f>
        <v>0</v>
      </c>
      <c r="AA359">
        <f>IF(COUNTIF($E359, _xlfn.CONCAT("*",Table13[[#Headers],[Western]],"*")),1,0)</f>
        <v>0</v>
      </c>
    </row>
    <row r="360" spans="1:27">
      <c r="A360" t="s">
        <v>332</v>
      </c>
      <c r="B360">
        <v>26</v>
      </c>
      <c r="C360">
        <f>MAX(Table13[Rank])-Table13[[#This Row],[Rank]]</f>
        <v>238</v>
      </c>
      <c r="D360" t="s">
        <v>419</v>
      </c>
      <c r="E360" t="s">
        <v>21</v>
      </c>
      <c r="F360" s="1">
        <v>21704</v>
      </c>
      <c r="G360">
        <f>YEAR(Table13[[#This Row],[Date]])</f>
        <v>1959</v>
      </c>
      <c r="H360" t="s">
        <v>332</v>
      </c>
      <c r="I360">
        <f>IF(COUNTIF($E360, _xlfn.CONCAT("*",Table13[[#Headers],[Action]],"*")),1,0)</f>
        <v>0</v>
      </c>
      <c r="J360">
        <f>IF(COUNTIF($E360, _xlfn.CONCAT("*",Table13[[#Headers],[Adventure]],"*")),1,0)</f>
        <v>0</v>
      </c>
      <c r="K360">
        <f>IF(COUNTIF($E360, _xlfn.CONCAT("*",Table13[[#Headers],[Animation]],"*")),1,0)</f>
        <v>0</v>
      </c>
      <c r="L360">
        <f>IF(COUNTIF($E360, _xlfn.CONCAT("*",Table13[[#Headers],[Comedy]],"*")),1,0)</f>
        <v>0</v>
      </c>
      <c r="M360">
        <f>IF(COUNTIF($E360, _xlfn.CONCAT("*",Table13[[#Headers],[Crime]],"*")),1,0)</f>
        <v>0</v>
      </c>
      <c r="N360">
        <f>IF(COUNTIF($E360, _xlfn.CONCAT("*",Table13[[#Headers],[Documentary]],"*")),1,0)</f>
        <v>0</v>
      </c>
      <c r="O360">
        <f>IF(COUNTIF($E360, _xlfn.CONCAT("*",Table13[[#Headers],[Drama]],"*")),1,0)</f>
        <v>1</v>
      </c>
      <c r="P360">
        <f>IF(COUNTIF($E360, _xlfn.CONCAT("*",Table13[[#Headers],[Family]],"*")),1,0)</f>
        <v>0</v>
      </c>
      <c r="Q360">
        <f>IF(COUNTIF($E360, _xlfn.CONCAT("*",Table13[[#Headers],[Fantasy]],"*")),1,0)</f>
        <v>0</v>
      </c>
      <c r="R360">
        <f>IF(COUNTIF($E360, _xlfn.CONCAT("*",Table13[[#Headers],[History]],"*")),1,0)</f>
        <v>0</v>
      </c>
      <c r="S360">
        <f>IF(COUNTIF($E360, _xlfn.CONCAT("*",Table13[[#Headers],[Horror]],"*")),1,0)</f>
        <v>0</v>
      </c>
      <c r="T360">
        <f>IF(COUNTIF($E360, _xlfn.CONCAT("*",Table13[[#Headers],[Music]],"*")),1,0)</f>
        <v>0</v>
      </c>
      <c r="U360">
        <f>IF(COUNTIF($E360, _xlfn.CONCAT("*",Table13[[#Headers],[Mystery]],"*")),1,0)</f>
        <v>0</v>
      </c>
      <c r="V360">
        <f>IF(COUNTIF($E360, _xlfn.CONCAT("*",Table13[[#Headers],[Romance]],"*")),1,0)</f>
        <v>0</v>
      </c>
      <c r="W360">
        <f>IF(COUNTIF($E360, _xlfn.CONCAT("*",Table13[[#Headers],[Science Fiction]],"*")),1,0)</f>
        <v>0</v>
      </c>
      <c r="X360">
        <f>IF(COUNTIF($E360, _xlfn.CONCAT("*",Table13[[#Headers],[TV Movie]],"*")),1,0)</f>
        <v>0</v>
      </c>
      <c r="Y360">
        <f>IF(COUNTIF($E360, _xlfn.CONCAT("*",Table13[[#Headers],[Thriller]],"*")),1,0)</f>
        <v>0</v>
      </c>
      <c r="Z360">
        <f>IF(COUNTIF($E360, _xlfn.CONCAT("*",Table13[[#Headers],[War]],"*")),1,0)</f>
        <v>0</v>
      </c>
      <c r="AA360">
        <f>IF(COUNTIF($E360, _xlfn.CONCAT("*",Table13[[#Headers],[Western]],"*")),1,0)</f>
        <v>0</v>
      </c>
    </row>
    <row r="361" spans="1:27">
      <c r="A361" t="s">
        <v>248</v>
      </c>
      <c r="B361">
        <v>25</v>
      </c>
      <c r="C361">
        <f>MAX(Table13[Rank])-Table13[[#This Row],[Rank]]</f>
        <v>239</v>
      </c>
      <c r="D361" t="s">
        <v>419</v>
      </c>
      <c r="E361" t="s">
        <v>220</v>
      </c>
      <c r="F361" s="1">
        <v>13929</v>
      </c>
      <c r="G361">
        <f>YEAR(Table13[[#This Row],[Date]])</f>
        <v>1938</v>
      </c>
      <c r="H361" t="s">
        <v>248</v>
      </c>
      <c r="I361">
        <f>IF(COUNTIF($E361, _xlfn.CONCAT("*",Table13[[#Headers],[Action]],"*")),1,0)</f>
        <v>0</v>
      </c>
      <c r="J361">
        <f>IF(COUNTIF($E361, _xlfn.CONCAT("*",Table13[[#Headers],[Adventure]],"*")),1,0)</f>
        <v>0</v>
      </c>
      <c r="K361">
        <f>IF(COUNTIF($E361, _xlfn.CONCAT("*",Table13[[#Headers],[Animation]],"*")),1,0)</f>
        <v>0</v>
      </c>
      <c r="L361">
        <f>IF(COUNTIF($E361, _xlfn.CONCAT("*",Table13[[#Headers],[Comedy]],"*")),1,0)</f>
        <v>1</v>
      </c>
      <c r="M361">
        <f>IF(COUNTIF($E361, _xlfn.CONCAT("*",Table13[[#Headers],[Crime]],"*")),1,0)</f>
        <v>0</v>
      </c>
      <c r="N361">
        <f>IF(COUNTIF($E361, _xlfn.CONCAT("*",Table13[[#Headers],[Documentary]],"*")),1,0)</f>
        <v>0</v>
      </c>
      <c r="O361">
        <f>IF(COUNTIF($E361, _xlfn.CONCAT("*",Table13[[#Headers],[Drama]],"*")),1,0)</f>
        <v>0</v>
      </c>
      <c r="P361">
        <f>IF(COUNTIF($E361, _xlfn.CONCAT("*",Table13[[#Headers],[Family]],"*")),1,0)</f>
        <v>0</v>
      </c>
      <c r="Q361">
        <f>IF(COUNTIF($E361, _xlfn.CONCAT("*",Table13[[#Headers],[Fantasy]],"*")),1,0)</f>
        <v>0</v>
      </c>
      <c r="R361">
        <f>IF(COUNTIF($E361, _xlfn.CONCAT("*",Table13[[#Headers],[History]],"*")),1,0)</f>
        <v>0</v>
      </c>
      <c r="S361">
        <f>IF(COUNTIF($E361, _xlfn.CONCAT("*",Table13[[#Headers],[Horror]],"*")),1,0)</f>
        <v>0</v>
      </c>
      <c r="T361">
        <f>IF(COUNTIF($E361, _xlfn.CONCAT("*",Table13[[#Headers],[Music]],"*")),1,0)</f>
        <v>0</v>
      </c>
      <c r="U361">
        <f>IF(COUNTIF($E361, _xlfn.CONCAT("*",Table13[[#Headers],[Mystery]],"*")),1,0)</f>
        <v>0</v>
      </c>
      <c r="V361">
        <f>IF(COUNTIF($E361, _xlfn.CONCAT("*",Table13[[#Headers],[Romance]],"*")),1,0)</f>
        <v>1</v>
      </c>
      <c r="W361">
        <f>IF(COUNTIF($E361, _xlfn.CONCAT("*",Table13[[#Headers],[Science Fiction]],"*")),1,0)</f>
        <v>0</v>
      </c>
      <c r="X361">
        <f>IF(COUNTIF($E361, _xlfn.CONCAT("*",Table13[[#Headers],[TV Movie]],"*")),1,0)</f>
        <v>0</v>
      </c>
      <c r="Y361">
        <f>IF(COUNTIF($E361, _xlfn.CONCAT("*",Table13[[#Headers],[Thriller]],"*")),1,0)</f>
        <v>0</v>
      </c>
      <c r="Z361">
        <f>IF(COUNTIF($E361, _xlfn.CONCAT("*",Table13[[#Headers],[War]],"*")),1,0)</f>
        <v>0</v>
      </c>
      <c r="AA361">
        <f>IF(COUNTIF($E361, _xlfn.CONCAT("*",Table13[[#Headers],[Western]],"*")),1,0)</f>
        <v>0</v>
      </c>
    </row>
    <row r="362" spans="1:27">
      <c r="A362" t="s">
        <v>394</v>
      </c>
      <c r="B362">
        <v>24</v>
      </c>
      <c r="C362">
        <f>MAX(Table13[Rank])-Table13[[#This Row],[Rank]]</f>
        <v>240</v>
      </c>
      <c r="D362" t="s">
        <v>419</v>
      </c>
      <c r="E362" t="s">
        <v>21</v>
      </c>
      <c r="F362" s="1">
        <v>19666</v>
      </c>
      <c r="G362">
        <f>YEAR(Table13[[#This Row],[Date]])</f>
        <v>1953</v>
      </c>
      <c r="H362" t="s">
        <v>394</v>
      </c>
      <c r="I362">
        <f>IF(COUNTIF($E362, _xlfn.CONCAT("*",Table13[[#Headers],[Action]],"*")),1,0)</f>
        <v>0</v>
      </c>
      <c r="J362">
        <f>IF(COUNTIF($E362, _xlfn.CONCAT("*",Table13[[#Headers],[Adventure]],"*")),1,0)</f>
        <v>0</v>
      </c>
      <c r="K362">
        <f>IF(COUNTIF($E362, _xlfn.CONCAT("*",Table13[[#Headers],[Animation]],"*")),1,0)</f>
        <v>0</v>
      </c>
      <c r="L362">
        <f>IF(COUNTIF($E362, _xlfn.CONCAT("*",Table13[[#Headers],[Comedy]],"*")),1,0)</f>
        <v>0</v>
      </c>
      <c r="M362">
        <f>IF(COUNTIF($E362, _xlfn.CONCAT("*",Table13[[#Headers],[Crime]],"*")),1,0)</f>
        <v>0</v>
      </c>
      <c r="N362">
        <f>IF(COUNTIF($E362, _xlfn.CONCAT("*",Table13[[#Headers],[Documentary]],"*")),1,0)</f>
        <v>0</v>
      </c>
      <c r="O362">
        <f>IF(COUNTIF($E362, _xlfn.CONCAT("*",Table13[[#Headers],[Drama]],"*")),1,0)</f>
        <v>1</v>
      </c>
      <c r="P362">
        <f>IF(COUNTIF($E362, _xlfn.CONCAT("*",Table13[[#Headers],[Family]],"*")),1,0)</f>
        <v>0</v>
      </c>
      <c r="Q362">
        <f>IF(COUNTIF($E362, _xlfn.CONCAT("*",Table13[[#Headers],[Fantasy]],"*")),1,0)</f>
        <v>0</v>
      </c>
      <c r="R362">
        <f>IF(COUNTIF($E362, _xlfn.CONCAT("*",Table13[[#Headers],[History]],"*")),1,0)</f>
        <v>0</v>
      </c>
      <c r="S362">
        <f>IF(COUNTIF($E362, _xlfn.CONCAT("*",Table13[[#Headers],[Horror]],"*")),1,0)</f>
        <v>0</v>
      </c>
      <c r="T362">
        <f>IF(COUNTIF($E362, _xlfn.CONCAT("*",Table13[[#Headers],[Music]],"*")),1,0)</f>
        <v>0</v>
      </c>
      <c r="U362">
        <f>IF(COUNTIF($E362, _xlfn.CONCAT("*",Table13[[#Headers],[Mystery]],"*")),1,0)</f>
        <v>0</v>
      </c>
      <c r="V362">
        <f>IF(COUNTIF($E362, _xlfn.CONCAT("*",Table13[[#Headers],[Romance]],"*")),1,0)</f>
        <v>0</v>
      </c>
      <c r="W362">
        <f>IF(COUNTIF($E362, _xlfn.CONCAT("*",Table13[[#Headers],[Science Fiction]],"*")),1,0)</f>
        <v>0</v>
      </c>
      <c r="X362">
        <f>IF(COUNTIF($E362, _xlfn.CONCAT("*",Table13[[#Headers],[TV Movie]],"*")),1,0)</f>
        <v>0</v>
      </c>
      <c r="Y362">
        <f>IF(COUNTIF($E362, _xlfn.CONCAT("*",Table13[[#Headers],[Thriller]],"*")),1,0)</f>
        <v>0</v>
      </c>
      <c r="Z362">
        <f>IF(COUNTIF($E362, _xlfn.CONCAT("*",Table13[[#Headers],[War]],"*")),1,0)</f>
        <v>0</v>
      </c>
      <c r="AA362">
        <f>IF(COUNTIF($E362, _xlfn.CONCAT("*",Table13[[#Headers],[Western]],"*")),1,0)</f>
        <v>0</v>
      </c>
    </row>
    <row r="363" spans="1:27">
      <c r="A363" t="s">
        <v>322</v>
      </c>
      <c r="B363">
        <v>23</v>
      </c>
      <c r="C363">
        <f>MAX(Table13[Rank])-Table13[[#This Row],[Rank]]</f>
        <v>241</v>
      </c>
      <c r="D363" t="s">
        <v>419</v>
      </c>
      <c r="E363" t="s">
        <v>15</v>
      </c>
      <c r="F363" s="1">
        <v>22088</v>
      </c>
      <c r="G363">
        <f>YEAR(Table13[[#This Row],[Date]])</f>
        <v>1960</v>
      </c>
      <c r="H363" t="s">
        <v>322</v>
      </c>
      <c r="I363">
        <f>IF(COUNTIF($E363, _xlfn.CONCAT("*",Table13[[#Headers],[Action]],"*")),1,0)</f>
        <v>0</v>
      </c>
      <c r="J363">
        <f>IF(COUNTIF($E363, _xlfn.CONCAT("*",Table13[[#Headers],[Adventure]],"*")),1,0)</f>
        <v>0</v>
      </c>
      <c r="K363">
        <f>IF(COUNTIF($E363, _xlfn.CONCAT("*",Table13[[#Headers],[Animation]],"*")),1,0)</f>
        <v>0</v>
      </c>
      <c r="L363">
        <f>IF(COUNTIF($E363, _xlfn.CONCAT("*",Table13[[#Headers],[Comedy]],"*")),1,0)</f>
        <v>1</v>
      </c>
      <c r="M363">
        <f>IF(COUNTIF($E363, _xlfn.CONCAT("*",Table13[[#Headers],[Crime]],"*")),1,0)</f>
        <v>0</v>
      </c>
      <c r="N363">
        <f>IF(COUNTIF($E363, _xlfn.CONCAT("*",Table13[[#Headers],[Documentary]],"*")),1,0)</f>
        <v>0</v>
      </c>
      <c r="O363">
        <f>IF(COUNTIF($E363, _xlfn.CONCAT("*",Table13[[#Headers],[Drama]],"*")),1,0)</f>
        <v>1</v>
      </c>
      <c r="P363">
        <f>IF(COUNTIF($E363, _xlfn.CONCAT("*",Table13[[#Headers],[Family]],"*")),1,0)</f>
        <v>0</v>
      </c>
      <c r="Q363">
        <f>IF(COUNTIF($E363, _xlfn.CONCAT("*",Table13[[#Headers],[Fantasy]],"*")),1,0)</f>
        <v>0</v>
      </c>
      <c r="R363">
        <f>IF(COUNTIF($E363, _xlfn.CONCAT("*",Table13[[#Headers],[History]],"*")),1,0)</f>
        <v>0</v>
      </c>
      <c r="S363">
        <f>IF(COUNTIF($E363, _xlfn.CONCAT("*",Table13[[#Headers],[Horror]],"*")),1,0)</f>
        <v>0</v>
      </c>
      <c r="T363">
        <f>IF(COUNTIF($E363, _xlfn.CONCAT("*",Table13[[#Headers],[Music]],"*")),1,0)</f>
        <v>0</v>
      </c>
      <c r="U363">
        <f>IF(COUNTIF($E363, _xlfn.CONCAT("*",Table13[[#Headers],[Mystery]],"*")),1,0)</f>
        <v>0</v>
      </c>
      <c r="V363">
        <f>IF(COUNTIF($E363, _xlfn.CONCAT("*",Table13[[#Headers],[Romance]],"*")),1,0)</f>
        <v>1</v>
      </c>
      <c r="W363">
        <f>IF(COUNTIF($E363, _xlfn.CONCAT("*",Table13[[#Headers],[Science Fiction]],"*")),1,0)</f>
        <v>0</v>
      </c>
      <c r="X363">
        <f>IF(COUNTIF($E363, _xlfn.CONCAT("*",Table13[[#Headers],[TV Movie]],"*")),1,0)</f>
        <v>0</v>
      </c>
      <c r="Y363">
        <f>IF(COUNTIF($E363, _xlfn.CONCAT("*",Table13[[#Headers],[Thriller]],"*")),1,0)</f>
        <v>0</v>
      </c>
      <c r="Z363">
        <f>IF(COUNTIF($E363, _xlfn.CONCAT("*",Table13[[#Headers],[War]],"*")),1,0)</f>
        <v>0</v>
      </c>
      <c r="AA363">
        <f>IF(COUNTIF($E363, _xlfn.CONCAT("*",Table13[[#Headers],[Western]],"*")),1,0)</f>
        <v>0</v>
      </c>
    </row>
    <row r="364" spans="1:27">
      <c r="A364" t="s">
        <v>183</v>
      </c>
      <c r="B364">
        <v>22</v>
      </c>
      <c r="C364">
        <f>MAX(Table13[Rank])-Table13[[#This Row],[Rank]]</f>
        <v>242</v>
      </c>
      <c r="D364" t="s">
        <v>419</v>
      </c>
      <c r="E364" t="s">
        <v>184</v>
      </c>
      <c r="F364" s="1">
        <v>27200</v>
      </c>
      <c r="G364">
        <f>YEAR(Table13[[#This Row],[Date]])</f>
        <v>1974</v>
      </c>
      <c r="H364" t="s">
        <v>183</v>
      </c>
      <c r="I364">
        <f>IF(COUNTIF($E364, _xlfn.CONCAT("*",Table13[[#Headers],[Action]],"*")),1,0)</f>
        <v>0</v>
      </c>
      <c r="J364">
        <f>IF(COUNTIF($E364, _xlfn.CONCAT("*",Table13[[#Headers],[Adventure]],"*")),1,0)</f>
        <v>0</v>
      </c>
      <c r="K364">
        <f>IF(COUNTIF($E364, _xlfn.CONCAT("*",Table13[[#Headers],[Animation]],"*")),1,0)</f>
        <v>0</v>
      </c>
      <c r="L364">
        <f>IF(COUNTIF($E364, _xlfn.CONCAT("*",Table13[[#Headers],[Comedy]],"*")),1,0)</f>
        <v>0</v>
      </c>
      <c r="M364">
        <f>IF(COUNTIF($E364, _xlfn.CONCAT("*",Table13[[#Headers],[Crime]],"*")),1,0)</f>
        <v>1</v>
      </c>
      <c r="N364">
        <f>IF(COUNTIF($E364, _xlfn.CONCAT("*",Table13[[#Headers],[Documentary]],"*")),1,0)</f>
        <v>0</v>
      </c>
      <c r="O364">
        <f>IF(COUNTIF($E364, _xlfn.CONCAT("*",Table13[[#Headers],[Drama]],"*")),1,0)</f>
        <v>1</v>
      </c>
      <c r="P364">
        <f>IF(COUNTIF($E364, _xlfn.CONCAT("*",Table13[[#Headers],[Family]],"*")),1,0)</f>
        <v>0</v>
      </c>
      <c r="Q364">
        <f>IF(COUNTIF($E364, _xlfn.CONCAT("*",Table13[[#Headers],[Fantasy]],"*")),1,0)</f>
        <v>0</v>
      </c>
      <c r="R364">
        <f>IF(COUNTIF($E364, _xlfn.CONCAT("*",Table13[[#Headers],[History]],"*")),1,0)</f>
        <v>0</v>
      </c>
      <c r="S364">
        <f>IF(COUNTIF($E364, _xlfn.CONCAT("*",Table13[[#Headers],[Horror]],"*")),1,0)</f>
        <v>0</v>
      </c>
      <c r="T364">
        <f>IF(COUNTIF($E364, _xlfn.CONCAT("*",Table13[[#Headers],[Music]],"*")),1,0)</f>
        <v>0</v>
      </c>
      <c r="U364">
        <f>IF(COUNTIF($E364, _xlfn.CONCAT("*",Table13[[#Headers],[Mystery]],"*")),1,0)</f>
        <v>1</v>
      </c>
      <c r="V364">
        <f>IF(COUNTIF($E364, _xlfn.CONCAT("*",Table13[[#Headers],[Romance]],"*")),1,0)</f>
        <v>0</v>
      </c>
      <c r="W364">
        <f>IF(COUNTIF($E364, _xlfn.CONCAT("*",Table13[[#Headers],[Science Fiction]],"*")),1,0)</f>
        <v>0</v>
      </c>
      <c r="X364">
        <f>IF(COUNTIF($E364, _xlfn.CONCAT("*",Table13[[#Headers],[TV Movie]],"*")),1,0)</f>
        <v>0</v>
      </c>
      <c r="Y364">
        <f>IF(COUNTIF($E364, _xlfn.CONCAT("*",Table13[[#Headers],[Thriller]],"*")),1,0)</f>
        <v>1</v>
      </c>
      <c r="Z364">
        <f>IF(COUNTIF($E364, _xlfn.CONCAT("*",Table13[[#Headers],[War]],"*")),1,0)</f>
        <v>0</v>
      </c>
      <c r="AA364">
        <f>IF(COUNTIF($E364, _xlfn.CONCAT("*",Table13[[#Headers],[Western]],"*")),1,0)</f>
        <v>0</v>
      </c>
    </row>
    <row r="365" spans="1:27">
      <c r="A365" t="s">
        <v>480</v>
      </c>
      <c r="B365">
        <v>21</v>
      </c>
      <c r="C365">
        <f>MAX(Table13[Rank])-Table13[[#This Row],[Rank]]</f>
        <v>243</v>
      </c>
      <c r="D365" t="s">
        <v>419</v>
      </c>
      <c r="E365" t="s">
        <v>481</v>
      </c>
      <c r="F365" s="1">
        <v>14594</v>
      </c>
      <c r="G365">
        <f>YEAR(Table13[[#This Row],[Date]])</f>
        <v>1939</v>
      </c>
      <c r="H365" t="s">
        <v>482</v>
      </c>
      <c r="I365">
        <f>IF(COUNTIF($E365, _xlfn.CONCAT("*",Table13[[#Headers],[Action]],"*")),1,0)</f>
        <v>0</v>
      </c>
      <c r="J365">
        <f>IF(COUNTIF($E365, _xlfn.CONCAT("*",Table13[[#Headers],[Adventure]],"*")),1,0)</f>
        <v>0</v>
      </c>
      <c r="K365">
        <f>IF(COUNTIF($E365, _xlfn.CONCAT("*",Table13[[#Headers],[Animation]],"*")),1,0)</f>
        <v>0</v>
      </c>
      <c r="L365">
        <f>IF(COUNTIF($E365, _xlfn.CONCAT("*",Table13[[#Headers],[Comedy]],"*")),1,0)</f>
        <v>0</v>
      </c>
      <c r="M365">
        <f>IF(COUNTIF($E365, _xlfn.CONCAT("*",Table13[[#Headers],[Crime]],"*")),1,0)</f>
        <v>0</v>
      </c>
      <c r="N365">
        <f>IF(COUNTIF($E365, _xlfn.CONCAT("*",Table13[[#Headers],[Documentary]],"*")),1,0)</f>
        <v>0</v>
      </c>
      <c r="O365">
        <f>IF(COUNTIF($E365, _xlfn.CONCAT("*",Table13[[#Headers],[Drama]],"*")),1,0)</f>
        <v>1</v>
      </c>
      <c r="P365">
        <f>IF(COUNTIF($E365, _xlfn.CONCAT("*",Table13[[#Headers],[Family]],"*")),1,0)</f>
        <v>0</v>
      </c>
      <c r="Q365">
        <f>IF(COUNTIF($E365, _xlfn.CONCAT("*",Table13[[#Headers],[Fantasy]],"*")),1,0)</f>
        <v>0</v>
      </c>
      <c r="R365">
        <f>IF(COUNTIF($E365, _xlfn.CONCAT("*",Table13[[#Headers],[History]],"*")),1,0)</f>
        <v>0</v>
      </c>
      <c r="S365">
        <f>IF(COUNTIF($E365, _xlfn.CONCAT("*",Table13[[#Headers],[Horror]],"*")),1,0)</f>
        <v>0</v>
      </c>
      <c r="T365">
        <f>IF(COUNTIF($E365, _xlfn.CONCAT("*",Table13[[#Headers],[Music]],"*")),1,0)</f>
        <v>0</v>
      </c>
      <c r="U365">
        <f>IF(COUNTIF($E365, _xlfn.CONCAT("*",Table13[[#Headers],[Mystery]],"*")),1,0)</f>
        <v>0</v>
      </c>
      <c r="V365">
        <f>IF(COUNTIF($E365, _xlfn.CONCAT("*",Table13[[#Headers],[Romance]],"*")),1,0)</f>
        <v>1</v>
      </c>
      <c r="W365">
        <f>IF(COUNTIF($E365, _xlfn.CONCAT("*",Table13[[#Headers],[Science Fiction]],"*")),1,0)</f>
        <v>0</v>
      </c>
      <c r="X365">
        <f>IF(COUNTIF($E365, _xlfn.CONCAT("*",Table13[[#Headers],[TV Movie]],"*")),1,0)</f>
        <v>0</v>
      </c>
      <c r="Y365">
        <f>IF(COUNTIF($E365, _xlfn.CONCAT("*",Table13[[#Headers],[Thriller]],"*")),1,0)</f>
        <v>0</v>
      </c>
      <c r="Z365">
        <f>IF(COUNTIF($E365, _xlfn.CONCAT("*",Table13[[#Headers],[War]],"*")),1,0)</f>
        <v>1</v>
      </c>
      <c r="AA365">
        <f>IF(COUNTIF($E365, _xlfn.CONCAT("*",Table13[[#Headers],[Western]],"*")),1,0)</f>
        <v>0</v>
      </c>
    </row>
    <row r="366" spans="1:27">
      <c r="A366" t="s">
        <v>283</v>
      </c>
      <c r="B366">
        <v>20</v>
      </c>
      <c r="C366">
        <f>MAX(Table13[Rank])-Table13[[#This Row],[Rank]]</f>
        <v>244</v>
      </c>
      <c r="D366" t="s">
        <v>419</v>
      </c>
      <c r="E366" t="s">
        <v>284</v>
      </c>
      <c r="F366" s="1">
        <v>31674</v>
      </c>
      <c r="G366">
        <f>YEAR(Table13[[#This Row],[Date]])</f>
        <v>1986</v>
      </c>
      <c r="H366" t="s">
        <v>283</v>
      </c>
      <c r="I366">
        <f>IF(COUNTIF($E366, _xlfn.CONCAT("*",Table13[[#Headers],[Action]],"*")),1,0)</f>
        <v>0</v>
      </c>
      <c r="J366">
        <f>IF(COUNTIF($E366, _xlfn.CONCAT("*",Table13[[#Headers],[Adventure]],"*")),1,0)</f>
        <v>0</v>
      </c>
      <c r="K366">
        <f>IF(COUNTIF($E366, _xlfn.CONCAT("*",Table13[[#Headers],[Animation]],"*")),1,0)</f>
        <v>0</v>
      </c>
      <c r="L366">
        <f>IF(COUNTIF($E366, _xlfn.CONCAT("*",Table13[[#Headers],[Comedy]],"*")),1,0)</f>
        <v>0</v>
      </c>
      <c r="M366">
        <f>IF(COUNTIF($E366, _xlfn.CONCAT("*",Table13[[#Headers],[Crime]],"*")),1,0)</f>
        <v>1</v>
      </c>
      <c r="N366">
        <f>IF(COUNTIF($E366, _xlfn.CONCAT("*",Table13[[#Headers],[Documentary]],"*")),1,0)</f>
        <v>0</v>
      </c>
      <c r="O366">
        <f>IF(COUNTIF($E366, _xlfn.CONCAT("*",Table13[[#Headers],[Drama]],"*")),1,0)</f>
        <v>0</v>
      </c>
      <c r="P366">
        <f>IF(COUNTIF($E366, _xlfn.CONCAT("*",Table13[[#Headers],[Family]],"*")),1,0)</f>
        <v>0</v>
      </c>
      <c r="Q366">
        <f>IF(COUNTIF($E366, _xlfn.CONCAT("*",Table13[[#Headers],[Fantasy]],"*")),1,0)</f>
        <v>0</v>
      </c>
      <c r="R366">
        <f>IF(COUNTIF($E366, _xlfn.CONCAT("*",Table13[[#Headers],[History]],"*")),1,0)</f>
        <v>0</v>
      </c>
      <c r="S366">
        <f>IF(COUNTIF($E366, _xlfn.CONCAT("*",Table13[[#Headers],[Horror]],"*")),1,0)</f>
        <v>0</v>
      </c>
      <c r="T366">
        <f>IF(COUNTIF($E366, _xlfn.CONCAT("*",Table13[[#Headers],[Music]],"*")),1,0)</f>
        <v>0</v>
      </c>
      <c r="U366">
        <f>IF(COUNTIF($E366, _xlfn.CONCAT("*",Table13[[#Headers],[Mystery]],"*")),1,0)</f>
        <v>1</v>
      </c>
      <c r="V366">
        <f>IF(COUNTIF($E366, _xlfn.CONCAT("*",Table13[[#Headers],[Romance]],"*")),1,0)</f>
        <v>1</v>
      </c>
      <c r="W366">
        <f>IF(COUNTIF($E366, _xlfn.CONCAT("*",Table13[[#Headers],[Science Fiction]],"*")),1,0)</f>
        <v>0</v>
      </c>
      <c r="X366">
        <f>IF(COUNTIF($E366, _xlfn.CONCAT("*",Table13[[#Headers],[TV Movie]],"*")),1,0)</f>
        <v>0</v>
      </c>
      <c r="Y366">
        <f>IF(COUNTIF($E366, _xlfn.CONCAT("*",Table13[[#Headers],[Thriller]],"*")),1,0)</f>
        <v>1</v>
      </c>
      <c r="Z366">
        <f>IF(COUNTIF($E366, _xlfn.CONCAT("*",Table13[[#Headers],[War]],"*")),1,0)</f>
        <v>0</v>
      </c>
      <c r="AA366">
        <f>IF(COUNTIF($E366, _xlfn.CONCAT("*",Table13[[#Headers],[Western]],"*")),1,0)</f>
        <v>0</v>
      </c>
    </row>
    <row r="367" spans="1:27">
      <c r="A367" t="s">
        <v>257</v>
      </c>
      <c r="B367">
        <v>19</v>
      </c>
      <c r="C367">
        <f>MAX(Table13[Rank])-Table13[[#This Row],[Rank]]</f>
        <v>245</v>
      </c>
      <c r="D367" t="s">
        <v>419</v>
      </c>
      <c r="E367" t="s">
        <v>166</v>
      </c>
      <c r="F367" s="1">
        <v>27383</v>
      </c>
      <c r="G367">
        <f>YEAR(Table13[[#This Row],[Date]])</f>
        <v>1974</v>
      </c>
      <c r="H367" t="s">
        <v>257</v>
      </c>
      <c r="I367">
        <f>IF(COUNTIF($E367, _xlfn.CONCAT("*",Table13[[#Headers],[Action]],"*")),1,0)</f>
        <v>0</v>
      </c>
      <c r="J367">
        <f>IF(COUNTIF($E367, _xlfn.CONCAT("*",Table13[[#Headers],[Adventure]],"*")),1,0)</f>
        <v>0</v>
      </c>
      <c r="K367">
        <f>IF(COUNTIF($E367, _xlfn.CONCAT("*",Table13[[#Headers],[Animation]],"*")),1,0)</f>
        <v>0</v>
      </c>
      <c r="L367">
        <f>IF(COUNTIF($E367, _xlfn.CONCAT("*",Table13[[#Headers],[Comedy]],"*")),1,0)</f>
        <v>0</v>
      </c>
      <c r="M367">
        <f>IF(COUNTIF($E367, _xlfn.CONCAT("*",Table13[[#Headers],[Crime]],"*")),1,0)</f>
        <v>1</v>
      </c>
      <c r="N367">
        <f>IF(COUNTIF($E367, _xlfn.CONCAT("*",Table13[[#Headers],[Documentary]],"*")),1,0)</f>
        <v>0</v>
      </c>
      <c r="O367">
        <f>IF(COUNTIF($E367, _xlfn.CONCAT("*",Table13[[#Headers],[Drama]],"*")),1,0)</f>
        <v>1</v>
      </c>
      <c r="P367">
        <f>IF(COUNTIF($E367, _xlfn.CONCAT("*",Table13[[#Headers],[Family]],"*")),1,0)</f>
        <v>0</v>
      </c>
      <c r="Q367">
        <f>IF(COUNTIF($E367, _xlfn.CONCAT("*",Table13[[#Headers],[Fantasy]],"*")),1,0)</f>
        <v>0</v>
      </c>
      <c r="R367">
        <f>IF(COUNTIF($E367, _xlfn.CONCAT("*",Table13[[#Headers],[History]],"*")),1,0)</f>
        <v>0</v>
      </c>
      <c r="S367">
        <f>IF(COUNTIF($E367, _xlfn.CONCAT("*",Table13[[#Headers],[Horror]],"*")),1,0)</f>
        <v>0</v>
      </c>
      <c r="T367">
        <f>IF(COUNTIF($E367, _xlfn.CONCAT("*",Table13[[#Headers],[Music]],"*")),1,0)</f>
        <v>0</v>
      </c>
      <c r="U367">
        <f>IF(COUNTIF($E367, _xlfn.CONCAT("*",Table13[[#Headers],[Mystery]],"*")),1,0)</f>
        <v>0</v>
      </c>
      <c r="V367">
        <f>IF(COUNTIF($E367, _xlfn.CONCAT("*",Table13[[#Headers],[Romance]],"*")),1,0)</f>
        <v>0</v>
      </c>
      <c r="W367">
        <f>IF(COUNTIF($E367, _xlfn.CONCAT("*",Table13[[#Headers],[Science Fiction]],"*")),1,0)</f>
        <v>0</v>
      </c>
      <c r="X367">
        <f>IF(COUNTIF($E367, _xlfn.CONCAT("*",Table13[[#Headers],[TV Movie]],"*")),1,0)</f>
        <v>0</v>
      </c>
      <c r="Y367">
        <f>IF(COUNTIF($E367, _xlfn.CONCAT("*",Table13[[#Headers],[Thriller]],"*")),1,0)</f>
        <v>0</v>
      </c>
      <c r="Z367">
        <f>IF(COUNTIF($E367, _xlfn.CONCAT("*",Table13[[#Headers],[War]],"*")),1,0)</f>
        <v>0</v>
      </c>
      <c r="AA367">
        <f>IF(COUNTIF($E367, _xlfn.CONCAT("*",Table13[[#Headers],[Western]],"*")),1,0)</f>
        <v>0</v>
      </c>
    </row>
    <row r="368" spans="1:27">
      <c r="A368" t="s">
        <v>377</v>
      </c>
      <c r="B368">
        <v>18</v>
      </c>
      <c r="C368">
        <f>MAX(Table13[Rank])-Table13[[#This Row],[Rank]]</f>
        <v>246</v>
      </c>
      <c r="D368" t="s">
        <v>419</v>
      </c>
      <c r="E368" t="s">
        <v>21</v>
      </c>
      <c r="F368" s="1">
        <v>24398</v>
      </c>
      <c r="G368">
        <f>YEAR(Table13[[#This Row],[Date]])</f>
        <v>1966</v>
      </c>
      <c r="H368" t="s">
        <v>377</v>
      </c>
      <c r="I368">
        <f>IF(COUNTIF($E368, _xlfn.CONCAT("*",Table13[[#Headers],[Action]],"*")),1,0)</f>
        <v>0</v>
      </c>
      <c r="J368">
        <f>IF(COUNTIF($E368, _xlfn.CONCAT("*",Table13[[#Headers],[Adventure]],"*")),1,0)</f>
        <v>0</v>
      </c>
      <c r="K368">
        <f>IF(COUNTIF($E368, _xlfn.CONCAT("*",Table13[[#Headers],[Animation]],"*")),1,0)</f>
        <v>0</v>
      </c>
      <c r="L368">
        <f>IF(COUNTIF($E368, _xlfn.CONCAT("*",Table13[[#Headers],[Comedy]],"*")),1,0)</f>
        <v>0</v>
      </c>
      <c r="M368">
        <f>IF(COUNTIF($E368, _xlfn.CONCAT("*",Table13[[#Headers],[Crime]],"*")),1,0)</f>
        <v>0</v>
      </c>
      <c r="N368">
        <f>IF(COUNTIF($E368, _xlfn.CONCAT("*",Table13[[#Headers],[Documentary]],"*")),1,0)</f>
        <v>0</v>
      </c>
      <c r="O368">
        <f>IF(COUNTIF($E368, _xlfn.CONCAT("*",Table13[[#Headers],[Drama]],"*")),1,0)</f>
        <v>1</v>
      </c>
      <c r="P368">
        <f>IF(COUNTIF($E368, _xlfn.CONCAT("*",Table13[[#Headers],[Family]],"*")),1,0)</f>
        <v>0</v>
      </c>
      <c r="Q368">
        <f>IF(COUNTIF($E368, _xlfn.CONCAT("*",Table13[[#Headers],[Fantasy]],"*")),1,0)</f>
        <v>0</v>
      </c>
      <c r="R368">
        <f>IF(COUNTIF($E368, _xlfn.CONCAT("*",Table13[[#Headers],[History]],"*")),1,0)</f>
        <v>0</v>
      </c>
      <c r="S368">
        <f>IF(COUNTIF($E368, _xlfn.CONCAT("*",Table13[[#Headers],[Horror]],"*")),1,0)</f>
        <v>0</v>
      </c>
      <c r="T368">
        <f>IF(COUNTIF($E368, _xlfn.CONCAT("*",Table13[[#Headers],[Music]],"*")),1,0)</f>
        <v>0</v>
      </c>
      <c r="U368">
        <f>IF(COUNTIF($E368, _xlfn.CONCAT("*",Table13[[#Headers],[Mystery]],"*")),1,0)</f>
        <v>0</v>
      </c>
      <c r="V368">
        <f>IF(COUNTIF($E368, _xlfn.CONCAT("*",Table13[[#Headers],[Romance]],"*")),1,0)</f>
        <v>0</v>
      </c>
      <c r="W368">
        <f>IF(COUNTIF($E368, _xlfn.CONCAT("*",Table13[[#Headers],[Science Fiction]],"*")),1,0)</f>
        <v>0</v>
      </c>
      <c r="X368">
        <f>IF(COUNTIF($E368, _xlfn.CONCAT("*",Table13[[#Headers],[TV Movie]],"*")),1,0)</f>
        <v>0</v>
      </c>
      <c r="Y368">
        <f>IF(COUNTIF($E368, _xlfn.CONCAT("*",Table13[[#Headers],[Thriller]],"*")),1,0)</f>
        <v>0</v>
      </c>
      <c r="Z368">
        <f>IF(COUNTIF($E368, _xlfn.CONCAT("*",Table13[[#Headers],[War]],"*")),1,0)</f>
        <v>0</v>
      </c>
      <c r="AA368">
        <f>IF(COUNTIF($E368, _xlfn.CONCAT("*",Table13[[#Headers],[Western]],"*")),1,0)</f>
        <v>0</v>
      </c>
    </row>
    <row r="369" spans="1:27">
      <c r="A369" t="s">
        <v>243</v>
      </c>
      <c r="B369">
        <v>17</v>
      </c>
      <c r="C369">
        <f>MAX(Table13[Rank])-Table13[[#This Row],[Rank]]</f>
        <v>247</v>
      </c>
      <c r="D369" t="s">
        <v>419</v>
      </c>
      <c r="E369" t="s">
        <v>244</v>
      </c>
      <c r="F369" s="1">
        <v>27556</v>
      </c>
      <c r="G369">
        <f>YEAR(Table13[[#This Row],[Date]])</f>
        <v>1975</v>
      </c>
      <c r="H369" t="s">
        <v>243</v>
      </c>
      <c r="I369">
        <f>IF(COUNTIF($E369, _xlfn.CONCAT("*",Table13[[#Headers],[Action]],"*")),1,0)</f>
        <v>0</v>
      </c>
      <c r="J369">
        <f>IF(COUNTIF($E369, _xlfn.CONCAT("*",Table13[[#Headers],[Adventure]],"*")),1,0)</f>
        <v>0</v>
      </c>
      <c r="K369">
        <f>IF(COUNTIF($E369, _xlfn.CONCAT("*",Table13[[#Headers],[Animation]],"*")),1,0)</f>
        <v>0</v>
      </c>
      <c r="L369">
        <f>IF(COUNTIF($E369, _xlfn.CONCAT("*",Table13[[#Headers],[Comedy]],"*")),1,0)</f>
        <v>1</v>
      </c>
      <c r="M369">
        <f>IF(COUNTIF($E369, _xlfn.CONCAT("*",Table13[[#Headers],[Crime]],"*")),1,0)</f>
        <v>0</v>
      </c>
      <c r="N369">
        <f>IF(COUNTIF($E369, _xlfn.CONCAT("*",Table13[[#Headers],[Documentary]],"*")),1,0)</f>
        <v>0</v>
      </c>
      <c r="O369">
        <f>IF(COUNTIF($E369, _xlfn.CONCAT("*",Table13[[#Headers],[Drama]],"*")),1,0)</f>
        <v>1</v>
      </c>
      <c r="P369">
        <f>IF(COUNTIF($E369, _xlfn.CONCAT("*",Table13[[#Headers],[Family]],"*")),1,0)</f>
        <v>0</v>
      </c>
      <c r="Q369">
        <f>IF(COUNTIF($E369, _xlfn.CONCAT("*",Table13[[#Headers],[Fantasy]],"*")),1,0)</f>
        <v>0</v>
      </c>
      <c r="R369">
        <f>IF(COUNTIF($E369, _xlfn.CONCAT("*",Table13[[#Headers],[History]],"*")),1,0)</f>
        <v>0</v>
      </c>
      <c r="S369">
        <f>IF(COUNTIF($E369, _xlfn.CONCAT("*",Table13[[#Headers],[Horror]],"*")),1,0)</f>
        <v>0</v>
      </c>
      <c r="T369">
        <f>IF(COUNTIF($E369, _xlfn.CONCAT("*",Table13[[#Headers],[Music]],"*")),1,0)</f>
        <v>1</v>
      </c>
      <c r="U369">
        <f>IF(COUNTIF($E369, _xlfn.CONCAT("*",Table13[[#Headers],[Mystery]],"*")),1,0)</f>
        <v>0</v>
      </c>
      <c r="V369">
        <f>IF(COUNTIF($E369, _xlfn.CONCAT("*",Table13[[#Headers],[Romance]],"*")),1,0)</f>
        <v>0</v>
      </c>
      <c r="W369">
        <f>IF(COUNTIF($E369, _xlfn.CONCAT("*",Table13[[#Headers],[Science Fiction]],"*")),1,0)</f>
        <v>0</v>
      </c>
      <c r="X369">
        <f>IF(COUNTIF($E369, _xlfn.CONCAT("*",Table13[[#Headers],[TV Movie]],"*")),1,0)</f>
        <v>0</v>
      </c>
      <c r="Y369">
        <f>IF(COUNTIF($E369, _xlfn.CONCAT("*",Table13[[#Headers],[Thriller]],"*")),1,0)</f>
        <v>0</v>
      </c>
      <c r="Z369">
        <f>IF(COUNTIF($E369, _xlfn.CONCAT("*",Table13[[#Headers],[War]],"*")),1,0)</f>
        <v>0</v>
      </c>
      <c r="AA369">
        <f>IF(COUNTIF($E369, _xlfn.CONCAT("*",Table13[[#Headers],[Western]],"*")),1,0)</f>
        <v>0</v>
      </c>
    </row>
    <row r="370" spans="1:27">
      <c r="A370" t="s">
        <v>317</v>
      </c>
      <c r="B370">
        <v>16</v>
      </c>
      <c r="C370">
        <f>MAX(Table13[Rank])-Table13[[#This Row],[Rank]]</f>
        <v>248</v>
      </c>
      <c r="D370" t="s">
        <v>419</v>
      </c>
      <c r="E370" t="s">
        <v>35</v>
      </c>
      <c r="F370" s="1">
        <v>15721</v>
      </c>
      <c r="G370">
        <f>YEAR(Table13[[#This Row],[Date]])</f>
        <v>1943</v>
      </c>
      <c r="H370" t="s">
        <v>317</v>
      </c>
      <c r="I370">
        <f>IF(COUNTIF($E370, _xlfn.CONCAT("*",Table13[[#Headers],[Action]],"*")),1,0)</f>
        <v>0</v>
      </c>
      <c r="J370">
        <f>IF(COUNTIF($E370, _xlfn.CONCAT("*",Table13[[#Headers],[Adventure]],"*")),1,0)</f>
        <v>0</v>
      </c>
      <c r="K370">
        <f>IF(COUNTIF($E370, _xlfn.CONCAT("*",Table13[[#Headers],[Animation]],"*")),1,0)</f>
        <v>0</v>
      </c>
      <c r="L370">
        <f>IF(COUNTIF($E370, _xlfn.CONCAT("*",Table13[[#Headers],[Comedy]],"*")),1,0)</f>
        <v>0</v>
      </c>
      <c r="M370">
        <f>IF(COUNTIF($E370, _xlfn.CONCAT("*",Table13[[#Headers],[Crime]],"*")),1,0)</f>
        <v>0</v>
      </c>
      <c r="N370">
        <f>IF(COUNTIF($E370, _xlfn.CONCAT("*",Table13[[#Headers],[Documentary]],"*")),1,0)</f>
        <v>0</v>
      </c>
      <c r="O370">
        <f>IF(COUNTIF($E370, _xlfn.CONCAT("*",Table13[[#Headers],[Drama]],"*")),1,0)</f>
        <v>1</v>
      </c>
      <c r="P370">
        <f>IF(COUNTIF($E370, _xlfn.CONCAT("*",Table13[[#Headers],[Family]],"*")),1,0)</f>
        <v>0</v>
      </c>
      <c r="Q370">
        <f>IF(COUNTIF($E370, _xlfn.CONCAT("*",Table13[[#Headers],[Fantasy]],"*")),1,0)</f>
        <v>0</v>
      </c>
      <c r="R370">
        <f>IF(COUNTIF($E370, _xlfn.CONCAT("*",Table13[[#Headers],[History]],"*")),1,0)</f>
        <v>0</v>
      </c>
      <c r="S370">
        <f>IF(COUNTIF($E370, _xlfn.CONCAT("*",Table13[[#Headers],[Horror]],"*")),1,0)</f>
        <v>0</v>
      </c>
      <c r="T370">
        <f>IF(COUNTIF($E370, _xlfn.CONCAT("*",Table13[[#Headers],[Music]],"*")),1,0)</f>
        <v>0</v>
      </c>
      <c r="U370">
        <f>IF(COUNTIF($E370, _xlfn.CONCAT("*",Table13[[#Headers],[Mystery]],"*")),1,0)</f>
        <v>0</v>
      </c>
      <c r="V370">
        <f>IF(COUNTIF($E370, _xlfn.CONCAT("*",Table13[[#Headers],[Romance]],"*")),1,0)</f>
        <v>1</v>
      </c>
      <c r="W370">
        <f>IF(COUNTIF($E370, _xlfn.CONCAT("*",Table13[[#Headers],[Science Fiction]],"*")),1,0)</f>
        <v>0</v>
      </c>
      <c r="X370">
        <f>IF(COUNTIF($E370, _xlfn.CONCAT("*",Table13[[#Headers],[TV Movie]],"*")),1,0)</f>
        <v>0</v>
      </c>
      <c r="Y370">
        <f>IF(COUNTIF($E370, _xlfn.CONCAT("*",Table13[[#Headers],[Thriller]],"*")),1,0)</f>
        <v>0</v>
      </c>
      <c r="Z370">
        <f>IF(COUNTIF($E370, _xlfn.CONCAT("*",Table13[[#Headers],[War]],"*")),1,0)</f>
        <v>0</v>
      </c>
      <c r="AA370">
        <f>IF(COUNTIF($E370, _xlfn.CONCAT("*",Table13[[#Headers],[Western]],"*")),1,0)</f>
        <v>0</v>
      </c>
    </row>
    <row r="371" spans="1:27">
      <c r="A371" t="s">
        <v>385</v>
      </c>
      <c r="B371">
        <v>15</v>
      </c>
      <c r="C371">
        <f>MAX(Table13[Rank])-Table13[[#This Row],[Rank]]</f>
        <v>249</v>
      </c>
      <c r="D371" t="s">
        <v>419</v>
      </c>
      <c r="E371" t="s">
        <v>35</v>
      </c>
      <c r="F371" s="1">
        <v>10170</v>
      </c>
      <c r="G371">
        <f>YEAR(Table13[[#This Row],[Date]])</f>
        <v>1927</v>
      </c>
      <c r="H371" t="s">
        <v>385</v>
      </c>
      <c r="I371">
        <f>IF(COUNTIF($E371, _xlfn.CONCAT("*",Table13[[#Headers],[Action]],"*")),1,0)</f>
        <v>0</v>
      </c>
      <c r="J371">
        <f>IF(COUNTIF($E371, _xlfn.CONCAT("*",Table13[[#Headers],[Adventure]],"*")),1,0)</f>
        <v>0</v>
      </c>
      <c r="K371">
        <f>IF(COUNTIF($E371, _xlfn.CONCAT("*",Table13[[#Headers],[Animation]],"*")),1,0)</f>
        <v>0</v>
      </c>
      <c r="L371">
        <f>IF(COUNTIF($E371, _xlfn.CONCAT("*",Table13[[#Headers],[Comedy]],"*")),1,0)</f>
        <v>0</v>
      </c>
      <c r="M371">
        <f>IF(COUNTIF($E371, _xlfn.CONCAT("*",Table13[[#Headers],[Crime]],"*")),1,0)</f>
        <v>0</v>
      </c>
      <c r="N371">
        <f>IF(COUNTIF($E371, _xlfn.CONCAT("*",Table13[[#Headers],[Documentary]],"*")),1,0)</f>
        <v>0</v>
      </c>
      <c r="O371">
        <f>IF(COUNTIF($E371, _xlfn.CONCAT("*",Table13[[#Headers],[Drama]],"*")),1,0)</f>
        <v>1</v>
      </c>
      <c r="P371">
        <f>IF(COUNTIF($E371, _xlfn.CONCAT("*",Table13[[#Headers],[Family]],"*")),1,0)</f>
        <v>0</v>
      </c>
      <c r="Q371">
        <f>IF(COUNTIF($E371, _xlfn.CONCAT("*",Table13[[#Headers],[Fantasy]],"*")),1,0)</f>
        <v>0</v>
      </c>
      <c r="R371">
        <f>IF(COUNTIF($E371, _xlfn.CONCAT("*",Table13[[#Headers],[History]],"*")),1,0)</f>
        <v>0</v>
      </c>
      <c r="S371">
        <f>IF(COUNTIF($E371, _xlfn.CONCAT("*",Table13[[#Headers],[Horror]],"*")),1,0)</f>
        <v>0</v>
      </c>
      <c r="T371">
        <f>IF(COUNTIF($E371, _xlfn.CONCAT("*",Table13[[#Headers],[Music]],"*")),1,0)</f>
        <v>0</v>
      </c>
      <c r="U371">
        <f>IF(COUNTIF($E371, _xlfn.CONCAT("*",Table13[[#Headers],[Mystery]],"*")),1,0)</f>
        <v>0</v>
      </c>
      <c r="V371">
        <f>IF(COUNTIF($E371, _xlfn.CONCAT("*",Table13[[#Headers],[Romance]],"*")),1,0)</f>
        <v>1</v>
      </c>
      <c r="W371">
        <f>IF(COUNTIF($E371, _xlfn.CONCAT("*",Table13[[#Headers],[Science Fiction]],"*")),1,0)</f>
        <v>0</v>
      </c>
      <c r="X371">
        <f>IF(COUNTIF($E371, _xlfn.CONCAT("*",Table13[[#Headers],[TV Movie]],"*")),1,0)</f>
        <v>0</v>
      </c>
      <c r="Y371">
        <f>IF(COUNTIF($E371, _xlfn.CONCAT("*",Table13[[#Headers],[Thriller]],"*")),1,0)</f>
        <v>0</v>
      </c>
      <c r="Z371">
        <f>IF(COUNTIF($E371, _xlfn.CONCAT("*",Table13[[#Headers],[War]],"*")),1,0)</f>
        <v>0</v>
      </c>
      <c r="AA371">
        <f>IF(COUNTIF($E371, _xlfn.CONCAT("*",Table13[[#Headers],[Western]],"*")),1,0)</f>
        <v>0</v>
      </c>
    </row>
    <row r="372" spans="1:27">
      <c r="A372" t="s">
        <v>369</v>
      </c>
      <c r="B372">
        <v>14</v>
      </c>
      <c r="C372">
        <f>MAX(Table13[Rank])-Table13[[#This Row],[Rank]]</f>
        <v>250</v>
      </c>
      <c r="D372" t="s">
        <v>419</v>
      </c>
      <c r="E372" t="s">
        <v>21</v>
      </c>
      <c r="F372" s="1">
        <v>32673</v>
      </c>
      <c r="G372">
        <f>YEAR(Table13[[#This Row],[Date]])</f>
        <v>1989</v>
      </c>
      <c r="H372" t="s">
        <v>369</v>
      </c>
      <c r="I372">
        <f>IF(COUNTIF($E372, _xlfn.CONCAT("*",Table13[[#Headers],[Action]],"*")),1,0)</f>
        <v>0</v>
      </c>
      <c r="J372">
        <f>IF(COUNTIF($E372, _xlfn.CONCAT("*",Table13[[#Headers],[Adventure]],"*")),1,0)</f>
        <v>0</v>
      </c>
      <c r="K372">
        <f>IF(COUNTIF($E372, _xlfn.CONCAT("*",Table13[[#Headers],[Animation]],"*")),1,0)</f>
        <v>0</v>
      </c>
      <c r="L372">
        <f>IF(COUNTIF($E372, _xlfn.CONCAT("*",Table13[[#Headers],[Comedy]],"*")),1,0)</f>
        <v>0</v>
      </c>
      <c r="M372">
        <f>IF(COUNTIF($E372, _xlfn.CONCAT("*",Table13[[#Headers],[Crime]],"*")),1,0)</f>
        <v>0</v>
      </c>
      <c r="N372">
        <f>IF(COUNTIF($E372, _xlfn.CONCAT("*",Table13[[#Headers],[Documentary]],"*")),1,0)</f>
        <v>0</v>
      </c>
      <c r="O372">
        <f>IF(COUNTIF($E372, _xlfn.CONCAT("*",Table13[[#Headers],[Drama]],"*")),1,0)</f>
        <v>1</v>
      </c>
      <c r="P372">
        <f>IF(COUNTIF($E372, _xlfn.CONCAT("*",Table13[[#Headers],[Family]],"*")),1,0)</f>
        <v>0</v>
      </c>
      <c r="Q372">
        <f>IF(COUNTIF($E372, _xlfn.CONCAT("*",Table13[[#Headers],[Fantasy]],"*")),1,0)</f>
        <v>0</v>
      </c>
      <c r="R372">
        <f>IF(COUNTIF($E372, _xlfn.CONCAT("*",Table13[[#Headers],[History]],"*")),1,0)</f>
        <v>0</v>
      </c>
      <c r="S372">
        <f>IF(COUNTIF($E372, _xlfn.CONCAT("*",Table13[[#Headers],[Horror]],"*")),1,0)</f>
        <v>0</v>
      </c>
      <c r="T372">
        <f>IF(COUNTIF($E372, _xlfn.CONCAT("*",Table13[[#Headers],[Music]],"*")),1,0)</f>
        <v>0</v>
      </c>
      <c r="U372">
        <f>IF(COUNTIF($E372, _xlfn.CONCAT("*",Table13[[#Headers],[Mystery]],"*")),1,0)</f>
        <v>0</v>
      </c>
      <c r="V372">
        <f>IF(COUNTIF($E372, _xlfn.CONCAT("*",Table13[[#Headers],[Romance]],"*")),1,0)</f>
        <v>0</v>
      </c>
      <c r="W372">
        <f>IF(COUNTIF($E372, _xlfn.CONCAT("*",Table13[[#Headers],[Science Fiction]],"*")),1,0)</f>
        <v>0</v>
      </c>
      <c r="X372">
        <f>IF(COUNTIF($E372, _xlfn.CONCAT("*",Table13[[#Headers],[TV Movie]],"*")),1,0)</f>
        <v>0</v>
      </c>
      <c r="Y372">
        <f>IF(COUNTIF($E372, _xlfn.CONCAT("*",Table13[[#Headers],[Thriller]],"*")),1,0)</f>
        <v>0</v>
      </c>
      <c r="Z372">
        <f>IF(COUNTIF($E372, _xlfn.CONCAT("*",Table13[[#Headers],[War]],"*")),1,0)</f>
        <v>0</v>
      </c>
      <c r="AA372">
        <f>IF(COUNTIF($E372, _xlfn.CONCAT("*",Table13[[#Headers],[Western]],"*")),1,0)</f>
        <v>0</v>
      </c>
    </row>
    <row r="373" spans="1:27">
      <c r="A373" t="s">
        <v>483</v>
      </c>
      <c r="B373">
        <v>13</v>
      </c>
      <c r="C373">
        <f>MAX(Table13[Rank])-Table13[[#This Row],[Rank]]</f>
        <v>251</v>
      </c>
      <c r="D373" t="s">
        <v>419</v>
      </c>
      <c r="E373" t="s">
        <v>194</v>
      </c>
      <c r="F373" s="1">
        <v>14435</v>
      </c>
      <c r="G373">
        <f>YEAR(Table13[[#This Row],[Date]])</f>
        <v>1939</v>
      </c>
      <c r="H373" t="s">
        <v>483</v>
      </c>
      <c r="I373">
        <f>IF(COUNTIF($E373, _xlfn.CONCAT("*",Table13[[#Headers],[Action]],"*")),1,0)</f>
        <v>0</v>
      </c>
      <c r="J373">
        <f>IF(COUNTIF($E373, _xlfn.CONCAT("*",Table13[[#Headers],[Adventure]],"*")),1,0)</f>
        <v>0</v>
      </c>
      <c r="K373">
        <f>IF(COUNTIF($E373, _xlfn.CONCAT("*",Table13[[#Headers],[Animation]],"*")),1,0)</f>
        <v>0</v>
      </c>
      <c r="L373">
        <f>IF(COUNTIF($E373, _xlfn.CONCAT("*",Table13[[#Headers],[Comedy]],"*")),1,0)</f>
        <v>1</v>
      </c>
      <c r="M373">
        <f>IF(COUNTIF($E373, _xlfn.CONCAT("*",Table13[[#Headers],[Crime]],"*")),1,0)</f>
        <v>0</v>
      </c>
      <c r="N373">
        <f>IF(COUNTIF($E373, _xlfn.CONCAT("*",Table13[[#Headers],[Documentary]],"*")),1,0)</f>
        <v>0</v>
      </c>
      <c r="O373">
        <f>IF(COUNTIF($E373, _xlfn.CONCAT("*",Table13[[#Headers],[Drama]],"*")),1,0)</f>
        <v>1</v>
      </c>
      <c r="P373">
        <f>IF(COUNTIF($E373, _xlfn.CONCAT("*",Table13[[#Headers],[Family]],"*")),1,0)</f>
        <v>0</v>
      </c>
      <c r="Q373">
        <f>IF(COUNTIF($E373, _xlfn.CONCAT("*",Table13[[#Headers],[Fantasy]],"*")),1,0)</f>
        <v>0</v>
      </c>
      <c r="R373">
        <f>IF(COUNTIF($E373, _xlfn.CONCAT("*",Table13[[#Headers],[History]],"*")),1,0)</f>
        <v>0</v>
      </c>
      <c r="S373">
        <f>IF(COUNTIF($E373, _xlfn.CONCAT("*",Table13[[#Headers],[Horror]],"*")),1,0)</f>
        <v>0</v>
      </c>
      <c r="T373">
        <f>IF(COUNTIF($E373, _xlfn.CONCAT("*",Table13[[#Headers],[Music]],"*")),1,0)</f>
        <v>0</v>
      </c>
      <c r="U373">
        <f>IF(COUNTIF($E373, _xlfn.CONCAT("*",Table13[[#Headers],[Mystery]],"*")),1,0)</f>
        <v>0</v>
      </c>
      <c r="V373">
        <f>IF(COUNTIF($E373, _xlfn.CONCAT("*",Table13[[#Headers],[Romance]],"*")),1,0)</f>
        <v>1</v>
      </c>
      <c r="W373">
        <f>IF(COUNTIF($E373, _xlfn.CONCAT("*",Table13[[#Headers],[Science Fiction]],"*")),1,0)</f>
        <v>0</v>
      </c>
      <c r="X373">
        <f>IF(COUNTIF($E373, _xlfn.CONCAT("*",Table13[[#Headers],[TV Movie]],"*")),1,0)</f>
        <v>0</v>
      </c>
      <c r="Y373">
        <f>IF(COUNTIF($E373, _xlfn.CONCAT("*",Table13[[#Headers],[Thriller]],"*")),1,0)</f>
        <v>0</v>
      </c>
      <c r="Z373">
        <f>IF(COUNTIF($E373, _xlfn.CONCAT("*",Table13[[#Headers],[War]],"*")),1,0)</f>
        <v>0</v>
      </c>
      <c r="AA373">
        <f>IF(COUNTIF($E373, _xlfn.CONCAT("*",Table13[[#Headers],[Western]],"*")),1,0)</f>
        <v>0</v>
      </c>
    </row>
    <row r="374" spans="1:27">
      <c r="A374" t="s">
        <v>484</v>
      </c>
      <c r="B374">
        <v>12</v>
      </c>
      <c r="C374">
        <f>MAX(Table13[Rank])-Table13[[#This Row],[Rank]]</f>
        <v>252</v>
      </c>
      <c r="D374" t="s">
        <v>419</v>
      </c>
      <c r="E374" t="s">
        <v>166</v>
      </c>
      <c r="F374" s="1">
        <v>33128</v>
      </c>
      <c r="G374">
        <f>YEAR(Table13[[#This Row],[Date]])</f>
        <v>1990</v>
      </c>
      <c r="H374" t="s">
        <v>316</v>
      </c>
      <c r="I374">
        <f>IF(COUNTIF($E374, _xlfn.CONCAT("*",Table13[[#Headers],[Action]],"*")),1,0)</f>
        <v>0</v>
      </c>
      <c r="J374">
        <f>IF(COUNTIF($E374, _xlfn.CONCAT("*",Table13[[#Headers],[Adventure]],"*")),1,0)</f>
        <v>0</v>
      </c>
      <c r="K374">
        <f>IF(COUNTIF($E374, _xlfn.CONCAT("*",Table13[[#Headers],[Animation]],"*")),1,0)</f>
        <v>0</v>
      </c>
      <c r="L374">
        <f>IF(COUNTIF($E374, _xlfn.CONCAT("*",Table13[[#Headers],[Comedy]],"*")),1,0)</f>
        <v>0</v>
      </c>
      <c r="M374">
        <f>IF(COUNTIF($E374, _xlfn.CONCAT("*",Table13[[#Headers],[Crime]],"*")),1,0)</f>
        <v>1</v>
      </c>
      <c r="N374">
        <f>IF(COUNTIF($E374, _xlfn.CONCAT("*",Table13[[#Headers],[Documentary]],"*")),1,0)</f>
        <v>0</v>
      </c>
      <c r="O374">
        <f>IF(COUNTIF($E374, _xlfn.CONCAT("*",Table13[[#Headers],[Drama]],"*")),1,0)</f>
        <v>1</v>
      </c>
      <c r="P374">
        <f>IF(COUNTIF($E374, _xlfn.CONCAT("*",Table13[[#Headers],[Family]],"*")),1,0)</f>
        <v>0</v>
      </c>
      <c r="Q374">
        <f>IF(COUNTIF($E374, _xlfn.CONCAT("*",Table13[[#Headers],[Fantasy]],"*")),1,0)</f>
        <v>0</v>
      </c>
      <c r="R374">
        <f>IF(COUNTIF($E374, _xlfn.CONCAT("*",Table13[[#Headers],[History]],"*")),1,0)</f>
        <v>0</v>
      </c>
      <c r="S374">
        <f>IF(COUNTIF($E374, _xlfn.CONCAT("*",Table13[[#Headers],[Horror]],"*")),1,0)</f>
        <v>0</v>
      </c>
      <c r="T374">
        <f>IF(COUNTIF($E374, _xlfn.CONCAT("*",Table13[[#Headers],[Music]],"*")),1,0)</f>
        <v>0</v>
      </c>
      <c r="U374">
        <f>IF(COUNTIF($E374, _xlfn.CONCAT("*",Table13[[#Headers],[Mystery]],"*")),1,0)</f>
        <v>0</v>
      </c>
      <c r="V374">
        <f>IF(COUNTIF($E374, _xlfn.CONCAT("*",Table13[[#Headers],[Romance]],"*")),1,0)</f>
        <v>0</v>
      </c>
      <c r="W374">
        <f>IF(COUNTIF($E374, _xlfn.CONCAT("*",Table13[[#Headers],[Science Fiction]],"*")),1,0)</f>
        <v>0</v>
      </c>
      <c r="X374">
        <f>IF(COUNTIF($E374, _xlfn.CONCAT("*",Table13[[#Headers],[TV Movie]],"*")),1,0)</f>
        <v>0</v>
      </c>
      <c r="Y374">
        <f>IF(COUNTIF($E374, _xlfn.CONCAT("*",Table13[[#Headers],[Thriller]],"*")),1,0)</f>
        <v>0</v>
      </c>
      <c r="Z374">
        <f>IF(COUNTIF($E374, _xlfn.CONCAT("*",Table13[[#Headers],[War]],"*")),1,0)</f>
        <v>0</v>
      </c>
      <c r="AA374">
        <f>IF(COUNTIF($E374, _xlfn.CONCAT("*",Table13[[#Headers],[Western]],"*")),1,0)</f>
        <v>0</v>
      </c>
    </row>
    <row r="375" spans="1:27">
      <c r="A375" t="s">
        <v>485</v>
      </c>
      <c r="B375">
        <v>11</v>
      </c>
      <c r="C375">
        <f>MAX(Table13[Rank])-Table13[[#This Row],[Rank]]</f>
        <v>253</v>
      </c>
      <c r="D375" t="s">
        <v>419</v>
      </c>
      <c r="E375" t="s">
        <v>220</v>
      </c>
      <c r="F375" s="1">
        <v>19093</v>
      </c>
      <c r="G375">
        <f>YEAR(Table13[[#This Row],[Date]])</f>
        <v>1952</v>
      </c>
      <c r="H375" t="s">
        <v>386</v>
      </c>
      <c r="I375">
        <f>IF(COUNTIF($E375, _xlfn.CONCAT("*",Table13[[#Headers],[Action]],"*")),1,0)</f>
        <v>0</v>
      </c>
      <c r="J375">
        <f>IF(COUNTIF($E375, _xlfn.CONCAT("*",Table13[[#Headers],[Adventure]],"*")),1,0)</f>
        <v>0</v>
      </c>
      <c r="K375">
        <f>IF(COUNTIF($E375, _xlfn.CONCAT("*",Table13[[#Headers],[Animation]],"*")),1,0)</f>
        <v>0</v>
      </c>
      <c r="L375">
        <f>IF(COUNTIF($E375, _xlfn.CONCAT("*",Table13[[#Headers],[Comedy]],"*")),1,0)</f>
        <v>1</v>
      </c>
      <c r="M375">
        <f>IF(COUNTIF($E375, _xlfn.CONCAT("*",Table13[[#Headers],[Crime]],"*")),1,0)</f>
        <v>0</v>
      </c>
      <c r="N375">
        <f>IF(COUNTIF($E375, _xlfn.CONCAT("*",Table13[[#Headers],[Documentary]],"*")),1,0)</f>
        <v>0</v>
      </c>
      <c r="O375">
        <f>IF(COUNTIF($E375, _xlfn.CONCAT("*",Table13[[#Headers],[Drama]],"*")),1,0)</f>
        <v>0</v>
      </c>
      <c r="P375">
        <f>IF(COUNTIF($E375, _xlfn.CONCAT("*",Table13[[#Headers],[Family]],"*")),1,0)</f>
        <v>0</v>
      </c>
      <c r="Q375">
        <f>IF(COUNTIF($E375, _xlfn.CONCAT("*",Table13[[#Headers],[Fantasy]],"*")),1,0)</f>
        <v>0</v>
      </c>
      <c r="R375">
        <f>IF(COUNTIF($E375, _xlfn.CONCAT("*",Table13[[#Headers],[History]],"*")),1,0)</f>
        <v>0</v>
      </c>
      <c r="S375">
        <f>IF(COUNTIF($E375, _xlfn.CONCAT("*",Table13[[#Headers],[Horror]],"*")),1,0)</f>
        <v>0</v>
      </c>
      <c r="T375">
        <f>IF(COUNTIF($E375, _xlfn.CONCAT("*",Table13[[#Headers],[Music]],"*")),1,0)</f>
        <v>0</v>
      </c>
      <c r="U375">
        <f>IF(COUNTIF($E375, _xlfn.CONCAT("*",Table13[[#Headers],[Mystery]],"*")),1,0)</f>
        <v>0</v>
      </c>
      <c r="V375">
        <f>IF(COUNTIF($E375, _xlfn.CONCAT("*",Table13[[#Headers],[Romance]],"*")),1,0)</f>
        <v>1</v>
      </c>
      <c r="W375">
        <f>IF(COUNTIF($E375, _xlfn.CONCAT("*",Table13[[#Headers],[Science Fiction]],"*")),1,0)</f>
        <v>0</v>
      </c>
      <c r="X375">
        <f>IF(COUNTIF($E375, _xlfn.CONCAT("*",Table13[[#Headers],[TV Movie]],"*")),1,0)</f>
        <v>0</v>
      </c>
      <c r="Y375">
        <f>IF(COUNTIF($E375, _xlfn.CONCAT("*",Table13[[#Headers],[Thriller]],"*")),1,0)</f>
        <v>0</v>
      </c>
      <c r="Z375">
        <f>IF(COUNTIF($E375, _xlfn.CONCAT("*",Table13[[#Headers],[War]],"*")),1,0)</f>
        <v>0</v>
      </c>
      <c r="AA375">
        <f>IF(COUNTIF($E375, _xlfn.CONCAT("*",Table13[[#Headers],[Western]],"*")),1,0)</f>
        <v>0</v>
      </c>
    </row>
    <row r="376" spans="1:27">
      <c r="A376" t="s">
        <v>486</v>
      </c>
      <c r="B376">
        <v>10</v>
      </c>
      <c r="C376">
        <f>MAX(Table13[Rank])-Table13[[#This Row],[Rank]]</f>
        <v>254</v>
      </c>
      <c r="D376" t="s">
        <v>419</v>
      </c>
      <c r="E376" t="s">
        <v>186</v>
      </c>
      <c r="F376" s="1">
        <v>36000</v>
      </c>
      <c r="G376">
        <f>YEAR(Table13[[#This Row],[Date]])</f>
        <v>1998</v>
      </c>
      <c r="H376" t="s">
        <v>486</v>
      </c>
      <c r="I376">
        <f>IF(COUNTIF($E376, _xlfn.CONCAT("*",Table13[[#Headers],[Action]],"*")),1,0)</f>
        <v>0</v>
      </c>
      <c r="J376">
        <f>IF(COUNTIF($E376, _xlfn.CONCAT("*",Table13[[#Headers],[Adventure]],"*")),1,0)</f>
        <v>0</v>
      </c>
      <c r="K376">
        <f>IF(COUNTIF($E376, _xlfn.CONCAT("*",Table13[[#Headers],[Animation]],"*")),1,0)</f>
        <v>0</v>
      </c>
      <c r="L376">
        <f>IF(COUNTIF($E376, _xlfn.CONCAT("*",Table13[[#Headers],[Comedy]],"*")),1,0)</f>
        <v>0</v>
      </c>
      <c r="M376">
        <f>IF(COUNTIF($E376, _xlfn.CONCAT("*",Table13[[#Headers],[Crime]],"*")),1,0)</f>
        <v>0</v>
      </c>
      <c r="N376">
        <f>IF(COUNTIF($E376, _xlfn.CONCAT("*",Table13[[#Headers],[Documentary]],"*")),1,0)</f>
        <v>0</v>
      </c>
      <c r="O376">
        <f>IF(COUNTIF($E376, _xlfn.CONCAT("*",Table13[[#Headers],[Drama]],"*")),1,0)</f>
        <v>1</v>
      </c>
      <c r="P376">
        <f>IF(COUNTIF($E376, _xlfn.CONCAT("*",Table13[[#Headers],[Family]],"*")),1,0)</f>
        <v>0</v>
      </c>
      <c r="Q376">
        <f>IF(COUNTIF($E376, _xlfn.CONCAT("*",Table13[[#Headers],[Fantasy]],"*")),1,0)</f>
        <v>0</v>
      </c>
      <c r="R376">
        <f>IF(COUNTIF($E376, _xlfn.CONCAT("*",Table13[[#Headers],[History]],"*")),1,0)</f>
        <v>1</v>
      </c>
      <c r="S376">
        <f>IF(COUNTIF($E376, _xlfn.CONCAT("*",Table13[[#Headers],[Horror]],"*")),1,0)</f>
        <v>0</v>
      </c>
      <c r="T376">
        <f>IF(COUNTIF($E376, _xlfn.CONCAT("*",Table13[[#Headers],[Music]],"*")),1,0)</f>
        <v>0</v>
      </c>
      <c r="U376">
        <f>IF(COUNTIF($E376, _xlfn.CONCAT("*",Table13[[#Headers],[Mystery]],"*")),1,0)</f>
        <v>0</v>
      </c>
      <c r="V376">
        <f>IF(COUNTIF($E376, _xlfn.CONCAT("*",Table13[[#Headers],[Romance]],"*")),1,0)</f>
        <v>0</v>
      </c>
      <c r="W376">
        <f>IF(COUNTIF($E376, _xlfn.CONCAT("*",Table13[[#Headers],[Science Fiction]],"*")),1,0)</f>
        <v>0</v>
      </c>
      <c r="X376">
        <f>IF(COUNTIF($E376, _xlfn.CONCAT("*",Table13[[#Headers],[TV Movie]],"*")),1,0)</f>
        <v>0</v>
      </c>
      <c r="Y376">
        <f>IF(COUNTIF($E376, _xlfn.CONCAT("*",Table13[[#Headers],[Thriller]],"*")),1,0)</f>
        <v>0</v>
      </c>
      <c r="Z376">
        <f>IF(COUNTIF($E376, _xlfn.CONCAT("*",Table13[[#Headers],[War]],"*")),1,0)</f>
        <v>1</v>
      </c>
      <c r="AA376">
        <f>IF(COUNTIF($E376, _xlfn.CONCAT("*",Table13[[#Headers],[Western]],"*")),1,0)</f>
        <v>0</v>
      </c>
    </row>
    <row r="377" spans="1:27">
      <c r="A377" t="s">
        <v>75</v>
      </c>
      <c r="B377">
        <v>9</v>
      </c>
      <c r="C377">
        <f>MAX(Table13[Rank])-Table13[[#This Row],[Rank]]</f>
        <v>255</v>
      </c>
      <c r="D377" t="s">
        <v>419</v>
      </c>
      <c r="E377" t="s">
        <v>21</v>
      </c>
      <c r="F377" s="1">
        <v>18576</v>
      </c>
      <c r="G377">
        <f>YEAR(Table13[[#This Row],[Date]])</f>
        <v>1950</v>
      </c>
      <c r="H377" t="s">
        <v>75</v>
      </c>
      <c r="I377">
        <f>IF(COUNTIF($E377, _xlfn.CONCAT("*",Table13[[#Headers],[Action]],"*")),1,0)</f>
        <v>0</v>
      </c>
      <c r="J377">
        <f>IF(COUNTIF($E377, _xlfn.CONCAT("*",Table13[[#Headers],[Adventure]],"*")),1,0)</f>
        <v>0</v>
      </c>
      <c r="K377">
        <f>IF(COUNTIF($E377, _xlfn.CONCAT("*",Table13[[#Headers],[Animation]],"*")),1,0)</f>
        <v>0</v>
      </c>
      <c r="L377">
        <f>IF(COUNTIF($E377, _xlfn.CONCAT("*",Table13[[#Headers],[Comedy]],"*")),1,0)</f>
        <v>0</v>
      </c>
      <c r="M377">
        <f>IF(COUNTIF($E377, _xlfn.CONCAT("*",Table13[[#Headers],[Crime]],"*")),1,0)</f>
        <v>0</v>
      </c>
      <c r="N377">
        <f>IF(COUNTIF($E377, _xlfn.CONCAT("*",Table13[[#Headers],[Documentary]],"*")),1,0)</f>
        <v>0</v>
      </c>
      <c r="O377">
        <f>IF(COUNTIF($E377, _xlfn.CONCAT("*",Table13[[#Headers],[Drama]],"*")),1,0)</f>
        <v>1</v>
      </c>
      <c r="P377">
        <f>IF(COUNTIF($E377, _xlfn.CONCAT("*",Table13[[#Headers],[Family]],"*")),1,0)</f>
        <v>0</v>
      </c>
      <c r="Q377">
        <f>IF(COUNTIF($E377, _xlfn.CONCAT("*",Table13[[#Headers],[Fantasy]],"*")),1,0)</f>
        <v>0</v>
      </c>
      <c r="R377">
        <f>IF(COUNTIF($E377, _xlfn.CONCAT("*",Table13[[#Headers],[History]],"*")),1,0)</f>
        <v>0</v>
      </c>
      <c r="S377">
        <f>IF(COUNTIF($E377, _xlfn.CONCAT("*",Table13[[#Headers],[Horror]],"*")),1,0)</f>
        <v>0</v>
      </c>
      <c r="T377">
        <f>IF(COUNTIF($E377, _xlfn.CONCAT("*",Table13[[#Headers],[Music]],"*")),1,0)</f>
        <v>0</v>
      </c>
      <c r="U377">
        <f>IF(COUNTIF($E377, _xlfn.CONCAT("*",Table13[[#Headers],[Mystery]],"*")),1,0)</f>
        <v>0</v>
      </c>
      <c r="V377">
        <f>IF(COUNTIF($E377, _xlfn.CONCAT("*",Table13[[#Headers],[Romance]],"*")),1,0)</f>
        <v>0</v>
      </c>
      <c r="W377">
        <f>IF(COUNTIF($E377, _xlfn.CONCAT("*",Table13[[#Headers],[Science Fiction]],"*")),1,0)</f>
        <v>0</v>
      </c>
      <c r="X377">
        <f>IF(COUNTIF($E377, _xlfn.CONCAT("*",Table13[[#Headers],[TV Movie]],"*")),1,0)</f>
        <v>0</v>
      </c>
      <c r="Y377">
        <f>IF(COUNTIF($E377, _xlfn.CONCAT("*",Table13[[#Headers],[Thriller]],"*")),1,0)</f>
        <v>0</v>
      </c>
      <c r="Z377">
        <f>IF(COUNTIF($E377, _xlfn.CONCAT("*",Table13[[#Headers],[War]],"*")),1,0)</f>
        <v>0</v>
      </c>
      <c r="AA377">
        <f>IF(COUNTIF($E377, _xlfn.CONCAT("*",Table13[[#Headers],[Western]],"*")),1,0)</f>
        <v>0</v>
      </c>
    </row>
    <row r="378" spans="1:27">
      <c r="A378" t="s">
        <v>487</v>
      </c>
      <c r="B378">
        <v>8</v>
      </c>
      <c r="C378">
        <f>MAX(Table13[Rank])-Table13[[#This Row],[Rank]]</f>
        <v>256</v>
      </c>
      <c r="D378" t="s">
        <v>419</v>
      </c>
      <c r="E378" t="s">
        <v>211</v>
      </c>
      <c r="F378" s="1">
        <v>17156</v>
      </c>
      <c r="G378">
        <f>YEAR(Table13[[#This Row],[Date]])</f>
        <v>1946</v>
      </c>
      <c r="H378" t="s">
        <v>210</v>
      </c>
      <c r="I378">
        <f>IF(COUNTIF($E378, _xlfn.CONCAT("*",Table13[[#Headers],[Action]],"*")),1,0)</f>
        <v>0</v>
      </c>
      <c r="J378">
        <f>IF(COUNTIF($E378, _xlfn.CONCAT("*",Table13[[#Headers],[Adventure]],"*")),1,0)</f>
        <v>0</v>
      </c>
      <c r="K378">
        <f>IF(COUNTIF($E378, _xlfn.CONCAT("*",Table13[[#Headers],[Animation]],"*")),1,0)</f>
        <v>0</v>
      </c>
      <c r="L378">
        <f>IF(COUNTIF($E378, _xlfn.CONCAT("*",Table13[[#Headers],[Comedy]],"*")),1,0)</f>
        <v>0</v>
      </c>
      <c r="M378">
        <f>IF(COUNTIF($E378, _xlfn.CONCAT("*",Table13[[#Headers],[Crime]],"*")),1,0)</f>
        <v>0</v>
      </c>
      <c r="N378">
        <f>IF(COUNTIF($E378, _xlfn.CONCAT("*",Table13[[#Headers],[Documentary]],"*")),1,0)</f>
        <v>0</v>
      </c>
      <c r="O378">
        <f>IF(COUNTIF($E378, _xlfn.CONCAT("*",Table13[[#Headers],[Drama]],"*")),1,0)</f>
        <v>1</v>
      </c>
      <c r="P378">
        <f>IF(COUNTIF($E378, _xlfn.CONCAT("*",Table13[[#Headers],[Family]],"*")),1,0)</f>
        <v>1</v>
      </c>
      <c r="Q378">
        <f>IF(COUNTIF($E378, _xlfn.CONCAT("*",Table13[[#Headers],[Fantasy]],"*")),1,0)</f>
        <v>1</v>
      </c>
      <c r="R378">
        <f>IF(COUNTIF($E378, _xlfn.CONCAT("*",Table13[[#Headers],[History]],"*")),1,0)</f>
        <v>0</v>
      </c>
      <c r="S378">
        <f>IF(COUNTIF($E378, _xlfn.CONCAT("*",Table13[[#Headers],[Horror]],"*")),1,0)</f>
        <v>0</v>
      </c>
      <c r="T378">
        <f>IF(COUNTIF($E378, _xlfn.CONCAT("*",Table13[[#Headers],[Music]],"*")),1,0)</f>
        <v>0</v>
      </c>
      <c r="U378">
        <f>IF(COUNTIF($E378, _xlfn.CONCAT("*",Table13[[#Headers],[Mystery]],"*")),1,0)</f>
        <v>0</v>
      </c>
      <c r="V378">
        <f>IF(COUNTIF($E378, _xlfn.CONCAT("*",Table13[[#Headers],[Romance]],"*")),1,0)</f>
        <v>0</v>
      </c>
      <c r="W378">
        <f>IF(COUNTIF($E378, _xlfn.CONCAT("*",Table13[[#Headers],[Science Fiction]],"*")),1,0)</f>
        <v>0</v>
      </c>
      <c r="X378">
        <f>IF(COUNTIF($E378, _xlfn.CONCAT("*",Table13[[#Headers],[TV Movie]],"*")),1,0)</f>
        <v>0</v>
      </c>
      <c r="Y378">
        <f>IF(COUNTIF($E378, _xlfn.CONCAT("*",Table13[[#Headers],[Thriller]],"*")),1,0)</f>
        <v>0</v>
      </c>
      <c r="Z378">
        <f>IF(COUNTIF($E378, _xlfn.CONCAT("*",Table13[[#Headers],[War]],"*")),1,0)</f>
        <v>0</v>
      </c>
      <c r="AA378">
        <f>IF(COUNTIF($E378, _xlfn.CONCAT("*",Table13[[#Headers],[Western]],"*")),1,0)</f>
        <v>0</v>
      </c>
    </row>
    <row r="379" spans="1:27">
      <c r="A379" t="s">
        <v>391</v>
      </c>
      <c r="B379">
        <v>7</v>
      </c>
      <c r="C379">
        <f>MAX(Table13[Rank])-Table13[[#This Row],[Rank]]</f>
        <v>257</v>
      </c>
      <c r="D379" t="s">
        <v>419</v>
      </c>
      <c r="E379" t="s">
        <v>392</v>
      </c>
      <c r="F379" s="1">
        <v>24930</v>
      </c>
      <c r="G379">
        <f>YEAR(Table13[[#This Row],[Date]])</f>
        <v>1968</v>
      </c>
      <c r="H379" t="s">
        <v>391</v>
      </c>
      <c r="I379">
        <f>IF(COUNTIF($E379, _xlfn.CONCAT("*",Table13[[#Headers],[Action]],"*")),1,0)</f>
        <v>0</v>
      </c>
      <c r="J379">
        <f>IF(COUNTIF($E379, _xlfn.CONCAT("*",Table13[[#Headers],[Adventure]],"*")),1,0)</f>
        <v>1</v>
      </c>
      <c r="K379">
        <f>IF(COUNTIF($E379, _xlfn.CONCAT("*",Table13[[#Headers],[Animation]],"*")),1,0)</f>
        <v>0</v>
      </c>
      <c r="L379">
        <f>IF(COUNTIF($E379, _xlfn.CONCAT("*",Table13[[#Headers],[Comedy]],"*")),1,0)</f>
        <v>0</v>
      </c>
      <c r="M379">
        <f>IF(COUNTIF($E379, _xlfn.CONCAT("*",Table13[[#Headers],[Crime]],"*")),1,0)</f>
        <v>0</v>
      </c>
      <c r="N379">
        <f>IF(COUNTIF($E379, _xlfn.CONCAT("*",Table13[[#Headers],[Documentary]],"*")),1,0)</f>
        <v>0</v>
      </c>
      <c r="O379">
        <f>IF(COUNTIF($E379, _xlfn.CONCAT("*",Table13[[#Headers],[Drama]],"*")),1,0)</f>
        <v>0</v>
      </c>
      <c r="P379">
        <f>IF(COUNTIF($E379, _xlfn.CONCAT("*",Table13[[#Headers],[Family]],"*")),1,0)</f>
        <v>0</v>
      </c>
      <c r="Q379">
        <f>IF(COUNTIF($E379, _xlfn.CONCAT("*",Table13[[#Headers],[Fantasy]],"*")),1,0)</f>
        <v>0</v>
      </c>
      <c r="R379">
        <f>IF(COUNTIF($E379, _xlfn.CONCAT("*",Table13[[#Headers],[History]],"*")),1,0)</f>
        <v>0</v>
      </c>
      <c r="S379">
        <f>IF(COUNTIF($E379, _xlfn.CONCAT("*",Table13[[#Headers],[Horror]],"*")),1,0)</f>
        <v>0</v>
      </c>
      <c r="T379">
        <f>IF(COUNTIF($E379, _xlfn.CONCAT("*",Table13[[#Headers],[Music]],"*")),1,0)</f>
        <v>0</v>
      </c>
      <c r="U379">
        <f>IF(COUNTIF($E379, _xlfn.CONCAT("*",Table13[[#Headers],[Mystery]],"*")),1,0)</f>
        <v>1</v>
      </c>
      <c r="V379">
        <f>IF(COUNTIF($E379, _xlfn.CONCAT("*",Table13[[#Headers],[Romance]],"*")),1,0)</f>
        <v>0</v>
      </c>
      <c r="W379">
        <f>IF(COUNTIF($E379, _xlfn.CONCAT("*",Table13[[#Headers],[Science Fiction]],"*")),1,0)</f>
        <v>1</v>
      </c>
      <c r="X379">
        <f>IF(COUNTIF($E379, _xlfn.CONCAT("*",Table13[[#Headers],[TV Movie]],"*")),1,0)</f>
        <v>0</v>
      </c>
      <c r="Y379">
        <f>IF(COUNTIF($E379, _xlfn.CONCAT("*",Table13[[#Headers],[Thriller]],"*")),1,0)</f>
        <v>0</v>
      </c>
      <c r="Z379">
        <f>IF(COUNTIF($E379, _xlfn.CONCAT("*",Table13[[#Headers],[War]],"*")),1,0)</f>
        <v>0</v>
      </c>
      <c r="AA379">
        <f>IF(COUNTIF($E379, _xlfn.CONCAT("*",Table13[[#Headers],[Western]],"*")),1,0)</f>
        <v>0</v>
      </c>
    </row>
    <row r="380" spans="1:27">
      <c r="A380" t="s">
        <v>374</v>
      </c>
      <c r="B380">
        <v>6</v>
      </c>
      <c r="C380">
        <f>MAX(Table13[Rank])-Table13[[#This Row],[Rank]]</f>
        <v>258</v>
      </c>
      <c r="D380" t="s">
        <v>419</v>
      </c>
      <c r="E380" t="s">
        <v>375</v>
      </c>
      <c r="F380" s="1">
        <v>19840</v>
      </c>
      <c r="G380">
        <f>YEAR(Table13[[#This Row],[Date]])</f>
        <v>1954</v>
      </c>
      <c r="H380" t="s">
        <v>374</v>
      </c>
      <c r="I380">
        <f>IF(COUNTIF($E380, _xlfn.CONCAT("*",Table13[[#Headers],[Action]],"*")),1,0)</f>
        <v>1</v>
      </c>
      <c r="J380">
        <f>IF(COUNTIF($E380, _xlfn.CONCAT("*",Table13[[#Headers],[Adventure]],"*")),1,0)</f>
        <v>0</v>
      </c>
      <c r="K380">
        <f>IF(COUNTIF($E380, _xlfn.CONCAT("*",Table13[[#Headers],[Animation]],"*")),1,0)</f>
        <v>0</v>
      </c>
      <c r="L380">
        <f>IF(COUNTIF($E380, _xlfn.CONCAT("*",Table13[[#Headers],[Comedy]],"*")),1,0)</f>
        <v>0</v>
      </c>
      <c r="M380">
        <f>IF(COUNTIF($E380, _xlfn.CONCAT("*",Table13[[#Headers],[Crime]],"*")),1,0)</f>
        <v>0</v>
      </c>
      <c r="N380">
        <f>IF(COUNTIF($E380, _xlfn.CONCAT("*",Table13[[#Headers],[Documentary]],"*")),1,0)</f>
        <v>0</v>
      </c>
      <c r="O380">
        <f>IF(COUNTIF($E380, _xlfn.CONCAT("*",Table13[[#Headers],[Drama]],"*")),1,0)</f>
        <v>1</v>
      </c>
      <c r="P380">
        <f>IF(COUNTIF($E380, _xlfn.CONCAT("*",Table13[[#Headers],[Family]],"*")),1,0)</f>
        <v>0</v>
      </c>
      <c r="Q380">
        <f>IF(COUNTIF($E380, _xlfn.CONCAT("*",Table13[[#Headers],[Fantasy]],"*")),1,0)</f>
        <v>0</v>
      </c>
      <c r="R380">
        <f>IF(COUNTIF($E380, _xlfn.CONCAT("*",Table13[[#Headers],[History]],"*")),1,0)</f>
        <v>0</v>
      </c>
      <c r="S380">
        <f>IF(COUNTIF($E380, _xlfn.CONCAT("*",Table13[[#Headers],[Horror]],"*")),1,0)</f>
        <v>0</v>
      </c>
      <c r="T380">
        <f>IF(COUNTIF($E380, _xlfn.CONCAT("*",Table13[[#Headers],[Music]],"*")),1,0)</f>
        <v>0</v>
      </c>
      <c r="U380">
        <f>IF(COUNTIF($E380, _xlfn.CONCAT("*",Table13[[#Headers],[Mystery]],"*")),1,0)</f>
        <v>0</v>
      </c>
      <c r="V380">
        <f>IF(COUNTIF($E380, _xlfn.CONCAT("*",Table13[[#Headers],[Romance]],"*")),1,0)</f>
        <v>0</v>
      </c>
      <c r="W380">
        <f>IF(COUNTIF($E380, _xlfn.CONCAT("*",Table13[[#Headers],[Science Fiction]],"*")),1,0)</f>
        <v>0</v>
      </c>
      <c r="X380">
        <f>IF(COUNTIF($E380, _xlfn.CONCAT("*",Table13[[#Headers],[TV Movie]],"*")),1,0)</f>
        <v>0</v>
      </c>
      <c r="Y380">
        <f>IF(COUNTIF($E380, _xlfn.CONCAT("*",Table13[[#Headers],[Thriller]],"*")),1,0)</f>
        <v>0</v>
      </c>
      <c r="Z380">
        <f>IF(COUNTIF($E380, _xlfn.CONCAT("*",Table13[[#Headers],[War]],"*")),1,0)</f>
        <v>0</v>
      </c>
      <c r="AA380">
        <f>IF(COUNTIF($E380, _xlfn.CONCAT("*",Table13[[#Headers],[Western]],"*")),1,0)</f>
        <v>0</v>
      </c>
    </row>
    <row r="381" spans="1:27">
      <c r="A381" t="s">
        <v>216</v>
      </c>
      <c r="B381">
        <v>5</v>
      </c>
      <c r="C381">
        <f>MAX(Table13[Rank])-Table13[[#This Row],[Rank]]</f>
        <v>259</v>
      </c>
      <c r="D381" t="s">
        <v>419</v>
      </c>
      <c r="E381" t="s">
        <v>217</v>
      </c>
      <c r="F381" s="1">
        <v>34587</v>
      </c>
      <c r="G381">
        <f>YEAR(Table13[[#This Row],[Date]])</f>
        <v>1994</v>
      </c>
      <c r="H381" t="s">
        <v>216</v>
      </c>
      <c r="I381">
        <f>IF(COUNTIF($E381, _xlfn.CONCAT("*",Table13[[#Headers],[Action]],"*")),1,0)</f>
        <v>0</v>
      </c>
      <c r="J381">
        <f>IF(COUNTIF($E381, _xlfn.CONCAT("*",Table13[[#Headers],[Adventure]],"*")),1,0)</f>
        <v>0</v>
      </c>
      <c r="K381">
        <f>IF(COUNTIF($E381, _xlfn.CONCAT("*",Table13[[#Headers],[Animation]],"*")),1,0)</f>
        <v>0</v>
      </c>
      <c r="L381">
        <f>IF(COUNTIF($E381, _xlfn.CONCAT("*",Table13[[#Headers],[Comedy]],"*")),1,0)</f>
        <v>0</v>
      </c>
      <c r="M381">
        <f>IF(COUNTIF($E381, _xlfn.CONCAT("*",Table13[[#Headers],[Crime]],"*")),1,0)</f>
        <v>1</v>
      </c>
      <c r="N381">
        <f>IF(COUNTIF($E381, _xlfn.CONCAT("*",Table13[[#Headers],[Documentary]],"*")),1,0)</f>
        <v>0</v>
      </c>
      <c r="O381">
        <f>IF(COUNTIF($E381, _xlfn.CONCAT("*",Table13[[#Headers],[Drama]],"*")),1,0)</f>
        <v>0</v>
      </c>
      <c r="P381">
        <f>IF(COUNTIF($E381, _xlfn.CONCAT("*",Table13[[#Headers],[Family]],"*")),1,0)</f>
        <v>0</v>
      </c>
      <c r="Q381">
        <f>IF(COUNTIF($E381, _xlfn.CONCAT("*",Table13[[#Headers],[Fantasy]],"*")),1,0)</f>
        <v>0</v>
      </c>
      <c r="R381">
        <f>IF(COUNTIF($E381, _xlfn.CONCAT("*",Table13[[#Headers],[History]],"*")),1,0)</f>
        <v>0</v>
      </c>
      <c r="S381">
        <f>IF(COUNTIF($E381, _xlfn.CONCAT("*",Table13[[#Headers],[Horror]],"*")),1,0)</f>
        <v>0</v>
      </c>
      <c r="T381">
        <f>IF(COUNTIF($E381, _xlfn.CONCAT("*",Table13[[#Headers],[Music]],"*")),1,0)</f>
        <v>0</v>
      </c>
      <c r="U381">
        <f>IF(COUNTIF($E381, _xlfn.CONCAT("*",Table13[[#Headers],[Mystery]],"*")),1,0)</f>
        <v>0</v>
      </c>
      <c r="V381">
        <f>IF(COUNTIF($E381, _xlfn.CONCAT("*",Table13[[#Headers],[Romance]],"*")),1,0)</f>
        <v>0</v>
      </c>
      <c r="W381">
        <f>IF(COUNTIF($E381, _xlfn.CONCAT("*",Table13[[#Headers],[Science Fiction]],"*")),1,0)</f>
        <v>0</v>
      </c>
      <c r="X381">
        <f>IF(COUNTIF($E381, _xlfn.CONCAT("*",Table13[[#Headers],[TV Movie]],"*")),1,0)</f>
        <v>0</v>
      </c>
      <c r="Y381">
        <f>IF(COUNTIF($E381, _xlfn.CONCAT("*",Table13[[#Headers],[Thriller]],"*")),1,0)</f>
        <v>1</v>
      </c>
      <c r="Z381">
        <f>IF(COUNTIF($E381, _xlfn.CONCAT("*",Table13[[#Headers],[War]],"*")),1,0)</f>
        <v>0</v>
      </c>
      <c r="AA381">
        <f>IF(COUNTIF($E381, _xlfn.CONCAT("*",Table13[[#Headers],[Western]],"*")),1,0)</f>
        <v>0</v>
      </c>
    </row>
    <row r="382" spans="1:27">
      <c r="A382" t="s">
        <v>395</v>
      </c>
      <c r="B382">
        <v>4</v>
      </c>
      <c r="C382">
        <f>MAX(Table13[Rank])-Table13[[#This Row],[Rank]]</f>
        <v>260</v>
      </c>
      <c r="D382" t="s">
        <v>419</v>
      </c>
      <c r="E382" t="s">
        <v>152</v>
      </c>
      <c r="F382" s="1">
        <v>15083</v>
      </c>
      <c r="G382">
        <f>YEAR(Table13[[#This Row],[Date]])</f>
        <v>1941</v>
      </c>
      <c r="H382" t="s">
        <v>395</v>
      </c>
      <c r="I382">
        <f>IF(COUNTIF($E382, _xlfn.CONCAT("*",Table13[[#Headers],[Action]],"*")),1,0)</f>
        <v>0</v>
      </c>
      <c r="J382">
        <f>IF(COUNTIF($E382, _xlfn.CONCAT("*",Table13[[#Headers],[Adventure]],"*")),1,0)</f>
        <v>0</v>
      </c>
      <c r="K382">
        <f>IF(COUNTIF($E382, _xlfn.CONCAT("*",Table13[[#Headers],[Animation]],"*")),1,0)</f>
        <v>0</v>
      </c>
      <c r="L382">
        <f>IF(COUNTIF($E382, _xlfn.CONCAT("*",Table13[[#Headers],[Comedy]],"*")),1,0)</f>
        <v>0</v>
      </c>
      <c r="M382">
        <f>IF(COUNTIF($E382, _xlfn.CONCAT("*",Table13[[#Headers],[Crime]],"*")),1,0)</f>
        <v>0</v>
      </c>
      <c r="N382">
        <f>IF(COUNTIF($E382, _xlfn.CONCAT("*",Table13[[#Headers],[Documentary]],"*")),1,0)</f>
        <v>0</v>
      </c>
      <c r="O382">
        <f>IF(COUNTIF($E382, _xlfn.CONCAT("*",Table13[[#Headers],[Drama]],"*")),1,0)</f>
        <v>1</v>
      </c>
      <c r="P382">
        <f>IF(COUNTIF($E382, _xlfn.CONCAT("*",Table13[[#Headers],[Family]],"*")),1,0)</f>
        <v>0</v>
      </c>
      <c r="Q382">
        <f>IF(COUNTIF($E382, _xlfn.CONCAT("*",Table13[[#Headers],[Fantasy]],"*")),1,0)</f>
        <v>0</v>
      </c>
      <c r="R382">
        <f>IF(COUNTIF($E382, _xlfn.CONCAT("*",Table13[[#Headers],[History]],"*")),1,0)</f>
        <v>0</v>
      </c>
      <c r="S382">
        <f>IF(COUNTIF($E382, _xlfn.CONCAT("*",Table13[[#Headers],[Horror]],"*")),1,0)</f>
        <v>0</v>
      </c>
      <c r="T382">
        <f>IF(COUNTIF($E382, _xlfn.CONCAT("*",Table13[[#Headers],[Music]],"*")),1,0)</f>
        <v>0</v>
      </c>
      <c r="U382">
        <f>IF(COUNTIF($E382, _xlfn.CONCAT("*",Table13[[#Headers],[Mystery]],"*")),1,0)</f>
        <v>1</v>
      </c>
      <c r="V382">
        <f>IF(COUNTIF($E382, _xlfn.CONCAT("*",Table13[[#Headers],[Romance]],"*")),1,0)</f>
        <v>0</v>
      </c>
      <c r="W382">
        <f>IF(COUNTIF($E382, _xlfn.CONCAT("*",Table13[[#Headers],[Science Fiction]],"*")),1,0)</f>
        <v>0</v>
      </c>
      <c r="X382">
        <f>IF(COUNTIF($E382, _xlfn.CONCAT("*",Table13[[#Headers],[TV Movie]],"*")),1,0)</f>
        <v>0</v>
      </c>
      <c r="Y382">
        <f>IF(COUNTIF($E382, _xlfn.CONCAT("*",Table13[[#Headers],[Thriller]],"*")),1,0)</f>
        <v>0</v>
      </c>
      <c r="Z382">
        <f>IF(COUNTIF($E382, _xlfn.CONCAT("*",Table13[[#Headers],[War]],"*")),1,0)</f>
        <v>0</v>
      </c>
      <c r="AA382">
        <f>IF(COUNTIF($E382, _xlfn.CONCAT("*",Table13[[#Headers],[Western]],"*")),1,0)</f>
        <v>0</v>
      </c>
    </row>
    <row r="383" spans="1:27">
      <c r="A383" t="s">
        <v>384</v>
      </c>
      <c r="B383">
        <v>3</v>
      </c>
      <c r="C383">
        <f>MAX(Table13[Rank])-Table13[[#This Row],[Rank]]</f>
        <v>261</v>
      </c>
      <c r="D383" t="s">
        <v>419</v>
      </c>
      <c r="E383" t="s">
        <v>166</v>
      </c>
      <c r="F383" s="1">
        <v>26372</v>
      </c>
      <c r="G383">
        <f>YEAR(Table13[[#This Row],[Date]])</f>
        <v>1972</v>
      </c>
      <c r="H383" t="s">
        <v>384</v>
      </c>
      <c r="I383">
        <f>IF(COUNTIF($E383, _xlfn.CONCAT("*",Table13[[#Headers],[Action]],"*")),1,0)</f>
        <v>0</v>
      </c>
      <c r="J383">
        <f>IF(COUNTIF($E383, _xlfn.CONCAT("*",Table13[[#Headers],[Adventure]],"*")),1,0)</f>
        <v>0</v>
      </c>
      <c r="K383">
        <f>IF(COUNTIF($E383, _xlfn.CONCAT("*",Table13[[#Headers],[Animation]],"*")),1,0)</f>
        <v>0</v>
      </c>
      <c r="L383">
        <f>IF(COUNTIF($E383, _xlfn.CONCAT("*",Table13[[#Headers],[Comedy]],"*")),1,0)</f>
        <v>0</v>
      </c>
      <c r="M383">
        <f>IF(COUNTIF($E383, _xlfn.CONCAT("*",Table13[[#Headers],[Crime]],"*")),1,0)</f>
        <v>1</v>
      </c>
      <c r="N383">
        <f>IF(COUNTIF($E383, _xlfn.CONCAT("*",Table13[[#Headers],[Documentary]],"*")),1,0)</f>
        <v>0</v>
      </c>
      <c r="O383">
        <f>IF(COUNTIF($E383, _xlfn.CONCAT("*",Table13[[#Headers],[Drama]],"*")),1,0)</f>
        <v>1</v>
      </c>
      <c r="P383">
        <f>IF(COUNTIF($E383, _xlfn.CONCAT("*",Table13[[#Headers],[Family]],"*")),1,0)</f>
        <v>0</v>
      </c>
      <c r="Q383">
        <f>IF(COUNTIF($E383, _xlfn.CONCAT("*",Table13[[#Headers],[Fantasy]],"*")),1,0)</f>
        <v>0</v>
      </c>
      <c r="R383">
        <f>IF(COUNTIF($E383, _xlfn.CONCAT("*",Table13[[#Headers],[History]],"*")),1,0)</f>
        <v>0</v>
      </c>
      <c r="S383">
        <f>IF(COUNTIF($E383, _xlfn.CONCAT("*",Table13[[#Headers],[Horror]],"*")),1,0)</f>
        <v>0</v>
      </c>
      <c r="T383">
        <f>IF(COUNTIF($E383, _xlfn.CONCAT("*",Table13[[#Headers],[Music]],"*")),1,0)</f>
        <v>0</v>
      </c>
      <c r="U383">
        <f>IF(COUNTIF($E383, _xlfn.CONCAT("*",Table13[[#Headers],[Mystery]],"*")),1,0)</f>
        <v>0</v>
      </c>
      <c r="V383">
        <f>IF(COUNTIF($E383, _xlfn.CONCAT("*",Table13[[#Headers],[Romance]],"*")),1,0)</f>
        <v>0</v>
      </c>
      <c r="W383">
        <f>IF(COUNTIF($E383, _xlfn.CONCAT("*",Table13[[#Headers],[Science Fiction]],"*")),1,0)</f>
        <v>0</v>
      </c>
      <c r="X383">
        <f>IF(COUNTIF($E383, _xlfn.CONCAT("*",Table13[[#Headers],[TV Movie]],"*")),1,0)</f>
        <v>0</v>
      </c>
      <c r="Y383">
        <f>IF(COUNTIF($E383, _xlfn.CONCAT("*",Table13[[#Headers],[Thriller]],"*")),1,0)</f>
        <v>0</v>
      </c>
      <c r="Z383">
        <f>IF(COUNTIF($E383, _xlfn.CONCAT("*",Table13[[#Headers],[War]],"*")),1,0)</f>
        <v>0</v>
      </c>
      <c r="AA383">
        <f>IF(COUNTIF($E383, _xlfn.CONCAT("*",Table13[[#Headers],[Western]],"*")),1,0)</f>
        <v>0</v>
      </c>
    </row>
    <row r="384" spans="1:27">
      <c r="A384" t="s">
        <v>253</v>
      </c>
      <c r="B384">
        <v>2</v>
      </c>
      <c r="C384">
        <f>MAX(Table13[Rank])-Table13[[#This Row],[Rank]]</f>
        <v>262</v>
      </c>
      <c r="D384" t="s">
        <v>419</v>
      </c>
      <c r="E384" t="s">
        <v>254</v>
      </c>
      <c r="F384" s="1">
        <v>14472</v>
      </c>
      <c r="G384">
        <f>YEAR(Table13[[#This Row],[Date]])</f>
        <v>1939</v>
      </c>
      <c r="H384" t="s">
        <v>253</v>
      </c>
      <c r="I384">
        <f>IF(COUNTIF($E384, _xlfn.CONCAT("*",Table13[[#Headers],[Action]],"*")),1,0)</f>
        <v>0</v>
      </c>
      <c r="J384">
        <f>IF(COUNTIF($E384, _xlfn.CONCAT("*",Table13[[#Headers],[Adventure]],"*")),1,0)</f>
        <v>1</v>
      </c>
      <c r="K384">
        <f>IF(COUNTIF($E384, _xlfn.CONCAT("*",Table13[[#Headers],[Animation]],"*")),1,0)</f>
        <v>0</v>
      </c>
      <c r="L384">
        <f>IF(COUNTIF($E384, _xlfn.CONCAT("*",Table13[[#Headers],[Comedy]],"*")),1,0)</f>
        <v>0</v>
      </c>
      <c r="M384">
        <f>IF(COUNTIF($E384, _xlfn.CONCAT("*",Table13[[#Headers],[Crime]],"*")),1,0)</f>
        <v>0</v>
      </c>
      <c r="N384">
        <f>IF(COUNTIF($E384, _xlfn.CONCAT("*",Table13[[#Headers],[Documentary]],"*")),1,0)</f>
        <v>0</v>
      </c>
      <c r="O384">
        <f>IF(COUNTIF($E384, _xlfn.CONCAT("*",Table13[[#Headers],[Drama]],"*")),1,0)</f>
        <v>0</v>
      </c>
      <c r="P384">
        <f>IF(COUNTIF($E384, _xlfn.CONCAT("*",Table13[[#Headers],[Family]],"*")),1,0)</f>
        <v>1</v>
      </c>
      <c r="Q384">
        <f>IF(COUNTIF($E384, _xlfn.CONCAT("*",Table13[[#Headers],[Fantasy]],"*")),1,0)</f>
        <v>1</v>
      </c>
      <c r="R384">
        <f>IF(COUNTIF($E384, _xlfn.CONCAT("*",Table13[[#Headers],[History]],"*")),1,0)</f>
        <v>0</v>
      </c>
      <c r="S384">
        <f>IF(COUNTIF($E384, _xlfn.CONCAT("*",Table13[[#Headers],[Horror]],"*")),1,0)</f>
        <v>0</v>
      </c>
      <c r="T384">
        <f>IF(COUNTIF($E384, _xlfn.CONCAT("*",Table13[[#Headers],[Music]],"*")),1,0)</f>
        <v>0</v>
      </c>
      <c r="U384">
        <f>IF(COUNTIF($E384, _xlfn.CONCAT("*",Table13[[#Headers],[Mystery]],"*")),1,0)</f>
        <v>0</v>
      </c>
      <c r="V384">
        <f>IF(COUNTIF($E384, _xlfn.CONCAT("*",Table13[[#Headers],[Romance]],"*")),1,0)</f>
        <v>0</v>
      </c>
      <c r="W384">
        <f>IF(COUNTIF($E384, _xlfn.CONCAT("*",Table13[[#Headers],[Science Fiction]],"*")),1,0)</f>
        <v>0</v>
      </c>
      <c r="X384">
        <f>IF(COUNTIF($E384, _xlfn.CONCAT("*",Table13[[#Headers],[TV Movie]],"*")),1,0)</f>
        <v>0</v>
      </c>
      <c r="Y384">
        <f>IF(COUNTIF($E384, _xlfn.CONCAT("*",Table13[[#Headers],[Thriller]],"*")),1,0)</f>
        <v>0</v>
      </c>
      <c r="Z384">
        <f>IF(COUNTIF($E384, _xlfn.CONCAT("*",Table13[[#Headers],[War]],"*")),1,0)</f>
        <v>0</v>
      </c>
      <c r="AA384">
        <f>IF(COUNTIF($E384, _xlfn.CONCAT("*",Table13[[#Headers],[Western]],"*")),1,0)</f>
        <v>0</v>
      </c>
    </row>
    <row r="385" spans="1:27">
      <c r="A385" t="s">
        <v>357</v>
      </c>
      <c r="B385">
        <v>1</v>
      </c>
      <c r="C385">
        <f>MAX(Table13[Rank])-Table13[[#This Row],[Rank]]</f>
        <v>263</v>
      </c>
      <c r="D385" t="s">
        <v>419</v>
      </c>
      <c r="E385" t="s">
        <v>358</v>
      </c>
      <c r="F385" s="1">
        <v>22089</v>
      </c>
      <c r="G385">
        <f>YEAR(Table13[[#This Row],[Date]])</f>
        <v>1960</v>
      </c>
      <c r="H385" t="s">
        <v>357</v>
      </c>
      <c r="I385">
        <f>IF(COUNTIF($E385, _xlfn.CONCAT("*",Table13[[#Headers],[Action]],"*")),1,0)</f>
        <v>0</v>
      </c>
      <c r="J385">
        <f>IF(COUNTIF($E385, _xlfn.CONCAT("*",Table13[[#Headers],[Adventure]],"*")),1,0)</f>
        <v>0</v>
      </c>
      <c r="K385">
        <f>IF(COUNTIF($E385, _xlfn.CONCAT("*",Table13[[#Headers],[Animation]],"*")),1,0)</f>
        <v>0</v>
      </c>
      <c r="L385">
        <f>IF(COUNTIF($E385, _xlfn.CONCAT("*",Table13[[#Headers],[Comedy]],"*")),1,0)</f>
        <v>0</v>
      </c>
      <c r="M385">
        <f>IF(COUNTIF($E385, _xlfn.CONCAT("*",Table13[[#Headers],[Crime]],"*")),1,0)</f>
        <v>0</v>
      </c>
      <c r="N385">
        <f>IF(COUNTIF($E385, _xlfn.CONCAT("*",Table13[[#Headers],[Documentary]],"*")),1,0)</f>
        <v>0</v>
      </c>
      <c r="O385">
        <f>IF(COUNTIF($E385, _xlfn.CONCAT("*",Table13[[#Headers],[Drama]],"*")),1,0)</f>
        <v>1</v>
      </c>
      <c r="P385">
        <f>IF(COUNTIF($E385, _xlfn.CONCAT("*",Table13[[#Headers],[Family]],"*")),1,0)</f>
        <v>0</v>
      </c>
      <c r="Q385">
        <f>IF(COUNTIF($E385, _xlfn.CONCAT("*",Table13[[#Headers],[Fantasy]],"*")),1,0)</f>
        <v>0</v>
      </c>
      <c r="R385">
        <f>IF(COUNTIF($E385, _xlfn.CONCAT("*",Table13[[#Headers],[History]],"*")),1,0)</f>
        <v>0</v>
      </c>
      <c r="S385">
        <f>IF(COUNTIF($E385, _xlfn.CONCAT("*",Table13[[#Headers],[Horror]],"*")),1,0)</f>
        <v>1</v>
      </c>
      <c r="T385">
        <f>IF(COUNTIF($E385, _xlfn.CONCAT("*",Table13[[#Headers],[Music]],"*")),1,0)</f>
        <v>0</v>
      </c>
      <c r="U385">
        <f>IF(COUNTIF($E385, _xlfn.CONCAT("*",Table13[[#Headers],[Mystery]],"*")),1,0)</f>
        <v>0</v>
      </c>
      <c r="V385">
        <f>IF(COUNTIF($E385, _xlfn.CONCAT("*",Table13[[#Headers],[Romance]],"*")),1,0)</f>
        <v>0</v>
      </c>
      <c r="W385">
        <f>IF(COUNTIF($E385, _xlfn.CONCAT("*",Table13[[#Headers],[Science Fiction]],"*")),1,0)</f>
        <v>0</v>
      </c>
      <c r="X385">
        <f>IF(COUNTIF($E385, _xlfn.CONCAT("*",Table13[[#Headers],[TV Movie]],"*")),1,0)</f>
        <v>0</v>
      </c>
      <c r="Y385">
        <f>IF(COUNTIF($E385, _xlfn.CONCAT("*",Table13[[#Headers],[Thriller]],"*")),1,0)</f>
        <v>1</v>
      </c>
      <c r="Z385">
        <f>IF(COUNTIF($E385, _xlfn.CONCAT("*",Table13[[#Headers],[War]],"*")),1,0)</f>
        <v>0</v>
      </c>
      <c r="AA385">
        <f>IF(COUNTIF($E385, _xlfn.CONCAT("*",Table13[[#Headers],[Western]],"*")),1,0)</f>
        <v>0</v>
      </c>
    </row>
    <row r="386" spans="1:27">
      <c r="A386" t="s">
        <v>488</v>
      </c>
      <c r="B386">
        <v>100</v>
      </c>
      <c r="C386">
        <f>MAX(Table13[Rank])-Table13[[#This Row],[Rank]]</f>
        <v>164</v>
      </c>
      <c r="D386" t="s">
        <v>489</v>
      </c>
      <c r="E386" t="s">
        <v>102</v>
      </c>
      <c r="F386" s="1">
        <v>33849</v>
      </c>
      <c r="G386">
        <f>YEAR(Table13[[#This Row],[Date]])</f>
        <v>1992</v>
      </c>
      <c r="H386" t="s">
        <v>490</v>
      </c>
      <c r="I386">
        <f>IF(COUNTIF($E386, _xlfn.CONCAT("*",Table13[[#Headers],[Action]],"*")),1,0)</f>
        <v>0</v>
      </c>
      <c r="J386">
        <f>IF(COUNTIF($E386, _xlfn.CONCAT("*",Table13[[#Headers],[Adventure]],"*")),1,0)</f>
        <v>0</v>
      </c>
      <c r="K386">
        <f>IF(COUNTIF($E386, _xlfn.CONCAT("*",Table13[[#Headers],[Animation]],"*")),1,0)</f>
        <v>0</v>
      </c>
      <c r="L386">
        <f>IF(COUNTIF($E386, _xlfn.CONCAT("*",Table13[[#Headers],[Comedy]],"*")),1,0)</f>
        <v>0</v>
      </c>
      <c r="M386">
        <f>IF(COUNTIF($E386, _xlfn.CONCAT("*",Table13[[#Headers],[Crime]],"*")),1,0)</f>
        <v>1</v>
      </c>
      <c r="N386">
        <f>IF(COUNTIF($E386, _xlfn.CONCAT("*",Table13[[#Headers],[Documentary]],"*")),1,0)</f>
        <v>0</v>
      </c>
      <c r="O386">
        <f>IF(COUNTIF($E386, _xlfn.CONCAT("*",Table13[[#Headers],[Drama]],"*")),1,0)</f>
        <v>0</v>
      </c>
      <c r="P386">
        <f>IF(COUNTIF($E386, _xlfn.CONCAT("*",Table13[[#Headers],[Family]],"*")),1,0)</f>
        <v>0</v>
      </c>
      <c r="Q386">
        <f>IF(COUNTIF($E386, _xlfn.CONCAT("*",Table13[[#Headers],[Fantasy]],"*")),1,0)</f>
        <v>0</v>
      </c>
      <c r="R386">
        <f>IF(COUNTIF($E386, _xlfn.CONCAT("*",Table13[[#Headers],[History]],"*")),1,0)</f>
        <v>0</v>
      </c>
      <c r="S386">
        <f>IF(COUNTIF($E386, _xlfn.CONCAT("*",Table13[[#Headers],[Horror]],"*")),1,0)</f>
        <v>0</v>
      </c>
      <c r="T386">
        <f>IF(COUNTIF($E386, _xlfn.CONCAT("*",Table13[[#Headers],[Music]],"*")),1,0)</f>
        <v>0</v>
      </c>
      <c r="U386">
        <f>IF(COUNTIF($E386, _xlfn.CONCAT("*",Table13[[#Headers],[Mystery]],"*")),1,0)</f>
        <v>0</v>
      </c>
      <c r="V386">
        <f>IF(COUNTIF($E386, _xlfn.CONCAT("*",Table13[[#Headers],[Romance]],"*")),1,0)</f>
        <v>0</v>
      </c>
      <c r="W386">
        <f>IF(COUNTIF($E386, _xlfn.CONCAT("*",Table13[[#Headers],[Science Fiction]],"*")),1,0)</f>
        <v>0</v>
      </c>
      <c r="X386">
        <f>IF(COUNTIF($E386, _xlfn.CONCAT("*",Table13[[#Headers],[TV Movie]],"*")),1,0)</f>
        <v>0</v>
      </c>
      <c r="Y386">
        <f>IF(COUNTIF($E386, _xlfn.CONCAT("*",Table13[[#Headers],[Thriller]],"*")),1,0)</f>
        <v>1</v>
      </c>
      <c r="Z386">
        <f>IF(COUNTIF($E386, _xlfn.CONCAT("*",Table13[[#Headers],[War]],"*")),1,0)</f>
        <v>0</v>
      </c>
      <c r="AA386">
        <f>IF(COUNTIF($E386, _xlfn.CONCAT("*",Table13[[#Headers],[Western]],"*")),1,0)</f>
        <v>0</v>
      </c>
    </row>
    <row r="387" spans="1:27">
      <c r="A387" t="s">
        <v>491</v>
      </c>
      <c r="B387">
        <v>99</v>
      </c>
      <c r="C387">
        <f>MAX(Table13[Rank])-Table13[[#This Row],[Rank]]</f>
        <v>165</v>
      </c>
      <c r="D387" t="s">
        <v>489</v>
      </c>
      <c r="E387" t="s">
        <v>492</v>
      </c>
      <c r="F387" s="1">
        <v>34011</v>
      </c>
      <c r="G387">
        <f>YEAR(Table13[[#This Row],[Date]])</f>
        <v>1993</v>
      </c>
      <c r="H387" t="s">
        <v>493</v>
      </c>
      <c r="I387">
        <f>IF(COUNTIF($E387, _xlfn.CONCAT("*",Table13[[#Headers],[Action]],"*")),1,0)</f>
        <v>0</v>
      </c>
      <c r="J387">
        <f>IF(COUNTIF($E387, _xlfn.CONCAT("*",Table13[[#Headers],[Adventure]],"*")),1,0)</f>
        <v>0</v>
      </c>
      <c r="K387">
        <f>IF(COUNTIF($E387, _xlfn.CONCAT("*",Table13[[#Headers],[Animation]],"*")),1,0)</f>
        <v>0</v>
      </c>
      <c r="L387">
        <f>IF(COUNTIF($E387, _xlfn.CONCAT("*",Table13[[#Headers],[Comedy]],"*")),1,0)</f>
        <v>1</v>
      </c>
      <c r="M387">
        <f>IF(COUNTIF($E387, _xlfn.CONCAT("*",Table13[[#Headers],[Crime]],"*")),1,0)</f>
        <v>0</v>
      </c>
      <c r="N387">
        <f>IF(COUNTIF($E387, _xlfn.CONCAT("*",Table13[[#Headers],[Documentary]],"*")),1,0)</f>
        <v>0</v>
      </c>
      <c r="O387">
        <f>IF(COUNTIF($E387, _xlfn.CONCAT("*",Table13[[#Headers],[Drama]],"*")),1,0)</f>
        <v>1</v>
      </c>
      <c r="P387">
        <f>IF(COUNTIF($E387, _xlfn.CONCAT("*",Table13[[#Headers],[Family]],"*")),1,0)</f>
        <v>0</v>
      </c>
      <c r="Q387">
        <f>IF(COUNTIF($E387, _xlfn.CONCAT("*",Table13[[#Headers],[Fantasy]],"*")),1,0)</f>
        <v>1</v>
      </c>
      <c r="R387">
        <f>IF(COUNTIF($E387, _xlfn.CONCAT("*",Table13[[#Headers],[History]],"*")),1,0)</f>
        <v>0</v>
      </c>
      <c r="S387">
        <f>IF(COUNTIF($E387, _xlfn.CONCAT("*",Table13[[#Headers],[Horror]],"*")),1,0)</f>
        <v>0</v>
      </c>
      <c r="T387">
        <f>IF(COUNTIF($E387, _xlfn.CONCAT("*",Table13[[#Headers],[Music]],"*")),1,0)</f>
        <v>0</v>
      </c>
      <c r="U387">
        <f>IF(COUNTIF($E387, _xlfn.CONCAT("*",Table13[[#Headers],[Mystery]],"*")),1,0)</f>
        <v>0</v>
      </c>
      <c r="V387">
        <f>IF(COUNTIF($E387, _xlfn.CONCAT("*",Table13[[#Headers],[Romance]],"*")),1,0)</f>
        <v>1</v>
      </c>
      <c r="W387">
        <f>IF(COUNTIF($E387, _xlfn.CONCAT("*",Table13[[#Headers],[Science Fiction]],"*")),1,0)</f>
        <v>0</v>
      </c>
      <c r="X387">
        <f>IF(COUNTIF($E387, _xlfn.CONCAT("*",Table13[[#Headers],[TV Movie]],"*")),1,0)</f>
        <v>0</v>
      </c>
      <c r="Y387">
        <f>IF(COUNTIF($E387, _xlfn.CONCAT("*",Table13[[#Headers],[Thriller]],"*")),1,0)</f>
        <v>0</v>
      </c>
      <c r="Z387">
        <f>IF(COUNTIF($E387, _xlfn.CONCAT("*",Table13[[#Headers],[War]],"*")),1,0)</f>
        <v>0</v>
      </c>
      <c r="AA387">
        <f>IF(COUNTIF($E387, _xlfn.CONCAT("*",Table13[[#Headers],[Western]],"*")),1,0)</f>
        <v>0</v>
      </c>
    </row>
    <row r="388" spans="1:27">
      <c r="A388" t="s">
        <v>494</v>
      </c>
      <c r="B388">
        <v>98</v>
      </c>
      <c r="C388">
        <f>MAX(Table13[Rank])-Table13[[#This Row],[Rank]]</f>
        <v>166</v>
      </c>
      <c r="D388" t="s">
        <v>489</v>
      </c>
      <c r="E388" t="s">
        <v>495</v>
      </c>
      <c r="F388" s="1">
        <v>43048</v>
      </c>
      <c r="G388">
        <f>YEAR(Table13[[#This Row],[Date]])</f>
        <v>2017</v>
      </c>
      <c r="H388" t="s">
        <v>496</v>
      </c>
      <c r="I388">
        <f>IF(COUNTIF($E388, _xlfn.CONCAT("*",Table13[[#Headers],[Action]],"*")),1,0)</f>
        <v>0</v>
      </c>
      <c r="J388">
        <f>IF(COUNTIF($E388, _xlfn.CONCAT("*",Table13[[#Headers],[Adventure]],"*")),1,0)</f>
        <v>1</v>
      </c>
      <c r="K388">
        <f>IF(COUNTIF($E388, _xlfn.CONCAT("*",Table13[[#Headers],[Animation]],"*")),1,0)</f>
        <v>0</v>
      </c>
      <c r="L388">
        <f>IF(COUNTIF($E388, _xlfn.CONCAT("*",Table13[[#Headers],[Comedy]],"*")),1,0)</f>
        <v>1</v>
      </c>
      <c r="M388">
        <f>IF(COUNTIF($E388, _xlfn.CONCAT("*",Table13[[#Headers],[Crime]],"*")),1,0)</f>
        <v>0</v>
      </c>
      <c r="N388">
        <f>IF(COUNTIF($E388, _xlfn.CONCAT("*",Table13[[#Headers],[Documentary]],"*")),1,0)</f>
        <v>0</v>
      </c>
      <c r="O388">
        <f>IF(COUNTIF($E388, _xlfn.CONCAT("*",Table13[[#Headers],[Drama]],"*")),1,0)</f>
        <v>0</v>
      </c>
      <c r="P388">
        <f>IF(COUNTIF($E388, _xlfn.CONCAT("*",Table13[[#Headers],[Family]],"*")),1,0)</f>
        <v>1</v>
      </c>
      <c r="Q388">
        <f>IF(COUNTIF($E388, _xlfn.CONCAT("*",Table13[[#Headers],[Fantasy]],"*")),1,0)</f>
        <v>0</v>
      </c>
      <c r="R388">
        <f>IF(COUNTIF($E388, _xlfn.CONCAT("*",Table13[[#Headers],[History]],"*")),1,0)</f>
        <v>0</v>
      </c>
      <c r="S388">
        <f>IF(COUNTIF($E388, _xlfn.CONCAT("*",Table13[[#Headers],[Horror]],"*")),1,0)</f>
        <v>0</v>
      </c>
      <c r="T388">
        <f>IF(COUNTIF($E388, _xlfn.CONCAT("*",Table13[[#Headers],[Music]],"*")),1,0)</f>
        <v>0</v>
      </c>
      <c r="U388">
        <f>IF(COUNTIF($E388, _xlfn.CONCAT("*",Table13[[#Headers],[Mystery]],"*")),1,0)</f>
        <v>0</v>
      </c>
      <c r="V388">
        <f>IF(COUNTIF($E388, _xlfn.CONCAT("*",Table13[[#Headers],[Romance]],"*")),1,0)</f>
        <v>0</v>
      </c>
      <c r="W388">
        <f>IF(COUNTIF($E388, _xlfn.CONCAT("*",Table13[[#Headers],[Science Fiction]],"*")),1,0)</f>
        <v>0</v>
      </c>
      <c r="X388">
        <f>IF(COUNTIF($E388, _xlfn.CONCAT("*",Table13[[#Headers],[TV Movie]],"*")),1,0)</f>
        <v>0</v>
      </c>
      <c r="Y388">
        <f>IF(COUNTIF($E388, _xlfn.CONCAT("*",Table13[[#Headers],[Thriller]],"*")),1,0)</f>
        <v>0</v>
      </c>
      <c r="Z388">
        <f>IF(COUNTIF($E388, _xlfn.CONCAT("*",Table13[[#Headers],[War]],"*")),1,0)</f>
        <v>0</v>
      </c>
      <c r="AA388">
        <f>IF(COUNTIF($E388, _xlfn.CONCAT("*",Table13[[#Headers],[Western]],"*")),1,0)</f>
        <v>0</v>
      </c>
    </row>
    <row r="389" spans="1:27">
      <c r="A389" t="s">
        <v>497</v>
      </c>
      <c r="B389">
        <v>97</v>
      </c>
      <c r="C389">
        <f>MAX(Table13[Rank])-Table13[[#This Row],[Rank]]</f>
        <v>167</v>
      </c>
      <c r="D389" t="s">
        <v>489</v>
      </c>
      <c r="E389" t="s">
        <v>220</v>
      </c>
      <c r="F389" s="1">
        <v>37006</v>
      </c>
      <c r="G389">
        <f>YEAR(Table13[[#This Row],[Date]])</f>
        <v>2001</v>
      </c>
      <c r="H389" t="s">
        <v>771</v>
      </c>
      <c r="I389">
        <f>IF(COUNTIF($E389, _xlfn.CONCAT("*",Table13[[#Headers],[Action]],"*")),1,0)</f>
        <v>0</v>
      </c>
      <c r="J389">
        <f>IF(COUNTIF($E389, _xlfn.CONCAT("*",Table13[[#Headers],[Adventure]],"*")),1,0)</f>
        <v>0</v>
      </c>
      <c r="K389">
        <f>IF(COUNTIF($E389, _xlfn.CONCAT("*",Table13[[#Headers],[Animation]],"*")),1,0)</f>
        <v>0</v>
      </c>
      <c r="L389">
        <f>IF(COUNTIF($E389, _xlfn.CONCAT("*",Table13[[#Headers],[Comedy]],"*")),1,0)</f>
        <v>1</v>
      </c>
      <c r="M389">
        <f>IF(COUNTIF($E389, _xlfn.CONCAT("*",Table13[[#Headers],[Crime]],"*")),1,0)</f>
        <v>0</v>
      </c>
      <c r="N389">
        <f>IF(COUNTIF($E389, _xlfn.CONCAT("*",Table13[[#Headers],[Documentary]],"*")),1,0)</f>
        <v>0</v>
      </c>
      <c r="O389">
        <f>IF(COUNTIF($E389, _xlfn.CONCAT("*",Table13[[#Headers],[Drama]],"*")),1,0)</f>
        <v>0</v>
      </c>
      <c r="P389">
        <f>IF(COUNTIF($E389, _xlfn.CONCAT("*",Table13[[#Headers],[Family]],"*")),1,0)</f>
        <v>0</v>
      </c>
      <c r="Q389">
        <f>IF(COUNTIF($E389, _xlfn.CONCAT("*",Table13[[#Headers],[Fantasy]],"*")),1,0)</f>
        <v>0</v>
      </c>
      <c r="R389">
        <f>IF(COUNTIF($E389, _xlfn.CONCAT("*",Table13[[#Headers],[History]],"*")),1,0)</f>
        <v>0</v>
      </c>
      <c r="S389">
        <f>IF(COUNTIF($E389, _xlfn.CONCAT("*",Table13[[#Headers],[Horror]],"*")),1,0)</f>
        <v>0</v>
      </c>
      <c r="T389">
        <f>IF(COUNTIF($E389, _xlfn.CONCAT("*",Table13[[#Headers],[Music]],"*")),1,0)</f>
        <v>0</v>
      </c>
      <c r="U389">
        <f>IF(COUNTIF($E389, _xlfn.CONCAT("*",Table13[[#Headers],[Mystery]],"*")),1,0)</f>
        <v>0</v>
      </c>
      <c r="V389">
        <f>IF(COUNTIF($E389, _xlfn.CONCAT("*",Table13[[#Headers],[Romance]],"*")),1,0)</f>
        <v>1</v>
      </c>
      <c r="W389">
        <f>IF(COUNTIF($E389, _xlfn.CONCAT("*",Table13[[#Headers],[Science Fiction]],"*")),1,0)</f>
        <v>0</v>
      </c>
      <c r="X389">
        <f>IF(COUNTIF($E389, _xlfn.CONCAT("*",Table13[[#Headers],[TV Movie]],"*")),1,0)</f>
        <v>0</v>
      </c>
      <c r="Y389">
        <f>IF(COUNTIF($E389, _xlfn.CONCAT("*",Table13[[#Headers],[Thriller]],"*")),1,0)</f>
        <v>0</v>
      </c>
      <c r="Z389">
        <f>IF(COUNTIF($E389, _xlfn.CONCAT("*",Table13[[#Headers],[War]],"*")),1,0)</f>
        <v>0</v>
      </c>
      <c r="AA389">
        <f>IF(COUNTIF($E389, _xlfn.CONCAT("*",Table13[[#Headers],[Western]],"*")),1,0)</f>
        <v>0</v>
      </c>
    </row>
    <row r="390" spans="1:27">
      <c r="A390" t="s">
        <v>498</v>
      </c>
      <c r="B390">
        <v>96</v>
      </c>
      <c r="C390">
        <f>MAX(Table13[Rank])-Table13[[#This Row],[Rank]]</f>
        <v>168</v>
      </c>
      <c r="D390" t="s">
        <v>489</v>
      </c>
      <c r="E390" t="s">
        <v>35</v>
      </c>
      <c r="F390" s="1">
        <v>38605</v>
      </c>
      <c r="G390">
        <f>YEAR(Table13[[#This Row],[Date]])</f>
        <v>2005</v>
      </c>
      <c r="H390" t="s">
        <v>463</v>
      </c>
      <c r="I390">
        <f>IF(COUNTIF($E390, _xlfn.CONCAT("*",Table13[[#Headers],[Action]],"*")),1,0)</f>
        <v>0</v>
      </c>
      <c r="J390">
        <f>IF(COUNTIF($E390, _xlfn.CONCAT("*",Table13[[#Headers],[Adventure]],"*")),1,0)</f>
        <v>0</v>
      </c>
      <c r="K390">
        <f>IF(COUNTIF($E390, _xlfn.CONCAT("*",Table13[[#Headers],[Animation]],"*")),1,0)</f>
        <v>0</v>
      </c>
      <c r="L390">
        <f>IF(COUNTIF($E390, _xlfn.CONCAT("*",Table13[[#Headers],[Comedy]],"*")),1,0)</f>
        <v>0</v>
      </c>
      <c r="M390">
        <f>IF(COUNTIF($E390, _xlfn.CONCAT("*",Table13[[#Headers],[Crime]],"*")),1,0)</f>
        <v>0</v>
      </c>
      <c r="N390">
        <f>IF(COUNTIF($E390, _xlfn.CONCAT("*",Table13[[#Headers],[Documentary]],"*")),1,0)</f>
        <v>0</v>
      </c>
      <c r="O390">
        <f>IF(COUNTIF($E390, _xlfn.CONCAT("*",Table13[[#Headers],[Drama]],"*")),1,0)</f>
        <v>1</v>
      </c>
      <c r="P390">
        <f>IF(COUNTIF($E390, _xlfn.CONCAT("*",Table13[[#Headers],[Family]],"*")),1,0)</f>
        <v>0</v>
      </c>
      <c r="Q390">
        <f>IF(COUNTIF($E390, _xlfn.CONCAT("*",Table13[[#Headers],[Fantasy]],"*")),1,0)</f>
        <v>0</v>
      </c>
      <c r="R390">
        <f>IF(COUNTIF($E390, _xlfn.CONCAT("*",Table13[[#Headers],[History]],"*")),1,0)</f>
        <v>0</v>
      </c>
      <c r="S390">
        <f>IF(COUNTIF($E390, _xlfn.CONCAT("*",Table13[[#Headers],[Horror]],"*")),1,0)</f>
        <v>0</v>
      </c>
      <c r="T390">
        <f>IF(COUNTIF($E390, _xlfn.CONCAT("*",Table13[[#Headers],[Music]],"*")),1,0)</f>
        <v>0</v>
      </c>
      <c r="U390">
        <f>IF(COUNTIF($E390, _xlfn.CONCAT("*",Table13[[#Headers],[Mystery]],"*")),1,0)</f>
        <v>0</v>
      </c>
      <c r="V390">
        <f>IF(COUNTIF($E390, _xlfn.CONCAT("*",Table13[[#Headers],[Romance]],"*")),1,0)</f>
        <v>1</v>
      </c>
      <c r="W390">
        <f>IF(COUNTIF($E390, _xlfn.CONCAT("*",Table13[[#Headers],[Science Fiction]],"*")),1,0)</f>
        <v>0</v>
      </c>
      <c r="X390">
        <f>IF(COUNTIF($E390, _xlfn.CONCAT("*",Table13[[#Headers],[TV Movie]],"*")),1,0)</f>
        <v>0</v>
      </c>
      <c r="Y390">
        <f>IF(COUNTIF($E390, _xlfn.CONCAT("*",Table13[[#Headers],[Thriller]],"*")),1,0)</f>
        <v>0</v>
      </c>
      <c r="Z390">
        <f>IF(COUNTIF($E390, _xlfn.CONCAT("*",Table13[[#Headers],[War]],"*")),1,0)</f>
        <v>0</v>
      </c>
      <c r="AA390">
        <f>IF(COUNTIF($E390, _xlfn.CONCAT("*",Table13[[#Headers],[Western]],"*")),1,0)</f>
        <v>0</v>
      </c>
    </row>
    <row r="391" spans="1:27">
      <c r="A391" t="s">
        <v>499</v>
      </c>
      <c r="B391">
        <v>95</v>
      </c>
      <c r="C391">
        <f>MAX(Table13[Rank])-Table13[[#This Row],[Rank]]</f>
        <v>169</v>
      </c>
      <c r="D391" t="s">
        <v>489</v>
      </c>
      <c r="E391" t="s">
        <v>222</v>
      </c>
      <c r="F391" s="1">
        <v>37188</v>
      </c>
      <c r="G391">
        <f>YEAR(Table13[[#This Row],[Date]])</f>
        <v>2001</v>
      </c>
      <c r="H391" t="s">
        <v>500</v>
      </c>
      <c r="I391">
        <f>IF(COUNTIF($E391, _xlfn.CONCAT("*",Table13[[#Headers],[Action]],"*")),1,0)</f>
        <v>0</v>
      </c>
      <c r="J391">
        <f>IF(COUNTIF($E391, _xlfn.CONCAT("*",Table13[[#Headers],[Adventure]],"*")),1,0)</f>
        <v>0</v>
      </c>
      <c r="K391">
        <f>IF(COUNTIF($E391, _xlfn.CONCAT("*",Table13[[#Headers],[Animation]],"*")),1,0)</f>
        <v>0</v>
      </c>
      <c r="L391">
        <f>IF(COUNTIF($E391, _xlfn.CONCAT("*",Table13[[#Headers],[Comedy]],"*")),1,0)</f>
        <v>0</v>
      </c>
      <c r="M391">
        <f>IF(COUNTIF($E391, _xlfn.CONCAT("*",Table13[[#Headers],[Crime]],"*")),1,0)</f>
        <v>0</v>
      </c>
      <c r="N391">
        <f>IF(COUNTIF($E391, _xlfn.CONCAT("*",Table13[[#Headers],[Documentary]],"*")),1,0)</f>
        <v>0</v>
      </c>
      <c r="O391">
        <f>IF(COUNTIF($E391, _xlfn.CONCAT("*",Table13[[#Headers],[Drama]],"*")),1,0)</f>
        <v>1</v>
      </c>
      <c r="P391">
        <f>IF(COUNTIF($E391, _xlfn.CONCAT("*",Table13[[#Headers],[Family]],"*")),1,0)</f>
        <v>0</v>
      </c>
      <c r="Q391">
        <f>IF(COUNTIF($E391, _xlfn.CONCAT("*",Table13[[#Headers],[Fantasy]],"*")),1,0)</f>
        <v>1</v>
      </c>
      <c r="R391">
        <f>IF(COUNTIF($E391, _xlfn.CONCAT("*",Table13[[#Headers],[History]],"*")),1,0)</f>
        <v>0</v>
      </c>
      <c r="S391">
        <f>IF(COUNTIF($E391, _xlfn.CONCAT("*",Table13[[#Headers],[Horror]],"*")),1,0)</f>
        <v>0</v>
      </c>
      <c r="T391">
        <f>IF(COUNTIF($E391, _xlfn.CONCAT("*",Table13[[#Headers],[Music]],"*")),1,0)</f>
        <v>0</v>
      </c>
      <c r="U391">
        <f>IF(COUNTIF($E391, _xlfn.CONCAT("*",Table13[[#Headers],[Mystery]],"*")),1,0)</f>
        <v>1</v>
      </c>
      <c r="V391">
        <f>IF(COUNTIF($E391, _xlfn.CONCAT("*",Table13[[#Headers],[Romance]],"*")),1,0)</f>
        <v>0</v>
      </c>
      <c r="W391">
        <f>IF(COUNTIF($E391, _xlfn.CONCAT("*",Table13[[#Headers],[Science Fiction]],"*")),1,0)</f>
        <v>0</v>
      </c>
      <c r="X391">
        <f>IF(COUNTIF($E391, _xlfn.CONCAT("*",Table13[[#Headers],[TV Movie]],"*")),1,0)</f>
        <v>0</v>
      </c>
      <c r="Y391">
        <f>IF(COUNTIF($E391, _xlfn.CONCAT("*",Table13[[#Headers],[Thriller]],"*")),1,0)</f>
        <v>0</v>
      </c>
      <c r="Z391">
        <f>IF(COUNTIF($E391, _xlfn.CONCAT("*",Table13[[#Headers],[War]],"*")),1,0)</f>
        <v>0</v>
      </c>
      <c r="AA391">
        <f>IF(COUNTIF($E391, _xlfn.CONCAT("*",Table13[[#Headers],[Western]],"*")),1,0)</f>
        <v>0</v>
      </c>
    </row>
    <row r="392" spans="1:27">
      <c r="A392" t="s">
        <v>501</v>
      </c>
      <c r="B392">
        <v>94</v>
      </c>
      <c r="C392">
        <f>MAX(Table13[Rank])-Table13[[#This Row],[Rank]]</f>
        <v>170</v>
      </c>
      <c r="D392" t="s">
        <v>489</v>
      </c>
      <c r="E392" t="s">
        <v>502</v>
      </c>
      <c r="F392" s="1">
        <v>40402</v>
      </c>
      <c r="G392">
        <f>YEAR(Table13[[#This Row],[Date]])</f>
        <v>2010</v>
      </c>
      <c r="H392" t="s">
        <v>503</v>
      </c>
      <c r="I392">
        <f>IF(COUNTIF($E392, _xlfn.CONCAT("*",Table13[[#Headers],[Action]],"*")),1,0)</f>
        <v>1</v>
      </c>
      <c r="J392">
        <f>IF(COUNTIF($E392, _xlfn.CONCAT("*",Table13[[#Headers],[Adventure]],"*")),1,0)</f>
        <v>0</v>
      </c>
      <c r="K392">
        <f>IF(COUNTIF($E392, _xlfn.CONCAT("*",Table13[[#Headers],[Animation]],"*")),1,0)</f>
        <v>0</v>
      </c>
      <c r="L392">
        <f>IF(COUNTIF($E392, _xlfn.CONCAT("*",Table13[[#Headers],[Comedy]],"*")),1,0)</f>
        <v>1</v>
      </c>
      <c r="M392">
        <f>IF(COUNTIF($E392, _xlfn.CONCAT("*",Table13[[#Headers],[Crime]],"*")),1,0)</f>
        <v>0</v>
      </c>
      <c r="N392">
        <f>IF(COUNTIF($E392, _xlfn.CONCAT("*",Table13[[#Headers],[Documentary]],"*")),1,0)</f>
        <v>0</v>
      </c>
      <c r="O392">
        <f>IF(COUNTIF($E392, _xlfn.CONCAT("*",Table13[[#Headers],[Drama]],"*")),1,0)</f>
        <v>0</v>
      </c>
      <c r="P392">
        <f>IF(COUNTIF($E392, _xlfn.CONCAT("*",Table13[[#Headers],[Family]],"*")),1,0)</f>
        <v>0</v>
      </c>
      <c r="Q392">
        <f>IF(COUNTIF($E392, _xlfn.CONCAT("*",Table13[[#Headers],[Fantasy]],"*")),1,0)</f>
        <v>0</v>
      </c>
      <c r="R392">
        <f>IF(COUNTIF($E392, _xlfn.CONCAT("*",Table13[[#Headers],[History]],"*")),1,0)</f>
        <v>0</v>
      </c>
      <c r="S392">
        <f>IF(COUNTIF($E392, _xlfn.CONCAT("*",Table13[[#Headers],[Horror]],"*")),1,0)</f>
        <v>0</v>
      </c>
      <c r="T392">
        <f>IF(COUNTIF($E392, _xlfn.CONCAT("*",Table13[[#Headers],[Music]],"*")),1,0)</f>
        <v>0</v>
      </c>
      <c r="U392">
        <f>IF(COUNTIF($E392, _xlfn.CONCAT("*",Table13[[#Headers],[Mystery]],"*")),1,0)</f>
        <v>0</v>
      </c>
      <c r="V392">
        <f>IF(COUNTIF($E392, _xlfn.CONCAT("*",Table13[[#Headers],[Romance]],"*")),1,0)</f>
        <v>1</v>
      </c>
      <c r="W392">
        <f>IF(COUNTIF($E392, _xlfn.CONCAT("*",Table13[[#Headers],[Science Fiction]],"*")),1,0)</f>
        <v>0</v>
      </c>
      <c r="X392">
        <f>IF(COUNTIF($E392, _xlfn.CONCAT("*",Table13[[#Headers],[TV Movie]],"*")),1,0)</f>
        <v>0</v>
      </c>
      <c r="Y392">
        <f>IF(COUNTIF($E392, _xlfn.CONCAT("*",Table13[[#Headers],[Thriller]],"*")),1,0)</f>
        <v>0</v>
      </c>
      <c r="Z392">
        <f>IF(COUNTIF($E392, _xlfn.CONCAT("*",Table13[[#Headers],[War]],"*")),1,0)</f>
        <v>0</v>
      </c>
      <c r="AA392">
        <f>IF(COUNTIF($E392, _xlfn.CONCAT("*",Table13[[#Headers],[Western]],"*")),1,0)</f>
        <v>0</v>
      </c>
    </row>
    <row r="393" spans="1:27">
      <c r="A393" t="s">
        <v>504</v>
      </c>
      <c r="B393">
        <v>93</v>
      </c>
      <c r="C393">
        <f>MAX(Table13[Rank])-Table13[[#This Row],[Rank]]</f>
        <v>171</v>
      </c>
      <c r="D393" t="s">
        <v>489</v>
      </c>
      <c r="E393" t="s">
        <v>35</v>
      </c>
      <c r="F393" s="1">
        <v>43633</v>
      </c>
      <c r="G393">
        <f>YEAR(Table13[[#This Row],[Date]])</f>
        <v>2019</v>
      </c>
      <c r="H393" t="s">
        <v>361</v>
      </c>
      <c r="I393">
        <f>IF(COUNTIF($E393, _xlfn.CONCAT("*",Table13[[#Headers],[Action]],"*")),1,0)</f>
        <v>0</v>
      </c>
      <c r="J393">
        <f>IF(COUNTIF($E393, _xlfn.CONCAT("*",Table13[[#Headers],[Adventure]],"*")),1,0)</f>
        <v>0</v>
      </c>
      <c r="K393">
        <f>IF(COUNTIF($E393, _xlfn.CONCAT("*",Table13[[#Headers],[Animation]],"*")),1,0)</f>
        <v>0</v>
      </c>
      <c r="L393">
        <f>IF(COUNTIF($E393, _xlfn.CONCAT("*",Table13[[#Headers],[Comedy]],"*")),1,0)</f>
        <v>0</v>
      </c>
      <c r="M393">
        <f>IF(COUNTIF($E393, _xlfn.CONCAT("*",Table13[[#Headers],[Crime]],"*")),1,0)</f>
        <v>0</v>
      </c>
      <c r="N393">
        <f>IF(COUNTIF($E393, _xlfn.CONCAT("*",Table13[[#Headers],[Documentary]],"*")),1,0)</f>
        <v>0</v>
      </c>
      <c r="O393">
        <f>IF(COUNTIF($E393, _xlfn.CONCAT("*",Table13[[#Headers],[Drama]],"*")),1,0)</f>
        <v>1</v>
      </c>
      <c r="P393">
        <f>IF(COUNTIF($E393, _xlfn.CONCAT("*",Table13[[#Headers],[Family]],"*")),1,0)</f>
        <v>0</v>
      </c>
      <c r="Q393">
        <f>IF(COUNTIF($E393, _xlfn.CONCAT("*",Table13[[#Headers],[Fantasy]],"*")),1,0)</f>
        <v>0</v>
      </c>
      <c r="R393">
        <f>IF(COUNTIF($E393, _xlfn.CONCAT("*",Table13[[#Headers],[History]],"*")),1,0)</f>
        <v>0</v>
      </c>
      <c r="S393">
        <f>IF(COUNTIF($E393, _xlfn.CONCAT("*",Table13[[#Headers],[Horror]],"*")),1,0)</f>
        <v>0</v>
      </c>
      <c r="T393">
        <f>IF(COUNTIF($E393, _xlfn.CONCAT("*",Table13[[#Headers],[Music]],"*")),1,0)</f>
        <v>0</v>
      </c>
      <c r="U393">
        <f>IF(COUNTIF($E393, _xlfn.CONCAT("*",Table13[[#Headers],[Mystery]],"*")),1,0)</f>
        <v>0</v>
      </c>
      <c r="V393">
        <f>IF(COUNTIF($E393, _xlfn.CONCAT("*",Table13[[#Headers],[Romance]],"*")),1,0)</f>
        <v>1</v>
      </c>
      <c r="W393">
        <f>IF(COUNTIF($E393, _xlfn.CONCAT("*",Table13[[#Headers],[Science Fiction]],"*")),1,0)</f>
        <v>0</v>
      </c>
      <c r="X393">
        <f>IF(COUNTIF($E393, _xlfn.CONCAT("*",Table13[[#Headers],[TV Movie]],"*")),1,0)</f>
        <v>0</v>
      </c>
      <c r="Y393">
        <f>IF(COUNTIF($E393, _xlfn.CONCAT("*",Table13[[#Headers],[Thriller]],"*")),1,0)</f>
        <v>0</v>
      </c>
      <c r="Z393">
        <f>IF(COUNTIF($E393, _xlfn.CONCAT("*",Table13[[#Headers],[War]],"*")),1,0)</f>
        <v>0</v>
      </c>
      <c r="AA393">
        <f>IF(COUNTIF($E393, _xlfn.CONCAT("*",Table13[[#Headers],[Western]],"*")),1,0)</f>
        <v>0</v>
      </c>
    </row>
    <row r="394" spans="1:27">
      <c r="A394" t="s">
        <v>505</v>
      </c>
      <c r="B394">
        <v>92</v>
      </c>
      <c r="C394">
        <f>MAX(Table13[Rank])-Table13[[#This Row],[Rank]]</f>
        <v>172</v>
      </c>
      <c r="D394" t="s">
        <v>489</v>
      </c>
      <c r="E394" t="s">
        <v>506</v>
      </c>
      <c r="F394" s="1">
        <v>34591</v>
      </c>
      <c r="G394">
        <f>YEAR(Table13[[#This Row],[Date]])</f>
        <v>1994</v>
      </c>
      <c r="H394" t="s">
        <v>507</v>
      </c>
      <c r="I394">
        <f>IF(COUNTIF($E394, _xlfn.CONCAT("*",Table13[[#Headers],[Action]],"*")),1,0)</f>
        <v>1</v>
      </c>
      <c r="J394">
        <f>IF(COUNTIF($E394, _xlfn.CONCAT("*",Table13[[#Headers],[Adventure]],"*")),1,0)</f>
        <v>0</v>
      </c>
      <c r="K394">
        <f>IF(COUNTIF($E394, _xlfn.CONCAT("*",Table13[[#Headers],[Animation]],"*")),1,0)</f>
        <v>0</v>
      </c>
      <c r="L394">
        <f>IF(COUNTIF($E394, _xlfn.CONCAT("*",Table13[[#Headers],[Comedy]],"*")),1,0)</f>
        <v>0</v>
      </c>
      <c r="M394">
        <f>IF(COUNTIF($E394, _xlfn.CONCAT("*",Table13[[#Headers],[Crime]],"*")),1,0)</f>
        <v>1</v>
      </c>
      <c r="N394">
        <f>IF(COUNTIF($E394, _xlfn.CONCAT("*",Table13[[#Headers],[Documentary]],"*")),1,0)</f>
        <v>0</v>
      </c>
      <c r="O394">
        <f>IF(COUNTIF($E394, _xlfn.CONCAT("*",Table13[[#Headers],[Drama]],"*")),1,0)</f>
        <v>1</v>
      </c>
      <c r="P394">
        <f>IF(COUNTIF($E394, _xlfn.CONCAT("*",Table13[[#Headers],[Family]],"*")),1,0)</f>
        <v>0</v>
      </c>
      <c r="Q394">
        <f>IF(COUNTIF($E394, _xlfn.CONCAT("*",Table13[[#Headers],[Fantasy]],"*")),1,0)</f>
        <v>0</v>
      </c>
      <c r="R394">
        <f>IF(COUNTIF($E394, _xlfn.CONCAT("*",Table13[[#Headers],[History]],"*")),1,0)</f>
        <v>0</v>
      </c>
      <c r="S394">
        <f>IF(COUNTIF($E394, _xlfn.CONCAT("*",Table13[[#Headers],[Horror]],"*")),1,0)</f>
        <v>0</v>
      </c>
      <c r="T394">
        <f>IF(COUNTIF($E394, _xlfn.CONCAT("*",Table13[[#Headers],[Music]],"*")),1,0)</f>
        <v>0</v>
      </c>
      <c r="U394">
        <f>IF(COUNTIF($E394, _xlfn.CONCAT("*",Table13[[#Headers],[Mystery]],"*")),1,0)</f>
        <v>0</v>
      </c>
      <c r="V394">
        <f>IF(COUNTIF($E394, _xlfn.CONCAT("*",Table13[[#Headers],[Romance]],"*")),1,0)</f>
        <v>0</v>
      </c>
      <c r="W394">
        <f>IF(COUNTIF($E394, _xlfn.CONCAT("*",Table13[[#Headers],[Science Fiction]],"*")),1,0)</f>
        <v>0</v>
      </c>
      <c r="X394">
        <f>IF(COUNTIF($E394, _xlfn.CONCAT("*",Table13[[#Headers],[TV Movie]],"*")),1,0)</f>
        <v>0</v>
      </c>
      <c r="Y394">
        <f>IF(COUNTIF($E394, _xlfn.CONCAT("*",Table13[[#Headers],[Thriller]],"*")),1,0)</f>
        <v>0</v>
      </c>
      <c r="Z394">
        <f>IF(COUNTIF($E394, _xlfn.CONCAT("*",Table13[[#Headers],[War]],"*")),1,0)</f>
        <v>0</v>
      </c>
      <c r="AA394">
        <f>IF(COUNTIF($E394, _xlfn.CONCAT("*",Table13[[#Headers],[Western]],"*")),1,0)</f>
        <v>0</v>
      </c>
    </row>
    <row r="395" spans="1:27">
      <c r="A395" t="s">
        <v>508</v>
      </c>
      <c r="B395">
        <v>91</v>
      </c>
      <c r="C395">
        <f>MAX(Table13[Rank])-Table13[[#This Row],[Rank]]</f>
        <v>173</v>
      </c>
      <c r="D395" t="s">
        <v>489</v>
      </c>
      <c r="E395" t="s">
        <v>509</v>
      </c>
      <c r="F395" s="1">
        <v>42794</v>
      </c>
      <c r="G395">
        <f>YEAR(Table13[[#This Row],[Date]])</f>
        <v>2017</v>
      </c>
      <c r="H395" t="s">
        <v>510</v>
      </c>
      <c r="I395">
        <f>IF(COUNTIF($E395, _xlfn.CONCAT("*",Table13[[#Headers],[Action]],"*")),1,0)</f>
        <v>1</v>
      </c>
      <c r="J395">
        <f>IF(COUNTIF($E395, _xlfn.CONCAT("*",Table13[[#Headers],[Adventure]],"*")),1,0)</f>
        <v>0</v>
      </c>
      <c r="K395">
        <f>IF(COUNTIF($E395, _xlfn.CONCAT("*",Table13[[#Headers],[Animation]],"*")),1,0)</f>
        <v>0</v>
      </c>
      <c r="L395">
        <f>IF(COUNTIF($E395, _xlfn.CONCAT("*",Table13[[#Headers],[Comedy]],"*")),1,0)</f>
        <v>0</v>
      </c>
      <c r="M395">
        <f>IF(COUNTIF($E395, _xlfn.CONCAT("*",Table13[[#Headers],[Crime]],"*")),1,0)</f>
        <v>0</v>
      </c>
      <c r="N395">
        <f>IF(COUNTIF($E395, _xlfn.CONCAT("*",Table13[[#Headers],[Documentary]],"*")),1,0)</f>
        <v>0</v>
      </c>
      <c r="O395">
        <f>IF(COUNTIF($E395, _xlfn.CONCAT("*",Table13[[#Headers],[Drama]],"*")),1,0)</f>
        <v>1</v>
      </c>
      <c r="P395">
        <f>IF(COUNTIF($E395, _xlfn.CONCAT("*",Table13[[#Headers],[Family]],"*")),1,0)</f>
        <v>0</v>
      </c>
      <c r="Q395">
        <f>IF(COUNTIF($E395, _xlfn.CONCAT("*",Table13[[#Headers],[Fantasy]],"*")),1,0)</f>
        <v>0</v>
      </c>
      <c r="R395">
        <f>IF(COUNTIF($E395, _xlfn.CONCAT("*",Table13[[#Headers],[History]],"*")),1,0)</f>
        <v>0</v>
      </c>
      <c r="S395">
        <f>IF(COUNTIF($E395, _xlfn.CONCAT("*",Table13[[#Headers],[Horror]],"*")),1,0)</f>
        <v>0</v>
      </c>
      <c r="T395">
        <f>IF(COUNTIF($E395, _xlfn.CONCAT("*",Table13[[#Headers],[Music]],"*")),1,0)</f>
        <v>0</v>
      </c>
      <c r="U395">
        <f>IF(COUNTIF($E395, _xlfn.CONCAT("*",Table13[[#Headers],[Mystery]],"*")),1,0)</f>
        <v>0</v>
      </c>
      <c r="V395">
        <f>IF(COUNTIF($E395, _xlfn.CONCAT("*",Table13[[#Headers],[Romance]],"*")),1,0)</f>
        <v>0</v>
      </c>
      <c r="W395">
        <f>IF(COUNTIF($E395, _xlfn.CONCAT("*",Table13[[#Headers],[Science Fiction]],"*")),1,0)</f>
        <v>1</v>
      </c>
      <c r="X395">
        <f>IF(COUNTIF($E395, _xlfn.CONCAT("*",Table13[[#Headers],[TV Movie]],"*")),1,0)</f>
        <v>0</v>
      </c>
      <c r="Y395">
        <f>IF(COUNTIF($E395, _xlfn.CONCAT("*",Table13[[#Headers],[Thriller]],"*")),1,0)</f>
        <v>0</v>
      </c>
      <c r="Z395">
        <f>IF(COUNTIF($E395, _xlfn.CONCAT("*",Table13[[#Headers],[War]],"*")),1,0)</f>
        <v>0</v>
      </c>
      <c r="AA395">
        <f>IF(COUNTIF($E395, _xlfn.CONCAT("*",Table13[[#Headers],[Western]],"*")),1,0)</f>
        <v>0</v>
      </c>
    </row>
    <row r="396" spans="1:27">
      <c r="A396" t="s">
        <v>511</v>
      </c>
      <c r="B396">
        <v>90</v>
      </c>
      <c r="C396">
        <f>MAX(Table13[Rank])-Table13[[#This Row],[Rank]]</f>
        <v>174</v>
      </c>
      <c r="D396" t="s">
        <v>489</v>
      </c>
      <c r="E396" t="s">
        <v>512</v>
      </c>
      <c r="F396" s="1">
        <v>30981</v>
      </c>
      <c r="G396">
        <f>YEAR(Table13[[#This Row],[Date]])</f>
        <v>1984</v>
      </c>
      <c r="H396" t="s">
        <v>513</v>
      </c>
      <c r="I396">
        <f>IF(COUNTIF($E396, _xlfn.CONCAT("*",Table13[[#Headers],[Action]],"*")),1,0)</f>
        <v>1</v>
      </c>
      <c r="J396">
        <f>IF(COUNTIF($E396, _xlfn.CONCAT("*",Table13[[#Headers],[Adventure]],"*")),1,0)</f>
        <v>0</v>
      </c>
      <c r="K396">
        <f>IF(COUNTIF($E396, _xlfn.CONCAT("*",Table13[[#Headers],[Animation]],"*")),1,0)</f>
        <v>0</v>
      </c>
      <c r="L396">
        <f>IF(COUNTIF($E396, _xlfn.CONCAT("*",Table13[[#Headers],[Comedy]],"*")),1,0)</f>
        <v>0</v>
      </c>
      <c r="M396">
        <f>IF(COUNTIF($E396, _xlfn.CONCAT("*",Table13[[#Headers],[Crime]],"*")),1,0)</f>
        <v>0</v>
      </c>
      <c r="N396">
        <f>IF(COUNTIF($E396, _xlfn.CONCAT("*",Table13[[#Headers],[Documentary]],"*")),1,0)</f>
        <v>0</v>
      </c>
      <c r="O396">
        <f>IF(COUNTIF($E396, _xlfn.CONCAT("*",Table13[[#Headers],[Drama]],"*")),1,0)</f>
        <v>0</v>
      </c>
      <c r="P396">
        <f>IF(COUNTIF($E396, _xlfn.CONCAT("*",Table13[[#Headers],[Family]],"*")),1,0)</f>
        <v>0</v>
      </c>
      <c r="Q396">
        <f>IF(COUNTIF($E396, _xlfn.CONCAT("*",Table13[[#Headers],[Fantasy]],"*")),1,0)</f>
        <v>0</v>
      </c>
      <c r="R396">
        <f>IF(COUNTIF($E396, _xlfn.CONCAT("*",Table13[[#Headers],[History]],"*")),1,0)</f>
        <v>0</v>
      </c>
      <c r="S396">
        <f>IF(COUNTIF($E396, _xlfn.CONCAT("*",Table13[[#Headers],[Horror]],"*")),1,0)</f>
        <v>0</v>
      </c>
      <c r="T396">
        <f>IF(COUNTIF($E396, _xlfn.CONCAT("*",Table13[[#Headers],[Music]],"*")),1,0)</f>
        <v>0</v>
      </c>
      <c r="U396">
        <f>IF(COUNTIF($E396, _xlfn.CONCAT("*",Table13[[#Headers],[Mystery]],"*")),1,0)</f>
        <v>0</v>
      </c>
      <c r="V396">
        <f>IF(COUNTIF($E396, _xlfn.CONCAT("*",Table13[[#Headers],[Romance]],"*")),1,0)</f>
        <v>0</v>
      </c>
      <c r="W396">
        <f>IF(COUNTIF($E396, _xlfn.CONCAT("*",Table13[[#Headers],[Science Fiction]],"*")),1,0)</f>
        <v>1</v>
      </c>
      <c r="X396">
        <f>IF(COUNTIF($E396, _xlfn.CONCAT("*",Table13[[#Headers],[TV Movie]],"*")),1,0)</f>
        <v>0</v>
      </c>
      <c r="Y396">
        <f>IF(COUNTIF($E396, _xlfn.CONCAT("*",Table13[[#Headers],[Thriller]],"*")),1,0)</f>
        <v>1</v>
      </c>
      <c r="Z396">
        <f>IF(COUNTIF($E396, _xlfn.CONCAT("*",Table13[[#Headers],[War]],"*")),1,0)</f>
        <v>0</v>
      </c>
      <c r="AA396">
        <f>IF(COUNTIF($E396, _xlfn.CONCAT("*",Table13[[#Headers],[Western]],"*")),1,0)</f>
        <v>0</v>
      </c>
    </row>
    <row r="397" spans="1:27">
      <c r="A397" t="s">
        <v>514</v>
      </c>
      <c r="B397">
        <v>89</v>
      </c>
      <c r="C397">
        <f>MAX(Table13[Rank])-Table13[[#This Row],[Rank]]</f>
        <v>175</v>
      </c>
      <c r="D397" t="s">
        <v>489</v>
      </c>
      <c r="E397" t="s">
        <v>367</v>
      </c>
      <c r="F397" s="1">
        <v>39246</v>
      </c>
      <c r="G397">
        <f>YEAR(Table13[[#This Row],[Date]])</f>
        <v>2007</v>
      </c>
      <c r="H397" t="s">
        <v>515</v>
      </c>
      <c r="I397">
        <f>IF(COUNTIF($E397, _xlfn.CONCAT("*",Table13[[#Headers],[Action]],"*")),1,0)</f>
        <v>0</v>
      </c>
      <c r="J397">
        <f>IF(COUNTIF($E397, _xlfn.CONCAT("*",Table13[[#Headers],[Adventure]],"*")),1,0)</f>
        <v>0</v>
      </c>
      <c r="K397">
        <f>IF(COUNTIF($E397, _xlfn.CONCAT("*",Table13[[#Headers],[Animation]],"*")),1,0)</f>
        <v>0</v>
      </c>
      <c r="L397">
        <f>IF(COUNTIF($E397, _xlfn.CONCAT("*",Table13[[#Headers],[Comedy]],"*")),1,0)</f>
        <v>0</v>
      </c>
      <c r="M397">
        <f>IF(COUNTIF($E397, _xlfn.CONCAT("*",Table13[[#Headers],[Crime]],"*")),1,0)</f>
        <v>1</v>
      </c>
      <c r="N397">
        <f>IF(COUNTIF($E397, _xlfn.CONCAT("*",Table13[[#Headers],[Documentary]],"*")),1,0)</f>
        <v>0</v>
      </c>
      <c r="O397">
        <f>IF(COUNTIF($E397, _xlfn.CONCAT("*",Table13[[#Headers],[Drama]],"*")),1,0)</f>
        <v>1</v>
      </c>
      <c r="P397">
        <f>IF(COUNTIF($E397, _xlfn.CONCAT("*",Table13[[#Headers],[Family]],"*")),1,0)</f>
        <v>0</v>
      </c>
      <c r="Q397">
        <f>IF(COUNTIF($E397, _xlfn.CONCAT("*",Table13[[#Headers],[Fantasy]],"*")),1,0)</f>
        <v>0</v>
      </c>
      <c r="R397">
        <f>IF(COUNTIF($E397, _xlfn.CONCAT("*",Table13[[#Headers],[History]],"*")),1,0)</f>
        <v>0</v>
      </c>
      <c r="S397">
        <f>IF(COUNTIF($E397, _xlfn.CONCAT("*",Table13[[#Headers],[Horror]],"*")),1,0)</f>
        <v>0</v>
      </c>
      <c r="T397">
        <f>IF(COUNTIF($E397, _xlfn.CONCAT("*",Table13[[#Headers],[Music]],"*")),1,0)</f>
        <v>0</v>
      </c>
      <c r="U397">
        <f>IF(COUNTIF($E397, _xlfn.CONCAT("*",Table13[[#Headers],[Mystery]],"*")),1,0)</f>
        <v>0</v>
      </c>
      <c r="V397">
        <f>IF(COUNTIF($E397, _xlfn.CONCAT("*",Table13[[#Headers],[Romance]],"*")),1,0)</f>
        <v>0</v>
      </c>
      <c r="W397">
        <f>IF(COUNTIF($E397, _xlfn.CONCAT("*",Table13[[#Headers],[Science Fiction]],"*")),1,0)</f>
        <v>0</v>
      </c>
      <c r="X397">
        <f>IF(COUNTIF($E397, _xlfn.CONCAT("*",Table13[[#Headers],[TV Movie]],"*")),1,0)</f>
        <v>0</v>
      </c>
      <c r="Y397">
        <f>IF(COUNTIF($E397, _xlfn.CONCAT("*",Table13[[#Headers],[Thriller]],"*")),1,0)</f>
        <v>1</v>
      </c>
      <c r="Z397">
        <f>IF(COUNTIF($E397, _xlfn.CONCAT("*",Table13[[#Headers],[War]],"*")),1,0)</f>
        <v>0</v>
      </c>
      <c r="AA397">
        <f>IF(COUNTIF($E397, _xlfn.CONCAT("*",Table13[[#Headers],[Western]],"*")),1,0)</f>
        <v>0</v>
      </c>
    </row>
    <row r="398" spans="1:27">
      <c r="A398" t="s">
        <v>516</v>
      </c>
      <c r="B398">
        <v>88</v>
      </c>
      <c r="C398">
        <f>MAX(Table13[Rank])-Table13[[#This Row],[Rank]]</f>
        <v>176</v>
      </c>
      <c r="D398" t="s">
        <v>489</v>
      </c>
      <c r="E398" t="s">
        <v>35</v>
      </c>
      <c r="F398" s="1">
        <v>35752</v>
      </c>
      <c r="G398">
        <f>YEAR(Table13[[#This Row],[Date]])</f>
        <v>1997</v>
      </c>
      <c r="H398" t="s">
        <v>470</v>
      </c>
      <c r="I398">
        <f>IF(COUNTIF($E398, _xlfn.CONCAT("*",Table13[[#Headers],[Action]],"*")),1,0)</f>
        <v>0</v>
      </c>
      <c r="J398">
        <f>IF(COUNTIF($E398, _xlfn.CONCAT("*",Table13[[#Headers],[Adventure]],"*")),1,0)</f>
        <v>0</v>
      </c>
      <c r="K398">
        <f>IF(COUNTIF($E398, _xlfn.CONCAT("*",Table13[[#Headers],[Animation]],"*")),1,0)</f>
        <v>0</v>
      </c>
      <c r="L398">
        <f>IF(COUNTIF($E398, _xlfn.CONCAT("*",Table13[[#Headers],[Comedy]],"*")),1,0)</f>
        <v>0</v>
      </c>
      <c r="M398">
        <f>IF(COUNTIF($E398, _xlfn.CONCAT("*",Table13[[#Headers],[Crime]],"*")),1,0)</f>
        <v>0</v>
      </c>
      <c r="N398">
        <f>IF(COUNTIF($E398, _xlfn.CONCAT("*",Table13[[#Headers],[Documentary]],"*")),1,0)</f>
        <v>0</v>
      </c>
      <c r="O398">
        <f>IF(COUNTIF($E398, _xlfn.CONCAT("*",Table13[[#Headers],[Drama]],"*")),1,0)</f>
        <v>1</v>
      </c>
      <c r="P398">
        <f>IF(COUNTIF($E398, _xlfn.CONCAT("*",Table13[[#Headers],[Family]],"*")),1,0)</f>
        <v>0</v>
      </c>
      <c r="Q398">
        <f>IF(COUNTIF($E398, _xlfn.CONCAT("*",Table13[[#Headers],[Fantasy]],"*")),1,0)</f>
        <v>0</v>
      </c>
      <c r="R398">
        <f>IF(COUNTIF($E398, _xlfn.CONCAT("*",Table13[[#Headers],[History]],"*")),1,0)</f>
        <v>0</v>
      </c>
      <c r="S398">
        <f>IF(COUNTIF($E398, _xlfn.CONCAT("*",Table13[[#Headers],[Horror]],"*")),1,0)</f>
        <v>0</v>
      </c>
      <c r="T398">
        <f>IF(COUNTIF($E398, _xlfn.CONCAT("*",Table13[[#Headers],[Music]],"*")),1,0)</f>
        <v>0</v>
      </c>
      <c r="U398">
        <f>IF(COUNTIF($E398, _xlfn.CONCAT("*",Table13[[#Headers],[Mystery]],"*")),1,0)</f>
        <v>0</v>
      </c>
      <c r="V398">
        <f>IF(COUNTIF($E398, _xlfn.CONCAT("*",Table13[[#Headers],[Romance]],"*")),1,0)</f>
        <v>1</v>
      </c>
      <c r="W398">
        <f>IF(COUNTIF($E398, _xlfn.CONCAT("*",Table13[[#Headers],[Science Fiction]],"*")),1,0)</f>
        <v>0</v>
      </c>
      <c r="X398">
        <f>IF(COUNTIF($E398, _xlfn.CONCAT("*",Table13[[#Headers],[TV Movie]],"*")),1,0)</f>
        <v>0</v>
      </c>
      <c r="Y398">
        <f>IF(COUNTIF($E398, _xlfn.CONCAT("*",Table13[[#Headers],[Thriller]],"*")),1,0)</f>
        <v>0</v>
      </c>
      <c r="Z398">
        <f>IF(COUNTIF($E398, _xlfn.CONCAT("*",Table13[[#Headers],[War]],"*")),1,0)</f>
        <v>0</v>
      </c>
      <c r="AA398">
        <f>IF(COUNTIF($E398, _xlfn.CONCAT("*",Table13[[#Headers],[Western]],"*")),1,0)</f>
        <v>0</v>
      </c>
    </row>
    <row r="399" spans="1:27">
      <c r="A399" t="s">
        <v>517</v>
      </c>
      <c r="B399">
        <v>87</v>
      </c>
      <c r="C399">
        <f>MAX(Table13[Rank])-Table13[[#This Row],[Rank]]</f>
        <v>177</v>
      </c>
      <c r="D399" t="s">
        <v>489</v>
      </c>
      <c r="E399" t="s">
        <v>29</v>
      </c>
      <c r="F399" s="1">
        <v>45203</v>
      </c>
      <c r="G399">
        <f>YEAR(Table13[[#This Row],[Date]])</f>
        <v>2023</v>
      </c>
      <c r="H399" t="s">
        <v>518</v>
      </c>
      <c r="I399">
        <f>IF(COUNTIF($E399, _xlfn.CONCAT("*",Table13[[#Headers],[Action]],"*")),1,0)</f>
        <v>0</v>
      </c>
      <c r="J399">
        <f>IF(COUNTIF($E399, _xlfn.CONCAT("*",Table13[[#Headers],[Adventure]],"*")),1,0)</f>
        <v>0</v>
      </c>
      <c r="K399">
        <f>IF(COUNTIF($E399, _xlfn.CONCAT("*",Table13[[#Headers],[Animation]],"*")),1,0)</f>
        <v>0</v>
      </c>
      <c r="L399">
        <f>IF(COUNTIF($E399, _xlfn.CONCAT("*",Table13[[#Headers],[Comedy]],"*")),1,0)</f>
        <v>0</v>
      </c>
      <c r="M399">
        <f>IF(COUNTIF($E399, _xlfn.CONCAT("*",Table13[[#Headers],[Crime]],"*")),1,0)</f>
        <v>0</v>
      </c>
      <c r="N399">
        <f>IF(COUNTIF($E399, _xlfn.CONCAT("*",Table13[[#Headers],[Documentary]],"*")),1,0)</f>
        <v>0</v>
      </c>
      <c r="O399">
        <f>IF(COUNTIF($E399, _xlfn.CONCAT("*",Table13[[#Headers],[Drama]],"*")),1,0)</f>
        <v>0</v>
      </c>
      <c r="P399">
        <f>IF(COUNTIF($E399, _xlfn.CONCAT("*",Table13[[#Headers],[Family]],"*")),1,0)</f>
        <v>0</v>
      </c>
      <c r="Q399">
        <f>IF(COUNTIF($E399, _xlfn.CONCAT("*",Table13[[#Headers],[Fantasy]],"*")),1,0)</f>
        <v>0</v>
      </c>
      <c r="R399">
        <f>IF(COUNTIF($E399, _xlfn.CONCAT("*",Table13[[#Headers],[History]],"*")),1,0)</f>
        <v>0</v>
      </c>
      <c r="S399">
        <f>IF(COUNTIF($E399, _xlfn.CONCAT("*",Table13[[#Headers],[Horror]],"*")),1,0)</f>
        <v>1</v>
      </c>
      <c r="T399">
        <f>IF(COUNTIF($E399, _xlfn.CONCAT("*",Table13[[#Headers],[Music]],"*")),1,0)</f>
        <v>0</v>
      </c>
      <c r="U399">
        <f>IF(COUNTIF($E399, _xlfn.CONCAT("*",Table13[[#Headers],[Mystery]],"*")),1,0)</f>
        <v>0</v>
      </c>
      <c r="V399">
        <f>IF(COUNTIF($E399, _xlfn.CONCAT("*",Table13[[#Headers],[Romance]],"*")),1,0)</f>
        <v>0</v>
      </c>
      <c r="W399">
        <f>IF(COUNTIF($E399, _xlfn.CONCAT("*",Table13[[#Headers],[Science Fiction]],"*")),1,0)</f>
        <v>0</v>
      </c>
      <c r="X399">
        <f>IF(COUNTIF($E399, _xlfn.CONCAT("*",Table13[[#Headers],[TV Movie]],"*")),1,0)</f>
        <v>0</v>
      </c>
      <c r="Y399">
        <f>IF(COUNTIF($E399, _xlfn.CONCAT("*",Table13[[#Headers],[Thriller]],"*")),1,0)</f>
        <v>0</v>
      </c>
      <c r="Z399">
        <f>IF(COUNTIF($E399, _xlfn.CONCAT("*",Table13[[#Headers],[War]],"*")),1,0)</f>
        <v>0</v>
      </c>
      <c r="AA399">
        <f>IF(COUNTIF($E399, _xlfn.CONCAT("*",Table13[[#Headers],[Western]],"*")),1,0)</f>
        <v>0</v>
      </c>
    </row>
    <row r="400" spans="1:27">
      <c r="A400" t="s">
        <v>519</v>
      </c>
      <c r="B400">
        <v>86</v>
      </c>
      <c r="C400">
        <f>MAX(Table13[Rank])-Table13[[#This Row],[Rank]]</f>
        <v>178</v>
      </c>
      <c r="D400" t="s">
        <v>489</v>
      </c>
      <c r="E400" t="s">
        <v>111</v>
      </c>
      <c r="F400" s="1">
        <v>44874</v>
      </c>
      <c r="G400">
        <f>YEAR(Table13[[#This Row],[Date]])</f>
        <v>2022</v>
      </c>
      <c r="H400" t="s">
        <v>520</v>
      </c>
      <c r="I400">
        <f>IF(COUNTIF($E400, _xlfn.CONCAT("*",Table13[[#Headers],[Action]],"*")),1,0)</f>
        <v>1</v>
      </c>
      <c r="J400">
        <f>IF(COUNTIF($E400, _xlfn.CONCAT("*",Table13[[#Headers],[Adventure]],"*")),1,0)</f>
        <v>1</v>
      </c>
      <c r="K400">
        <f>IF(COUNTIF($E400, _xlfn.CONCAT("*",Table13[[#Headers],[Animation]],"*")),1,0)</f>
        <v>0</v>
      </c>
      <c r="L400">
        <f>IF(COUNTIF($E400, _xlfn.CONCAT("*",Table13[[#Headers],[Comedy]],"*")),1,0)</f>
        <v>0</v>
      </c>
      <c r="M400">
        <f>IF(COUNTIF($E400, _xlfn.CONCAT("*",Table13[[#Headers],[Crime]],"*")),1,0)</f>
        <v>0</v>
      </c>
      <c r="N400">
        <f>IF(COUNTIF($E400, _xlfn.CONCAT("*",Table13[[#Headers],[Documentary]],"*")),1,0)</f>
        <v>0</v>
      </c>
      <c r="O400">
        <f>IF(COUNTIF($E400, _xlfn.CONCAT("*",Table13[[#Headers],[Drama]],"*")),1,0)</f>
        <v>0</v>
      </c>
      <c r="P400">
        <f>IF(COUNTIF($E400, _xlfn.CONCAT("*",Table13[[#Headers],[Family]],"*")),1,0)</f>
        <v>0</v>
      </c>
      <c r="Q400">
        <f>IF(COUNTIF($E400, _xlfn.CONCAT("*",Table13[[#Headers],[Fantasy]],"*")),1,0)</f>
        <v>0</v>
      </c>
      <c r="R400">
        <f>IF(COUNTIF($E400, _xlfn.CONCAT("*",Table13[[#Headers],[History]],"*")),1,0)</f>
        <v>0</v>
      </c>
      <c r="S400">
        <f>IF(COUNTIF($E400, _xlfn.CONCAT("*",Table13[[#Headers],[Horror]],"*")),1,0)</f>
        <v>0</v>
      </c>
      <c r="T400">
        <f>IF(COUNTIF($E400, _xlfn.CONCAT("*",Table13[[#Headers],[Music]],"*")),1,0)</f>
        <v>0</v>
      </c>
      <c r="U400">
        <f>IF(COUNTIF($E400, _xlfn.CONCAT("*",Table13[[#Headers],[Mystery]],"*")),1,0)</f>
        <v>0</v>
      </c>
      <c r="V400">
        <f>IF(COUNTIF($E400, _xlfn.CONCAT("*",Table13[[#Headers],[Romance]],"*")),1,0)</f>
        <v>0</v>
      </c>
      <c r="W400">
        <f>IF(COUNTIF($E400, _xlfn.CONCAT("*",Table13[[#Headers],[Science Fiction]],"*")),1,0)</f>
        <v>1</v>
      </c>
      <c r="X400">
        <f>IF(COUNTIF($E400, _xlfn.CONCAT("*",Table13[[#Headers],[TV Movie]],"*")),1,0)</f>
        <v>0</v>
      </c>
      <c r="Y400">
        <f>IF(COUNTIF($E400, _xlfn.CONCAT("*",Table13[[#Headers],[Thriller]],"*")),1,0)</f>
        <v>0</v>
      </c>
      <c r="Z400">
        <f>IF(COUNTIF($E400, _xlfn.CONCAT("*",Table13[[#Headers],[War]],"*")),1,0)</f>
        <v>0</v>
      </c>
      <c r="AA400">
        <f>IF(COUNTIF($E400, _xlfn.CONCAT("*",Table13[[#Headers],[Western]],"*")),1,0)</f>
        <v>0</v>
      </c>
    </row>
    <row r="401" spans="1:27">
      <c r="A401" t="s">
        <v>521</v>
      </c>
      <c r="B401">
        <v>85</v>
      </c>
      <c r="C401">
        <f>MAX(Table13[Rank])-Table13[[#This Row],[Rank]]</f>
        <v>179</v>
      </c>
      <c r="D401" t="s">
        <v>489</v>
      </c>
      <c r="E401" t="s">
        <v>522</v>
      </c>
      <c r="F401" s="1">
        <v>38086</v>
      </c>
      <c r="G401">
        <f>YEAR(Table13[[#This Row],[Date]])</f>
        <v>2004</v>
      </c>
      <c r="H401" t="s">
        <v>523</v>
      </c>
      <c r="I401">
        <f>IF(COUNTIF($E401, _xlfn.CONCAT("*",Table13[[#Headers],[Action]],"*")),1,0)</f>
        <v>0</v>
      </c>
      <c r="J401">
        <f>IF(COUNTIF($E401, _xlfn.CONCAT("*",Table13[[#Headers],[Adventure]],"*")),1,0)</f>
        <v>0</v>
      </c>
      <c r="K401">
        <f>IF(COUNTIF($E401, _xlfn.CONCAT("*",Table13[[#Headers],[Animation]],"*")),1,0)</f>
        <v>0</v>
      </c>
      <c r="L401">
        <f>IF(COUNTIF($E401, _xlfn.CONCAT("*",Table13[[#Headers],[Comedy]],"*")),1,0)</f>
        <v>1</v>
      </c>
      <c r="M401">
        <f>IF(COUNTIF($E401, _xlfn.CONCAT("*",Table13[[#Headers],[Crime]],"*")),1,0)</f>
        <v>0</v>
      </c>
      <c r="N401">
        <f>IF(COUNTIF($E401, _xlfn.CONCAT("*",Table13[[#Headers],[Documentary]],"*")),1,0)</f>
        <v>0</v>
      </c>
      <c r="O401">
        <f>IF(COUNTIF($E401, _xlfn.CONCAT("*",Table13[[#Headers],[Drama]],"*")),1,0)</f>
        <v>0</v>
      </c>
      <c r="P401">
        <f>IF(COUNTIF($E401, _xlfn.CONCAT("*",Table13[[#Headers],[Family]],"*")),1,0)</f>
        <v>0</v>
      </c>
      <c r="Q401">
        <f>IF(COUNTIF($E401, _xlfn.CONCAT("*",Table13[[#Headers],[Fantasy]],"*")),1,0)</f>
        <v>0</v>
      </c>
      <c r="R401">
        <f>IF(COUNTIF($E401, _xlfn.CONCAT("*",Table13[[#Headers],[History]],"*")),1,0)</f>
        <v>0</v>
      </c>
      <c r="S401">
        <f>IF(COUNTIF($E401, _xlfn.CONCAT("*",Table13[[#Headers],[Horror]],"*")),1,0)</f>
        <v>1</v>
      </c>
      <c r="T401">
        <f>IF(COUNTIF($E401, _xlfn.CONCAT("*",Table13[[#Headers],[Music]],"*")),1,0)</f>
        <v>0</v>
      </c>
      <c r="U401">
        <f>IF(COUNTIF($E401, _xlfn.CONCAT("*",Table13[[#Headers],[Mystery]],"*")),1,0)</f>
        <v>0</v>
      </c>
      <c r="V401">
        <f>IF(COUNTIF($E401, _xlfn.CONCAT("*",Table13[[#Headers],[Romance]],"*")),1,0)</f>
        <v>0</v>
      </c>
      <c r="W401">
        <f>IF(COUNTIF($E401, _xlfn.CONCAT("*",Table13[[#Headers],[Science Fiction]],"*")),1,0)</f>
        <v>0</v>
      </c>
      <c r="X401">
        <f>IF(COUNTIF($E401, _xlfn.CONCAT("*",Table13[[#Headers],[TV Movie]],"*")),1,0)</f>
        <v>0</v>
      </c>
      <c r="Y401">
        <f>IF(COUNTIF($E401, _xlfn.CONCAT("*",Table13[[#Headers],[Thriller]],"*")),1,0)</f>
        <v>0</v>
      </c>
      <c r="Z401">
        <f>IF(COUNTIF($E401, _xlfn.CONCAT("*",Table13[[#Headers],[War]],"*")),1,0)</f>
        <v>0</v>
      </c>
      <c r="AA401">
        <f>IF(COUNTIF($E401, _xlfn.CONCAT("*",Table13[[#Headers],[Western]],"*")),1,0)</f>
        <v>0</v>
      </c>
    </row>
    <row r="402" spans="1:27">
      <c r="A402" t="s">
        <v>524</v>
      </c>
      <c r="B402">
        <v>84</v>
      </c>
      <c r="C402">
        <f>MAX(Table13[Rank])-Table13[[#This Row],[Rank]]</f>
        <v>180</v>
      </c>
      <c r="D402" t="s">
        <v>489</v>
      </c>
      <c r="E402" t="s">
        <v>35</v>
      </c>
      <c r="F402" s="1">
        <v>37882</v>
      </c>
      <c r="G402">
        <f>YEAR(Table13[[#This Row],[Date]])</f>
        <v>2003</v>
      </c>
      <c r="H402" t="s">
        <v>525</v>
      </c>
      <c r="I402">
        <f>IF(COUNTIF($E402, _xlfn.CONCAT("*",Table13[[#Headers],[Action]],"*")),1,0)</f>
        <v>0</v>
      </c>
      <c r="J402">
        <f>IF(COUNTIF($E402, _xlfn.CONCAT("*",Table13[[#Headers],[Adventure]],"*")),1,0)</f>
        <v>0</v>
      </c>
      <c r="K402">
        <f>IF(COUNTIF($E402, _xlfn.CONCAT("*",Table13[[#Headers],[Animation]],"*")),1,0)</f>
        <v>0</v>
      </c>
      <c r="L402">
        <f>IF(COUNTIF($E402, _xlfn.CONCAT("*",Table13[[#Headers],[Comedy]],"*")),1,0)</f>
        <v>0</v>
      </c>
      <c r="M402">
        <f>IF(COUNTIF($E402, _xlfn.CONCAT("*",Table13[[#Headers],[Crime]],"*")),1,0)</f>
        <v>0</v>
      </c>
      <c r="N402">
        <f>IF(COUNTIF($E402, _xlfn.CONCAT("*",Table13[[#Headers],[Documentary]],"*")),1,0)</f>
        <v>0</v>
      </c>
      <c r="O402">
        <f>IF(COUNTIF($E402, _xlfn.CONCAT("*",Table13[[#Headers],[Drama]],"*")),1,0)</f>
        <v>1</v>
      </c>
      <c r="P402">
        <f>IF(COUNTIF($E402, _xlfn.CONCAT("*",Table13[[#Headers],[Family]],"*")),1,0)</f>
        <v>0</v>
      </c>
      <c r="Q402">
        <f>IF(COUNTIF($E402, _xlfn.CONCAT("*",Table13[[#Headers],[Fantasy]],"*")),1,0)</f>
        <v>0</v>
      </c>
      <c r="R402">
        <f>IF(COUNTIF($E402, _xlfn.CONCAT("*",Table13[[#Headers],[History]],"*")),1,0)</f>
        <v>0</v>
      </c>
      <c r="S402">
        <f>IF(COUNTIF($E402, _xlfn.CONCAT("*",Table13[[#Headers],[Horror]],"*")),1,0)</f>
        <v>0</v>
      </c>
      <c r="T402">
        <f>IF(COUNTIF($E402, _xlfn.CONCAT("*",Table13[[#Headers],[Music]],"*")),1,0)</f>
        <v>0</v>
      </c>
      <c r="U402">
        <f>IF(COUNTIF($E402, _xlfn.CONCAT("*",Table13[[#Headers],[Mystery]],"*")),1,0)</f>
        <v>0</v>
      </c>
      <c r="V402">
        <f>IF(COUNTIF($E402, _xlfn.CONCAT("*",Table13[[#Headers],[Romance]],"*")),1,0)</f>
        <v>1</v>
      </c>
      <c r="W402">
        <f>IF(COUNTIF($E402, _xlfn.CONCAT("*",Table13[[#Headers],[Science Fiction]],"*")),1,0)</f>
        <v>0</v>
      </c>
      <c r="X402">
        <f>IF(COUNTIF($E402, _xlfn.CONCAT("*",Table13[[#Headers],[TV Movie]],"*")),1,0)</f>
        <v>0</v>
      </c>
      <c r="Y402">
        <f>IF(COUNTIF($E402, _xlfn.CONCAT("*",Table13[[#Headers],[Thriller]],"*")),1,0)</f>
        <v>0</v>
      </c>
      <c r="Z402">
        <f>IF(COUNTIF($E402, _xlfn.CONCAT("*",Table13[[#Headers],[War]],"*")),1,0)</f>
        <v>0</v>
      </c>
      <c r="AA402">
        <f>IF(COUNTIF($E402, _xlfn.CONCAT("*",Table13[[#Headers],[Western]],"*")),1,0)</f>
        <v>0</v>
      </c>
    </row>
    <row r="403" spans="1:27">
      <c r="A403" t="s">
        <v>526</v>
      </c>
      <c r="B403">
        <v>83</v>
      </c>
      <c r="C403">
        <f>MAX(Table13[Rank])-Table13[[#This Row],[Rank]]</f>
        <v>181</v>
      </c>
      <c r="D403" t="s">
        <v>489</v>
      </c>
      <c r="E403" t="s">
        <v>111</v>
      </c>
      <c r="F403" s="1">
        <v>43010</v>
      </c>
      <c r="G403">
        <f>YEAR(Table13[[#This Row],[Date]])</f>
        <v>2017</v>
      </c>
      <c r="H403" t="s">
        <v>527</v>
      </c>
      <c r="I403">
        <f>IF(COUNTIF($E403, _xlfn.CONCAT("*",Table13[[#Headers],[Action]],"*")),1,0)</f>
        <v>1</v>
      </c>
      <c r="J403">
        <f>IF(COUNTIF($E403, _xlfn.CONCAT("*",Table13[[#Headers],[Adventure]],"*")),1,0)</f>
        <v>1</v>
      </c>
      <c r="K403">
        <f>IF(COUNTIF($E403, _xlfn.CONCAT("*",Table13[[#Headers],[Animation]],"*")),1,0)</f>
        <v>0</v>
      </c>
      <c r="L403">
        <f>IF(COUNTIF($E403, _xlfn.CONCAT("*",Table13[[#Headers],[Comedy]],"*")),1,0)</f>
        <v>0</v>
      </c>
      <c r="M403">
        <f>IF(COUNTIF($E403, _xlfn.CONCAT("*",Table13[[#Headers],[Crime]],"*")),1,0)</f>
        <v>0</v>
      </c>
      <c r="N403">
        <f>IF(COUNTIF($E403, _xlfn.CONCAT("*",Table13[[#Headers],[Documentary]],"*")),1,0)</f>
        <v>0</v>
      </c>
      <c r="O403">
        <f>IF(COUNTIF($E403, _xlfn.CONCAT("*",Table13[[#Headers],[Drama]],"*")),1,0)</f>
        <v>0</v>
      </c>
      <c r="P403">
        <f>IF(COUNTIF($E403, _xlfn.CONCAT("*",Table13[[#Headers],[Family]],"*")),1,0)</f>
        <v>0</v>
      </c>
      <c r="Q403">
        <f>IF(COUNTIF($E403, _xlfn.CONCAT("*",Table13[[#Headers],[Fantasy]],"*")),1,0)</f>
        <v>0</v>
      </c>
      <c r="R403">
        <f>IF(COUNTIF($E403, _xlfn.CONCAT("*",Table13[[#Headers],[History]],"*")),1,0)</f>
        <v>0</v>
      </c>
      <c r="S403">
        <f>IF(COUNTIF($E403, _xlfn.CONCAT("*",Table13[[#Headers],[Horror]],"*")),1,0)</f>
        <v>0</v>
      </c>
      <c r="T403">
        <f>IF(COUNTIF($E403, _xlfn.CONCAT("*",Table13[[#Headers],[Music]],"*")),1,0)</f>
        <v>0</v>
      </c>
      <c r="U403">
        <f>IF(COUNTIF($E403, _xlfn.CONCAT("*",Table13[[#Headers],[Mystery]],"*")),1,0)</f>
        <v>0</v>
      </c>
      <c r="V403">
        <f>IF(COUNTIF($E403, _xlfn.CONCAT("*",Table13[[#Headers],[Romance]],"*")),1,0)</f>
        <v>0</v>
      </c>
      <c r="W403">
        <f>IF(COUNTIF($E403, _xlfn.CONCAT("*",Table13[[#Headers],[Science Fiction]],"*")),1,0)</f>
        <v>1</v>
      </c>
      <c r="X403">
        <f>IF(COUNTIF($E403, _xlfn.CONCAT("*",Table13[[#Headers],[TV Movie]],"*")),1,0)</f>
        <v>0</v>
      </c>
      <c r="Y403">
        <f>IF(COUNTIF($E403, _xlfn.CONCAT("*",Table13[[#Headers],[Thriller]],"*")),1,0)</f>
        <v>0</v>
      </c>
      <c r="Z403">
        <f>IF(COUNTIF($E403, _xlfn.CONCAT("*",Table13[[#Headers],[War]],"*")),1,0)</f>
        <v>0</v>
      </c>
      <c r="AA403">
        <f>IF(COUNTIF($E403, _xlfn.CONCAT("*",Table13[[#Headers],[Western]],"*")),1,0)</f>
        <v>0</v>
      </c>
    </row>
    <row r="404" spans="1:27">
      <c r="A404" t="s">
        <v>528</v>
      </c>
      <c r="B404">
        <v>82</v>
      </c>
      <c r="C404">
        <f>MAX(Table13[Rank])-Table13[[#This Row],[Rank]]</f>
        <v>182</v>
      </c>
      <c r="D404" t="s">
        <v>489</v>
      </c>
      <c r="E404" t="s">
        <v>529</v>
      </c>
      <c r="F404" s="1">
        <v>34899</v>
      </c>
      <c r="G404">
        <f>YEAR(Table13[[#This Row],[Date]])</f>
        <v>1995</v>
      </c>
      <c r="H404" t="s">
        <v>530</v>
      </c>
      <c r="I404">
        <f>IF(COUNTIF($E404, _xlfn.CONCAT("*",Table13[[#Headers],[Action]],"*")),1,0)</f>
        <v>0</v>
      </c>
      <c r="J404">
        <f>IF(COUNTIF($E404, _xlfn.CONCAT("*",Table13[[#Headers],[Adventure]],"*")),1,0)</f>
        <v>0</v>
      </c>
      <c r="K404">
        <f>IF(COUNTIF($E404, _xlfn.CONCAT("*",Table13[[#Headers],[Animation]],"*")),1,0)</f>
        <v>0</v>
      </c>
      <c r="L404">
        <f>IF(COUNTIF($E404, _xlfn.CONCAT("*",Table13[[#Headers],[Comedy]],"*")),1,0)</f>
        <v>0</v>
      </c>
      <c r="M404">
        <f>IF(COUNTIF($E404, _xlfn.CONCAT("*",Table13[[#Headers],[Crime]],"*")),1,0)</f>
        <v>1</v>
      </c>
      <c r="N404">
        <f>IF(COUNTIF($E404, _xlfn.CONCAT("*",Table13[[#Headers],[Documentary]],"*")),1,0)</f>
        <v>0</v>
      </c>
      <c r="O404">
        <f>IF(COUNTIF($E404, _xlfn.CONCAT("*",Table13[[#Headers],[Drama]],"*")),1,0)</f>
        <v>1</v>
      </c>
      <c r="P404">
        <f>IF(COUNTIF($E404, _xlfn.CONCAT("*",Table13[[#Headers],[Family]],"*")),1,0)</f>
        <v>0</v>
      </c>
      <c r="Q404">
        <f>IF(COUNTIF($E404, _xlfn.CONCAT("*",Table13[[#Headers],[Fantasy]],"*")),1,0)</f>
        <v>0</v>
      </c>
      <c r="R404">
        <f>IF(COUNTIF($E404, _xlfn.CONCAT("*",Table13[[#Headers],[History]],"*")),1,0)</f>
        <v>0</v>
      </c>
      <c r="S404">
        <f>IF(COUNTIF($E404, _xlfn.CONCAT("*",Table13[[#Headers],[Horror]],"*")),1,0)</f>
        <v>0</v>
      </c>
      <c r="T404">
        <f>IF(COUNTIF($E404, _xlfn.CONCAT("*",Table13[[#Headers],[Music]],"*")),1,0)</f>
        <v>0</v>
      </c>
      <c r="U404">
        <f>IF(COUNTIF($E404, _xlfn.CONCAT("*",Table13[[#Headers],[Mystery]],"*")),1,0)</f>
        <v>0</v>
      </c>
      <c r="V404">
        <f>IF(COUNTIF($E404, _xlfn.CONCAT("*",Table13[[#Headers],[Romance]],"*")),1,0)</f>
        <v>0</v>
      </c>
      <c r="W404">
        <f>IF(COUNTIF($E404, _xlfn.CONCAT("*",Table13[[#Headers],[Science Fiction]],"*")),1,0)</f>
        <v>0</v>
      </c>
      <c r="X404">
        <f>IF(COUNTIF($E404, _xlfn.CONCAT("*",Table13[[#Headers],[TV Movie]],"*")),1,0)</f>
        <v>0</v>
      </c>
      <c r="Y404">
        <f>IF(COUNTIF($E404, _xlfn.CONCAT("*",Table13[[#Headers],[Thriller]],"*")),1,0)</f>
        <v>1</v>
      </c>
      <c r="Z404">
        <f>IF(COUNTIF($E404, _xlfn.CONCAT("*",Table13[[#Headers],[War]],"*")),1,0)</f>
        <v>0</v>
      </c>
      <c r="AA404">
        <f>IF(COUNTIF($E404, _xlfn.CONCAT("*",Table13[[#Headers],[Western]],"*")),1,0)</f>
        <v>0</v>
      </c>
    </row>
    <row r="405" spans="1:27">
      <c r="A405" t="s">
        <v>531</v>
      </c>
      <c r="B405">
        <v>81</v>
      </c>
      <c r="C405">
        <f>MAX(Table13[Rank])-Table13[[#This Row],[Rank]]</f>
        <v>183</v>
      </c>
      <c r="D405" t="s">
        <v>489</v>
      </c>
      <c r="E405" t="s">
        <v>358</v>
      </c>
      <c r="F405" s="1">
        <v>22089</v>
      </c>
      <c r="G405">
        <f>YEAR(Table13[[#This Row],[Date]])</f>
        <v>1960</v>
      </c>
      <c r="H405" t="s">
        <v>357</v>
      </c>
      <c r="I405">
        <f>IF(COUNTIF($E405, _xlfn.CONCAT("*",Table13[[#Headers],[Action]],"*")),1,0)</f>
        <v>0</v>
      </c>
      <c r="J405">
        <f>IF(COUNTIF($E405, _xlfn.CONCAT("*",Table13[[#Headers],[Adventure]],"*")),1,0)</f>
        <v>0</v>
      </c>
      <c r="K405">
        <f>IF(COUNTIF($E405, _xlfn.CONCAT("*",Table13[[#Headers],[Animation]],"*")),1,0)</f>
        <v>0</v>
      </c>
      <c r="L405">
        <f>IF(COUNTIF($E405, _xlfn.CONCAT("*",Table13[[#Headers],[Comedy]],"*")),1,0)</f>
        <v>0</v>
      </c>
      <c r="M405">
        <f>IF(COUNTIF($E405, _xlfn.CONCAT("*",Table13[[#Headers],[Crime]],"*")),1,0)</f>
        <v>0</v>
      </c>
      <c r="N405">
        <f>IF(COUNTIF($E405, _xlfn.CONCAT("*",Table13[[#Headers],[Documentary]],"*")),1,0)</f>
        <v>0</v>
      </c>
      <c r="O405">
        <f>IF(COUNTIF($E405, _xlfn.CONCAT("*",Table13[[#Headers],[Drama]],"*")),1,0)</f>
        <v>1</v>
      </c>
      <c r="P405">
        <f>IF(COUNTIF($E405, _xlfn.CONCAT("*",Table13[[#Headers],[Family]],"*")),1,0)</f>
        <v>0</v>
      </c>
      <c r="Q405">
        <f>IF(COUNTIF($E405, _xlfn.CONCAT("*",Table13[[#Headers],[Fantasy]],"*")),1,0)</f>
        <v>0</v>
      </c>
      <c r="R405">
        <f>IF(COUNTIF($E405, _xlfn.CONCAT("*",Table13[[#Headers],[History]],"*")),1,0)</f>
        <v>0</v>
      </c>
      <c r="S405">
        <f>IF(COUNTIF($E405, _xlfn.CONCAT("*",Table13[[#Headers],[Horror]],"*")),1,0)</f>
        <v>1</v>
      </c>
      <c r="T405">
        <f>IF(COUNTIF($E405, _xlfn.CONCAT("*",Table13[[#Headers],[Music]],"*")),1,0)</f>
        <v>0</v>
      </c>
      <c r="U405">
        <f>IF(COUNTIF($E405, _xlfn.CONCAT("*",Table13[[#Headers],[Mystery]],"*")),1,0)</f>
        <v>0</v>
      </c>
      <c r="V405">
        <f>IF(COUNTIF($E405, _xlfn.CONCAT("*",Table13[[#Headers],[Romance]],"*")),1,0)</f>
        <v>0</v>
      </c>
      <c r="W405">
        <f>IF(COUNTIF($E405, _xlfn.CONCAT("*",Table13[[#Headers],[Science Fiction]],"*")),1,0)</f>
        <v>0</v>
      </c>
      <c r="X405">
        <f>IF(COUNTIF($E405, _xlfn.CONCAT("*",Table13[[#Headers],[TV Movie]],"*")),1,0)</f>
        <v>0</v>
      </c>
      <c r="Y405">
        <f>IF(COUNTIF($E405, _xlfn.CONCAT("*",Table13[[#Headers],[Thriller]],"*")),1,0)</f>
        <v>1</v>
      </c>
      <c r="Z405">
        <f>IF(COUNTIF($E405, _xlfn.CONCAT("*",Table13[[#Headers],[War]],"*")),1,0)</f>
        <v>0</v>
      </c>
      <c r="AA405">
        <f>IF(COUNTIF($E405, _xlfn.CONCAT("*",Table13[[#Headers],[Western]],"*")),1,0)</f>
        <v>0</v>
      </c>
    </row>
    <row r="406" spans="1:27">
      <c r="A406" t="s">
        <v>532</v>
      </c>
      <c r="B406">
        <v>80</v>
      </c>
      <c r="C406">
        <f>MAX(Table13[Rank])-Table13[[#This Row],[Rank]]</f>
        <v>184</v>
      </c>
      <c r="D406" t="s">
        <v>489</v>
      </c>
      <c r="E406" t="s">
        <v>533</v>
      </c>
      <c r="F406" s="1">
        <v>35692</v>
      </c>
      <c r="G406">
        <f>YEAR(Table13[[#This Row],[Date]])</f>
        <v>1997</v>
      </c>
      <c r="H406" t="s">
        <v>534</v>
      </c>
      <c r="I406">
        <f>IF(COUNTIF($E406, _xlfn.CONCAT("*",Table13[[#Headers],[Action]],"*")),1,0)</f>
        <v>0</v>
      </c>
      <c r="J406">
        <f>IF(COUNTIF($E406, _xlfn.CONCAT("*",Table13[[#Headers],[Adventure]],"*")),1,0)</f>
        <v>0</v>
      </c>
      <c r="K406">
        <f>IF(COUNTIF($E406, _xlfn.CONCAT("*",Table13[[#Headers],[Animation]],"*")),1,0)</f>
        <v>0</v>
      </c>
      <c r="L406">
        <f>IF(COUNTIF($E406, _xlfn.CONCAT("*",Table13[[#Headers],[Comedy]],"*")),1,0)</f>
        <v>0</v>
      </c>
      <c r="M406">
        <f>IF(COUNTIF($E406, _xlfn.CONCAT("*",Table13[[#Headers],[Crime]],"*")),1,0)</f>
        <v>1</v>
      </c>
      <c r="N406">
        <f>IF(COUNTIF($E406, _xlfn.CONCAT("*",Table13[[#Headers],[Documentary]],"*")),1,0)</f>
        <v>0</v>
      </c>
      <c r="O406">
        <f>IF(COUNTIF($E406, _xlfn.CONCAT("*",Table13[[#Headers],[Drama]],"*")),1,0)</f>
        <v>0</v>
      </c>
      <c r="P406">
        <f>IF(COUNTIF($E406, _xlfn.CONCAT("*",Table13[[#Headers],[Family]],"*")),1,0)</f>
        <v>0</v>
      </c>
      <c r="Q406">
        <f>IF(COUNTIF($E406, _xlfn.CONCAT("*",Table13[[#Headers],[Fantasy]],"*")),1,0)</f>
        <v>0</v>
      </c>
      <c r="R406">
        <f>IF(COUNTIF($E406, _xlfn.CONCAT("*",Table13[[#Headers],[History]],"*")),1,0)</f>
        <v>0</v>
      </c>
      <c r="S406">
        <f>IF(COUNTIF($E406, _xlfn.CONCAT("*",Table13[[#Headers],[Horror]],"*")),1,0)</f>
        <v>0</v>
      </c>
      <c r="T406">
        <f>IF(COUNTIF($E406, _xlfn.CONCAT("*",Table13[[#Headers],[Music]],"*")),1,0)</f>
        <v>0</v>
      </c>
      <c r="U406">
        <f>IF(COUNTIF($E406, _xlfn.CONCAT("*",Table13[[#Headers],[Mystery]],"*")),1,0)</f>
        <v>1</v>
      </c>
      <c r="V406">
        <f>IF(COUNTIF($E406, _xlfn.CONCAT("*",Table13[[#Headers],[Romance]],"*")),1,0)</f>
        <v>0</v>
      </c>
      <c r="W406">
        <f>IF(COUNTIF($E406, _xlfn.CONCAT("*",Table13[[#Headers],[Science Fiction]],"*")),1,0)</f>
        <v>0</v>
      </c>
      <c r="X406">
        <f>IF(COUNTIF($E406, _xlfn.CONCAT("*",Table13[[#Headers],[TV Movie]],"*")),1,0)</f>
        <v>0</v>
      </c>
      <c r="Y406">
        <f>IF(COUNTIF($E406, _xlfn.CONCAT("*",Table13[[#Headers],[Thriller]],"*")),1,0)</f>
        <v>1</v>
      </c>
      <c r="Z406">
        <f>IF(COUNTIF($E406, _xlfn.CONCAT("*",Table13[[#Headers],[War]],"*")),1,0)</f>
        <v>0</v>
      </c>
      <c r="AA406">
        <f>IF(COUNTIF($E406, _xlfn.CONCAT("*",Table13[[#Headers],[Western]],"*")),1,0)</f>
        <v>0</v>
      </c>
    </row>
    <row r="407" spans="1:27">
      <c r="A407" t="s">
        <v>535</v>
      </c>
      <c r="B407">
        <v>79</v>
      </c>
      <c r="C407">
        <f>MAX(Table13[Rank])-Table13[[#This Row],[Rank]]</f>
        <v>185</v>
      </c>
      <c r="D407" t="s">
        <v>489</v>
      </c>
      <c r="E407" t="s">
        <v>404</v>
      </c>
      <c r="F407" s="1">
        <v>30113</v>
      </c>
      <c r="G407">
        <f>YEAR(Table13[[#This Row],[Date]])</f>
        <v>1982</v>
      </c>
      <c r="H407" t="s">
        <v>403</v>
      </c>
      <c r="I407">
        <f>IF(COUNTIF($E407, _xlfn.CONCAT("*",Table13[[#Headers],[Action]],"*")),1,0)</f>
        <v>0</v>
      </c>
      <c r="J407">
        <f>IF(COUNTIF($E407, _xlfn.CONCAT("*",Table13[[#Headers],[Adventure]],"*")),1,0)</f>
        <v>1</v>
      </c>
      <c r="K407">
        <f>IF(COUNTIF($E407, _xlfn.CONCAT("*",Table13[[#Headers],[Animation]],"*")),1,0)</f>
        <v>0</v>
      </c>
      <c r="L407">
        <f>IF(COUNTIF($E407, _xlfn.CONCAT("*",Table13[[#Headers],[Comedy]],"*")),1,0)</f>
        <v>0</v>
      </c>
      <c r="M407">
        <f>IF(COUNTIF($E407, _xlfn.CONCAT("*",Table13[[#Headers],[Crime]],"*")),1,0)</f>
        <v>0</v>
      </c>
      <c r="N407">
        <f>IF(COUNTIF($E407, _xlfn.CONCAT("*",Table13[[#Headers],[Documentary]],"*")),1,0)</f>
        <v>0</v>
      </c>
      <c r="O407">
        <f>IF(COUNTIF($E407, _xlfn.CONCAT("*",Table13[[#Headers],[Drama]],"*")),1,0)</f>
        <v>0</v>
      </c>
      <c r="P407">
        <f>IF(COUNTIF($E407, _xlfn.CONCAT("*",Table13[[#Headers],[Family]],"*")),1,0)</f>
        <v>1</v>
      </c>
      <c r="Q407">
        <f>IF(COUNTIF($E407, _xlfn.CONCAT("*",Table13[[#Headers],[Fantasy]],"*")),1,0)</f>
        <v>1</v>
      </c>
      <c r="R407">
        <f>IF(COUNTIF($E407, _xlfn.CONCAT("*",Table13[[#Headers],[History]],"*")),1,0)</f>
        <v>0</v>
      </c>
      <c r="S407">
        <f>IF(COUNTIF($E407, _xlfn.CONCAT("*",Table13[[#Headers],[Horror]],"*")),1,0)</f>
        <v>0</v>
      </c>
      <c r="T407">
        <f>IF(COUNTIF($E407, _xlfn.CONCAT("*",Table13[[#Headers],[Music]],"*")),1,0)</f>
        <v>0</v>
      </c>
      <c r="U407">
        <f>IF(COUNTIF($E407, _xlfn.CONCAT("*",Table13[[#Headers],[Mystery]],"*")),1,0)</f>
        <v>0</v>
      </c>
      <c r="V407">
        <f>IF(COUNTIF($E407, _xlfn.CONCAT("*",Table13[[#Headers],[Romance]],"*")),1,0)</f>
        <v>0</v>
      </c>
      <c r="W407">
        <f>IF(COUNTIF($E407, _xlfn.CONCAT("*",Table13[[#Headers],[Science Fiction]],"*")),1,0)</f>
        <v>1</v>
      </c>
      <c r="X407">
        <f>IF(COUNTIF($E407, _xlfn.CONCAT("*",Table13[[#Headers],[TV Movie]],"*")),1,0)</f>
        <v>0</v>
      </c>
      <c r="Y407">
        <f>IF(COUNTIF($E407, _xlfn.CONCAT("*",Table13[[#Headers],[Thriller]],"*")),1,0)</f>
        <v>0</v>
      </c>
      <c r="Z407">
        <f>IF(COUNTIF($E407, _xlfn.CONCAT("*",Table13[[#Headers],[War]],"*")),1,0)</f>
        <v>0</v>
      </c>
      <c r="AA407">
        <f>IF(COUNTIF($E407, _xlfn.CONCAT("*",Table13[[#Headers],[Western]],"*")),1,0)</f>
        <v>0</v>
      </c>
    </row>
    <row r="408" spans="1:27">
      <c r="A408" t="s">
        <v>536</v>
      </c>
      <c r="B408">
        <v>78</v>
      </c>
      <c r="C408">
        <f>MAX(Table13[Rank])-Table13[[#This Row],[Rank]]</f>
        <v>186</v>
      </c>
      <c r="D408" t="s">
        <v>489</v>
      </c>
      <c r="E408" t="s">
        <v>35</v>
      </c>
      <c r="F408" s="1">
        <v>36798</v>
      </c>
      <c r="G408">
        <f>YEAR(Table13[[#This Row],[Date]])</f>
        <v>2000</v>
      </c>
      <c r="H408" t="s">
        <v>393</v>
      </c>
      <c r="I408">
        <f>IF(COUNTIF($E408, _xlfn.CONCAT("*",Table13[[#Headers],[Action]],"*")),1,0)</f>
        <v>0</v>
      </c>
      <c r="J408">
        <f>IF(COUNTIF($E408, _xlfn.CONCAT("*",Table13[[#Headers],[Adventure]],"*")),1,0)</f>
        <v>0</v>
      </c>
      <c r="K408">
        <f>IF(COUNTIF($E408, _xlfn.CONCAT("*",Table13[[#Headers],[Animation]],"*")),1,0)</f>
        <v>0</v>
      </c>
      <c r="L408">
        <f>IF(COUNTIF($E408, _xlfn.CONCAT("*",Table13[[#Headers],[Comedy]],"*")),1,0)</f>
        <v>0</v>
      </c>
      <c r="M408">
        <f>IF(COUNTIF($E408, _xlfn.CONCAT("*",Table13[[#Headers],[Crime]],"*")),1,0)</f>
        <v>0</v>
      </c>
      <c r="N408">
        <f>IF(COUNTIF($E408, _xlfn.CONCAT("*",Table13[[#Headers],[Documentary]],"*")),1,0)</f>
        <v>0</v>
      </c>
      <c r="O408">
        <f>IF(COUNTIF($E408, _xlfn.CONCAT("*",Table13[[#Headers],[Drama]],"*")),1,0)</f>
        <v>1</v>
      </c>
      <c r="P408">
        <f>IF(COUNTIF($E408, _xlfn.CONCAT("*",Table13[[#Headers],[Family]],"*")),1,0)</f>
        <v>0</v>
      </c>
      <c r="Q408">
        <f>IF(COUNTIF($E408, _xlfn.CONCAT("*",Table13[[#Headers],[Fantasy]],"*")),1,0)</f>
        <v>0</v>
      </c>
      <c r="R408">
        <f>IF(COUNTIF($E408, _xlfn.CONCAT("*",Table13[[#Headers],[History]],"*")),1,0)</f>
        <v>0</v>
      </c>
      <c r="S408">
        <f>IF(COUNTIF($E408, _xlfn.CONCAT("*",Table13[[#Headers],[Horror]],"*")),1,0)</f>
        <v>0</v>
      </c>
      <c r="T408">
        <f>IF(COUNTIF($E408, _xlfn.CONCAT("*",Table13[[#Headers],[Music]],"*")),1,0)</f>
        <v>0</v>
      </c>
      <c r="U408">
        <f>IF(COUNTIF($E408, _xlfn.CONCAT("*",Table13[[#Headers],[Mystery]],"*")),1,0)</f>
        <v>0</v>
      </c>
      <c r="V408">
        <f>IF(COUNTIF($E408, _xlfn.CONCAT("*",Table13[[#Headers],[Romance]],"*")),1,0)</f>
        <v>1</v>
      </c>
      <c r="W408">
        <f>IF(COUNTIF($E408, _xlfn.CONCAT("*",Table13[[#Headers],[Science Fiction]],"*")),1,0)</f>
        <v>0</v>
      </c>
      <c r="X408">
        <f>IF(COUNTIF($E408, _xlfn.CONCAT("*",Table13[[#Headers],[TV Movie]],"*")),1,0)</f>
        <v>0</v>
      </c>
      <c r="Y408">
        <f>IF(COUNTIF($E408, _xlfn.CONCAT("*",Table13[[#Headers],[Thriller]],"*")),1,0)</f>
        <v>0</v>
      </c>
      <c r="Z408">
        <f>IF(COUNTIF($E408, _xlfn.CONCAT("*",Table13[[#Headers],[War]],"*")),1,0)</f>
        <v>0</v>
      </c>
      <c r="AA408">
        <f>IF(COUNTIF($E408, _xlfn.CONCAT("*",Table13[[#Headers],[Western]],"*")),1,0)</f>
        <v>0</v>
      </c>
    </row>
    <row r="409" spans="1:27">
      <c r="A409" t="s">
        <v>537</v>
      </c>
      <c r="B409">
        <v>77</v>
      </c>
      <c r="C409">
        <f>MAX(Table13[Rank])-Table13[[#This Row],[Rank]]</f>
        <v>187</v>
      </c>
      <c r="D409" t="s">
        <v>489</v>
      </c>
      <c r="E409" t="s">
        <v>49</v>
      </c>
      <c r="F409" s="1">
        <v>30461</v>
      </c>
      <c r="G409">
        <f>YEAR(Table13[[#This Row],[Date]])</f>
        <v>1983</v>
      </c>
      <c r="H409" t="s">
        <v>538</v>
      </c>
      <c r="I409">
        <f>IF(COUNTIF($E409, _xlfn.CONCAT("*",Table13[[#Headers],[Action]],"*")),1,0)</f>
        <v>1</v>
      </c>
      <c r="J409">
        <f>IF(COUNTIF($E409, _xlfn.CONCAT("*",Table13[[#Headers],[Adventure]],"*")),1,0)</f>
        <v>1</v>
      </c>
      <c r="K409">
        <f>IF(COUNTIF($E409, _xlfn.CONCAT("*",Table13[[#Headers],[Animation]],"*")),1,0)</f>
        <v>0</v>
      </c>
      <c r="L409">
        <f>IF(COUNTIF($E409, _xlfn.CONCAT("*",Table13[[#Headers],[Comedy]],"*")),1,0)</f>
        <v>0</v>
      </c>
      <c r="M409">
        <f>IF(COUNTIF($E409, _xlfn.CONCAT("*",Table13[[#Headers],[Crime]],"*")),1,0)</f>
        <v>0</v>
      </c>
      <c r="N409">
        <f>IF(COUNTIF($E409, _xlfn.CONCAT("*",Table13[[#Headers],[Documentary]],"*")),1,0)</f>
        <v>0</v>
      </c>
      <c r="O409">
        <f>IF(COUNTIF($E409, _xlfn.CONCAT("*",Table13[[#Headers],[Drama]],"*")),1,0)</f>
        <v>0</v>
      </c>
      <c r="P409">
        <f>IF(COUNTIF($E409, _xlfn.CONCAT("*",Table13[[#Headers],[Family]],"*")),1,0)</f>
        <v>0</v>
      </c>
      <c r="Q409">
        <f>IF(COUNTIF($E409, _xlfn.CONCAT("*",Table13[[#Headers],[Fantasy]],"*")),1,0)</f>
        <v>0</v>
      </c>
      <c r="R409">
        <f>IF(COUNTIF($E409, _xlfn.CONCAT("*",Table13[[#Headers],[History]],"*")),1,0)</f>
        <v>0</v>
      </c>
      <c r="S409">
        <f>IF(COUNTIF($E409, _xlfn.CONCAT("*",Table13[[#Headers],[Horror]],"*")),1,0)</f>
        <v>0</v>
      </c>
      <c r="T409">
        <f>IF(COUNTIF($E409, _xlfn.CONCAT("*",Table13[[#Headers],[Music]],"*")),1,0)</f>
        <v>0</v>
      </c>
      <c r="U409">
        <f>IF(COUNTIF($E409, _xlfn.CONCAT("*",Table13[[#Headers],[Mystery]],"*")),1,0)</f>
        <v>0</v>
      </c>
      <c r="V409">
        <f>IF(COUNTIF($E409, _xlfn.CONCAT("*",Table13[[#Headers],[Romance]],"*")),1,0)</f>
        <v>0</v>
      </c>
      <c r="W409">
        <f>IF(COUNTIF($E409, _xlfn.CONCAT("*",Table13[[#Headers],[Science Fiction]],"*")),1,0)</f>
        <v>1</v>
      </c>
      <c r="X409">
        <f>IF(COUNTIF($E409, _xlfn.CONCAT("*",Table13[[#Headers],[TV Movie]],"*")),1,0)</f>
        <v>0</v>
      </c>
      <c r="Y409">
        <f>IF(COUNTIF($E409, _xlfn.CONCAT("*",Table13[[#Headers],[Thriller]],"*")),1,0)</f>
        <v>0</v>
      </c>
      <c r="Z409">
        <f>IF(COUNTIF($E409, _xlfn.CONCAT("*",Table13[[#Headers],[War]],"*")),1,0)</f>
        <v>0</v>
      </c>
      <c r="AA409">
        <f>IF(COUNTIF($E409, _xlfn.CONCAT("*",Table13[[#Headers],[Western]],"*")),1,0)</f>
        <v>0</v>
      </c>
    </row>
    <row r="410" spans="1:27">
      <c r="A410" t="s">
        <v>539</v>
      </c>
      <c r="B410">
        <v>76</v>
      </c>
      <c r="C410">
        <f>MAX(Table13[Rank])-Table13[[#This Row],[Rank]]</f>
        <v>188</v>
      </c>
      <c r="D410" t="s">
        <v>489</v>
      </c>
      <c r="E410" t="s">
        <v>540</v>
      </c>
      <c r="F410" s="1">
        <v>42684</v>
      </c>
      <c r="G410">
        <f>YEAR(Table13[[#This Row],[Date]])</f>
        <v>2016</v>
      </c>
      <c r="H410" t="s">
        <v>541</v>
      </c>
      <c r="I410">
        <f>IF(COUNTIF($E410, _xlfn.CONCAT("*",Table13[[#Headers],[Action]],"*")),1,0)</f>
        <v>0</v>
      </c>
      <c r="J410">
        <f>IF(COUNTIF($E410, _xlfn.CONCAT("*",Table13[[#Headers],[Adventure]],"*")),1,0)</f>
        <v>0</v>
      </c>
      <c r="K410">
        <f>IF(COUNTIF($E410, _xlfn.CONCAT("*",Table13[[#Headers],[Animation]],"*")),1,0)</f>
        <v>0</v>
      </c>
      <c r="L410">
        <f>IF(COUNTIF($E410, _xlfn.CONCAT("*",Table13[[#Headers],[Comedy]],"*")),1,0)</f>
        <v>0</v>
      </c>
      <c r="M410">
        <f>IF(COUNTIF($E410, _xlfn.CONCAT("*",Table13[[#Headers],[Crime]],"*")),1,0)</f>
        <v>0</v>
      </c>
      <c r="N410">
        <f>IF(COUNTIF($E410, _xlfn.CONCAT("*",Table13[[#Headers],[Documentary]],"*")),1,0)</f>
        <v>0</v>
      </c>
      <c r="O410">
        <f>IF(COUNTIF($E410, _xlfn.CONCAT("*",Table13[[#Headers],[Drama]],"*")),1,0)</f>
        <v>1</v>
      </c>
      <c r="P410">
        <f>IF(COUNTIF($E410, _xlfn.CONCAT("*",Table13[[#Headers],[Family]],"*")),1,0)</f>
        <v>0</v>
      </c>
      <c r="Q410">
        <f>IF(COUNTIF($E410, _xlfn.CONCAT("*",Table13[[#Headers],[Fantasy]],"*")),1,0)</f>
        <v>0</v>
      </c>
      <c r="R410">
        <f>IF(COUNTIF($E410, _xlfn.CONCAT("*",Table13[[#Headers],[History]],"*")),1,0)</f>
        <v>0</v>
      </c>
      <c r="S410">
        <f>IF(COUNTIF($E410, _xlfn.CONCAT("*",Table13[[#Headers],[Horror]],"*")),1,0)</f>
        <v>0</v>
      </c>
      <c r="T410">
        <f>IF(COUNTIF($E410, _xlfn.CONCAT("*",Table13[[#Headers],[Music]],"*")),1,0)</f>
        <v>0</v>
      </c>
      <c r="U410">
        <f>IF(COUNTIF($E410, _xlfn.CONCAT("*",Table13[[#Headers],[Mystery]],"*")),1,0)</f>
        <v>1</v>
      </c>
      <c r="V410">
        <f>IF(COUNTIF($E410, _xlfn.CONCAT("*",Table13[[#Headers],[Romance]],"*")),1,0)</f>
        <v>0</v>
      </c>
      <c r="W410">
        <f>IF(COUNTIF($E410, _xlfn.CONCAT("*",Table13[[#Headers],[Science Fiction]],"*")),1,0)</f>
        <v>1</v>
      </c>
      <c r="X410">
        <f>IF(COUNTIF($E410, _xlfn.CONCAT("*",Table13[[#Headers],[TV Movie]],"*")),1,0)</f>
        <v>0</v>
      </c>
      <c r="Y410">
        <f>IF(COUNTIF($E410, _xlfn.CONCAT("*",Table13[[#Headers],[Thriller]],"*")),1,0)</f>
        <v>0</v>
      </c>
      <c r="Z410">
        <f>IF(COUNTIF($E410, _xlfn.CONCAT("*",Table13[[#Headers],[War]],"*")),1,0)</f>
        <v>0</v>
      </c>
      <c r="AA410">
        <f>IF(COUNTIF($E410, _xlfn.CONCAT("*",Table13[[#Headers],[Western]],"*")),1,0)</f>
        <v>0</v>
      </c>
    </row>
    <row r="411" spans="1:27">
      <c r="A411" t="s">
        <v>542</v>
      </c>
      <c r="B411">
        <v>75</v>
      </c>
      <c r="C411">
        <f>MAX(Table13[Rank])-Table13[[#This Row],[Rank]]</f>
        <v>189</v>
      </c>
      <c r="D411" t="s">
        <v>489</v>
      </c>
      <c r="E411" t="s">
        <v>543</v>
      </c>
      <c r="F411" s="1">
        <v>43193</v>
      </c>
      <c r="G411">
        <f>YEAR(Table13[[#This Row],[Date]])</f>
        <v>2018</v>
      </c>
      <c r="H411" t="s">
        <v>544</v>
      </c>
      <c r="I411">
        <f>IF(COUNTIF($E411, _xlfn.CONCAT("*",Table13[[#Headers],[Action]],"*")),1,0)</f>
        <v>0</v>
      </c>
      <c r="J411">
        <f>IF(COUNTIF($E411, _xlfn.CONCAT("*",Table13[[#Headers],[Adventure]],"*")),1,0)</f>
        <v>0</v>
      </c>
      <c r="K411">
        <f>IF(COUNTIF($E411, _xlfn.CONCAT("*",Table13[[#Headers],[Animation]],"*")),1,0)</f>
        <v>0</v>
      </c>
      <c r="L411">
        <f>IF(COUNTIF($E411, _xlfn.CONCAT("*",Table13[[#Headers],[Comedy]],"*")),1,0)</f>
        <v>0</v>
      </c>
      <c r="M411">
        <f>IF(COUNTIF($E411, _xlfn.CONCAT("*",Table13[[#Headers],[Crime]],"*")),1,0)</f>
        <v>0</v>
      </c>
      <c r="N411">
        <f>IF(COUNTIF($E411, _xlfn.CONCAT("*",Table13[[#Headers],[Documentary]],"*")),1,0)</f>
        <v>0</v>
      </c>
      <c r="O411">
        <f>IF(COUNTIF($E411, _xlfn.CONCAT("*",Table13[[#Headers],[Drama]],"*")),1,0)</f>
        <v>1</v>
      </c>
      <c r="P411">
        <f>IF(COUNTIF($E411, _xlfn.CONCAT("*",Table13[[#Headers],[Family]],"*")),1,0)</f>
        <v>0</v>
      </c>
      <c r="Q411">
        <f>IF(COUNTIF($E411, _xlfn.CONCAT("*",Table13[[#Headers],[Fantasy]],"*")),1,0)</f>
        <v>0</v>
      </c>
      <c r="R411">
        <f>IF(COUNTIF($E411, _xlfn.CONCAT("*",Table13[[#Headers],[History]],"*")),1,0)</f>
        <v>0</v>
      </c>
      <c r="S411">
        <f>IF(COUNTIF($E411, _xlfn.CONCAT("*",Table13[[#Headers],[Horror]],"*")),1,0)</f>
        <v>1</v>
      </c>
      <c r="T411">
        <f>IF(COUNTIF($E411, _xlfn.CONCAT("*",Table13[[#Headers],[Music]],"*")),1,0)</f>
        <v>0</v>
      </c>
      <c r="U411">
        <f>IF(COUNTIF($E411, _xlfn.CONCAT("*",Table13[[#Headers],[Mystery]],"*")),1,0)</f>
        <v>0</v>
      </c>
      <c r="V411">
        <f>IF(COUNTIF($E411, _xlfn.CONCAT("*",Table13[[#Headers],[Romance]],"*")),1,0)</f>
        <v>0</v>
      </c>
      <c r="W411">
        <f>IF(COUNTIF($E411, _xlfn.CONCAT("*",Table13[[#Headers],[Science Fiction]],"*")),1,0)</f>
        <v>1</v>
      </c>
      <c r="X411">
        <f>IF(COUNTIF($E411, _xlfn.CONCAT("*",Table13[[#Headers],[TV Movie]],"*")),1,0)</f>
        <v>0</v>
      </c>
      <c r="Y411">
        <f>IF(COUNTIF($E411, _xlfn.CONCAT("*",Table13[[#Headers],[Thriller]],"*")),1,0)</f>
        <v>0</v>
      </c>
      <c r="Z411">
        <f>IF(COUNTIF($E411, _xlfn.CONCAT("*",Table13[[#Headers],[War]],"*")),1,0)</f>
        <v>0</v>
      </c>
      <c r="AA411">
        <f>IF(COUNTIF($E411, _xlfn.CONCAT("*",Table13[[#Headers],[Western]],"*")),1,0)</f>
        <v>0</v>
      </c>
    </row>
    <row r="412" spans="1:27">
      <c r="A412" t="s">
        <v>545</v>
      </c>
      <c r="B412">
        <v>74</v>
      </c>
      <c r="C412">
        <f>MAX(Table13[Rank])-Table13[[#This Row],[Rank]]</f>
        <v>190</v>
      </c>
      <c r="D412" t="s">
        <v>489</v>
      </c>
      <c r="E412" t="s">
        <v>166</v>
      </c>
      <c r="F412" s="1">
        <v>35118</v>
      </c>
      <c r="G412">
        <f>YEAR(Table13[[#This Row],[Date]])</f>
        <v>1996</v>
      </c>
      <c r="H412" t="s">
        <v>546</v>
      </c>
      <c r="I412">
        <f>IF(COUNTIF($E412, _xlfn.CONCAT("*",Table13[[#Headers],[Action]],"*")),1,0)</f>
        <v>0</v>
      </c>
      <c r="J412">
        <f>IF(COUNTIF($E412, _xlfn.CONCAT("*",Table13[[#Headers],[Adventure]],"*")),1,0)</f>
        <v>0</v>
      </c>
      <c r="K412">
        <f>IF(COUNTIF($E412, _xlfn.CONCAT("*",Table13[[#Headers],[Animation]],"*")),1,0)</f>
        <v>0</v>
      </c>
      <c r="L412">
        <f>IF(COUNTIF($E412, _xlfn.CONCAT("*",Table13[[#Headers],[Comedy]],"*")),1,0)</f>
        <v>0</v>
      </c>
      <c r="M412">
        <f>IF(COUNTIF($E412, _xlfn.CONCAT("*",Table13[[#Headers],[Crime]],"*")),1,0)</f>
        <v>1</v>
      </c>
      <c r="N412">
        <f>IF(COUNTIF($E412, _xlfn.CONCAT("*",Table13[[#Headers],[Documentary]],"*")),1,0)</f>
        <v>0</v>
      </c>
      <c r="O412">
        <f>IF(COUNTIF($E412, _xlfn.CONCAT("*",Table13[[#Headers],[Drama]],"*")),1,0)</f>
        <v>1</v>
      </c>
      <c r="P412">
        <f>IF(COUNTIF($E412, _xlfn.CONCAT("*",Table13[[#Headers],[Family]],"*")),1,0)</f>
        <v>0</v>
      </c>
      <c r="Q412">
        <f>IF(COUNTIF($E412, _xlfn.CONCAT("*",Table13[[#Headers],[Fantasy]],"*")),1,0)</f>
        <v>0</v>
      </c>
      <c r="R412">
        <f>IF(COUNTIF($E412, _xlfn.CONCAT("*",Table13[[#Headers],[History]],"*")),1,0)</f>
        <v>0</v>
      </c>
      <c r="S412">
        <f>IF(COUNTIF($E412, _xlfn.CONCAT("*",Table13[[#Headers],[Horror]],"*")),1,0)</f>
        <v>0</v>
      </c>
      <c r="T412">
        <f>IF(COUNTIF($E412, _xlfn.CONCAT("*",Table13[[#Headers],[Music]],"*")),1,0)</f>
        <v>0</v>
      </c>
      <c r="U412">
        <f>IF(COUNTIF($E412, _xlfn.CONCAT("*",Table13[[#Headers],[Mystery]],"*")),1,0)</f>
        <v>0</v>
      </c>
      <c r="V412">
        <f>IF(COUNTIF($E412, _xlfn.CONCAT("*",Table13[[#Headers],[Romance]],"*")),1,0)</f>
        <v>0</v>
      </c>
      <c r="W412">
        <f>IF(COUNTIF($E412, _xlfn.CONCAT("*",Table13[[#Headers],[Science Fiction]],"*")),1,0)</f>
        <v>0</v>
      </c>
      <c r="X412">
        <f>IF(COUNTIF($E412, _xlfn.CONCAT("*",Table13[[#Headers],[TV Movie]],"*")),1,0)</f>
        <v>0</v>
      </c>
      <c r="Y412">
        <f>IF(COUNTIF($E412, _xlfn.CONCAT("*",Table13[[#Headers],[Thriller]],"*")),1,0)</f>
        <v>0</v>
      </c>
      <c r="Z412">
        <f>IF(COUNTIF($E412, _xlfn.CONCAT("*",Table13[[#Headers],[War]],"*")),1,0)</f>
        <v>0</v>
      </c>
      <c r="AA412">
        <f>IF(COUNTIF($E412, _xlfn.CONCAT("*",Table13[[#Headers],[Western]],"*")),1,0)</f>
        <v>0</v>
      </c>
    </row>
    <row r="413" spans="1:27">
      <c r="A413" t="s">
        <v>547</v>
      </c>
      <c r="B413">
        <v>73</v>
      </c>
      <c r="C413">
        <f>MAX(Table13[Rank])-Table13[[#This Row],[Rank]]</f>
        <v>191</v>
      </c>
      <c r="D413" t="s">
        <v>489</v>
      </c>
      <c r="E413" t="s">
        <v>548</v>
      </c>
      <c r="F413" s="1">
        <v>37048</v>
      </c>
      <c r="G413">
        <f>YEAR(Table13[[#This Row],[Date]])</f>
        <v>2001</v>
      </c>
      <c r="H413" t="s">
        <v>549</v>
      </c>
      <c r="I413">
        <f>IF(COUNTIF($E413, _xlfn.CONCAT("*",Table13[[#Headers],[Action]],"*")),1,0)</f>
        <v>0</v>
      </c>
      <c r="J413">
        <f>IF(COUNTIF($E413, _xlfn.CONCAT("*",Table13[[#Headers],[Adventure]],"*")),1,0)</f>
        <v>0</v>
      </c>
      <c r="K413">
        <f>IF(COUNTIF($E413, _xlfn.CONCAT("*",Table13[[#Headers],[Animation]],"*")),1,0)</f>
        <v>0</v>
      </c>
      <c r="L413">
        <f>IF(COUNTIF($E413, _xlfn.CONCAT("*",Table13[[#Headers],[Comedy]],"*")),1,0)</f>
        <v>0</v>
      </c>
      <c r="M413">
        <f>IF(COUNTIF($E413, _xlfn.CONCAT("*",Table13[[#Headers],[Crime]],"*")),1,0)</f>
        <v>0</v>
      </c>
      <c r="N413">
        <f>IF(COUNTIF($E413, _xlfn.CONCAT("*",Table13[[#Headers],[Documentary]],"*")),1,0)</f>
        <v>0</v>
      </c>
      <c r="O413">
        <f>IF(COUNTIF($E413, _xlfn.CONCAT("*",Table13[[#Headers],[Drama]],"*")),1,0)</f>
        <v>1</v>
      </c>
      <c r="P413">
        <f>IF(COUNTIF($E413, _xlfn.CONCAT("*",Table13[[#Headers],[Family]],"*")),1,0)</f>
        <v>0</v>
      </c>
      <c r="Q413">
        <f>IF(COUNTIF($E413, _xlfn.CONCAT("*",Table13[[#Headers],[Fantasy]],"*")),1,0)</f>
        <v>0</v>
      </c>
      <c r="R413">
        <f>IF(COUNTIF($E413, _xlfn.CONCAT("*",Table13[[#Headers],[History]],"*")),1,0)</f>
        <v>0</v>
      </c>
      <c r="S413">
        <f>IF(COUNTIF($E413, _xlfn.CONCAT("*",Table13[[#Headers],[Horror]],"*")),1,0)</f>
        <v>0</v>
      </c>
      <c r="T413">
        <f>IF(COUNTIF($E413, _xlfn.CONCAT("*",Table13[[#Headers],[Music]],"*")),1,0)</f>
        <v>0</v>
      </c>
      <c r="U413">
        <f>IF(COUNTIF($E413, _xlfn.CONCAT("*",Table13[[#Headers],[Mystery]],"*")),1,0)</f>
        <v>1</v>
      </c>
      <c r="V413">
        <f>IF(COUNTIF($E413, _xlfn.CONCAT("*",Table13[[#Headers],[Romance]],"*")),1,0)</f>
        <v>0</v>
      </c>
      <c r="W413">
        <f>IF(COUNTIF($E413, _xlfn.CONCAT("*",Table13[[#Headers],[Science Fiction]],"*")),1,0)</f>
        <v>0</v>
      </c>
      <c r="X413">
        <f>IF(COUNTIF($E413, _xlfn.CONCAT("*",Table13[[#Headers],[TV Movie]],"*")),1,0)</f>
        <v>0</v>
      </c>
      <c r="Y413">
        <f>IF(COUNTIF($E413, _xlfn.CONCAT("*",Table13[[#Headers],[Thriller]],"*")),1,0)</f>
        <v>1</v>
      </c>
      <c r="Z413">
        <f>IF(COUNTIF($E413, _xlfn.CONCAT("*",Table13[[#Headers],[War]],"*")),1,0)</f>
        <v>0</v>
      </c>
      <c r="AA413">
        <f>IF(COUNTIF($E413, _xlfn.CONCAT("*",Table13[[#Headers],[Western]],"*")),1,0)</f>
        <v>0</v>
      </c>
    </row>
    <row r="414" spans="1:27">
      <c r="A414" t="s">
        <v>550</v>
      </c>
      <c r="B414">
        <v>72</v>
      </c>
      <c r="C414">
        <f>MAX(Table13[Rank])-Table13[[#This Row],[Rank]]</f>
        <v>192</v>
      </c>
      <c r="D414" t="s">
        <v>489</v>
      </c>
      <c r="E414" t="s">
        <v>315</v>
      </c>
      <c r="F414" s="1">
        <v>19937</v>
      </c>
      <c r="G414">
        <f>YEAR(Table13[[#This Row],[Date]])</f>
        <v>1954</v>
      </c>
      <c r="H414" t="s">
        <v>347</v>
      </c>
      <c r="I414">
        <f>IF(COUNTIF($E414, _xlfn.CONCAT("*",Table13[[#Headers],[Action]],"*")),1,0)</f>
        <v>0</v>
      </c>
      <c r="J414">
        <f>IF(COUNTIF($E414, _xlfn.CONCAT("*",Table13[[#Headers],[Adventure]],"*")),1,0)</f>
        <v>0</v>
      </c>
      <c r="K414">
        <f>IF(COUNTIF($E414, _xlfn.CONCAT("*",Table13[[#Headers],[Animation]],"*")),1,0)</f>
        <v>0</v>
      </c>
      <c r="L414">
        <f>IF(COUNTIF($E414, _xlfn.CONCAT("*",Table13[[#Headers],[Comedy]],"*")),1,0)</f>
        <v>0</v>
      </c>
      <c r="M414">
        <f>IF(COUNTIF($E414, _xlfn.CONCAT("*",Table13[[#Headers],[Crime]],"*")),1,0)</f>
        <v>0</v>
      </c>
      <c r="N414">
        <f>IF(COUNTIF($E414, _xlfn.CONCAT("*",Table13[[#Headers],[Documentary]],"*")),1,0)</f>
        <v>0</v>
      </c>
      <c r="O414">
        <f>IF(COUNTIF($E414, _xlfn.CONCAT("*",Table13[[#Headers],[Drama]],"*")),1,0)</f>
        <v>0</v>
      </c>
      <c r="P414">
        <f>IF(COUNTIF($E414, _xlfn.CONCAT("*",Table13[[#Headers],[Family]],"*")),1,0)</f>
        <v>0</v>
      </c>
      <c r="Q414">
        <f>IF(COUNTIF($E414, _xlfn.CONCAT("*",Table13[[#Headers],[Fantasy]],"*")),1,0)</f>
        <v>0</v>
      </c>
      <c r="R414">
        <f>IF(COUNTIF($E414, _xlfn.CONCAT("*",Table13[[#Headers],[History]],"*")),1,0)</f>
        <v>0</v>
      </c>
      <c r="S414">
        <f>IF(COUNTIF($E414, _xlfn.CONCAT("*",Table13[[#Headers],[Horror]],"*")),1,0)</f>
        <v>0</v>
      </c>
      <c r="T414">
        <f>IF(COUNTIF($E414, _xlfn.CONCAT("*",Table13[[#Headers],[Music]],"*")),1,0)</f>
        <v>0</v>
      </c>
      <c r="U414">
        <f>IF(COUNTIF($E414, _xlfn.CONCAT("*",Table13[[#Headers],[Mystery]],"*")),1,0)</f>
        <v>1</v>
      </c>
      <c r="V414">
        <f>IF(COUNTIF($E414, _xlfn.CONCAT("*",Table13[[#Headers],[Romance]],"*")),1,0)</f>
        <v>0</v>
      </c>
      <c r="W414">
        <f>IF(COUNTIF($E414, _xlfn.CONCAT("*",Table13[[#Headers],[Science Fiction]],"*")),1,0)</f>
        <v>0</v>
      </c>
      <c r="X414">
        <f>IF(COUNTIF($E414, _xlfn.CONCAT("*",Table13[[#Headers],[TV Movie]],"*")),1,0)</f>
        <v>0</v>
      </c>
      <c r="Y414">
        <f>IF(COUNTIF($E414, _xlfn.CONCAT("*",Table13[[#Headers],[Thriller]],"*")),1,0)</f>
        <v>1</v>
      </c>
      <c r="Z414">
        <f>IF(COUNTIF($E414, _xlfn.CONCAT("*",Table13[[#Headers],[War]],"*")),1,0)</f>
        <v>0</v>
      </c>
      <c r="AA414">
        <f>IF(COUNTIF($E414, _xlfn.CONCAT("*",Table13[[#Headers],[Western]],"*")),1,0)</f>
        <v>0</v>
      </c>
    </row>
    <row r="415" spans="1:27">
      <c r="A415" t="s">
        <v>551</v>
      </c>
      <c r="B415">
        <v>71</v>
      </c>
      <c r="C415">
        <f>MAX(Table13[Rank])-Table13[[#This Row],[Rank]]</f>
        <v>193</v>
      </c>
      <c r="D415" t="s">
        <v>489</v>
      </c>
      <c r="E415" t="s">
        <v>552</v>
      </c>
      <c r="F415" s="1">
        <v>45193</v>
      </c>
      <c r="G415">
        <f>YEAR(Table13[[#This Row],[Date]])</f>
        <v>2023</v>
      </c>
      <c r="H415" t="s">
        <v>553</v>
      </c>
      <c r="I415">
        <f>IF(COUNTIF($E415, _xlfn.CONCAT("*",Table13[[#Headers],[Action]],"*")),1,0)</f>
        <v>0</v>
      </c>
      <c r="J415">
        <f>IF(COUNTIF($E415, _xlfn.CONCAT("*",Table13[[#Headers],[Adventure]],"*")),1,0)</f>
        <v>0</v>
      </c>
      <c r="K415">
        <f>IF(COUNTIF($E415, _xlfn.CONCAT("*",Table13[[#Headers],[Animation]],"*")),1,0)</f>
        <v>1</v>
      </c>
      <c r="L415">
        <f>IF(COUNTIF($E415, _xlfn.CONCAT("*",Table13[[#Headers],[Comedy]],"*")),1,0)</f>
        <v>1</v>
      </c>
      <c r="M415">
        <f>IF(COUNTIF($E415, _xlfn.CONCAT("*",Table13[[#Headers],[Crime]],"*")),1,0)</f>
        <v>0</v>
      </c>
      <c r="N415">
        <f>IF(COUNTIF($E415, _xlfn.CONCAT("*",Table13[[#Headers],[Documentary]],"*")),1,0)</f>
        <v>0</v>
      </c>
      <c r="O415">
        <f>IF(COUNTIF($E415, _xlfn.CONCAT("*",Table13[[#Headers],[Drama]],"*")),1,0)</f>
        <v>0</v>
      </c>
      <c r="P415">
        <f>IF(COUNTIF($E415, _xlfn.CONCAT("*",Table13[[#Headers],[Family]],"*")),1,0)</f>
        <v>1</v>
      </c>
      <c r="Q415">
        <f>IF(COUNTIF($E415, _xlfn.CONCAT("*",Table13[[#Headers],[Fantasy]],"*")),1,0)</f>
        <v>1</v>
      </c>
      <c r="R415">
        <f>IF(COUNTIF($E415, _xlfn.CONCAT("*",Table13[[#Headers],[History]],"*")),1,0)</f>
        <v>0</v>
      </c>
      <c r="S415">
        <f>IF(COUNTIF($E415, _xlfn.CONCAT("*",Table13[[#Headers],[Horror]],"*")),1,0)</f>
        <v>0</v>
      </c>
      <c r="T415">
        <f>IF(COUNTIF($E415, _xlfn.CONCAT("*",Table13[[#Headers],[Music]],"*")),1,0)</f>
        <v>0</v>
      </c>
      <c r="U415">
        <f>IF(COUNTIF($E415, _xlfn.CONCAT("*",Table13[[#Headers],[Mystery]],"*")),1,0)</f>
        <v>0</v>
      </c>
      <c r="V415">
        <f>IF(COUNTIF($E415, _xlfn.CONCAT("*",Table13[[#Headers],[Romance]],"*")),1,0)</f>
        <v>0</v>
      </c>
      <c r="W415">
        <f>IF(COUNTIF($E415, _xlfn.CONCAT("*",Table13[[#Headers],[Science Fiction]],"*")),1,0)</f>
        <v>0</v>
      </c>
      <c r="X415">
        <f>IF(COUNTIF($E415, _xlfn.CONCAT("*",Table13[[#Headers],[TV Movie]],"*")),1,0)</f>
        <v>0</v>
      </c>
      <c r="Y415">
        <f>IF(COUNTIF($E415, _xlfn.CONCAT("*",Table13[[#Headers],[Thriller]],"*")),1,0)</f>
        <v>0</v>
      </c>
      <c r="Z415">
        <f>IF(COUNTIF($E415, _xlfn.CONCAT("*",Table13[[#Headers],[War]],"*")),1,0)</f>
        <v>0</v>
      </c>
      <c r="AA415">
        <f>IF(COUNTIF($E415, _xlfn.CONCAT("*",Table13[[#Headers],[Western]],"*")),1,0)</f>
        <v>0</v>
      </c>
    </row>
    <row r="416" spans="1:27">
      <c r="A416" t="s">
        <v>554</v>
      </c>
      <c r="B416">
        <v>70</v>
      </c>
      <c r="C416">
        <f>MAX(Table13[Rank])-Table13[[#This Row],[Rank]]</f>
        <v>194</v>
      </c>
      <c r="D416" t="s">
        <v>489</v>
      </c>
      <c r="E416" t="s">
        <v>555</v>
      </c>
      <c r="F416" s="1">
        <v>43440</v>
      </c>
      <c r="G416">
        <f>YEAR(Table13[[#This Row],[Date]])</f>
        <v>2018</v>
      </c>
      <c r="H416" t="s">
        <v>556</v>
      </c>
      <c r="I416">
        <f>IF(COUNTIF($E416, _xlfn.CONCAT("*",Table13[[#Headers],[Action]],"*")),1,0)</f>
        <v>1</v>
      </c>
      <c r="J416">
        <f>IF(COUNTIF($E416, _xlfn.CONCAT("*",Table13[[#Headers],[Adventure]],"*")),1,0)</f>
        <v>1</v>
      </c>
      <c r="K416">
        <f>IF(COUNTIF($E416, _xlfn.CONCAT("*",Table13[[#Headers],[Animation]],"*")),1,0)</f>
        <v>1</v>
      </c>
      <c r="L416">
        <f>IF(COUNTIF($E416, _xlfn.CONCAT("*",Table13[[#Headers],[Comedy]],"*")),1,0)</f>
        <v>0</v>
      </c>
      <c r="M416">
        <f>IF(COUNTIF($E416, _xlfn.CONCAT("*",Table13[[#Headers],[Crime]],"*")),1,0)</f>
        <v>0</v>
      </c>
      <c r="N416">
        <f>IF(COUNTIF($E416, _xlfn.CONCAT("*",Table13[[#Headers],[Documentary]],"*")),1,0)</f>
        <v>0</v>
      </c>
      <c r="O416">
        <f>IF(COUNTIF($E416, _xlfn.CONCAT("*",Table13[[#Headers],[Drama]],"*")),1,0)</f>
        <v>0</v>
      </c>
      <c r="P416">
        <f>IF(COUNTIF($E416, _xlfn.CONCAT("*",Table13[[#Headers],[Family]],"*")),1,0)</f>
        <v>0</v>
      </c>
      <c r="Q416">
        <f>IF(COUNTIF($E416, _xlfn.CONCAT("*",Table13[[#Headers],[Fantasy]],"*")),1,0)</f>
        <v>0</v>
      </c>
      <c r="R416">
        <f>IF(COUNTIF($E416, _xlfn.CONCAT("*",Table13[[#Headers],[History]],"*")),1,0)</f>
        <v>0</v>
      </c>
      <c r="S416">
        <f>IF(COUNTIF($E416, _xlfn.CONCAT("*",Table13[[#Headers],[Horror]],"*")),1,0)</f>
        <v>0</v>
      </c>
      <c r="T416">
        <f>IF(COUNTIF($E416, _xlfn.CONCAT("*",Table13[[#Headers],[Music]],"*")),1,0)</f>
        <v>0</v>
      </c>
      <c r="U416">
        <f>IF(COUNTIF($E416, _xlfn.CONCAT("*",Table13[[#Headers],[Mystery]],"*")),1,0)</f>
        <v>0</v>
      </c>
      <c r="V416">
        <f>IF(COUNTIF($E416, _xlfn.CONCAT("*",Table13[[#Headers],[Romance]],"*")),1,0)</f>
        <v>0</v>
      </c>
      <c r="W416">
        <f>IF(COUNTIF($E416, _xlfn.CONCAT("*",Table13[[#Headers],[Science Fiction]],"*")),1,0)</f>
        <v>1</v>
      </c>
      <c r="X416">
        <f>IF(COUNTIF($E416, _xlfn.CONCAT("*",Table13[[#Headers],[TV Movie]],"*")),1,0)</f>
        <v>0</v>
      </c>
      <c r="Y416">
        <f>IF(COUNTIF($E416, _xlfn.CONCAT("*",Table13[[#Headers],[Thriller]],"*")),1,0)</f>
        <v>0</v>
      </c>
      <c r="Z416">
        <f>IF(COUNTIF($E416, _xlfn.CONCAT("*",Table13[[#Headers],[War]],"*")),1,0)</f>
        <v>0</v>
      </c>
      <c r="AA416">
        <f>IF(COUNTIF($E416, _xlfn.CONCAT("*",Table13[[#Headers],[Western]],"*")),1,0)</f>
        <v>0</v>
      </c>
    </row>
    <row r="417" spans="1:27">
      <c r="A417" t="s">
        <v>557</v>
      </c>
      <c r="B417">
        <v>69</v>
      </c>
      <c r="C417">
        <f>MAX(Table13[Rank])-Table13[[#This Row],[Rank]]</f>
        <v>195</v>
      </c>
      <c r="D417" t="s">
        <v>489</v>
      </c>
      <c r="E417" t="s">
        <v>558</v>
      </c>
      <c r="F417" s="1">
        <v>40044</v>
      </c>
      <c r="G417">
        <f>YEAR(Table13[[#This Row],[Date]])</f>
        <v>2009</v>
      </c>
      <c r="H417" t="s">
        <v>559</v>
      </c>
      <c r="I417">
        <f>IF(COUNTIF($E417, _xlfn.CONCAT("*",Table13[[#Headers],[Action]],"*")),1,0)</f>
        <v>0</v>
      </c>
      <c r="J417">
        <f>IF(COUNTIF($E417, _xlfn.CONCAT("*",Table13[[#Headers],[Adventure]],"*")),1,0)</f>
        <v>0</v>
      </c>
      <c r="K417">
        <f>IF(COUNTIF($E417, _xlfn.CONCAT("*",Table13[[#Headers],[Animation]],"*")),1,0)</f>
        <v>0</v>
      </c>
      <c r="L417">
        <f>IF(COUNTIF($E417, _xlfn.CONCAT("*",Table13[[#Headers],[Comedy]],"*")),1,0)</f>
        <v>0</v>
      </c>
      <c r="M417">
        <f>IF(COUNTIF($E417, _xlfn.CONCAT("*",Table13[[#Headers],[Crime]],"*")),1,0)</f>
        <v>0</v>
      </c>
      <c r="N417">
        <f>IF(COUNTIF($E417, _xlfn.CONCAT("*",Table13[[#Headers],[Documentary]],"*")),1,0)</f>
        <v>0</v>
      </c>
      <c r="O417">
        <f>IF(COUNTIF($E417, _xlfn.CONCAT("*",Table13[[#Headers],[Drama]],"*")),1,0)</f>
        <v>1</v>
      </c>
      <c r="P417">
        <f>IF(COUNTIF($E417, _xlfn.CONCAT("*",Table13[[#Headers],[Family]],"*")),1,0)</f>
        <v>0</v>
      </c>
      <c r="Q417">
        <f>IF(COUNTIF($E417, _xlfn.CONCAT("*",Table13[[#Headers],[Fantasy]],"*")),1,0)</f>
        <v>0</v>
      </c>
      <c r="R417">
        <f>IF(COUNTIF($E417, _xlfn.CONCAT("*",Table13[[#Headers],[History]],"*")),1,0)</f>
        <v>0</v>
      </c>
      <c r="S417">
        <f>IF(COUNTIF($E417, _xlfn.CONCAT("*",Table13[[#Headers],[Horror]],"*")),1,0)</f>
        <v>0</v>
      </c>
      <c r="T417">
        <f>IF(COUNTIF($E417, _xlfn.CONCAT("*",Table13[[#Headers],[Music]],"*")),1,0)</f>
        <v>0</v>
      </c>
      <c r="U417">
        <f>IF(COUNTIF($E417, _xlfn.CONCAT("*",Table13[[#Headers],[Mystery]],"*")),1,0)</f>
        <v>0</v>
      </c>
      <c r="V417">
        <f>IF(COUNTIF($E417, _xlfn.CONCAT("*",Table13[[#Headers],[Romance]],"*")),1,0)</f>
        <v>0</v>
      </c>
      <c r="W417">
        <f>IF(COUNTIF($E417, _xlfn.CONCAT("*",Table13[[#Headers],[Science Fiction]],"*")),1,0)</f>
        <v>0</v>
      </c>
      <c r="X417">
        <f>IF(COUNTIF($E417, _xlfn.CONCAT("*",Table13[[#Headers],[TV Movie]],"*")),1,0)</f>
        <v>0</v>
      </c>
      <c r="Y417">
        <f>IF(COUNTIF($E417, _xlfn.CONCAT("*",Table13[[#Headers],[Thriller]],"*")),1,0)</f>
        <v>1</v>
      </c>
      <c r="Z417">
        <f>IF(COUNTIF($E417, _xlfn.CONCAT("*",Table13[[#Headers],[War]],"*")),1,0)</f>
        <v>1</v>
      </c>
      <c r="AA417">
        <f>IF(COUNTIF($E417, _xlfn.CONCAT("*",Table13[[#Headers],[Western]],"*")),1,0)</f>
        <v>0</v>
      </c>
    </row>
    <row r="418" spans="1:27">
      <c r="A418" t="s">
        <v>560</v>
      </c>
      <c r="B418">
        <v>68</v>
      </c>
      <c r="C418">
        <f>MAX(Table13[Rank])-Table13[[#This Row],[Rank]]</f>
        <v>196</v>
      </c>
      <c r="D418" t="s">
        <v>489</v>
      </c>
      <c r="E418" t="s">
        <v>256</v>
      </c>
      <c r="F418" s="1">
        <v>42979</v>
      </c>
      <c r="G418">
        <f>YEAR(Table13[[#This Row],[Date]])</f>
        <v>2017</v>
      </c>
      <c r="H418" t="s">
        <v>416</v>
      </c>
      <c r="I418">
        <f>IF(COUNTIF($E418, _xlfn.CONCAT("*",Table13[[#Headers],[Action]],"*")),1,0)</f>
        <v>0</v>
      </c>
      <c r="J418">
        <f>IF(COUNTIF($E418, _xlfn.CONCAT("*",Table13[[#Headers],[Adventure]],"*")),1,0)</f>
        <v>0</v>
      </c>
      <c r="K418">
        <f>IF(COUNTIF($E418, _xlfn.CONCAT("*",Table13[[#Headers],[Animation]],"*")),1,0)</f>
        <v>0</v>
      </c>
      <c r="L418">
        <f>IF(COUNTIF($E418, _xlfn.CONCAT("*",Table13[[#Headers],[Comedy]],"*")),1,0)</f>
        <v>1</v>
      </c>
      <c r="M418">
        <f>IF(COUNTIF($E418, _xlfn.CONCAT("*",Table13[[#Headers],[Crime]],"*")),1,0)</f>
        <v>0</v>
      </c>
      <c r="N418">
        <f>IF(COUNTIF($E418, _xlfn.CONCAT("*",Table13[[#Headers],[Documentary]],"*")),1,0)</f>
        <v>0</v>
      </c>
      <c r="O418">
        <f>IF(COUNTIF($E418, _xlfn.CONCAT("*",Table13[[#Headers],[Drama]],"*")),1,0)</f>
        <v>1</v>
      </c>
      <c r="P418">
        <f>IF(COUNTIF($E418, _xlfn.CONCAT("*",Table13[[#Headers],[Family]],"*")),1,0)</f>
        <v>0</v>
      </c>
      <c r="Q418">
        <f>IF(COUNTIF($E418, _xlfn.CONCAT("*",Table13[[#Headers],[Fantasy]],"*")),1,0)</f>
        <v>0</v>
      </c>
      <c r="R418">
        <f>IF(COUNTIF($E418, _xlfn.CONCAT("*",Table13[[#Headers],[History]],"*")),1,0)</f>
        <v>0</v>
      </c>
      <c r="S418">
        <f>IF(COUNTIF($E418, _xlfn.CONCAT("*",Table13[[#Headers],[Horror]],"*")),1,0)</f>
        <v>0</v>
      </c>
      <c r="T418">
        <f>IF(COUNTIF($E418, _xlfn.CONCAT("*",Table13[[#Headers],[Music]],"*")),1,0)</f>
        <v>0</v>
      </c>
      <c r="U418">
        <f>IF(COUNTIF($E418, _xlfn.CONCAT("*",Table13[[#Headers],[Mystery]],"*")),1,0)</f>
        <v>0</v>
      </c>
      <c r="V418">
        <f>IF(COUNTIF($E418, _xlfn.CONCAT("*",Table13[[#Headers],[Romance]],"*")),1,0)</f>
        <v>0</v>
      </c>
      <c r="W418">
        <f>IF(COUNTIF($E418, _xlfn.CONCAT("*",Table13[[#Headers],[Science Fiction]],"*")),1,0)</f>
        <v>0</v>
      </c>
      <c r="X418">
        <f>IF(COUNTIF($E418, _xlfn.CONCAT("*",Table13[[#Headers],[TV Movie]],"*")),1,0)</f>
        <v>0</v>
      </c>
      <c r="Y418">
        <f>IF(COUNTIF($E418, _xlfn.CONCAT("*",Table13[[#Headers],[Thriller]],"*")),1,0)</f>
        <v>0</v>
      </c>
      <c r="Z418">
        <f>IF(COUNTIF($E418, _xlfn.CONCAT("*",Table13[[#Headers],[War]],"*")),1,0)</f>
        <v>0</v>
      </c>
      <c r="AA418">
        <f>IF(COUNTIF($E418, _xlfn.CONCAT("*",Table13[[#Headers],[Western]],"*")),1,0)</f>
        <v>0</v>
      </c>
    </row>
    <row r="419" spans="1:27">
      <c r="A419" t="s">
        <v>561</v>
      </c>
      <c r="B419">
        <v>67</v>
      </c>
      <c r="C419">
        <f>MAX(Table13[Rank])-Table13[[#This Row],[Rank]]</f>
        <v>197</v>
      </c>
      <c r="D419" t="s">
        <v>489</v>
      </c>
      <c r="E419" t="s">
        <v>220</v>
      </c>
      <c r="F419" s="1">
        <v>19093</v>
      </c>
      <c r="G419">
        <f>YEAR(Table13[[#This Row],[Date]])</f>
        <v>1952</v>
      </c>
      <c r="H419" t="s">
        <v>386</v>
      </c>
      <c r="I419">
        <f>IF(COUNTIF($E419, _xlfn.CONCAT("*",Table13[[#Headers],[Action]],"*")),1,0)</f>
        <v>0</v>
      </c>
      <c r="J419">
        <f>IF(COUNTIF($E419, _xlfn.CONCAT("*",Table13[[#Headers],[Adventure]],"*")),1,0)</f>
        <v>0</v>
      </c>
      <c r="K419">
        <f>IF(COUNTIF($E419, _xlfn.CONCAT("*",Table13[[#Headers],[Animation]],"*")),1,0)</f>
        <v>0</v>
      </c>
      <c r="L419">
        <f>IF(COUNTIF($E419, _xlfn.CONCAT("*",Table13[[#Headers],[Comedy]],"*")),1,0)</f>
        <v>1</v>
      </c>
      <c r="M419">
        <f>IF(COUNTIF($E419, _xlfn.CONCAT("*",Table13[[#Headers],[Crime]],"*")),1,0)</f>
        <v>0</v>
      </c>
      <c r="N419">
        <f>IF(COUNTIF($E419, _xlfn.CONCAT("*",Table13[[#Headers],[Documentary]],"*")),1,0)</f>
        <v>0</v>
      </c>
      <c r="O419">
        <f>IF(COUNTIF($E419, _xlfn.CONCAT("*",Table13[[#Headers],[Drama]],"*")),1,0)</f>
        <v>0</v>
      </c>
      <c r="P419">
        <f>IF(COUNTIF($E419, _xlfn.CONCAT("*",Table13[[#Headers],[Family]],"*")),1,0)</f>
        <v>0</v>
      </c>
      <c r="Q419">
        <f>IF(COUNTIF($E419, _xlfn.CONCAT("*",Table13[[#Headers],[Fantasy]],"*")),1,0)</f>
        <v>0</v>
      </c>
      <c r="R419">
        <f>IF(COUNTIF($E419, _xlfn.CONCAT("*",Table13[[#Headers],[History]],"*")),1,0)</f>
        <v>0</v>
      </c>
      <c r="S419">
        <f>IF(COUNTIF($E419, _xlfn.CONCAT("*",Table13[[#Headers],[Horror]],"*")),1,0)</f>
        <v>0</v>
      </c>
      <c r="T419">
        <f>IF(COUNTIF($E419, _xlfn.CONCAT("*",Table13[[#Headers],[Music]],"*")),1,0)</f>
        <v>0</v>
      </c>
      <c r="U419">
        <f>IF(COUNTIF($E419, _xlfn.CONCAT("*",Table13[[#Headers],[Mystery]],"*")),1,0)</f>
        <v>0</v>
      </c>
      <c r="V419">
        <f>IF(COUNTIF($E419, _xlfn.CONCAT("*",Table13[[#Headers],[Romance]],"*")),1,0)</f>
        <v>1</v>
      </c>
      <c r="W419">
        <f>IF(COUNTIF($E419, _xlfn.CONCAT("*",Table13[[#Headers],[Science Fiction]],"*")),1,0)</f>
        <v>0</v>
      </c>
      <c r="X419">
        <f>IF(COUNTIF($E419, _xlfn.CONCAT("*",Table13[[#Headers],[TV Movie]],"*")),1,0)</f>
        <v>0</v>
      </c>
      <c r="Y419">
        <f>IF(COUNTIF($E419, _xlfn.CONCAT("*",Table13[[#Headers],[Thriller]],"*")),1,0)</f>
        <v>0</v>
      </c>
      <c r="Z419">
        <f>IF(COUNTIF($E419, _xlfn.CONCAT("*",Table13[[#Headers],[War]],"*")),1,0)</f>
        <v>0</v>
      </c>
      <c r="AA419">
        <f>IF(COUNTIF($E419, _xlfn.CONCAT("*",Table13[[#Headers],[Western]],"*")),1,0)</f>
        <v>0</v>
      </c>
    </row>
    <row r="420" spans="1:27">
      <c r="A420" t="s">
        <v>562</v>
      </c>
      <c r="B420">
        <v>66</v>
      </c>
      <c r="C420">
        <f>MAX(Table13[Rank])-Table13[[#This Row],[Rank]]</f>
        <v>198</v>
      </c>
      <c r="D420" t="s">
        <v>489</v>
      </c>
      <c r="E420" t="s">
        <v>21</v>
      </c>
      <c r="F420" s="1">
        <v>27717</v>
      </c>
      <c r="G420">
        <f>YEAR(Table13[[#This Row],[Date]])</f>
        <v>1975</v>
      </c>
      <c r="H420" t="s">
        <v>563</v>
      </c>
      <c r="I420">
        <f>IF(COUNTIF($E420, _xlfn.CONCAT("*",Table13[[#Headers],[Action]],"*")),1,0)</f>
        <v>0</v>
      </c>
      <c r="J420">
        <f>IF(COUNTIF($E420, _xlfn.CONCAT("*",Table13[[#Headers],[Adventure]],"*")),1,0)</f>
        <v>0</v>
      </c>
      <c r="K420">
        <f>IF(COUNTIF($E420, _xlfn.CONCAT("*",Table13[[#Headers],[Animation]],"*")),1,0)</f>
        <v>0</v>
      </c>
      <c r="L420">
        <f>IF(COUNTIF($E420, _xlfn.CONCAT("*",Table13[[#Headers],[Comedy]],"*")),1,0)</f>
        <v>0</v>
      </c>
      <c r="M420">
        <f>IF(COUNTIF($E420, _xlfn.CONCAT("*",Table13[[#Headers],[Crime]],"*")),1,0)</f>
        <v>0</v>
      </c>
      <c r="N420">
        <f>IF(COUNTIF($E420, _xlfn.CONCAT("*",Table13[[#Headers],[Documentary]],"*")),1,0)</f>
        <v>0</v>
      </c>
      <c r="O420">
        <f>IF(COUNTIF($E420, _xlfn.CONCAT("*",Table13[[#Headers],[Drama]],"*")),1,0)</f>
        <v>1</v>
      </c>
      <c r="P420">
        <f>IF(COUNTIF($E420, _xlfn.CONCAT("*",Table13[[#Headers],[Family]],"*")),1,0)</f>
        <v>0</v>
      </c>
      <c r="Q420">
        <f>IF(COUNTIF($E420, _xlfn.CONCAT("*",Table13[[#Headers],[Fantasy]],"*")),1,0)</f>
        <v>0</v>
      </c>
      <c r="R420">
        <f>IF(COUNTIF($E420, _xlfn.CONCAT("*",Table13[[#Headers],[History]],"*")),1,0)</f>
        <v>0</v>
      </c>
      <c r="S420">
        <f>IF(COUNTIF($E420, _xlfn.CONCAT("*",Table13[[#Headers],[Horror]],"*")),1,0)</f>
        <v>0</v>
      </c>
      <c r="T420">
        <f>IF(COUNTIF($E420, _xlfn.CONCAT("*",Table13[[#Headers],[Music]],"*")),1,0)</f>
        <v>0</v>
      </c>
      <c r="U420">
        <f>IF(COUNTIF($E420, _xlfn.CONCAT("*",Table13[[#Headers],[Mystery]],"*")),1,0)</f>
        <v>0</v>
      </c>
      <c r="V420">
        <f>IF(COUNTIF($E420, _xlfn.CONCAT("*",Table13[[#Headers],[Romance]],"*")),1,0)</f>
        <v>0</v>
      </c>
      <c r="W420">
        <f>IF(COUNTIF($E420, _xlfn.CONCAT("*",Table13[[#Headers],[Science Fiction]],"*")),1,0)</f>
        <v>0</v>
      </c>
      <c r="X420">
        <f>IF(COUNTIF($E420, _xlfn.CONCAT("*",Table13[[#Headers],[TV Movie]],"*")),1,0)</f>
        <v>0</v>
      </c>
      <c r="Y420">
        <f>IF(COUNTIF($E420, _xlfn.CONCAT("*",Table13[[#Headers],[Thriller]],"*")),1,0)</f>
        <v>0</v>
      </c>
      <c r="Z420">
        <f>IF(COUNTIF($E420, _xlfn.CONCAT("*",Table13[[#Headers],[War]],"*")),1,0)</f>
        <v>0</v>
      </c>
      <c r="AA420">
        <f>IF(COUNTIF($E420, _xlfn.CONCAT("*",Table13[[#Headers],[Western]],"*")),1,0)</f>
        <v>0</v>
      </c>
    </row>
    <row r="421" spans="1:27">
      <c r="A421" t="s">
        <v>564</v>
      </c>
      <c r="B421">
        <v>65</v>
      </c>
      <c r="C421">
        <f>MAX(Table13[Rank])-Table13[[#This Row],[Rank]]</f>
        <v>199</v>
      </c>
      <c r="D421" t="s">
        <v>489</v>
      </c>
      <c r="E421" t="s">
        <v>375</v>
      </c>
      <c r="F421" s="1">
        <v>19840</v>
      </c>
      <c r="G421">
        <f>YEAR(Table13[[#This Row],[Date]])</f>
        <v>1954</v>
      </c>
      <c r="H421" t="s">
        <v>374</v>
      </c>
      <c r="I421">
        <f>IF(COUNTIF($E421, _xlfn.CONCAT("*",Table13[[#Headers],[Action]],"*")),1,0)</f>
        <v>1</v>
      </c>
      <c r="J421">
        <f>IF(COUNTIF($E421, _xlfn.CONCAT("*",Table13[[#Headers],[Adventure]],"*")),1,0)</f>
        <v>0</v>
      </c>
      <c r="K421">
        <f>IF(COUNTIF($E421, _xlfn.CONCAT("*",Table13[[#Headers],[Animation]],"*")),1,0)</f>
        <v>0</v>
      </c>
      <c r="L421">
        <f>IF(COUNTIF($E421, _xlfn.CONCAT("*",Table13[[#Headers],[Comedy]],"*")),1,0)</f>
        <v>0</v>
      </c>
      <c r="M421">
        <f>IF(COUNTIF($E421, _xlfn.CONCAT("*",Table13[[#Headers],[Crime]],"*")),1,0)</f>
        <v>0</v>
      </c>
      <c r="N421">
        <f>IF(COUNTIF($E421, _xlfn.CONCAT("*",Table13[[#Headers],[Documentary]],"*")),1,0)</f>
        <v>0</v>
      </c>
      <c r="O421">
        <f>IF(COUNTIF($E421, _xlfn.CONCAT("*",Table13[[#Headers],[Drama]],"*")),1,0)</f>
        <v>1</v>
      </c>
      <c r="P421">
        <f>IF(COUNTIF($E421, _xlfn.CONCAT("*",Table13[[#Headers],[Family]],"*")),1,0)</f>
        <v>0</v>
      </c>
      <c r="Q421">
        <f>IF(COUNTIF($E421, _xlfn.CONCAT("*",Table13[[#Headers],[Fantasy]],"*")),1,0)</f>
        <v>0</v>
      </c>
      <c r="R421">
        <f>IF(COUNTIF($E421, _xlfn.CONCAT("*",Table13[[#Headers],[History]],"*")),1,0)</f>
        <v>0</v>
      </c>
      <c r="S421">
        <f>IF(COUNTIF($E421, _xlfn.CONCAT("*",Table13[[#Headers],[Horror]],"*")),1,0)</f>
        <v>0</v>
      </c>
      <c r="T421">
        <f>IF(COUNTIF($E421, _xlfn.CONCAT("*",Table13[[#Headers],[Music]],"*")),1,0)</f>
        <v>0</v>
      </c>
      <c r="U421">
        <f>IF(COUNTIF($E421, _xlfn.CONCAT("*",Table13[[#Headers],[Mystery]],"*")),1,0)</f>
        <v>0</v>
      </c>
      <c r="V421">
        <f>IF(COUNTIF($E421, _xlfn.CONCAT("*",Table13[[#Headers],[Romance]],"*")),1,0)</f>
        <v>0</v>
      </c>
      <c r="W421">
        <f>IF(COUNTIF($E421, _xlfn.CONCAT("*",Table13[[#Headers],[Science Fiction]],"*")),1,0)</f>
        <v>0</v>
      </c>
      <c r="X421">
        <f>IF(COUNTIF($E421, _xlfn.CONCAT("*",Table13[[#Headers],[TV Movie]],"*")),1,0)</f>
        <v>0</v>
      </c>
      <c r="Y421">
        <f>IF(COUNTIF($E421, _xlfn.CONCAT("*",Table13[[#Headers],[Thriller]],"*")),1,0)</f>
        <v>0</v>
      </c>
      <c r="Z421">
        <f>IF(COUNTIF($E421, _xlfn.CONCAT("*",Table13[[#Headers],[War]],"*")),1,0)</f>
        <v>0</v>
      </c>
      <c r="AA421">
        <f>IF(COUNTIF($E421, _xlfn.CONCAT("*",Table13[[#Headers],[Western]],"*")),1,0)</f>
        <v>0</v>
      </c>
    </row>
    <row r="422" spans="1:27">
      <c r="A422" t="s">
        <v>565</v>
      </c>
      <c r="B422">
        <v>64</v>
      </c>
      <c r="C422">
        <f>MAX(Table13[Rank])-Table13[[#This Row],[Rank]]</f>
        <v>200</v>
      </c>
      <c r="D422" t="s">
        <v>489</v>
      </c>
      <c r="E422" t="s">
        <v>194</v>
      </c>
      <c r="F422" s="1">
        <v>40664</v>
      </c>
      <c r="G422">
        <f>YEAR(Table13[[#This Row],[Date]])</f>
        <v>2011</v>
      </c>
      <c r="H422" t="s">
        <v>1293</v>
      </c>
      <c r="I422">
        <f>IF(COUNTIF($E422, _xlfn.CONCAT("*",Table13[[#Headers],[Action]],"*")),1,0)</f>
        <v>0</v>
      </c>
      <c r="J422">
        <f>IF(COUNTIF($E422, _xlfn.CONCAT("*",Table13[[#Headers],[Adventure]],"*")),1,0)</f>
        <v>0</v>
      </c>
      <c r="K422">
        <f>IF(COUNTIF($E422, _xlfn.CONCAT("*",Table13[[#Headers],[Animation]],"*")),1,0)</f>
        <v>0</v>
      </c>
      <c r="L422">
        <f>IF(COUNTIF($E422, _xlfn.CONCAT("*",Table13[[#Headers],[Comedy]],"*")),1,0)</f>
        <v>1</v>
      </c>
      <c r="M422">
        <f>IF(COUNTIF($E422, _xlfn.CONCAT("*",Table13[[#Headers],[Crime]],"*")),1,0)</f>
        <v>0</v>
      </c>
      <c r="N422">
        <f>IF(COUNTIF($E422, _xlfn.CONCAT("*",Table13[[#Headers],[Documentary]],"*")),1,0)</f>
        <v>0</v>
      </c>
      <c r="O422">
        <f>IF(COUNTIF($E422, _xlfn.CONCAT("*",Table13[[#Headers],[Drama]],"*")),1,0)</f>
        <v>1</v>
      </c>
      <c r="P422">
        <f>IF(COUNTIF($E422, _xlfn.CONCAT("*",Table13[[#Headers],[Family]],"*")),1,0)</f>
        <v>0</v>
      </c>
      <c r="Q422">
        <f>IF(COUNTIF($E422, _xlfn.CONCAT("*",Table13[[#Headers],[Fantasy]],"*")),1,0)</f>
        <v>0</v>
      </c>
      <c r="R422">
        <f>IF(COUNTIF($E422, _xlfn.CONCAT("*",Table13[[#Headers],[History]],"*")),1,0)</f>
        <v>0</v>
      </c>
      <c r="S422">
        <f>IF(COUNTIF($E422, _xlfn.CONCAT("*",Table13[[#Headers],[Horror]],"*")),1,0)</f>
        <v>0</v>
      </c>
      <c r="T422">
        <f>IF(COUNTIF($E422, _xlfn.CONCAT("*",Table13[[#Headers],[Music]],"*")),1,0)</f>
        <v>0</v>
      </c>
      <c r="U422">
        <f>IF(COUNTIF($E422, _xlfn.CONCAT("*",Table13[[#Headers],[Mystery]],"*")),1,0)</f>
        <v>0</v>
      </c>
      <c r="V422">
        <f>IF(COUNTIF($E422, _xlfn.CONCAT("*",Table13[[#Headers],[Romance]],"*")),1,0)</f>
        <v>1</v>
      </c>
      <c r="W422">
        <f>IF(COUNTIF($E422, _xlfn.CONCAT("*",Table13[[#Headers],[Science Fiction]],"*")),1,0)</f>
        <v>0</v>
      </c>
      <c r="X422">
        <f>IF(COUNTIF($E422, _xlfn.CONCAT("*",Table13[[#Headers],[TV Movie]],"*")),1,0)</f>
        <v>0</v>
      </c>
      <c r="Y422">
        <f>IF(COUNTIF($E422, _xlfn.CONCAT("*",Table13[[#Headers],[Thriller]],"*")),1,0)</f>
        <v>0</v>
      </c>
      <c r="Z422">
        <f>IF(COUNTIF($E422, _xlfn.CONCAT("*",Table13[[#Headers],[War]],"*")),1,0)</f>
        <v>0</v>
      </c>
      <c r="AA422">
        <f>IF(COUNTIF($E422, _xlfn.CONCAT("*",Table13[[#Headers],[Western]],"*")),1,0)</f>
        <v>0</v>
      </c>
    </row>
    <row r="423" spans="1:27">
      <c r="A423" t="s">
        <v>566</v>
      </c>
      <c r="B423">
        <v>63</v>
      </c>
      <c r="C423">
        <f>MAX(Table13[Rank])-Table13[[#This Row],[Rank]]</f>
        <v>201</v>
      </c>
      <c r="D423" t="s">
        <v>489</v>
      </c>
      <c r="E423" t="s">
        <v>274</v>
      </c>
      <c r="F423" s="1">
        <v>42790</v>
      </c>
      <c r="G423">
        <f>YEAR(Table13[[#This Row],[Date]])</f>
        <v>2017</v>
      </c>
      <c r="H423" t="s">
        <v>273</v>
      </c>
      <c r="I423">
        <f>IF(COUNTIF($E423, _xlfn.CONCAT("*",Table13[[#Headers],[Action]],"*")),1,0)</f>
        <v>0</v>
      </c>
      <c r="J423">
        <f>IF(COUNTIF($E423, _xlfn.CONCAT("*",Table13[[#Headers],[Adventure]],"*")),1,0)</f>
        <v>0</v>
      </c>
      <c r="K423">
        <f>IF(COUNTIF($E423, _xlfn.CONCAT("*",Table13[[#Headers],[Animation]],"*")),1,0)</f>
        <v>0</v>
      </c>
      <c r="L423">
        <f>IF(COUNTIF($E423, _xlfn.CONCAT("*",Table13[[#Headers],[Comedy]],"*")),1,0)</f>
        <v>0</v>
      </c>
      <c r="M423">
        <f>IF(COUNTIF($E423, _xlfn.CONCAT("*",Table13[[#Headers],[Crime]],"*")),1,0)</f>
        <v>0</v>
      </c>
      <c r="N423">
        <f>IF(COUNTIF($E423, _xlfn.CONCAT("*",Table13[[#Headers],[Documentary]],"*")),1,0)</f>
        <v>0</v>
      </c>
      <c r="O423">
        <f>IF(COUNTIF($E423, _xlfn.CONCAT("*",Table13[[#Headers],[Drama]],"*")),1,0)</f>
        <v>0</v>
      </c>
      <c r="P423">
        <f>IF(COUNTIF($E423, _xlfn.CONCAT("*",Table13[[#Headers],[Family]],"*")),1,0)</f>
        <v>0</v>
      </c>
      <c r="Q423">
        <f>IF(COUNTIF($E423, _xlfn.CONCAT("*",Table13[[#Headers],[Fantasy]],"*")),1,0)</f>
        <v>0</v>
      </c>
      <c r="R423">
        <f>IF(COUNTIF($E423, _xlfn.CONCAT("*",Table13[[#Headers],[History]],"*")),1,0)</f>
        <v>0</v>
      </c>
      <c r="S423">
        <f>IF(COUNTIF($E423, _xlfn.CONCAT("*",Table13[[#Headers],[Horror]],"*")),1,0)</f>
        <v>1</v>
      </c>
      <c r="T423">
        <f>IF(COUNTIF($E423, _xlfn.CONCAT("*",Table13[[#Headers],[Music]],"*")),1,0)</f>
        <v>0</v>
      </c>
      <c r="U423">
        <f>IF(COUNTIF($E423, _xlfn.CONCAT("*",Table13[[#Headers],[Mystery]],"*")),1,0)</f>
        <v>1</v>
      </c>
      <c r="V423">
        <f>IF(COUNTIF($E423, _xlfn.CONCAT("*",Table13[[#Headers],[Romance]],"*")),1,0)</f>
        <v>0</v>
      </c>
      <c r="W423">
        <f>IF(COUNTIF($E423, _xlfn.CONCAT("*",Table13[[#Headers],[Science Fiction]],"*")),1,0)</f>
        <v>0</v>
      </c>
      <c r="X423">
        <f>IF(COUNTIF($E423, _xlfn.CONCAT("*",Table13[[#Headers],[TV Movie]],"*")),1,0)</f>
        <v>0</v>
      </c>
      <c r="Y423">
        <f>IF(COUNTIF($E423, _xlfn.CONCAT("*",Table13[[#Headers],[Thriller]],"*")),1,0)</f>
        <v>1</v>
      </c>
      <c r="Z423">
        <f>IF(COUNTIF($E423, _xlfn.CONCAT("*",Table13[[#Headers],[War]],"*")),1,0)</f>
        <v>0</v>
      </c>
      <c r="AA423">
        <f>IF(COUNTIF($E423, _xlfn.CONCAT("*",Table13[[#Headers],[Western]],"*")),1,0)</f>
        <v>0</v>
      </c>
    </row>
    <row r="424" spans="1:27">
      <c r="A424" t="s">
        <v>567</v>
      </c>
      <c r="B424">
        <v>62</v>
      </c>
      <c r="C424">
        <f>MAX(Table13[Rank])-Table13[[#This Row],[Rank]]</f>
        <v>202</v>
      </c>
      <c r="D424" t="s">
        <v>489</v>
      </c>
      <c r="E424" t="s">
        <v>215</v>
      </c>
      <c r="F424" s="1">
        <v>22991</v>
      </c>
      <c r="G424">
        <f>YEAR(Table13[[#This Row],[Date]])</f>
        <v>1962</v>
      </c>
      <c r="H424" t="s">
        <v>214</v>
      </c>
      <c r="I424">
        <f>IF(COUNTIF($E424, _xlfn.CONCAT("*",Table13[[#Headers],[Action]],"*")),1,0)</f>
        <v>0</v>
      </c>
      <c r="J424">
        <f>IF(COUNTIF($E424, _xlfn.CONCAT("*",Table13[[#Headers],[Adventure]],"*")),1,0)</f>
        <v>1</v>
      </c>
      <c r="K424">
        <f>IF(COUNTIF($E424, _xlfn.CONCAT("*",Table13[[#Headers],[Animation]],"*")),1,0)</f>
        <v>0</v>
      </c>
      <c r="L424">
        <f>IF(COUNTIF($E424, _xlfn.CONCAT("*",Table13[[#Headers],[Comedy]],"*")),1,0)</f>
        <v>0</v>
      </c>
      <c r="M424">
        <f>IF(COUNTIF($E424, _xlfn.CONCAT("*",Table13[[#Headers],[Crime]],"*")),1,0)</f>
        <v>0</v>
      </c>
      <c r="N424">
        <f>IF(COUNTIF($E424, _xlfn.CONCAT("*",Table13[[#Headers],[Documentary]],"*")),1,0)</f>
        <v>0</v>
      </c>
      <c r="O424">
        <f>IF(COUNTIF($E424, _xlfn.CONCAT("*",Table13[[#Headers],[Drama]],"*")),1,0)</f>
        <v>1</v>
      </c>
      <c r="P424">
        <f>IF(COUNTIF($E424, _xlfn.CONCAT("*",Table13[[#Headers],[Family]],"*")),1,0)</f>
        <v>0</v>
      </c>
      <c r="Q424">
        <f>IF(COUNTIF($E424, _xlfn.CONCAT("*",Table13[[#Headers],[Fantasy]],"*")),1,0)</f>
        <v>0</v>
      </c>
      <c r="R424">
        <f>IF(COUNTIF($E424, _xlfn.CONCAT("*",Table13[[#Headers],[History]],"*")),1,0)</f>
        <v>1</v>
      </c>
      <c r="S424">
        <f>IF(COUNTIF($E424, _xlfn.CONCAT("*",Table13[[#Headers],[Horror]],"*")),1,0)</f>
        <v>0</v>
      </c>
      <c r="T424">
        <f>IF(COUNTIF($E424, _xlfn.CONCAT("*",Table13[[#Headers],[Music]],"*")),1,0)</f>
        <v>0</v>
      </c>
      <c r="U424">
        <f>IF(COUNTIF($E424, _xlfn.CONCAT("*",Table13[[#Headers],[Mystery]],"*")),1,0)</f>
        <v>0</v>
      </c>
      <c r="V424">
        <f>IF(COUNTIF($E424, _xlfn.CONCAT("*",Table13[[#Headers],[Romance]],"*")),1,0)</f>
        <v>0</v>
      </c>
      <c r="W424">
        <f>IF(COUNTIF($E424, _xlfn.CONCAT("*",Table13[[#Headers],[Science Fiction]],"*")),1,0)</f>
        <v>0</v>
      </c>
      <c r="X424">
        <f>IF(COUNTIF($E424, _xlfn.CONCAT("*",Table13[[#Headers],[TV Movie]],"*")),1,0)</f>
        <v>0</v>
      </c>
      <c r="Y424">
        <f>IF(COUNTIF($E424, _xlfn.CONCAT("*",Table13[[#Headers],[Thriller]],"*")),1,0)</f>
        <v>0</v>
      </c>
      <c r="Z424">
        <f>IF(COUNTIF($E424, _xlfn.CONCAT("*",Table13[[#Headers],[War]],"*")),1,0)</f>
        <v>1</v>
      </c>
      <c r="AA424">
        <f>IF(COUNTIF($E424, _xlfn.CONCAT("*",Table13[[#Headers],[Western]],"*")),1,0)</f>
        <v>0</v>
      </c>
    </row>
    <row r="425" spans="1:27">
      <c r="A425" t="s">
        <v>568</v>
      </c>
      <c r="B425">
        <v>61</v>
      </c>
      <c r="C425">
        <f>MAX(Table13[Rank])-Table13[[#This Row],[Rank]]</f>
        <v>203</v>
      </c>
      <c r="D425" t="s">
        <v>489</v>
      </c>
      <c r="E425" t="s">
        <v>438</v>
      </c>
      <c r="F425" s="1">
        <v>39000</v>
      </c>
      <c r="G425">
        <f>YEAR(Table13[[#This Row],[Date]])</f>
        <v>2006</v>
      </c>
      <c r="H425" t="s">
        <v>748</v>
      </c>
      <c r="I425">
        <f>IF(COUNTIF($E425, _xlfn.CONCAT("*",Table13[[#Headers],[Action]],"*")),1,0)</f>
        <v>0</v>
      </c>
      <c r="J425">
        <f>IF(COUNTIF($E425, _xlfn.CONCAT("*",Table13[[#Headers],[Adventure]],"*")),1,0)</f>
        <v>0</v>
      </c>
      <c r="K425">
        <f>IF(COUNTIF($E425, _xlfn.CONCAT("*",Table13[[#Headers],[Animation]],"*")),1,0)</f>
        <v>0</v>
      </c>
      <c r="L425">
        <f>IF(COUNTIF($E425, _xlfn.CONCAT("*",Table13[[#Headers],[Comedy]],"*")),1,0)</f>
        <v>0</v>
      </c>
      <c r="M425">
        <f>IF(COUNTIF($E425, _xlfn.CONCAT("*",Table13[[#Headers],[Crime]],"*")),1,0)</f>
        <v>0</v>
      </c>
      <c r="N425">
        <f>IF(COUNTIF($E425, _xlfn.CONCAT("*",Table13[[#Headers],[Documentary]],"*")),1,0)</f>
        <v>0</v>
      </c>
      <c r="O425">
        <f>IF(COUNTIF($E425, _xlfn.CONCAT("*",Table13[[#Headers],[Drama]],"*")),1,0)</f>
        <v>1</v>
      </c>
      <c r="P425">
        <f>IF(COUNTIF($E425, _xlfn.CONCAT("*",Table13[[#Headers],[Family]],"*")),1,0)</f>
        <v>0</v>
      </c>
      <c r="Q425">
        <f>IF(COUNTIF($E425, _xlfn.CONCAT("*",Table13[[#Headers],[Fantasy]],"*")),1,0)</f>
        <v>1</v>
      </c>
      <c r="R425">
        <f>IF(COUNTIF($E425, _xlfn.CONCAT("*",Table13[[#Headers],[History]],"*")),1,0)</f>
        <v>0</v>
      </c>
      <c r="S425">
        <f>IF(COUNTIF($E425, _xlfn.CONCAT("*",Table13[[#Headers],[Horror]],"*")),1,0)</f>
        <v>0</v>
      </c>
      <c r="T425">
        <f>IF(COUNTIF($E425, _xlfn.CONCAT("*",Table13[[#Headers],[Music]],"*")),1,0)</f>
        <v>0</v>
      </c>
      <c r="U425">
        <f>IF(COUNTIF($E425, _xlfn.CONCAT("*",Table13[[#Headers],[Mystery]],"*")),1,0)</f>
        <v>0</v>
      </c>
      <c r="V425">
        <f>IF(COUNTIF($E425, _xlfn.CONCAT("*",Table13[[#Headers],[Romance]],"*")),1,0)</f>
        <v>0</v>
      </c>
      <c r="W425">
        <f>IF(COUNTIF($E425, _xlfn.CONCAT("*",Table13[[#Headers],[Science Fiction]],"*")),1,0)</f>
        <v>0</v>
      </c>
      <c r="X425">
        <f>IF(COUNTIF($E425, _xlfn.CONCAT("*",Table13[[#Headers],[TV Movie]],"*")),1,0)</f>
        <v>0</v>
      </c>
      <c r="Y425">
        <f>IF(COUNTIF($E425, _xlfn.CONCAT("*",Table13[[#Headers],[Thriller]],"*")),1,0)</f>
        <v>0</v>
      </c>
      <c r="Z425">
        <f>IF(COUNTIF($E425, _xlfn.CONCAT("*",Table13[[#Headers],[War]],"*")),1,0)</f>
        <v>1</v>
      </c>
      <c r="AA425">
        <f>IF(COUNTIF($E425, _xlfn.CONCAT("*",Table13[[#Headers],[Western]],"*")),1,0)</f>
        <v>0</v>
      </c>
    </row>
    <row r="426" spans="1:27">
      <c r="A426" t="s">
        <v>569</v>
      </c>
      <c r="B426">
        <v>60</v>
      </c>
      <c r="C426">
        <f>MAX(Table13[Rank])-Table13[[#This Row],[Rank]]</f>
        <v>204</v>
      </c>
      <c r="D426" t="s">
        <v>489</v>
      </c>
      <c r="E426" t="s">
        <v>570</v>
      </c>
      <c r="F426" s="1">
        <v>39127</v>
      </c>
      <c r="G426">
        <f>YEAR(Table13[[#This Row],[Date]])</f>
        <v>2007</v>
      </c>
      <c r="H426" t="s">
        <v>571</v>
      </c>
      <c r="I426">
        <f>IF(COUNTIF($E426, _xlfn.CONCAT("*",Table13[[#Headers],[Action]],"*")),1,0)</f>
        <v>1</v>
      </c>
      <c r="J426">
        <f>IF(COUNTIF($E426, _xlfn.CONCAT("*",Table13[[#Headers],[Adventure]],"*")),1,0)</f>
        <v>0</v>
      </c>
      <c r="K426">
        <f>IF(COUNTIF($E426, _xlfn.CONCAT("*",Table13[[#Headers],[Animation]],"*")),1,0)</f>
        <v>0</v>
      </c>
      <c r="L426">
        <f>IF(COUNTIF($E426, _xlfn.CONCAT("*",Table13[[#Headers],[Comedy]],"*")),1,0)</f>
        <v>1</v>
      </c>
      <c r="M426">
        <f>IF(COUNTIF($E426, _xlfn.CONCAT("*",Table13[[#Headers],[Crime]],"*")),1,0)</f>
        <v>1</v>
      </c>
      <c r="N426">
        <f>IF(COUNTIF($E426, _xlfn.CONCAT("*",Table13[[#Headers],[Documentary]],"*")),1,0)</f>
        <v>0</v>
      </c>
      <c r="O426">
        <f>IF(COUNTIF($E426, _xlfn.CONCAT("*",Table13[[#Headers],[Drama]],"*")),1,0)</f>
        <v>0</v>
      </c>
      <c r="P426">
        <f>IF(COUNTIF($E426, _xlfn.CONCAT("*",Table13[[#Headers],[Family]],"*")),1,0)</f>
        <v>0</v>
      </c>
      <c r="Q426">
        <f>IF(COUNTIF($E426, _xlfn.CONCAT("*",Table13[[#Headers],[Fantasy]],"*")),1,0)</f>
        <v>0</v>
      </c>
      <c r="R426">
        <f>IF(COUNTIF($E426, _xlfn.CONCAT("*",Table13[[#Headers],[History]],"*")),1,0)</f>
        <v>0</v>
      </c>
      <c r="S426">
        <f>IF(COUNTIF($E426, _xlfn.CONCAT("*",Table13[[#Headers],[Horror]],"*")),1,0)</f>
        <v>0</v>
      </c>
      <c r="T426">
        <f>IF(COUNTIF($E426, _xlfn.CONCAT("*",Table13[[#Headers],[Music]],"*")),1,0)</f>
        <v>0</v>
      </c>
      <c r="U426">
        <f>IF(COUNTIF($E426, _xlfn.CONCAT("*",Table13[[#Headers],[Mystery]],"*")),1,0)</f>
        <v>0</v>
      </c>
      <c r="V426">
        <f>IF(COUNTIF($E426, _xlfn.CONCAT("*",Table13[[#Headers],[Romance]],"*")),1,0)</f>
        <v>0</v>
      </c>
      <c r="W426">
        <f>IF(COUNTIF($E426, _xlfn.CONCAT("*",Table13[[#Headers],[Science Fiction]],"*")),1,0)</f>
        <v>0</v>
      </c>
      <c r="X426">
        <f>IF(COUNTIF($E426, _xlfn.CONCAT("*",Table13[[#Headers],[TV Movie]],"*")),1,0)</f>
        <v>0</v>
      </c>
      <c r="Y426">
        <f>IF(COUNTIF($E426, _xlfn.CONCAT("*",Table13[[#Headers],[Thriller]],"*")),1,0)</f>
        <v>0</v>
      </c>
      <c r="Z426">
        <f>IF(COUNTIF($E426, _xlfn.CONCAT("*",Table13[[#Headers],[War]],"*")),1,0)</f>
        <v>0</v>
      </c>
      <c r="AA426">
        <f>IF(COUNTIF($E426, _xlfn.CONCAT("*",Table13[[#Headers],[Western]],"*")),1,0)</f>
        <v>0</v>
      </c>
    </row>
    <row r="427" spans="1:27">
      <c r="A427" t="s">
        <v>572</v>
      </c>
      <c r="B427">
        <v>59</v>
      </c>
      <c r="C427">
        <f>MAX(Table13[Rank])-Table13[[#This Row],[Rank]]</f>
        <v>205</v>
      </c>
      <c r="D427" t="s">
        <v>489</v>
      </c>
      <c r="E427" t="s">
        <v>573</v>
      </c>
      <c r="F427" s="1">
        <v>20851</v>
      </c>
      <c r="G427">
        <f>YEAR(Table13[[#This Row],[Date]])</f>
        <v>1957</v>
      </c>
      <c r="H427" t="s">
        <v>574</v>
      </c>
      <c r="I427">
        <f>IF(COUNTIF($E427, _xlfn.CONCAT("*",Table13[[#Headers],[Action]],"*")),1,0)</f>
        <v>1</v>
      </c>
      <c r="J427">
        <f>IF(COUNTIF($E427, _xlfn.CONCAT("*",Table13[[#Headers],[Adventure]],"*")),1,0)</f>
        <v>1</v>
      </c>
      <c r="K427">
        <f>IF(COUNTIF($E427, _xlfn.CONCAT("*",Table13[[#Headers],[Animation]],"*")),1,0)</f>
        <v>0</v>
      </c>
      <c r="L427">
        <f>IF(COUNTIF($E427, _xlfn.CONCAT("*",Table13[[#Headers],[Comedy]],"*")),1,0)</f>
        <v>0</v>
      </c>
      <c r="M427">
        <f>IF(COUNTIF($E427, _xlfn.CONCAT("*",Table13[[#Headers],[Crime]],"*")),1,0)</f>
        <v>0</v>
      </c>
      <c r="N427">
        <f>IF(COUNTIF($E427, _xlfn.CONCAT("*",Table13[[#Headers],[Documentary]],"*")),1,0)</f>
        <v>0</v>
      </c>
      <c r="O427">
        <f>IF(COUNTIF($E427, _xlfn.CONCAT("*",Table13[[#Headers],[Drama]],"*")),1,0)</f>
        <v>1</v>
      </c>
      <c r="P427">
        <f>IF(COUNTIF($E427, _xlfn.CONCAT("*",Table13[[#Headers],[Family]],"*")),1,0)</f>
        <v>0</v>
      </c>
      <c r="Q427">
        <f>IF(COUNTIF($E427, _xlfn.CONCAT("*",Table13[[#Headers],[Fantasy]],"*")),1,0)</f>
        <v>0</v>
      </c>
      <c r="R427">
        <f>IF(COUNTIF($E427, _xlfn.CONCAT("*",Table13[[#Headers],[History]],"*")),1,0)</f>
        <v>0</v>
      </c>
      <c r="S427">
        <f>IF(COUNTIF($E427, _xlfn.CONCAT("*",Table13[[#Headers],[Horror]],"*")),1,0)</f>
        <v>0</v>
      </c>
      <c r="T427">
        <f>IF(COUNTIF($E427, _xlfn.CONCAT("*",Table13[[#Headers],[Music]],"*")),1,0)</f>
        <v>0</v>
      </c>
      <c r="U427">
        <f>IF(COUNTIF($E427, _xlfn.CONCAT("*",Table13[[#Headers],[Mystery]],"*")),1,0)</f>
        <v>0</v>
      </c>
      <c r="V427">
        <f>IF(COUNTIF($E427, _xlfn.CONCAT("*",Table13[[#Headers],[Romance]],"*")),1,0)</f>
        <v>0</v>
      </c>
      <c r="W427">
        <f>IF(COUNTIF($E427, _xlfn.CONCAT("*",Table13[[#Headers],[Science Fiction]],"*")),1,0)</f>
        <v>0</v>
      </c>
      <c r="X427">
        <f>IF(COUNTIF($E427, _xlfn.CONCAT("*",Table13[[#Headers],[TV Movie]],"*")),1,0)</f>
        <v>0</v>
      </c>
      <c r="Y427">
        <f>IF(COUNTIF($E427, _xlfn.CONCAT("*",Table13[[#Headers],[Thriller]],"*")),1,0)</f>
        <v>0</v>
      </c>
      <c r="Z427">
        <f>IF(COUNTIF($E427, _xlfn.CONCAT("*",Table13[[#Headers],[War]],"*")),1,0)</f>
        <v>1</v>
      </c>
      <c r="AA427">
        <f>IF(COUNTIF($E427, _xlfn.CONCAT("*",Table13[[#Headers],[Western]],"*")),1,0)</f>
        <v>0</v>
      </c>
    </row>
    <row r="428" spans="1:27">
      <c r="A428" t="s">
        <v>575</v>
      </c>
      <c r="B428">
        <v>58</v>
      </c>
      <c r="C428">
        <f>MAX(Table13[Rank])-Table13[[#This Row],[Rank]]</f>
        <v>206</v>
      </c>
      <c r="D428" t="s">
        <v>489</v>
      </c>
      <c r="E428" t="s">
        <v>576</v>
      </c>
      <c r="F428" s="1">
        <v>45049</v>
      </c>
      <c r="G428">
        <f>YEAR(Table13[[#This Row],[Date]])</f>
        <v>2023</v>
      </c>
      <c r="H428" t="s">
        <v>577</v>
      </c>
      <c r="I428">
        <f>IF(COUNTIF($E428, _xlfn.CONCAT("*",Table13[[#Headers],[Action]],"*")),1,0)</f>
        <v>1</v>
      </c>
      <c r="J428">
        <f>IF(COUNTIF($E428, _xlfn.CONCAT("*",Table13[[#Headers],[Adventure]],"*")),1,0)</f>
        <v>1</v>
      </c>
      <c r="K428">
        <f>IF(COUNTIF($E428, _xlfn.CONCAT("*",Table13[[#Headers],[Animation]],"*")),1,0)</f>
        <v>0</v>
      </c>
      <c r="L428">
        <f>IF(COUNTIF($E428, _xlfn.CONCAT("*",Table13[[#Headers],[Comedy]],"*")),1,0)</f>
        <v>0</v>
      </c>
      <c r="M428">
        <f>IF(COUNTIF($E428, _xlfn.CONCAT("*",Table13[[#Headers],[Crime]],"*")),1,0)</f>
        <v>0</v>
      </c>
      <c r="N428">
        <f>IF(COUNTIF($E428, _xlfn.CONCAT("*",Table13[[#Headers],[Documentary]],"*")),1,0)</f>
        <v>0</v>
      </c>
      <c r="O428">
        <f>IF(COUNTIF($E428, _xlfn.CONCAT("*",Table13[[#Headers],[Drama]],"*")),1,0)</f>
        <v>0</v>
      </c>
      <c r="P428">
        <f>IF(COUNTIF($E428, _xlfn.CONCAT("*",Table13[[#Headers],[Family]],"*")),1,0)</f>
        <v>0</v>
      </c>
      <c r="Q428">
        <f>IF(COUNTIF($E428, _xlfn.CONCAT("*",Table13[[#Headers],[Fantasy]],"*")),1,0)</f>
        <v>0</v>
      </c>
      <c r="R428">
        <f>IF(COUNTIF($E428, _xlfn.CONCAT("*",Table13[[#Headers],[History]],"*")),1,0)</f>
        <v>0</v>
      </c>
      <c r="S428">
        <f>IF(COUNTIF($E428, _xlfn.CONCAT("*",Table13[[#Headers],[Horror]],"*")),1,0)</f>
        <v>0</v>
      </c>
      <c r="T428">
        <f>IF(COUNTIF($E428, _xlfn.CONCAT("*",Table13[[#Headers],[Music]],"*")),1,0)</f>
        <v>0</v>
      </c>
      <c r="U428">
        <f>IF(COUNTIF($E428, _xlfn.CONCAT("*",Table13[[#Headers],[Mystery]],"*")),1,0)</f>
        <v>0</v>
      </c>
      <c r="V428">
        <f>IF(COUNTIF($E428, _xlfn.CONCAT("*",Table13[[#Headers],[Romance]],"*")),1,0)</f>
        <v>0</v>
      </c>
      <c r="W428">
        <f>IF(COUNTIF($E428, _xlfn.CONCAT("*",Table13[[#Headers],[Science Fiction]],"*")),1,0)</f>
        <v>1</v>
      </c>
      <c r="X428">
        <f>IF(COUNTIF($E428, _xlfn.CONCAT("*",Table13[[#Headers],[TV Movie]],"*")),1,0)</f>
        <v>0</v>
      </c>
      <c r="Y428">
        <f>IF(COUNTIF($E428, _xlfn.CONCAT("*",Table13[[#Headers],[Thriller]],"*")),1,0)</f>
        <v>0</v>
      </c>
      <c r="Z428">
        <f>IF(COUNTIF($E428, _xlfn.CONCAT("*",Table13[[#Headers],[War]],"*")),1,0)</f>
        <v>0</v>
      </c>
      <c r="AA428">
        <f>IF(COUNTIF($E428, _xlfn.CONCAT("*",Table13[[#Headers],[Western]],"*")),1,0)</f>
        <v>0</v>
      </c>
    </row>
    <row r="429" spans="1:27">
      <c r="A429" t="s">
        <v>578</v>
      </c>
      <c r="B429">
        <v>57</v>
      </c>
      <c r="C429">
        <f>MAX(Table13[Rank])-Table13[[#This Row],[Rank]]</f>
        <v>207</v>
      </c>
      <c r="D429" t="s">
        <v>489</v>
      </c>
      <c r="E429" t="s">
        <v>579</v>
      </c>
      <c r="F429" s="1">
        <v>43012</v>
      </c>
      <c r="G429">
        <f>YEAR(Table13[[#This Row],[Date]])</f>
        <v>2017</v>
      </c>
      <c r="H429" t="s">
        <v>580</v>
      </c>
      <c r="I429">
        <f>IF(COUNTIF($E429, _xlfn.CONCAT("*",Table13[[#Headers],[Action]],"*")),1,0)</f>
        <v>0</v>
      </c>
      <c r="J429">
        <f>IF(COUNTIF($E429, _xlfn.CONCAT("*",Table13[[#Headers],[Adventure]],"*")),1,0)</f>
        <v>0</v>
      </c>
      <c r="K429">
        <f>IF(COUNTIF($E429, _xlfn.CONCAT("*",Table13[[#Headers],[Animation]],"*")),1,0)</f>
        <v>0</v>
      </c>
      <c r="L429">
        <f>IF(COUNTIF($E429, _xlfn.CONCAT("*",Table13[[#Headers],[Comedy]],"*")),1,0)</f>
        <v>0</v>
      </c>
      <c r="M429">
        <f>IF(COUNTIF($E429, _xlfn.CONCAT("*",Table13[[#Headers],[Crime]],"*")),1,0)</f>
        <v>0</v>
      </c>
      <c r="N429">
        <f>IF(COUNTIF($E429, _xlfn.CONCAT("*",Table13[[#Headers],[Documentary]],"*")),1,0)</f>
        <v>0</v>
      </c>
      <c r="O429">
        <f>IF(COUNTIF($E429, _xlfn.CONCAT("*",Table13[[#Headers],[Drama]],"*")),1,0)</f>
        <v>1</v>
      </c>
      <c r="P429">
        <f>IF(COUNTIF($E429, _xlfn.CONCAT("*",Table13[[#Headers],[Family]],"*")),1,0)</f>
        <v>0</v>
      </c>
      <c r="Q429">
        <f>IF(COUNTIF($E429, _xlfn.CONCAT("*",Table13[[#Headers],[Fantasy]],"*")),1,0)</f>
        <v>0</v>
      </c>
      <c r="R429">
        <f>IF(COUNTIF($E429, _xlfn.CONCAT("*",Table13[[#Headers],[History]],"*")),1,0)</f>
        <v>0</v>
      </c>
      <c r="S429">
        <f>IF(COUNTIF($E429, _xlfn.CONCAT("*",Table13[[#Headers],[Horror]],"*")),1,0)</f>
        <v>0</v>
      </c>
      <c r="T429">
        <f>IF(COUNTIF($E429, _xlfn.CONCAT("*",Table13[[#Headers],[Music]],"*")),1,0)</f>
        <v>0</v>
      </c>
      <c r="U429">
        <f>IF(COUNTIF($E429, _xlfn.CONCAT("*",Table13[[#Headers],[Mystery]],"*")),1,0)</f>
        <v>0</v>
      </c>
      <c r="V429">
        <f>IF(COUNTIF($E429, _xlfn.CONCAT("*",Table13[[#Headers],[Romance]],"*")),1,0)</f>
        <v>0</v>
      </c>
      <c r="W429">
        <f>IF(COUNTIF($E429, _xlfn.CONCAT("*",Table13[[#Headers],[Science Fiction]],"*")),1,0)</f>
        <v>1</v>
      </c>
      <c r="X429">
        <f>IF(COUNTIF($E429, _xlfn.CONCAT("*",Table13[[#Headers],[TV Movie]],"*")),1,0)</f>
        <v>0</v>
      </c>
      <c r="Y429">
        <f>IF(COUNTIF($E429, _xlfn.CONCAT("*",Table13[[#Headers],[Thriller]],"*")),1,0)</f>
        <v>0</v>
      </c>
      <c r="Z429">
        <f>IF(COUNTIF($E429, _xlfn.CONCAT("*",Table13[[#Headers],[War]],"*")),1,0)</f>
        <v>0</v>
      </c>
      <c r="AA429">
        <f>IF(COUNTIF($E429, _xlfn.CONCAT("*",Table13[[#Headers],[Western]],"*")),1,0)</f>
        <v>0</v>
      </c>
    </row>
    <row r="430" spans="1:27">
      <c r="A430" t="s">
        <v>581</v>
      </c>
      <c r="B430">
        <v>56</v>
      </c>
      <c r="C430">
        <f>MAX(Table13[Rank])-Table13[[#This Row],[Rank]]</f>
        <v>208</v>
      </c>
      <c r="D430" t="s">
        <v>489</v>
      </c>
      <c r="E430" t="s">
        <v>21</v>
      </c>
      <c r="F430" s="1">
        <v>40452</v>
      </c>
      <c r="G430">
        <f>YEAR(Table13[[#This Row],[Date]])</f>
        <v>2010</v>
      </c>
      <c r="H430" t="s">
        <v>582</v>
      </c>
      <c r="I430">
        <f>IF(COUNTIF($E430, _xlfn.CONCAT("*",Table13[[#Headers],[Action]],"*")),1,0)</f>
        <v>0</v>
      </c>
      <c r="J430">
        <f>IF(COUNTIF($E430, _xlfn.CONCAT("*",Table13[[#Headers],[Adventure]],"*")),1,0)</f>
        <v>0</v>
      </c>
      <c r="K430">
        <f>IF(COUNTIF($E430, _xlfn.CONCAT("*",Table13[[#Headers],[Animation]],"*")),1,0)</f>
        <v>0</v>
      </c>
      <c r="L430">
        <f>IF(COUNTIF($E430, _xlfn.CONCAT("*",Table13[[#Headers],[Comedy]],"*")),1,0)</f>
        <v>0</v>
      </c>
      <c r="M430">
        <f>IF(COUNTIF($E430, _xlfn.CONCAT("*",Table13[[#Headers],[Crime]],"*")),1,0)</f>
        <v>0</v>
      </c>
      <c r="N430">
        <f>IF(COUNTIF($E430, _xlfn.CONCAT("*",Table13[[#Headers],[Documentary]],"*")),1,0)</f>
        <v>0</v>
      </c>
      <c r="O430">
        <f>IF(COUNTIF($E430, _xlfn.CONCAT("*",Table13[[#Headers],[Drama]],"*")),1,0)</f>
        <v>1</v>
      </c>
      <c r="P430">
        <f>IF(COUNTIF($E430, _xlfn.CONCAT("*",Table13[[#Headers],[Family]],"*")),1,0)</f>
        <v>0</v>
      </c>
      <c r="Q430">
        <f>IF(COUNTIF($E430, _xlfn.CONCAT("*",Table13[[#Headers],[Fantasy]],"*")),1,0)</f>
        <v>0</v>
      </c>
      <c r="R430">
        <f>IF(COUNTIF($E430, _xlfn.CONCAT("*",Table13[[#Headers],[History]],"*")),1,0)</f>
        <v>0</v>
      </c>
      <c r="S430">
        <f>IF(COUNTIF($E430, _xlfn.CONCAT("*",Table13[[#Headers],[Horror]],"*")),1,0)</f>
        <v>0</v>
      </c>
      <c r="T430">
        <f>IF(COUNTIF($E430, _xlfn.CONCAT("*",Table13[[#Headers],[Music]],"*")),1,0)</f>
        <v>0</v>
      </c>
      <c r="U430">
        <f>IF(COUNTIF($E430, _xlfn.CONCAT("*",Table13[[#Headers],[Mystery]],"*")),1,0)</f>
        <v>0</v>
      </c>
      <c r="V430">
        <f>IF(COUNTIF($E430, _xlfn.CONCAT("*",Table13[[#Headers],[Romance]],"*")),1,0)</f>
        <v>0</v>
      </c>
      <c r="W430">
        <f>IF(COUNTIF($E430, _xlfn.CONCAT("*",Table13[[#Headers],[Science Fiction]],"*")),1,0)</f>
        <v>0</v>
      </c>
      <c r="X430">
        <f>IF(COUNTIF($E430, _xlfn.CONCAT("*",Table13[[#Headers],[TV Movie]],"*")),1,0)</f>
        <v>0</v>
      </c>
      <c r="Y430">
        <f>IF(COUNTIF($E430, _xlfn.CONCAT("*",Table13[[#Headers],[Thriller]],"*")),1,0)</f>
        <v>0</v>
      </c>
      <c r="Z430">
        <f>IF(COUNTIF($E430, _xlfn.CONCAT("*",Table13[[#Headers],[War]],"*")),1,0)</f>
        <v>0</v>
      </c>
      <c r="AA430">
        <f>IF(COUNTIF($E430, _xlfn.CONCAT("*",Table13[[#Headers],[Western]],"*")),1,0)</f>
        <v>0</v>
      </c>
    </row>
    <row r="431" spans="1:27">
      <c r="A431" t="s">
        <v>583</v>
      </c>
      <c r="B431">
        <v>55</v>
      </c>
      <c r="C431">
        <f>MAX(Table13[Rank])-Table13[[#This Row],[Rank]]</f>
        <v>209</v>
      </c>
      <c r="D431" t="s">
        <v>489</v>
      </c>
      <c r="E431" t="s">
        <v>584</v>
      </c>
      <c r="F431" s="1">
        <v>42949</v>
      </c>
      <c r="G431">
        <f>YEAR(Table13[[#This Row],[Date]])</f>
        <v>2017</v>
      </c>
      <c r="H431" t="s">
        <v>1294</v>
      </c>
      <c r="I431">
        <f>IF(COUNTIF($E431, _xlfn.CONCAT("*",Table13[[#Headers],[Action]],"*")),1,0)</f>
        <v>1</v>
      </c>
      <c r="J431">
        <f>IF(COUNTIF($E431, _xlfn.CONCAT("*",Table13[[#Headers],[Adventure]],"*")),1,0)</f>
        <v>0</v>
      </c>
      <c r="K431">
        <f>IF(COUNTIF($E431, _xlfn.CONCAT("*",Table13[[#Headers],[Animation]],"*")),1,0)</f>
        <v>0</v>
      </c>
      <c r="L431">
        <f>IF(COUNTIF($E431, _xlfn.CONCAT("*",Table13[[#Headers],[Comedy]],"*")),1,0)</f>
        <v>0</v>
      </c>
      <c r="M431">
        <f>IF(COUNTIF($E431, _xlfn.CONCAT("*",Table13[[#Headers],[Crime]],"*")),1,0)</f>
        <v>0</v>
      </c>
      <c r="N431">
        <f>IF(COUNTIF($E431, _xlfn.CONCAT("*",Table13[[#Headers],[Documentary]],"*")),1,0)</f>
        <v>0</v>
      </c>
      <c r="O431">
        <f>IF(COUNTIF($E431, _xlfn.CONCAT("*",Table13[[#Headers],[Drama]],"*")),1,0)</f>
        <v>1</v>
      </c>
      <c r="P431">
        <f>IF(COUNTIF($E431, _xlfn.CONCAT("*",Table13[[#Headers],[Family]],"*")),1,0)</f>
        <v>0</v>
      </c>
      <c r="Q431">
        <f>IF(COUNTIF($E431, _xlfn.CONCAT("*",Table13[[#Headers],[Fantasy]],"*")),1,0)</f>
        <v>0</v>
      </c>
      <c r="R431">
        <f>IF(COUNTIF($E431, _xlfn.CONCAT("*",Table13[[#Headers],[History]],"*")),1,0)</f>
        <v>1</v>
      </c>
      <c r="S431">
        <f>IF(COUNTIF($E431, _xlfn.CONCAT("*",Table13[[#Headers],[Horror]],"*")),1,0)</f>
        <v>0</v>
      </c>
      <c r="T431">
        <f>IF(COUNTIF($E431, _xlfn.CONCAT("*",Table13[[#Headers],[Music]],"*")),1,0)</f>
        <v>0</v>
      </c>
      <c r="U431">
        <f>IF(COUNTIF($E431, _xlfn.CONCAT("*",Table13[[#Headers],[Mystery]],"*")),1,0)</f>
        <v>0</v>
      </c>
      <c r="V431">
        <f>IF(COUNTIF($E431, _xlfn.CONCAT("*",Table13[[#Headers],[Romance]],"*")),1,0)</f>
        <v>0</v>
      </c>
      <c r="W431">
        <f>IF(COUNTIF($E431, _xlfn.CONCAT("*",Table13[[#Headers],[Science Fiction]],"*")),1,0)</f>
        <v>0</v>
      </c>
      <c r="X431">
        <f>IF(COUNTIF($E431, _xlfn.CONCAT("*",Table13[[#Headers],[TV Movie]],"*")),1,0)</f>
        <v>0</v>
      </c>
      <c r="Y431">
        <f>IF(COUNTIF($E431, _xlfn.CONCAT("*",Table13[[#Headers],[Thriller]],"*")),1,0)</f>
        <v>0</v>
      </c>
      <c r="Z431">
        <f>IF(COUNTIF($E431, _xlfn.CONCAT("*",Table13[[#Headers],[War]],"*")),1,0)</f>
        <v>0</v>
      </c>
      <c r="AA431">
        <f>IF(COUNTIF($E431, _xlfn.CONCAT("*",Table13[[#Headers],[Western]],"*")),1,0)</f>
        <v>0</v>
      </c>
    </row>
    <row r="432" spans="1:27">
      <c r="A432" t="s">
        <v>585</v>
      </c>
      <c r="B432">
        <v>54</v>
      </c>
      <c r="C432">
        <f>MAX(Table13[Rank])-Table13[[#This Row],[Rank]]</f>
        <v>210</v>
      </c>
      <c r="D432" t="s">
        <v>489</v>
      </c>
      <c r="E432" t="s">
        <v>186</v>
      </c>
      <c r="F432" s="1">
        <v>36000</v>
      </c>
      <c r="G432">
        <f>YEAR(Table13[[#This Row],[Date]])</f>
        <v>1998</v>
      </c>
      <c r="H432" t="s">
        <v>486</v>
      </c>
      <c r="I432">
        <f>IF(COUNTIF($E432, _xlfn.CONCAT("*",Table13[[#Headers],[Action]],"*")),1,0)</f>
        <v>0</v>
      </c>
      <c r="J432">
        <f>IF(COUNTIF($E432, _xlfn.CONCAT("*",Table13[[#Headers],[Adventure]],"*")),1,0)</f>
        <v>0</v>
      </c>
      <c r="K432">
        <f>IF(COUNTIF($E432, _xlfn.CONCAT("*",Table13[[#Headers],[Animation]],"*")),1,0)</f>
        <v>0</v>
      </c>
      <c r="L432">
        <f>IF(COUNTIF($E432, _xlfn.CONCAT("*",Table13[[#Headers],[Comedy]],"*")),1,0)</f>
        <v>0</v>
      </c>
      <c r="M432">
        <f>IF(COUNTIF($E432, _xlfn.CONCAT("*",Table13[[#Headers],[Crime]],"*")),1,0)</f>
        <v>0</v>
      </c>
      <c r="N432">
        <f>IF(COUNTIF($E432, _xlfn.CONCAT("*",Table13[[#Headers],[Documentary]],"*")),1,0)</f>
        <v>0</v>
      </c>
      <c r="O432">
        <f>IF(COUNTIF($E432, _xlfn.CONCAT("*",Table13[[#Headers],[Drama]],"*")),1,0)</f>
        <v>1</v>
      </c>
      <c r="P432">
        <f>IF(COUNTIF($E432, _xlfn.CONCAT("*",Table13[[#Headers],[Family]],"*")),1,0)</f>
        <v>0</v>
      </c>
      <c r="Q432">
        <f>IF(COUNTIF($E432, _xlfn.CONCAT("*",Table13[[#Headers],[Fantasy]],"*")),1,0)</f>
        <v>0</v>
      </c>
      <c r="R432">
        <f>IF(COUNTIF($E432, _xlfn.CONCAT("*",Table13[[#Headers],[History]],"*")),1,0)</f>
        <v>1</v>
      </c>
      <c r="S432">
        <f>IF(COUNTIF($E432, _xlfn.CONCAT("*",Table13[[#Headers],[Horror]],"*")),1,0)</f>
        <v>0</v>
      </c>
      <c r="T432">
        <f>IF(COUNTIF($E432, _xlfn.CONCAT("*",Table13[[#Headers],[Music]],"*")),1,0)</f>
        <v>0</v>
      </c>
      <c r="U432">
        <f>IF(COUNTIF($E432, _xlfn.CONCAT("*",Table13[[#Headers],[Mystery]],"*")),1,0)</f>
        <v>0</v>
      </c>
      <c r="V432">
        <f>IF(COUNTIF($E432, _xlfn.CONCAT("*",Table13[[#Headers],[Romance]],"*")),1,0)</f>
        <v>0</v>
      </c>
      <c r="W432">
        <f>IF(COUNTIF($E432, _xlfn.CONCAT("*",Table13[[#Headers],[Science Fiction]],"*")),1,0)</f>
        <v>0</v>
      </c>
      <c r="X432">
        <f>IF(COUNTIF($E432, _xlfn.CONCAT("*",Table13[[#Headers],[TV Movie]],"*")),1,0)</f>
        <v>0</v>
      </c>
      <c r="Y432">
        <f>IF(COUNTIF($E432, _xlfn.CONCAT("*",Table13[[#Headers],[Thriller]],"*")),1,0)</f>
        <v>0</v>
      </c>
      <c r="Z432">
        <f>IF(COUNTIF($E432, _xlfn.CONCAT("*",Table13[[#Headers],[War]],"*")),1,0)</f>
        <v>1</v>
      </c>
      <c r="AA432">
        <f>IF(COUNTIF($E432, _xlfn.CONCAT("*",Table13[[#Headers],[Western]],"*")),1,0)</f>
        <v>0</v>
      </c>
    </row>
    <row r="433" spans="1:27">
      <c r="A433" t="s">
        <v>586</v>
      </c>
      <c r="B433">
        <v>53</v>
      </c>
      <c r="C433">
        <f>MAX(Table13[Rank])-Table13[[#This Row],[Rank]]</f>
        <v>211</v>
      </c>
      <c r="D433" t="s">
        <v>489</v>
      </c>
      <c r="E433" t="s">
        <v>15</v>
      </c>
      <c r="F433" s="1">
        <v>34508</v>
      </c>
      <c r="G433">
        <f>YEAR(Table13[[#This Row],[Date]])</f>
        <v>1994</v>
      </c>
      <c r="H433" t="s">
        <v>587</v>
      </c>
      <c r="I433">
        <f>IF(COUNTIF($E433, _xlfn.CONCAT("*",Table13[[#Headers],[Action]],"*")),1,0)</f>
        <v>0</v>
      </c>
      <c r="J433">
        <f>IF(COUNTIF($E433, _xlfn.CONCAT("*",Table13[[#Headers],[Adventure]],"*")),1,0)</f>
        <v>0</v>
      </c>
      <c r="K433">
        <f>IF(COUNTIF($E433, _xlfn.CONCAT("*",Table13[[#Headers],[Animation]],"*")),1,0)</f>
        <v>0</v>
      </c>
      <c r="L433">
        <f>IF(COUNTIF($E433, _xlfn.CONCAT("*",Table13[[#Headers],[Comedy]],"*")),1,0)</f>
        <v>1</v>
      </c>
      <c r="M433">
        <f>IF(COUNTIF($E433, _xlfn.CONCAT("*",Table13[[#Headers],[Crime]],"*")),1,0)</f>
        <v>0</v>
      </c>
      <c r="N433">
        <f>IF(COUNTIF($E433, _xlfn.CONCAT("*",Table13[[#Headers],[Documentary]],"*")),1,0)</f>
        <v>0</v>
      </c>
      <c r="O433">
        <f>IF(COUNTIF($E433, _xlfn.CONCAT("*",Table13[[#Headers],[Drama]],"*")),1,0)</f>
        <v>1</v>
      </c>
      <c r="P433">
        <f>IF(COUNTIF($E433, _xlfn.CONCAT("*",Table13[[#Headers],[Family]],"*")),1,0)</f>
        <v>0</v>
      </c>
      <c r="Q433">
        <f>IF(COUNTIF($E433, _xlfn.CONCAT("*",Table13[[#Headers],[Fantasy]],"*")),1,0)</f>
        <v>0</v>
      </c>
      <c r="R433">
        <f>IF(COUNTIF($E433, _xlfn.CONCAT("*",Table13[[#Headers],[History]],"*")),1,0)</f>
        <v>0</v>
      </c>
      <c r="S433">
        <f>IF(COUNTIF($E433, _xlfn.CONCAT("*",Table13[[#Headers],[Horror]],"*")),1,0)</f>
        <v>0</v>
      </c>
      <c r="T433">
        <f>IF(COUNTIF($E433, _xlfn.CONCAT("*",Table13[[#Headers],[Music]],"*")),1,0)</f>
        <v>0</v>
      </c>
      <c r="U433">
        <f>IF(COUNTIF($E433, _xlfn.CONCAT("*",Table13[[#Headers],[Mystery]],"*")),1,0)</f>
        <v>0</v>
      </c>
      <c r="V433">
        <f>IF(COUNTIF($E433, _xlfn.CONCAT("*",Table13[[#Headers],[Romance]],"*")),1,0)</f>
        <v>1</v>
      </c>
      <c r="W433">
        <f>IF(COUNTIF($E433, _xlfn.CONCAT("*",Table13[[#Headers],[Science Fiction]],"*")),1,0)</f>
        <v>0</v>
      </c>
      <c r="X433">
        <f>IF(COUNTIF($E433, _xlfn.CONCAT("*",Table13[[#Headers],[TV Movie]],"*")),1,0)</f>
        <v>0</v>
      </c>
      <c r="Y433">
        <f>IF(COUNTIF($E433, _xlfn.CONCAT("*",Table13[[#Headers],[Thriller]],"*")),1,0)</f>
        <v>0</v>
      </c>
      <c r="Z433">
        <f>IF(COUNTIF($E433, _xlfn.CONCAT("*",Table13[[#Headers],[War]],"*")),1,0)</f>
        <v>0</v>
      </c>
      <c r="AA433">
        <f>IF(COUNTIF($E433, _xlfn.CONCAT("*",Table13[[#Headers],[Western]],"*")),1,0)</f>
        <v>0</v>
      </c>
    </row>
    <row r="434" spans="1:27">
      <c r="A434" t="s">
        <v>588</v>
      </c>
      <c r="B434">
        <v>52</v>
      </c>
      <c r="C434">
        <f>MAX(Table13[Rank])-Table13[[#This Row],[Rank]]</f>
        <v>212</v>
      </c>
      <c r="D434" t="s">
        <v>489</v>
      </c>
      <c r="E434" t="s">
        <v>589</v>
      </c>
      <c r="F434" s="1">
        <v>33269</v>
      </c>
      <c r="G434">
        <f>YEAR(Table13[[#This Row],[Date]])</f>
        <v>1991</v>
      </c>
      <c r="H434" t="s">
        <v>590</v>
      </c>
      <c r="I434">
        <f>IF(COUNTIF($E434, _xlfn.CONCAT("*",Table13[[#Headers],[Action]],"*")),1,0)</f>
        <v>1</v>
      </c>
      <c r="J434">
        <f>IF(COUNTIF($E434, _xlfn.CONCAT("*",Table13[[#Headers],[Adventure]],"*")),1,0)</f>
        <v>0</v>
      </c>
      <c r="K434">
        <f>IF(COUNTIF($E434, _xlfn.CONCAT("*",Table13[[#Headers],[Animation]],"*")),1,0)</f>
        <v>0</v>
      </c>
      <c r="L434">
        <f>IF(COUNTIF($E434, _xlfn.CONCAT("*",Table13[[#Headers],[Comedy]],"*")),1,0)</f>
        <v>0</v>
      </c>
      <c r="M434">
        <f>IF(COUNTIF($E434, _xlfn.CONCAT("*",Table13[[#Headers],[Crime]],"*")),1,0)</f>
        <v>1</v>
      </c>
      <c r="N434">
        <f>IF(COUNTIF($E434, _xlfn.CONCAT("*",Table13[[#Headers],[Documentary]],"*")),1,0)</f>
        <v>0</v>
      </c>
      <c r="O434">
        <f>IF(COUNTIF($E434, _xlfn.CONCAT("*",Table13[[#Headers],[Drama]],"*")),1,0)</f>
        <v>0</v>
      </c>
      <c r="P434">
        <f>IF(COUNTIF($E434, _xlfn.CONCAT("*",Table13[[#Headers],[Family]],"*")),1,0)</f>
        <v>0</v>
      </c>
      <c r="Q434">
        <f>IF(COUNTIF($E434, _xlfn.CONCAT("*",Table13[[#Headers],[Fantasy]],"*")),1,0)</f>
        <v>0</v>
      </c>
      <c r="R434">
        <f>IF(COUNTIF($E434, _xlfn.CONCAT("*",Table13[[#Headers],[History]],"*")),1,0)</f>
        <v>0</v>
      </c>
      <c r="S434">
        <f>IF(COUNTIF($E434, _xlfn.CONCAT("*",Table13[[#Headers],[Horror]],"*")),1,0)</f>
        <v>0</v>
      </c>
      <c r="T434">
        <f>IF(COUNTIF($E434, _xlfn.CONCAT("*",Table13[[#Headers],[Music]],"*")),1,0)</f>
        <v>0</v>
      </c>
      <c r="U434">
        <f>IF(COUNTIF($E434, _xlfn.CONCAT("*",Table13[[#Headers],[Mystery]],"*")),1,0)</f>
        <v>0</v>
      </c>
      <c r="V434">
        <f>IF(COUNTIF($E434, _xlfn.CONCAT("*",Table13[[#Headers],[Romance]],"*")),1,0)</f>
        <v>0</v>
      </c>
      <c r="W434">
        <f>IF(COUNTIF($E434, _xlfn.CONCAT("*",Table13[[#Headers],[Science Fiction]],"*")),1,0)</f>
        <v>0</v>
      </c>
      <c r="X434">
        <f>IF(COUNTIF($E434, _xlfn.CONCAT("*",Table13[[#Headers],[TV Movie]],"*")),1,0)</f>
        <v>0</v>
      </c>
      <c r="Y434">
        <f>IF(COUNTIF($E434, _xlfn.CONCAT("*",Table13[[#Headers],[Thriller]],"*")),1,0)</f>
        <v>1</v>
      </c>
      <c r="Z434">
        <f>IF(COUNTIF($E434, _xlfn.CONCAT("*",Table13[[#Headers],[War]],"*")),1,0)</f>
        <v>0</v>
      </c>
      <c r="AA434">
        <f>IF(COUNTIF($E434, _xlfn.CONCAT("*",Table13[[#Headers],[Western]],"*")),1,0)</f>
        <v>0</v>
      </c>
    </row>
    <row r="435" spans="1:27">
      <c r="A435" t="s">
        <v>591</v>
      </c>
      <c r="B435">
        <v>51</v>
      </c>
      <c r="C435">
        <f>MAX(Table13[Rank])-Table13[[#This Row],[Rank]]</f>
        <v>213</v>
      </c>
      <c r="D435" t="s">
        <v>489</v>
      </c>
      <c r="E435" t="s">
        <v>32</v>
      </c>
      <c r="F435" s="1">
        <v>41922</v>
      </c>
      <c r="G435">
        <f>YEAR(Table13[[#This Row],[Date]])</f>
        <v>2014</v>
      </c>
      <c r="H435" t="s">
        <v>592</v>
      </c>
      <c r="I435">
        <f>IF(COUNTIF($E435, _xlfn.CONCAT("*",Table13[[#Headers],[Action]],"*")),1,0)</f>
        <v>0</v>
      </c>
      <c r="J435">
        <f>IF(COUNTIF($E435, _xlfn.CONCAT("*",Table13[[#Headers],[Adventure]],"*")),1,0)</f>
        <v>0</v>
      </c>
      <c r="K435">
        <f>IF(COUNTIF($E435, _xlfn.CONCAT("*",Table13[[#Headers],[Animation]],"*")),1,0)</f>
        <v>0</v>
      </c>
      <c r="L435">
        <f>IF(COUNTIF($E435, _xlfn.CONCAT("*",Table13[[#Headers],[Comedy]],"*")),1,0)</f>
        <v>0</v>
      </c>
      <c r="M435">
        <f>IF(COUNTIF($E435, _xlfn.CONCAT("*",Table13[[#Headers],[Crime]],"*")),1,0)</f>
        <v>0</v>
      </c>
      <c r="N435">
        <f>IF(COUNTIF($E435, _xlfn.CONCAT("*",Table13[[#Headers],[Documentary]],"*")),1,0)</f>
        <v>0</v>
      </c>
      <c r="O435">
        <f>IF(COUNTIF($E435, _xlfn.CONCAT("*",Table13[[#Headers],[Drama]],"*")),1,0)</f>
        <v>1</v>
      </c>
      <c r="P435">
        <f>IF(COUNTIF($E435, _xlfn.CONCAT("*",Table13[[#Headers],[Family]],"*")),1,0)</f>
        <v>0</v>
      </c>
      <c r="Q435">
        <f>IF(COUNTIF($E435, _xlfn.CONCAT("*",Table13[[#Headers],[Fantasy]],"*")),1,0)</f>
        <v>0</v>
      </c>
      <c r="R435">
        <f>IF(COUNTIF($E435, _xlfn.CONCAT("*",Table13[[#Headers],[History]],"*")),1,0)</f>
        <v>0</v>
      </c>
      <c r="S435">
        <f>IF(COUNTIF($E435, _xlfn.CONCAT("*",Table13[[#Headers],[Horror]],"*")),1,0)</f>
        <v>0</v>
      </c>
      <c r="T435">
        <f>IF(COUNTIF($E435, _xlfn.CONCAT("*",Table13[[#Headers],[Music]],"*")),1,0)</f>
        <v>1</v>
      </c>
      <c r="U435">
        <f>IF(COUNTIF($E435, _xlfn.CONCAT("*",Table13[[#Headers],[Mystery]],"*")),1,0)</f>
        <v>0</v>
      </c>
      <c r="V435">
        <f>IF(COUNTIF($E435, _xlfn.CONCAT("*",Table13[[#Headers],[Romance]],"*")),1,0)</f>
        <v>0</v>
      </c>
      <c r="W435">
        <f>IF(COUNTIF($E435, _xlfn.CONCAT("*",Table13[[#Headers],[Science Fiction]],"*")),1,0)</f>
        <v>0</v>
      </c>
      <c r="X435">
        <f>IF(COUNTIF($E435, _xlfn.CONCAT("*",Table13[[#Headers],[TV Movie]],"*")),1,0)</f>
        <v>0</v>
      </c>
      <c r="Y435">
        <f>IF(COUNTIF($E435, _xlfn.CONCAT("*",Table13[[#Headers],[Thriller]],"*")),1,0)</f>
        <v>0</v>
      </c>
      <c r="Z435">
        <f>IF(COUNTIF($E435, _xlfn.CONCAT("*",Table13[[#Headers],[War]],"*")),1,0)</f>
        <v>0</v>
      </c>
      <c r="AA435">
        <f>IF(COUNTIF($E435, _xlfn.CONCAT("*",Table13[[#Headers],[Western]],"*")),1,0)</f>
        <v>0</v>
      </c>
    </row>
    <row r="436" spans="1:27">
      <c r="A436" t="s">
        <v>593</v>
      </c>
      <c r="B436">
        <v>50</v>
      </c>
      <c r="C436">
        <f>MAX(Table13[Rank])-Table13[[#This Row],[Rank]]</f>
        <v>214</v>
      </c>
      <c r="D436" t="s">
        <v>489</v>
      </c>
      <c r="E436" t="s">
        <v>17</v>
      </c>
      <c r="F436" s="1">
        <v>44448</v>
      </c>
      <c r="G436">
        <f>YEAR(Table13[[#This Row],[Date]])</f>
        <v>2021</v>
      </c>
      <c r="H436" t="s">
        <v>396</v>
      </c>
      <c r="I436">
        <f>IF(COUNTIF($E436, _xlfn.CONCAT("*",Table13[[#Headers],[Action]],"*")),1,0)</f>
        <v>0</v>
      </c>
      <c r="J436">
        <f>IF(COUNTIF($E436, _xlfn.CONCAT("*",Table13[[#Headers],[Adventure]],"*")),1,0)</f>
        <v>0</v>
      </c>
      <c r="K436">
        <f>IF(COUNTIF($E436, _xlfn.CONCAT("*",Table13[[#Headers],[Animation]],"*")),1,0)</f>
        <v>0</v>
      </c>
      <c r="L436">
        <f>IF(COUNTIF($E436, _xlfn.CONCAT("*",Table13[[#Headers],[Comedy]],"*")),1,0)</f>
        <v>0</v>
      </c>
      <c r="M436">
        <f>IF(COUNTIF($E436, _xlfn.CONCAT("*",Table13[[#Headers],[Crime]],"*")),1,0)</f>
        <v>0</v>
      </c>
      <c r="N436">
        <f>IF(COUNTIF($E436, _xlfn.CONCAT("*",Table13[[#Headers],[Documentary]],"*")),1,0)</f>
        <v>1</v>
      </c>
      <c r="O436">
        <f>IF(COUNTIF($E436, _xlfn.CONCAT("*",Table13[[#Headers],[Drama]],"*")),1,0)</f>
        <v>0</v>
      </c>
      <c r="P436">
        <f>IF(COUNTIF($E436, _xlfn.CONCAT("*",Table13[[#Headers],[Family]],"*")),1,0)</f>
        <v>0</v>
      </c>
      <c r="Q436">
        <f>IF(COUNTIF($E436, _xlfn.CONCAT("*",Table13[[#Headers],[Fantasy]],"*")),1,0)</f>
        <v>0</v>
      </c>
      <c r="R436">
        <f>IF(COUNTIF($E436, _xlfn.CONCAT("*",Table13[[#Headers],[History]],"*")),1,0)</f>
        <v>0</v>
      </c>
      <c r="S436">
        <f>IF(COUNTIF($E436, _xlfn.CONCAT("*",Table13[[#Headers],[Horror]],"*")),1,0)</f>
        <v>0</v>
      </c>
      <c r="T436">
        <f>IF(COUNTIF($E436, _xlfn.CONCAT("*",Table13[[#Headers],[Music]],"*")),1,0)</f>
        <v>0</v>
      </c>
      <c r="U436">
        <f>IF(COUNTIF($E436, _xlfn.CONCAT("*",Table13[[#Headers],[Mystery]],"*")),1,0)</f>
        <v>0</v>
      </c>
      <c r="V436">
        <f>IF(COUNTIF($E436, _xlfn.CONCAT("*",Table13[[#Headers],[Romance]],"*")),1,0)</f>
        <v>0</v>
      </c>
      <c r="W436">
        <f>IF(COUNTIF($E436, _xlfn.CONCAT("*",Table13[[#Headers],[Science Fiction]],"*")),1,0)</f>
        <v>0</v>
      </c>
      <c r="X436">
        <f>IF(COUNTIF($E436, _xlfn.CONCAT("*",Table13[[#Headers],[TV Movie]],"*")),1,0)</f>
        <v>0</v>
      </c>
      <c r="Y436">
        <f>IF(COUNTIF($E436, _xlfn.CONCAT("*",Table13[[#Headers],[Thriller]],"*")),1,0)</f>
        <v>0</v>
      </c>
      <c r="Z436">
        <f>IF(COUNTIF($E436, _xlfn.CONCAT("*",Table13[[#Headers],[War]],"*")),1,0)</f>
        <v>0</v>
      </c>
      <c r="AA436">
        <f>IF(COUNTIF($E436, _xlfn.CONCAT("*",Table13[[#Headers],[Western]],"*")),1,0)</f>
        <v>0</v>
      </c>
    </row>
    <row r="437" spans="1:27">
      <c r="A437" t="s">
        <v>594</v>
      </c>
      <c r="B437">
        <v>49</v>
      </c>
      <c r="C437">
        <f>MAX(Table13[Rank])-Table13[[#This Row],[Rank]]</f>
        <v>215</v>
      </c>
      <c r="D437" t="s">
        <v>489</v>
      </c>
      <c r="E437" t="s">
        <v>299</v>
      </c>
      <c r="F437" s="1">
        <v>37092</v>
      </c>
      <c r="G437">
        <f>YEAR(Table13[[#This Row],[Date]])</f>
        <v>2001</v>
      </c>
      <c r="H437" t="s">
        <v>298</v>
      </c>
      <c r="I437">
        <f>IF(COUNTIF($E437, _xlfn.CONCAT("*",Table13[[#Headers],[Action]],"*")),1,0)</f>
        <v>0</v>
      </c>
      <c r="J437">
        <f>IF(COUNTIF($E437, _xlfn.CONCAT("*",Table13[[#Headers],[Adventure]],"*")),1,0)</f>
        <v>0</v>
      </c>
      <c r="K437">
        <f>IF(COUNTIF($E437, _xlfn.CONCAT("*",Table13[[#Headers],[Animation]],"*")),1,0)</f>
        <v>1</v>
      </c>
      <c r="L437">
        <f>IF(COUNTIF($E437, _xlfn.CONCAT("*",Table13[[#Headers],[Comedy]],"*")),1,0)</f>
        <v>0</v>
      </c>
      <c r="M437">
        <f>IF(COUNTIF($E437, _xlfn.CONCAT("*",Table13[[#Headers],[Crime]],"*")),1,0)</f>
        <v>0</v>
      </c>
      <c r="N437">
        <f>IF(COUNTIF($E437, _xlfn.CONCAT("*",Table13[[#Headers],[Documentary]],"*")),1,0)</f>
        <v>0</v>
      </c>
      <c r="O437">
        <f>IF(COUNTIF($E437, _xlfn.CONCAT("*",Table13[[#Headers],[Drama]],"*")),1,0)</f>
        <v>0</v>
      </c>
      <c r="P437">
        <f>IF(COUNTIF($E437, _xlfn.CONCAT("*",Table13[[#Headers],[Family]],"*")),1,0)</f>
        <v>1</v>
      </c>
      <c r="Q437">
        <f>IF(COUNTIF($E437, _xlfn.CONCAT("*",Table13[[#Headers],[Fantasy]],"*")),1,0)</f>
        <v>1</v>
      </c>
      <c r="R437">
        <f>IF(COUNTIF($E437, _xlfn.CONCAT("*",Table13[[#Headers],[History]],"*")),1,0)</f>
        <v>0</v>
      </c>
      <c r="S437">
        <f>IF(COUNTIF($E437, _xlfn.CONCAT("*",Table13[[#Headers],[Horror]],"*")),1,0)</f>
        <v>0</v>
      </c>
      <c r="T437">
        <f>IF(COUNTIF($E437, _xlfn.CONCAT("*",Table13[[#Headers],[Music]],"*")),1,0)</f>
        <v>0</v>
      </c>
      <c r="U437">
        <f>IF(COUNTIF($E437, _xlfn.CONCAT("*",Table13[[#Headers],[Mystery]],"*")),1,0)</f>
        <v>0</v>
      </c>
      <c r="V437">
        <f>IF(COUNTIF($E437, _xlfn.CONCAT("*",Table13[[#Headers],[Romance]],"*")),1,0)</f>
        <v>0</v>
      </c>
      <c r="W437">
        <f>IF(COUNTIF($E437, _xlfn.CONCAT("*",Table13[[#Headers],[Science Fiction]],"*")),1,0)</f>
        <v>0</v>
      </c>
      <c r="X437">
        <f>IF(COUNTIF($E437, _xlfn.CONCAT("*",Table13[[#Headers],[TV Movie]],"*")),1,0)</f>
        <v>0</v>
      </c>
      <c r="Y437">
        <f>IF(COUNTIF($E437, _xlfn.CONCAT("*",Table13[[#Headers],[Thriller]],"*")),1,0)</f>
        <v>0</v>
      </c>
      <c r="Z437">
        <f>IF(COUNTIF($E437, _xlfn.CONCAT("*",Table13[[#Headers],[War]],"*")),1,0)</f>
        <v>0</v>
      </c>
      <c r="AA437">
        <f>IF(COUNTIF($E437, _xlfn.CONCAT("*",Table13[[#Headers],[Western]],"*")),1,0)</f>
        <v>0</v>
      </c>
    </row>
    <row r="438" spans="1:27">
      <c r="A438" t="s">
        <v>595</v>
      </c>
      <c r="B438">
        <v>48</v>
      </c>
      <c r="C438">
        <f>MAX(Table13[Rank])-Table13[[#This Row],[Rank]]</f>
        <v>216</v>
      </c>
      <c r="D438" t="s">
        <v>489</v>
      </c>
      <c r="E438" t="s">
        <v>596</v>
      </c>
      <c r="F438" s="1">
        <v>44511</v>
      </c>
      <c r="G438">
        <f>YEAR(Table13[[#This Row],[Date]])</f>
        <v>2021</v>
      </c>
      <c r="H438" t="s">
        <v>597</v>
      </c>
      <c r="I438">
        <f>IF(COUNTIF($E438, _xlfn.CONCAT("*",Table13[[#Headers],[Action]],"*")),1,0)</f>
        <v>0</v>
      </c>
      <c r="J438">
        <f>IF(COUNTIF($E438, _xlfn.CONCAT("*",Table13[[#Headers],[Adventure]],"*")),1,0)</f>
        <v>1</v>
      </c>
      <c r="K438">
        <f>IF(COUNTIF($E438, _xlfn.CONCAT("*",Table13[[#Headers],[Animation]],"*")),1,0)</f>
        <v>0</v>
      </c>
      <c r="L438">
        <f>IF(COUNTIF($E438, _xlfn.CONCAT("*",Table13[[#Headers],[Comedy]],"*")),1,0)</f>
        <v>1</v>
      </c>
      <c r="M438">
        <f>IF(COUNTIF($E438, _xlfn.CONCAT("*",Table13[[#Headers],[Crime]],"*")),1,0)</f>
        <v>0</v>
      </c>
      <c r="N438">
        <f>IF(COUNTIF($E438, _xlfn.CONCAT("*",Table13[[#Headers],[Documentary]],"*")),1,0)</f>
        <v>0</v>
      </c>
      <c r="O438">
        <f>IF(COUNTIF($E438, _xlfn.CONCAT("*",Table13[[#Headers],[Drama]],"*")),1,0)</f>
        <v>0</v>
      </c>
      <c r="P438">
        <f>IF(COUNTIF($E438, _xlfn.CONCAT("*",Table13[[#Headers],[Family]],"*")),1,0)</f>
        <v>0</v>
      </c>
      <c r="Q438">
        <f>IF(COUNTIF($E438, _xlfn.CONCAT("*",Table13[[#Headers],[Fantasy]],"*")),1,0)</f>
        <v>1</v>
      </c>
      <c r="R438">
        <f>IF(COUNTIF($E438, _xlfn.CONCAT("*",Table13[[#Headers],[History]],"*")),1,0)</f>
        <v>0</v>
      </c>
      <c r="S438">
        <f>IF(COUNTIF($E438, _xlfn.CONCAT("*",Table13[[#Headers],[Horror]],"*")),1,0)</f>
        <v>0</v>
      </c>
      <c r="T438">
        <f>IF(COUNTIF($E438, _xlfn.CONCAT("*",Table13[[#Headers],[Music]],"*")),1,0)</f>
        <v>0</v>
      </c>
      <c r="U438">
        <f>IF(COUNTIF($E438, _xlfn.CONCAT("*",Table13[[#Headers],[Mystery]],"*")),1,0)</f>
        <v>0</v>
      </c>
      <c r="V438">
        <f>IF(COUNTIF($E438, _xlfn.CONCAT("*",Table13[[#Headers],[Romance]],"*")),1,0)</f>
        <v>0</v>
      </c>
      <c r="W438">
        <f>IF(COUNTIF($E438, _xlfn.CONCAT("*",Table13[[#Headers],[Science Fiction]],"*")),1,0)</f>
        <v>0</v>
      </c>
      <c r="X438">
        <f>IF(COUNTIF($E438, _xlfn.CONCAT("*",Table13[[#Headers],[TV Movie]],"*")),1,0)</f>
        <v>0</v>
      </c>
      <c r="Y438">
        <f>IF(COUNTIF($E438, _xlfn.CONCAT("*",Table13[[#Headers],[Thriller]],"*")),1,0)</f>
        <v>0</v>
      </c>
      <c r="Z438">
        <f>IF(COUNTIF($E438, _xlfn.CONCAT("*",Table13[[#Headers],[War]],"*")),1,0)</f>
        <v>0</v>
      </c>
      <c r="AA438">
        <f>IF(COUNTIF($E438, _xlfn.CONCAT("*",Table13[[#Headers],[Western]],"*")),1,0)</f>
        <v>0</v>
      </c>
    </row>
    <row r="439" spans="1:27">
      <c r="A439" t="s">
        <v>598</v>
      </c>
      <c r="B439">
        <v>47</v>
      </c>
      <c r="C439">
        <f>MAX(Table13[Rank])-Table13[[#This Row],[Rank]]</f>
        <v>217</v>
      </c>
      <c r="D439" t="s">
        <v>489</v>
      </c>
      <c r="E439" t="s">
        <v>21</v>
      </c>
      <c r="F439" s="1">
        <v>32673</v>
      </c>
      <c r="G439">
        <f>YEAR(Table13[[#This Row],[Date]])</f>
        <v>1989</v>
      </c>
      <c r="H439" t="s">
        <v>369</v>
      </c>
      <c r="I439">
        <f>IF(COUNTIF($E439, _xlfn.CONCAT("*",Table13[[#Headers],[Action]],"*")),1,0)</f>
        <v>0</v>
      </c>
      <c r="J439">
        <f>IF(COUNTIF($E439, _xlfn.CONCAT("*",Table13[[#Headers],[Adventure]],"*")),1,0)</f>
        <v>0</v>
      </c>
      <c r="K439">
        <f>IF(COUNTIF($E439, _xlfn.CONCAT("*",Table13[[#Headers],[Animation]],"*")),1,0)</f>
        <v>0</v>
      </c>
      <c r="L439">
        <f>IF(COUNTIF($E439, _xlfn.CONCAT("*",Table13[[#Headers],[Comedy]],"*")),1,0)</f>
        <v>0</v>
      </c>
      <c r="M439">
        <f>IF(COUNTIF($E439, _xlfn.CONCAT("*",Table13[[#Headers],[Crime]],"*")),1,0)</f>
        <v>0</v>
      </c>
      <c r="N439">
        <f>IF(COUNTIF($E439, _xlfn.CONCAT("*",Table13[[#Headers],[Documentary]],"*")),1,0)</f>
        <v>0</v>
      </c>
      <c r="O439">
        <f>IF(COUNTIF($E439, _xlfn.CONCAT("*",Table13[[#Headers],[Drama]],"*")),1,0)</f>
        <v>1</v>
      </c>
      <c r="P439">
        <f>IF(COUNTIF($E439, _xlfn.CONCAT("*",Table13[[#Headers],[Family]],"*")),1,0)</f>
        <v>0</v>
      </c>
      <c r="Q439">
        <f>IF(COUNTIF($E439, _xlfn.CONCAT("*",Table13[[#Headers],[Fantasy]],"*")),1,0)</f>
        <v>0</v>
      </c>
      <c r="R439">
        <f>IF(COUNTIF($E439, _xlfn.CONCAT("*",Table13[[#Headers],[History]],"*")),1,0)</f>
        <v>0</v>
      </c>
      <c r="S439">
        <f>IF(COUNTIF($E439, _xlfn.CONCAT("*",Table13[[#Headers],[Horror]],"*")),1,0)</f>
        <v>0</v>
      </c>
      <c r="T439">
        <f>IF(COUNTIF($E439, _xlfn.CONCAT("*",Table13[[#Headers],[Music]],"*")),1,0)</f>
        <v>0</v>
      </c>
      <c r="U439">
        <f>IF(COUNTIF($E439, _xlfn.CONCAT("*",Table13[[#Headers],[Mystery]],"*")),1,0)</f>
        <v>0</v>
      </c>
      <c r="V439">
        <f>IF(COUNTIF($E439, _xlfn.CONCAT("*",Table13[[#Headers],[Romance]],"*")),1,0)</f>
        <v>0</v>
      </c>
      <c r="W439">
        <f>IF(COUNTIF($E439, _xlfn.CONCAT("*",Table13[[#Headers],[Science Fiction]],"*")),1,0)</f>
        <v>0</v>
      </c>
      <c r="X439">
        <f>IF(COUNTIF($E439, _xlfn.CONCAT("*",Table13[[#Headers],[TV Movie]],"*")),1,0)</f>
        <v>0</v>
      </c>
      <c r="Y439">
        <f>IF(COUNTIF($E439, _xlfn.CONCAT("*",Table13[[#Headers],[Thriller]],"*")),1,0)</f>
        <v>0</v>
      </c>
      <c r="Z439">
        <f>IF(COUNTIF($E439, _xlfn.CONCAT("*",Table13[[#Headers],[War]],"*")),1,0)</f>
        <v>0</v>
      </c>
      <c r="AA439">
        <f>IF(COUNTIF($E439, _xlfn.CONCAT("*",Table13[[#Headers],[Western]],"*")),1,0)</f>
        <v>0</v>
      </c>
    </row>
    <row r="440" spans="1:27">
      <c r="A440" t="s">
        <v>599</v>
      </c>
      <c r="B440">
        <v>46</v>
      </c>
      <c r="C440">
        <f>MAX(Table13[Rank])-Table13[[#This Row],[Rank]]</f>
        <v>218</v>
      </c>
      <c r="D440" t="s">
        <v>489</v>
      </c>
      <c r="E440" t="s">
        <v>186</v>
      </c>
      <c r="F440" s="1">
        <v>34318</v>
      </c>
      <c r="G440">
        <f>YEAR(Table13[[#This Row],[Date]])</f>
        <v>1993</v>
      </c>
      <c r="H440" t="s">
        <v>600</v>
      </c>
      <c r="I440">
        <f>IF(COUNTIF($E440, _xlfn.CONCAT("*",Table13[[#Headers],[Action]],"*")),1,0)</f>
        <v>0</v>
      </c>
      <c r="J440">
        <f>IF(COUNTIF($E440, _xlfn.CONCAT("*",Table13[[#Headers],[Adventure]],"*")),1,0)</f>
        <v>0</v>
      </c>
      <c r="K440">
        <f>IF(COUNTIF($E440, _xlfn.CONCAT("*",Table13[[#Headers],[Animation]],"*")),1,0)</f>
        <v>0</v>
      </c>
      <c r="L440">
        <f>IF(COUNTIF($E440, _xlfn.CONCAT("*",Table13[[#Headers],[Comedy]],"*")),1,0)</f>
        <v>0</v>
      </c>
      <c r="M440">
        <f>IF(COUNTIF($E440, _xlfn.CONCAT("*",Table13[[#Headers],[Crime]],"*")),1,0)</f>
        <v>0</v>
      </c>
      <c r="N440">
        <f>IF(COUNTIF($E440, _xlfn.CONCAT("*",Table13[[#Headers],[Documentary]],"*")),1,0)</f>
        <v>0</v>
      </c>
      <c r="O440">
        <f>IF(COUNTIF($E440, _xlfn.CONCAT("*",Table13[[#Headers],[Drama]],"*")),1,0)</f>
        <v>1</v>
      </c>
      <c r="P440">
        <f>IF(COUNTIF($E440, _xlfn.CONCAT("*",Table13[[#Headers],[Family]],"*")),1,0)</f>
        <v>0</v>
      </c>
      <c r="Q440">
        <f>IF(COUNTIF($E440, _xlfn.CONCAT("*",Table13[[#Headers],[Fantasy]],"*")),1,0)</f>
        <v>0</v>
      </c>
      <c r="R440">
        <f>IF(COUNTIF($E440, _xlfn.CONCAT("*",Table13[[#Headers],[History]],"*")),1,0)</f>
        <v>1</v>
      </c>
      <c r="S440">
        <f>IF(COUNTIF($E440, _xlfn.CONCAT("*",Table13[[#Headers],[Horror]],"*")),1,0)</f>
        <v>0</v>
      </c>
      <c r="T440">
        <f>IF(COUNTIF($E440, _xlfn.CONCAT("*",Table13[[#Headers],[Music]],"*")),1,0)</f>
        <v>0</v>
      </c>
      <c r="U440">
        <f>IF(COUNTIF($E440, _xlfn.CONCAT("*",Table13[[#Headers],[Mystery]],"*")),1,0)</f>
        <v>0</v>
      </c>
      <c r="V440">
        <f>IF(COUNTIF($E440, _xlfn.CONCAT("*",Table13[[#Headers],[Romance]],"*")),1,0)</f>
        <v>0</v>
      </c>
      <c r="W440">
        <f>IF(COUNTIF($E440, _xlfn.CONCAT("*",Table13[[#Headers],[Science Fiction]],"*")),1,0)</f>
        <v>0</v>
      </c>
      <c r="X440">
        <f>IF(COUNTIF($E440, _xlfn.CONCAT("*",Table13[[#Headers],[TV Movie]],"*")),1,0)</f>
        <v>0</v>
      </c>
      <c r="Y440">
        <f>IF(COUNTIF($E440, _xlfn.CONCAT("*",Table13[[#Headers],[Thriller]],"*")),1,0)</f>
        <v>0</v>
      </c>
      <c r="Z440">
        <f>IF(COUNTIF($E440, _xlfn.CONCAT("*",Table13[[#Headers],[War]],"*")),1,0)</f>
        <v>1</v>
      </c>
      <c r="AA440">
        <f>IF(COUNTIF($E440, _xlfn.CONCAT("*",Table13[[#Headers],[Western]],"*")),1,0)</f>
        <v>0</v>
      </c>
    </row>
    <row r="441" spans="1:27">
      <c r="A441" t="s">
        <v>601</v>
      </c>
      <c r="B441">
        <v>45</v>
      </c>
      <c r="C441">
        <f>MAX(Table13[Rank])-Table13[[#This Row],[Rank]]</f>
        <v>219</v>
      </c>
      <c r="D441" t="s">
        <v>489</v>
      </c>
      <c r="E441" t="s">
        <v>602</v>
      </c>
      <c r="F441" s="1">
        <v>35860</v>
      </c>
      <c r="G441">
        <f>YEAR(Table13[[#This Row],[Date]])</f>
        <v>1998</v>
      </c>
      <c r="H441" t="s">
        <v>603</v>
      </c>
      <c r="I441">
        <f>IF(COUNTIF($E441, _xlfn.CONCAT("*",Table13[[#Headers],[Action]],"*")),1,0)</f>
        <v>0</v>
      </c>
      <c r="J441">
        <f>IF(COUNTIF($E441, _xlfn.CONCAT("*",Table13[[#Headers],[Adventure]],"*")),1,0)</f>
        <v>0</v>
      </c>
      <c r="K441">
        <f>IF(COUNTIF($E441, _xlfn.CONCAT("*",Table13[[#Headers],[Animation]],"*")),1,0)</f>
        <v>0</v>
      </c>
      <c r="L441">
        <f>IF(COUNTIF($E441, _xlfn.CONCAT("*",Table13[[#Headers],[Comedy]],"*")),1,0)</f>
        <v>1</v>
      </c>
      <c r="M441">
        <f>IF(COUNTIF($E441, _xlfn.CONCAT("*",Table13[[#Headers],[Crime]],"*")),1,0)</f>
        <v>1</v>
      </c>
      <c r="N441">
        <f>IF(COUNTIF($E441, _xlfn.CONCAT("*",Table13[[#Headers],[Documentary]],"*")),1,0)</f>
        <v>0</v>
      </c>
      <c r="O441">
        <f>IF(COUNTIF($E441, _xlfn.CONCAT("*",Table13[[#Headers],[Drama]],"*")),1,0)</f>
        <v>0</v>
      </c>
      <c r="P441">
        <f>IF(COUNTIF($E441, _xlfn.CONCAT("*",Table13[[#Headers],[Family]],"*")),1,0)</f>
        <v>0</v>
      </c>
      <c r="Q441">
        <f>IF(COUNTIF($E441, _xlfn.CONCAT("*",Table13[[#Headers],[Fantasy]],"*")),1,0)</f>
        <v>0</v>
      </c>
      <c r="R441">
        <f>IF(COUNTIF($E441, _xlfn.CONCAT("*",Table13[[#Headers],[History]],"*")),1,0)</f>
        <v>0</v>
      </c>
      <c r="S441">
        <f>IF(COUNTIF($E441, _xlfn.CONCAT("*",Table13[[#Headers],[Horror]],"*")),1,0)</f>
        <v>0</v>
      </c>
      <c r="T441">
        <f>IF(COUNTIF($E441, _xlfn.CONCAT("*",Table13[[#Headers],[Music]],"*")),1,0)</f>
        <v>0</v>
      </c>
      <c r="U441">
        <f>IF(COUNTIF($E441, _xlfn.CONCAT("*",Table13[[#Headers],[Mystery]],"*")),1,0)</f>
        <v>0</v>
      </c>
      <c r="V441">
        <f>IF(COUNTIF($E441, _xlfn.CONCAT("*",Table13[[#Headers],[Romance]],"*")),1,0)</f>
        <v>0</v>
      </c>
      <c r="W441">
        <f>IF(COUNTIF($E441, _xlfn.CONCAT("*",Table13[[#Headers],[Science Fiction]],"*")),1,0)</f>
        <v>0</v>
      </c>
      <c r="X441">
        <f>IF(COUNTIF($E441, _xlfn.CONCAT("*",Table13[[#Headers],[TV Movie]],"*")),1,0)</f>
        <v>0</v>
      </c>
      <c r="Y441">
        <f>IF(COUNTIF($E441, _xlfn.CONCAT("*",Table13[[#Headers],[Thriller]],"*")),1,0)</f>
        <v>0</v>
      </c>
      <c r="Z441">
        <f>IF(COUNTIF($E441, _xlfn.CONCAT("*",Table13[[#Headers],[War]],"*")),1,0)</f>
        <v>0</v>
      </c>
      <c r="AA441">
        <f>IF(COUNTIF($E441, _xlfn.CONCAT("*",Table13[[#Headers],[Western]],"*")),1,0)</f>
        <v>0</v>
      </c>
    </row>
    <row r="442" spans="1:27">
      <c r="A442" t="s">
        <v>604</v>
      </c>
      <c r="B442">
        <v>44</v>
      </c>
      <c r="C442">
        <f>MAX(Table13[Rank])-Table13[[#This Row],[Rank]]</f>
        <v>220</v>
      </c>
      <c r="D442" t="s">
        <v>489</v>
      </c>
      <c r="E442" t="s">
        <v>211</v>
      </c>
      <c r="F442" s="1">
        <v>17156</v>
      </c>
      <c r="G442">
        <f>YEAR(Table13[[#This Row],[Date]])</f>
        <v>1946</v>
      </c>
      <c r="H442" t="s">
        <v>210</v>
      </c>
      <c r="I442">
        <f>IF(COUNTIF($E442, _xlfn.CONCAT("*",Table13[[#Headers],[Action]],"*")),1,0)</f>
        <v>0</v>
      </c>
      <c r="J442">
        <f>IF(COUNTIF($E442, _xlfn.CONCAT("*",Table13[[#Headers],[Adventure]],"*")),1,0)</f>
        <v>0</v>
      </c>
      <c r="K442">
        <f>IF(COUNTIF($E442, _xlfn.CONCAT("*",Table13[[#Headers],[Animation]],"*")),1,0)</f>
        <v>0</v>
      </c>
      <c r="L442">
        <f>IF(COUNTIF($E442, _xlfn.CONCAT("*",Table13[[#Headers],[Comedy]],"*")),1,0)</f>
        <v>0</v>
      </c>
      <c r="M442">
        <f>IF(COUNTIF($E442, _xlfn.CONCAT("*",Table13[[#Headers],[Crime]],"*")),1,0)</f>
        <v>0</v>
      </c>
      <c r="N442">
        <f>IF(COUNTIF($E442, _xlfn.CONCAT("*",Table13[[#Headers],[Documentary]],"*")),1,0)</f>
        <v>0</v>
      </c>
      <c r="O442">
        <f>IF(COUNTIF($E442, _xlfn.CONCAT("*",Table13[[#Headers],[Drama]],"*")),1,0)</f>
        <v>1</v>
      </c>
      <c r="P442">
        <f>IF(COUNTIF($E442, _xlfn.CONCAT("*",Table13[[#Headers],[Family]],"*")),1,0)</f>
        <v>1</v>
      </c>
      <c r="Q442">
        <f>IF(COUNTIF($E442, _xlfn.CONCAT("*",Table13[[#Headers],[Fantasy]],"*")),1,0)</f>
        <v>1</v>
      </c>
      <c r="R442">
        <f>IF(COUNTIF($E442, _xlfn.CONCAT("*",Table13[[#Headers],[History]],"*")),1,0)</f>
        <v>0</v>
      </c>
      <c r="S442">
        <f>IF(COUNTIF($E442, _xlfn.CONCAT("*",Table13[[#Headers],[Horror]],"*")),1,0)</f>
        <v>0</v>
      </c>
      <c r="T442">
        <f>IF(COUNTIF($E442, _xlfn.CONCAT("*",Table13[[#Headers],[Music]],"*")),1,0)</f>
        <v>0</v>
      </c>
      <c r="U442">
        <f>IF(COUNTIF($E442, _xlfn.CONCAT("*",Table13[[#Headers],[Mystery]],"*")),1,0)</f>
        <v>0</v>
      </c>
      <c r="V442">
        <f>IF(COUNTIF($E442, _xlfn.CONCAT("*",Table13[[#Headers],[Romance]],"*")),1,0)</f>
        <v>0</v>
      </c>
      <c r="W442">
        <f>IF(COUNTIF($E442, _xlfn.CONCAT("*",Table13[[#Headers],[Science Fiction]],"*")),1,0)</f>
        <v>0</v>
      </c>
      <c r="X442">
        <f>IF(COUNTIF($E442, _xlfn.CONCAT("*",Table13[[#Headers],[TV Movie]],"*")),1,0)</f>
        <v>0</v>
      </c>
      <c r="Y442">
        <f>IF(COUNTIF($E442, _xlfn.CONCAT("*",Table13[[#Headers],[Thriller]],"*")),1,0)</f>
        <v>0</v>
      </c>
      <c r="Z442">
        <f>IF(COUNTIF($E442, _xlfn.CONCAT("*",Table13[[#Headers],[War]],"*")),1,0)</f>
        <v>0</v>
      </c>
      <c r="AA442">
        <f>IF(COUNTIF($E442, _xlfn.CONCAT("*",Table13[[#Headers],[Western]],"*")),1,0)</f>
        <v>0</v>
      </c>
    </row>
    <row r="443" spans="1:27">
      <c r="A443" t="s">
        <v>605</v>
      </c>
      <c r="B443">
        <v>43</v>
      </c>
      <c r="C443">
        <f>MAX(Table13[Rank])-Table13[[#This Row],[Rank]]</f>
        <v>221</v>
      </c>
      <c r="D443" t="s">
        <v>489</v>
      </c>
      <c r="E443" t="s">
        <v>21</v>
      </c>
      <c r="F443" s="1">
        <v>39442</v>
      </c>
      <c r="G443">
        <f>YEAR(Table13[[#This Row],[Date]])</f>
        <v>2007</v>
      </c>
      <c r="H443" t="s">
        <v>234</v>
      </c>
      <c r="I443">
        <f>IF(COUNTIF($E443, _xlfn.CONCAT("*",Table13[[#Headers],[Action]],"*")),1,0)</f>
        <v>0</v>
      </c>
      <c r="J443">
        <f>IF(COUNTIF($E443, _xlfn.CONCAT("*",Table13[[#Headers],[Adventure]],"*")),1,0)</f>
        <v>0</v>
      </c>
      <c r="K443">
        <f>IF(COUNTIF($E443, _xlfn.CONCAT("*",Table13[[#Headers],[Animation]],"*")),1,0)</f>
        <v>0</v>
      </c>
      <c r="L443">
        <f>IF(COUNTIF($E443, _xlfn.CONCAT("*",Table13[[#Headers],[Comedy]],"*")),1,0)</f>
        <v>0</v>
      </c>
      <c r="M443">
        <f>IF(COUNTIF($E443, _xlfn.CONCAT("*",Table13[[#Headers],[Crime]],"*")),1,0)</f>
        <v>0</v>
      </c>
      <c r="N443">
        <f>IF(COUNTIF($E443, _xlfn.CONCAT("*",Table13[[#Headers],[Documentary]],"*")),1,0)</f>
        <v>0</v>
      </c>
      <c r="O443">
        <f>IF(COUNTIF($E443, _xlfn.CONCAT("*",Table13[[#Headers],[Drama]],"*")),1,0)</f>
        <v>1</v>
      </c>
      <c r="P443">
        <f>IF(COUNTIF($E443, _xlfn.CONCAT("*",Table13[[#Headers],[Family]],"*")),1,0)</f>
        <v>0</v>
      </c>
      <c r="Q443">
        <f>IF(COUNTIF($E443, _xlfn.CONCAT("*",Table13[[#Headers],[Fantasy]],"*")),1,0)</f>
        <v>0</v>
      </c>
      <c r="R443">
        <f>IF(COUNTIF($E443, _xlfn.CONCAT("*",Table13[[#Headers],[History]],"*")),1,0)</f>
        <v>0</v>
      </c>
      <c r="S443">
        <f>IF(COUNTIF($E443, _xlfn.CONCAT("*",Table13[[#Headers],[Horror]],"*")),1,0)</f>
        <v>0</v>
      </c>
      <c r="T443">
        <f>IF(COUNTIF($E443, _xlfn.CONCAT("*",Table13[[#Headers],[Music]],"*")),1,0)</f>
        <v>0</v>
      </c>
      <c r="U443">
        <f>IF(COUNTIF($E443, _xlfn.CONCAT("*",Table13[[#Headers],[Mystery]],"*")),1,0)</f>
        <v>0</v>
      </c>
      <c r="V443">
        <f>IF(COUNTIF($E443, _xlfn.CONCAT("*",Table13[[#Headers],[Romance]],"*")),1,0)</f>
        <v>0</v>
      </c>
      <c r="W443">
        <f>IF(COUNTIF($E443, _xlfn.CONCAT("*",Table13[[#Headers],[Science Fiction]],"*")),1,0)</f>
        <v>0</v>
      </c>
      <c r="X443">
        <f>IF(COUNTIF($E443, _xlfn.CONCAT("*",Table13[[#Headers],[TV Movie]],"*")),1,0)</f>
        <v>0</v>
      </c>
      <c r="Y443">
        <f>IF(COUNTIF($E443, _xlfn.CONCAT("*",Table13[[#Headers],[Thriller]],"*")),1,0)</f>
        <v>0</v>
      </c>
      <c r="Z443">
        <f>IF(COUNTIF($E443, _xlfn.CONCAT("*",Table13[[#Headers],[War]],"*")),1,0)</f>
        <v>0</v>
      </c>
      <c r="AA443">
        <f>IF(COUNTIF($E443, _xlfn.CONCAT("*",Table13[[#Headers],[Western]],"*")),1,0)</f>
        <v>0</v>
      </c>
    </row>
    <row r="444" spans="1:27">
      <c r="A444" t="s">
        <v>606</v>
      </c>
      <c r="B444">
        <v>42</v>
      </c>
      <c r="C444">
        <f>MAX(Table13[Rank])-Table13[[#This Row],[Rank]]</f>
        <v>222</v>
      </c>
      <c r="D444" t="s">
        <v>489</v>
      </c>
      <c r="E444" t="s">
        <v>21</v>
      </c>
      <c r="F444" s="1">
        <v>20920</v>
      </c>
      <c r="G444">
        <f>YEAR(Table13[[#This Row],[Date]])</f>
        <v>1957</v>
      </c>
      <c r="H444" t="s">
        <v>420</v>
      </c>
      <c r="I444">
        <f>IF(COUNTIF($E444, _xlfn.CONCAT("*",Table13[[#Headers],[Action]],"*")),1,0)</f>
        <v>0</v>
      </c>
      <c r="J444">
        <f>IF(COUNTIF($E444, _xlfn.CONCAT("*",Table13[[#Headers],[Adventure]],"*")),1,0)</f>
        <v>0</v>
      </c>
      <c r="K444">
        <f>IF(COUNTIF($E444, _xlfn.CONCAT("*",Table13[[#Headers],[Animation]],"*")),1,0)</f>
        <v>0</v>
      </c>
      <c r="L444">
        <f>IF(COUNTIF($E444, _xlfn.CONCAT("*",Table13[[#Headers],[Comedy]],"*")),1,0)</f>
        <v>0</v>
      </c>
      <c r="M444">
        <f>IF(COUNTIF($E444, _xlfn.CONCAT("*",Table13[[#Headers],[Crime]],"*")),1,0)</f>
        <v>0</v>
      </c>
      <c r="N444">
        <f>IF(COUNTIF($E444, _xlfn.CONCAT("*",Table13[[#Headers],[Documentary]],"*")),1,0)</f>
        <v>0</v>
      </c>
      <c r="O444">
        <f>IF(COUNTIF($E444, _xlfn.CONCAT("*",Table13[[#Headers],[Drama]],"*")),1,0)</f>
        <v>1</v>
      </c>
      <c r="P444">
        <f>IF(COUNTIF($E444, _xlfn.CONCAT("*",Table13[[#Headers],[Family]],"*")),1,0)</f>
        <v>0</v>
      </c>
      <c r="Q444">
        <f>IF(COUNTIF($E444, _xlfn.CONCAT("*",Table13[[#Headers],[Fantasy]],"*")),1,0)</f>
        <v>0</v>
      </c>
      <c r="R444">
        <f>IF(COUNTIF($E444, _xlfn.CONCAT("*",Table13[[#Headers],[History]],"*")),1,0)</f>
        <v>0</v>
      </c>
      <c r="S444">
        <f>IF(COUNTIF($E444, _xlfn.CONCAT("*",Table13[[#Headers],[Horror]],"*")),1,0)</f>
        <v>0</v>
      </c>
      <c r="T444">
        <f>IF(COUNTIF($E444, _xlfn.CONCAT("*",Table13[[#Headers],[Music]],"*")),1,0)</f>
        <v>0</v>
      </c>
      <c r="U444">
        <f>IF(COUNTIF($E444, _xlfn.CONCAT("*",Table13[[#Headers],[Mystery]],"*")),1,0)</f>
        <v>0</v>
      </c>
      <c r="V444">
        <f>IF(COUNTIF($E444, _xlfn.CONCAT("*",Table13[[#Headers],[Romance]],"*")),1,0)</f>
        <v>0</v>
      </c>
      <c r="W444">
        <f>IF(COUNTIF($E444, _xlfn.CONCAT("*",Table13[[#Headers],[Science Fiction]],"*")),1,0)</f>
        <v>0</v>
      </c>
      <c r="X444">
        <f>IF(COUNTIF($E444, _xlfn.CONCAT("*",Table13[[#Headers],[TV Movie]],"*")),1,0)</f>
        <v>0</v>
      </c>
      <c r="Y444">
        <f>IF(COUNTIF($E444, _xlfn.CONCAT("*",Table13[[#Headers],[Thriller]],"*")),1,0)</f>
        <v>0</v>
      </c>
      <c r="Z444">
        <f>IF(COUNTIF($E444, _xlfn.CONCAT("*",Table13[[#Headers],[War]],"*")),1,0)</f>
        <v>0</v>
      </c>
      <c r="AA444">
        <f>IF(COUNTIF($E444, _xlfn.CONCAT("*",Table13[[#Headers],[Western]],"*")),1,0)</f>
        <v>0</v>
      </c>
    </row>
    <row r="445" spans="1:27">
      <c r="A445" t="s">
        <v>607</v>
      </c>
      <c r="B445">
        <v>41</v>
      </c>
      <c r="C445">
        <f>MAX(Table13[Rank])-Table13[[#This Row],[Rank]]</f>
        <v>223</v>
      </c>
      <c r="D445" t="s">
        <v>489</v>
      </c>
      <c r="E445" t="s">
        <v>367</v>
      </c>
      <c r="F445" s="1">
        <v>33283</v>
      </c>
      <c r="G445">
        <f>YEAR(Table13[[#This Row],[Date]])</f>
        <v>1991</v>
      </c>
      <c r="H445" t="s">
        <v>474</v>
      </c>
      <c r="I445">
        <f>IF(COUNTIF($E445, _xlfn.CONCAT("*",Table13[[#Headers],[Action]],"*")),1,0)</f>
        <v>0</v>
      </c>
      <c r="J445">
        <f>IF(COUNTIF($E445, _xlfn.CONCAT("*",Table13[[#Headers],[Adventure]],"*")),1,0)</f>
        <v>0</v>
      </c>
      <c r="K445">
        <f>IF(COUNTIF($E445, _xlfn.CONCAT("*",Table13[[#Headers],[Animation]],"*")),1,0)</f>
        <v>0</v>
      </c>
      <c r="L445">
        <f>IF(COUNTIF($E445, _xlfn.CONCAT("*",Table13[[#Headers],[Comedy]],"*")),1,0)</f>
        <v>0</v>
      </c>
      <c r="M445">
        <f>IF(COUNTIF($E445, _xlfn.CONCAT("*",Table13[[#Headers],[Crime]],"*")),1,0)</f>
        <v>1</v>
      </c>
      <c r="N445">
        <f>IF(COUNTIF($E445, _xlfn.CONCAT("*",Table13[[#Headers],[Documentary]],"*")),1,0)</f>
        <v>0</v>
      </c>
      <c r="O445">
        <f>IF(COUNTIF($E445, _xlfn.CONCAT("*",Table13[[#Headers],[Drama]],"*")),1,0)</f>
        <v>1</v>
      </c>
      <c r="P445">
        <f>IF(COUNTIF($E445, _xlfn.CONCAT("*",Table13[[#Headers],[Family]],"*")),1,0)</f>
        <v>0</v>
      </c>
      <c r="Q445">
        <f>IF(COUNTIF($E445, _xlfn.CONCAT("*",Table13[[#Headers],[Fantasy]],"*")),1,0)</f>
        <v>0</v>
      </c>
      <c r="R445">
        <f>IF(COUNTIF($E445, _xlfn.CONCAT("*",Table13[[#Headers],[History]],"*")),1,0)</f>
        <v>0</v>
      </c>
      <c r="S445">
        <f>IF(COUNTIF($E445, _xlfn.CONCAT("*",Table13[[#Headers],[Horror]],"*")),1,0)</f>
        <v>0</v>
      </c>
      <c r="T445">
        <f>IF(COUNTIF($E445, _xlfn.CONCAT("*",Table13[[#Headers],[Music]],"*")),1,0)</f>
        <v>0</v>
      </c>
      <c r="U445">
        <f>IF(COUNTIF($E445, _xlfn.CONCAT("*",Table13[[#Headers],[Mystery]],"*")),1,0)</f>
        <v>0</v>
      </c>
      <c r="V445">
        <f>IF(COUNTIF($E445, _xlfn.CONCAT("*",Table13[[#Headers],[Romance]],"*")),1,0)</f>
        <v>0</v>
      </c>
      <c r="W445">
        <f>IF(COUNTIF($E445, _xlfn.CONCAT("*",Table13[[#Headers],[Science Fiction]],"*")),1,0)</f>
        <v>0</v>
      </c>
      <c r="X445">
        <f>IF(COUNTIF($E445, _xlfn.CONCAT("*",Table13[[#Headers],[TV Movie]],"*")),1,0)</f>
        <v>0</v>
      </c>
      <c r="Y445">
        <f>IF(COUNTIF($E445, _xlfn.CONCAT("*",Table13[[#Headers],[Thriller]],"*")),1,0)</f>
        <v>1</v>
      </c>
      <c r="Z445">
        <f>IF(COUNTIF($E445, _xlfn.CONCAT("*",Table13[[#Headers],[War]],"*")),1,0)</f>
        <v>0</v>
      </c>
      <c r="AA445">
        <f>IF(COUNTIF($E445, _xlfn.CONCAT("*",Table13[[#Headers],[Western]],"*")),1,0)</f>
        <v>0</v>
      </c>
    </row>
    <row r="446" spans="1:27">
      <c r="A446" t="s">
        <v>608</v>
      </c>
      <c r="B446">
        <v>40</v>
      </c>
      <c r="C446">
        <f>MAX(Table13[Rank])-Table13[[#This Row],[Rank]]</f>
        <v>224</v>
      </c>
      <c r="D446" t="s">
        <v>489</v>
      </c>
      <c r="E446" t="s">
        <v>152</v>
      </c>
      <c r="F446" s="1">
        <v>15083</v>
      </c>
      <c r="G446">
        <f>YEAR(Table13[[#This Row],[Date]])</f>
        <v>1941</v>
      </c>
      <c r="H446" t="s">
        <v>395</v>
      </c>
      <c r="I446">
        <f>IF(COUNTIF($E446, _xlfn.CONCAT("*",Table13[[#Headers],[Action]],"*")),1,0)</f>
        <v>0</v>
      </c>
      <c r="J446">
        <f>IF(COUNTIF($E446, _xlfn.CONCAT("*",Table13[[#Headers],[Adventure]],"*")),1,0)</f>
        <v>0</v>
      </c>
      <c r="K446">
        <f>IF(COUNTIF($E446, _xlfn.CONCAT("*",Table13[[#Headers],[Animation]],"*")),1,0)</f>
        <v>0</v>
      </c>
      <c r="L446">
        <f>IF(COUNTIF($E446, _xlfn.CONCAT("*",Table13[[#Headers],[Comedy]],"*")),1,0)</f>
        <v>0</v>
      </c>
      <c r="M446">
        <f>IF(COUNTIF($E446, _xlfn.CONCAT("*",Table13[[#Headers],[Crime]],"*")),1,0)</f>
        <v>0</v>
      </c>
      <c r="N446">
        <f>IF(COUNTIF($E446, _xlfn.CONCAT("*",Table13[[#Headers],[Documentary]],"*")),1,0)</f>
        <v>0</v>
      </c>
      <c r="O446">
        <f>IF(COUNTIF($E446, _xlfn.CONCAT("*",Table13[[#Headers],[Drama]],"*")),1,0)</f>
        <v>1</v>
      </c>
      <c r="P446">
        <f>IF(COUNTIF($E446, _xlfn.CONCAT("*",Table13[[#Headers],[Family]],"*")),1,0)</f>
        <v>0</v>
      </c>
      <c r="Q446">
        <f>IF(COUNTIF($E446, _xlfn.CONCAT("*",Table13[[#Headers],[Fantasy]],"*")),1,0)</f>
        <v>0</v>
      </c>
      <c r="R446">
        <f>IF(COUNTIF($E446, _xlfn.CONCAT("*",Table13[[#Headers],[History]],"*")),1,0)</f>
        <v>0</v>
      </c>
      <c r="S446">
        <f>IF(COUNTIF($E446, _xlfn.CONCAT("*",Table13[[#Headers],[Horror]],"*")),1,0)</f>
        <v>0</v>
      </c>
      <c r="T446">
        <f>IF(COUNTIF($E446, _xlfn.CONCAT("*",Table13[[#Headers],[Music]],"*")),1,0)</f>
        <v>0</v>
      </c>
      <c r="U446">
        <f>IF(COUNTIF($E446, _xlfn.CONCAT("*",Table13[[#Headers],[Mystery]],"*")),1,0)</f>
        <v>1</v>
      </c>
      <c r="V446">
        <f>IF(COUNTIF($E446, _xlfn.CONCAT("*",Table13[[#Headers],[Romance]],"*")),1,0)</f>
        <v>0</v>
      </c>
      <c r="W446">
        <f>IF(COUNTIF($E446, _xlfn.CONCAT("*",Table13[[#Headers],[Science Fiction]],"*")),1,0)</f>
        <v>0</v>
      </c>
      <c r="X446">
        <f>IF(COUNTIF($E446, _xlfn.CONCAT("*",Table13[[#Headers],[TV Movie]],"*")),1,0)</f>
        <v>0</v>
      </c>
      <c r="Y446">
        <f>IF(COUNTIF($E446, _xlfn.CONCAT("*",Table13[[#Headers],[Thriller]],"*")),1,0)</f>
        <v>0</v>
      </c>
      <c r="Z446">
        <f>IF(COUNTIF($E446, _xlfn.CONCAT("*",Table13[[#Headers],[War]],"*")),1,0)</f>
        <v>0</v>
      </c>
      <c r="AA446">
        <f>IF(COUNTIF($E446, _xlfn.CONCAT("*",Table13[[#Headers],[Western]],"*")),1,0)</f>
        <v>0</v>
      </c>
    </row>
    <row r="447" spans="1:27">
      <c r="A447" t="s">
        <v>609</v>
      </c>
      <c r="B447">
        <v>39</v>
      </c>
      <c r="C447">
        <f>MAX(Table13[Rank])-Table13[[#This Row],[Rank]]</f>
        <v>225</v>
      </c>
      <c r="D447" t="s">
        <v>489</v>
      </c>
      <c r="E447" t="s">
        <v>610</v>
      </c>
      <c r="F447" s="1">
        <v>41200</v>
      </c>
      <c r="G447">
        <f>YEAR(Table13[[#This Row],[Date]])</f>
        <v>2012</v>
      </c>
      <c r="H447" t="s">
        <v>1295</v>
      </c>
      <c r="I447">
        <f>IF(COUNTIF($E447, _xlfn.CONCAT("*",Table13[[#Headers],[Action]],"*")),1,0)</f>
        <v>0</v>
      </c>
      <c r="J447">
        <f>IF(COUNTIF($E447, _xlfn.CONCAT("*",Table13[[#Headers],[Adventure]],"*")),1,0)</f>
        <v>0</v>
      </c>
      <c r="K447">
        <f>IF(COUNTIF($E447, _xlfn.CONCAT("*",Table13[[#Headers],[Animation]],"*")),1,0)</f>
        <v>1</v>
      </c>
      <c r="L447">
        <f>IF(COUNTIF($E447, _xlfn.CONCAT("*",Table13[[#Headers],[Comedy]],"*")),1,0)</f>
        <v>0</v>
      </c>
      <c r="M447">
        <f>IF(COUNTIF($E447, _xlfn.CONCAT("*",Table13[[#Headers],[Crime]],"*")),1,0)</f>
        <v>0</v>
      </c>
      <c r="N447">
        <f>IF(COUNTIF($E447, _xlfn.CONCAT("*",Table13[[#Headers],[Documentary]],"*")),1,0)</f>
        <v>0</v>
      </c>
      <c r="O447">
        <f>IF(COUNTIF($E447, _xlfn.CONCAT("*",Table13[[#Headers],[Drama]],"*")),1,0)</f>
        <v>0</v>
      </c>
      <c r="P447">
        <f>IF(COUNTIF($E447, _xlfn.CONCAT("*",Table13[[#Headers],[Family]],"*")),1,0)</f>
        <v>1</v>
      </c>
      <c r="Q447">
        <f>IF(COUNTIF($E447, _xlfn.CONCAT("*",Table13[[#Headers],[Fantasy]],"*")),1,0)</f>
        <v>0</v>
      </c>
      <c r="R447">
        <f>IF(COUNTIF($E447, _xlfn.CONCAT("*",Table13[[#Headers],[History]],"*")),1,0)</f>
        <v>0</v>
      </c>
      <c r="S447">
        <f>IF(COUNTIF($E447, _xlfn.CONCAT("*",Table13[[#Headers],[Horror]],"*")),1,0)</f>
        <v>0</v>
      </c>
      <c r="T447">
        <f>IF(COUNTIF($E447, _xlfn.CONCAT("*",Table13[[#Headers],[Music]],"*")),1,0)</f>
        <v>0</v>
      </c>
      <c r="U447">
        <f>IF(COUNTIF($E447, _xlfn.CONCAT("*",Table13[[#Headers],[Mystery]],"*")),1,0)</f>
        <v>0</v>
      </c>
      <c r="V447">
        <f>IF(COUNTIF($E447, _xlfn.CONCAT("*",Table13[[#Headers],[Romance]],"*")),1,0)</f>
        <v>0</v>
      </c>
      <c r="W447">
        <f>IF(COUNTIF($E447, _xlfn.CONCAT("*",Table13[[#Headers],[Science Fiction]],"*")),1,0)</f>
        <v>0</v>
      </c>
      <c r="X447">
        <f>IF(COUNTIF($E447, _xlfn.CONCAT("*",Table13[[#Headers],[TV Movie]],"*")),1,0)</f>
        <v>0</v>
      </c>
      <c r="Y447">
        <f>IF(COUNTIF($E447, _xlfn.CONCAT("*",Table13[[#Headers],[Thriller]],"*")),1,0)</f>
        <v>0</v>
      </c>
      <c r="Z447">
        <f>IF(COUNTIF($E447, _xlfn.CONCAT("*",Table13[[#Headers],[War]],"*")),1,0)</f>
        <v>0</v>
      </c>
      <c r="AA447">
        <f>IF(COUNTIF($E447, _xlfn.CONCAT("*",Table13[[#Headers],[Western]],"*")),1,0)</f>
        <v>0</v>
      </c>
    </row>
    <row r="448" spans="1:27">
      <c r="A448" t="s">
        <v>611</v>
      </c>
      <c r="B448">
        <v>38</v>
      </c>
      <c r="C448">
        <f>MAX(Table13[Rank])-Table13[[#This Row],[Rank]]</f>
        <v>226</v>
      </c>
      <c r="D448" t="s">
        <v>489</v>
      </c>
      <c r="E448" t="s">
        <v>141</v>
      </c>
      <c r="F448" s="1">
        <v>24464</v>
      </c>
      <c r="G448">
        <f>YEAR(Table13[[#This Row],[Date]])</f>
        <v>1966</v>
      </c>
      <c r="H448" t="s">
        <v>140</v>
      </c>
      <c r="I448">
        <f>IF(COUNTIF($E448, _xlfn.CONCAT("*",Table13[[#Headers],[Action]],"*")),1,0)</f>
        <v>0</v>
      </c>
      <c r="J448">
        <f>IF(COUNTIF($E448, _xlfn.CONCAT("*",Table13[[#Headers],[Adventure]],"*")),1,0)</f>
        <v>0</v>
      </c>
      <c r="K448">
        <f>IF(COUNTIF($E448, _xlfn.CONCAT("*",Table13[[#Headers],[Animation]],"*")),1,0)</f>
        <v>0</v>
      </c>
      <c r="L448">
        <f>IF(COUNTIF($E448, _xlfn.CONCAT("*",Table13[[#Headers],[Comedy]],"*")),1,0)</f>
        <v>0</v>
      </c>
      <c r="M448">
        <f>IF(COUNTIF($E448, _xlfn.CONCAT("*",Table13[[#Headers],[Crime]],"*")),1,0)</f>
        <v>0</v>
      </c>
      <c r="N448">
        <f>IF(COUNTIF($E448, _xlfn.CONCAT("*",Table13[[#Headers],[Documentary]],"*")),1,0)</f>
        <v>0</v>
      </c>
      <c r="O448">
        <f>IF(COUNTIF($E448, _xlfn.CONCAT("*",Table13[[#Headers],[Drama]],"*")),1,0)</f>
        <v>0</v>
      </c>
      <c r="P448">
        <f>IF(COUNTIF($E448, _xlfn.CONCAT("*",Table13[[#Headers],[Family]],"*")),1,0)</f>
        <v>0</v>
      </c>
      <c r="Q448">
        <f>IF(COUNTIF($E448, _xlfn.CONCAT("*",Table13[[#Headers],[Fantasy]],"*")),1,0)</f>
        <v>0</v>
      </c>
      <c r="R448">
        <f>IF(COUNTIF($E448, _xlfn.CONCAT("*",Table13[[#Headers],[History]],"*")),1,0)</f>
        <v>0</v>
      </c>
      <c r="S448">
        <f>IF(COUNTIF($E448, _xlfn.CONCAT("*",Table13[[#Headers],[Horror]],"*")),1,0)</f>
        <v>0</v>
      </c>
      <c r="T448">
        <f>IF(COUNTIF($E448, _xlfn.CONCAT("*",Table13[[#Headers],[Music]],"*")),1,0)</f>
        <v>0</v>
      </c>
      <c r="U448">
        <f>IF(COUNTIF($E448, _xlfn.CONCAT("*",Table13[[#Headers],[Mystery]],"*")),1,0)</f>
        <v>0</v>
      </c>
      <c r="V448">
        <f>IF(COUNTIF($E448, _xlfn.CONCAT("*",Table13[[#Headers],[Romance]],"*")),1,0)</f>
        <v>0</v>
      </c>
      <c r="W448">
        <f>IF(COUNTIF($E448, _xlfn.CONCAT("*",Table13[[#Headers],[Science Fiction]],"*")),1,0)</f>
        <v>0</v>
      </c>
      <c r="X448">
        <f>IF(COUNTIF($E448, _xlfn.CONCAT("*",Table13[[#Headers],[TV Movie]],"*")),1,0)</f>
        <v>0</v>
      </c>
      <c r="Y448">
        <f>IF(COUNTIF($E448, _xlfn.CONCAT("*",Table13[[#Headers],[Thriller]],"*")),1,0)</f>
        <v>0</v>
      </c>
      <c r="Z448">
        <f>IF(COUNTIF($E448, _xlfn.CONCAT("*",Table13[[#Headers],[War]],"*")),1,0)</f>
        <v>0</v>
      </c>
      <c r="AA448">
        <f>IF(COUNTIF($E448, _xlfn.CONCAT("*",Table13[[#Headers],[Western]],"*")),1,0)</f>
        <v>1</v>
      </c>
    </row>
    <row r="449" spans="1:27">
      <c r="A449" t="s">
        <v>612</v>
      </c>
      <c r="B449">
        <v>37</v>
      </c>
      <c r="C449">
        <f>MAX(Table13[Rank])-Table13[[#This Row],[Rank]]</f>
        <v>227</v>
      </c>
      <c r="D449" t="s">
        <v>489</v>
      </c>
      <c r="E449" t="s">
        <v>533</v>
      </c>
      <c r="F449" s="1">
        <v>34964</v>
      </c>
      <c r="G449">
        <f>YEAR(Table13[[#This Row],[Date]])</f>
        <v>1995</v>
      </c>
      <c r="H449" t="s">
        <v>613</v>
      </c>
      <c r="I449">
        <f>IF(COUNTIF($E449, _xlfn.CONCAT("*",Table13[[#Headers],[Action]],"*")),1,0)</f>
        <v>0</v>
      </c>
      <c r="J449">
        <f>IF(COUNTIF($E449, _xlfn.CONCAT("*",Table13[[#Headers],[Adventure]],"*")),1,0)</f>
        <v>0</v>
      </c>
      <c r="K449">
        <f>IF(COUNTIF($E449, _xlfn.CONCAT("*",Table13[[#Headers],[Animation]],"*")),1,0)</f>
        <v>0</v>
      </c>
      <c r="L449">
        <f>IF(COUNTIF($E449, _xlfn.CONCAT("*",Table13[[#Headers],[Comedy]],"*")),1,0)</f>
        <v>0</v>
      </c>
      <c r="M449">
        <f>IF(COUNTIF($E449, _xlfn.CONCAT("*",Table13[[#Headers],[Crime]],"*")),1,0)</f>
        <v>1</v>
      </c>
      <c r="N449">
        <f>IF(COUNTIF($E449, _xlfn.CONCAT("*",Table13[[#Headers],[Documentary]],"*")),1,0)</f>
        <v>0</v>
      </c>
      <c r="O449">
        <f>IF(COUNTIF($E449, _xlfn.CONCAT("*",Table13[[#Headers],[Drama]],"*")),1,0)</f>
        <v>0</v>
      </c>
      <c r="P449">
        <f>IF(COUNTIF($E449, _xlfn.CONCAT("*",Table13[[#Headers],[Family]],"*")),1,0)</f>
        <v>0</v>
      </c>
      <c r="Q449">
        <f>IF(COUNTIF($E449, _xlfn.CONCAT("*",Table13[[#Headers],[Fantasy]],"*")),1,0)</f>
        <v>0</v>
      </c>
      <c r="R449">
        <f>IF(COUNTIF($E449, _xlfn.CONCAT("*",Table13[[#Headers],[History]],"*")),1,0)</f>
        <v>0</v>
      </c>
      <c r="S449">
        <f>IF(COUNTIF($E449, _xlfn.CONCAT("*",Table13[[#Headers],[Horror]],"*")),1,0)</f>
        <v>0</v>
      </c>
      <c r="T449">
        <f>IF(COUNTIF($E449, _xlfn.CONCAT("*",Table13[[#Headers],[Music]],"*")),1,0)</f>
        <v>0</v>
      </c>
      <c r="U449">
        <f>IF(COUNTIF($E449, _xlfn.CONCAT("*",Table13[[#Headers],[Mystery]],"*")),1,0)</f>
        <v>1</v>
      </c>
      <c r="V449">
        <f>IF(COUNTIF($E449, _xlfn.CONCAT("*",Table13[[#Headers],[Romance]],"*")),1,0)</f>
        <v>0</v>
      </c>
      <c r="W449">
        <f>IF(COUNTIF($E449, _xlfn.CONCAT("*",Table13[[#Headers],[Science Fiction]],"*")),1,0)</f>
        <v>0</v>
      </c>
      <c r="X449">
        <f>IF(COUNTIF($E449, _xlfn.CONCAT("*",Table13[[#Headers],[TV Movie]],"*")),1,0)</f>
        <v>0</v>
      </c>
      <c r="Y449">
        <f>IF(COUNTIF($E449, _xlfn.CONCAT("*",Table13[[#Headers],[Thriller]],"*")),1,0)</f>
        <v>1</v>
      </c>
      <c r="Z449">
        <f>IF(COUNTIF($E449, _xlfn.CONCAT("*",Table13[[#Headers],[War]],"*")),1,0)</f>
        <v>0</v>
      </c>
      <c r="AA449">
        <f>IF(COUNTIF($E449, _xlfn.CONCAT("*",Table13[[#Headers],[Western]],"*")),1,0)</f>
        <v>0</v>
      </c>
    </row>
    <row r="450" spans="1:27">
      <c r="A450" t="s">
        <v>614</v>
      </c>
      <c r="B450">
        <v>36</v>
      </c>
      <c r="C450">
        <f>MAX(Table13[Rank])-Table13[[#This Row],[Rank]]</f>
        <v>228</v>
      </c>
      <c r="D450" t="s">
        <v>489</v>
      </c>
      <c r="E450" t="s">
        <v>360</v>
      </c>
      <c r="F450" s="1">
        <v>38065</v>
      </c>
      <c r="G450">
        <f>YEAR(Table13[[#This Row],[Date]])</f>
        <v>2004</v>
      </c>
      <c r="H450" t="s">
        <v>615</v>
      </c>
      <c r="I450">
        <f>IF(COUNTIF($E450, _xlfn.CONCAT("*",Table13[[#Headers],[Action]],"*")),1,0)</f>
        <v>0</v>
      </c>
      <c r="J450">
        <f>IF(COUNTIF($E450, _xlfn.CONCAT("*",Table13[[#Headers],[Adventure]],"*")),1,0)</f>
        <v>0</v>
      </c>
      <c r="K450">
        <f>IF(COUNTIF($E450, _xlfn.CONCAT("*",Table13[[#Headers],[Animation]],"*")),1,0)</f>
        <v>0</v>
      </c>
      <c r="L450">
        <f>IF(COUNTIF($E450, _xlfn.CONCAT("*",Table13[[#Headers],[Comedy]],"*")),1,0)</f>
        <v>0</v>
      </c>
      <c r="M450">
        <f>IF(COUNTIF($E450, _xlfn.CONCAT("*",Table13[[#Headers],[Crime]],"*")),1,0)</f>
        <v>0</v>
      </c>
      <c r="N450">
        <f>IF(COUNTIF($E450, _xlfn.CONCAT("*",Table13[[#Headers],[Documentary]],"*")),1,0)</f>
        <v>0</v>
      </c>
      <c r="O450">
        <f>IF(COUNTIF($E450, _xlfn.CONCAT("*",Table13[[#Headers],[Drama]],"*")),1,0)</f>
        <v>1</v>
      </c>
      <c r="P450">
        <f>IF(COUNTIF($E450, _xlfn.CONCAT("*",Table13[[#Headers],[Family]],"*")),1,0)</f>
        <v>0</v>
      </c>
      <c r="Q450">
        <f>IF(COUNTIF($E450, _xlfn.CONCAT("*",Table13[[#Headers],[Fantasy]],"*")),1,0)</f>
        <v>0</v>
      </c>
      <c r="R450">
        <f>IF(COUNTIF($E450, _xlfn.CONCAT("*",Table13[[#Headers],[History]],"*")),1,0)</f>
        <v>0</v>
      </c>
      <c r="S450">
        <f>IF(COUNTIF($E450, _xlfn.CONCAT("*",Table13[[#Headers],[Horror]],"*")),1,0)</f>
        <v>0</v>
      </c>
      <c r="T450">
        <f>IF(COUNTIF($E450, _xlfn.CONCAT("*",Table13[[#Headers],[Music]],"*")),1,0)</f>
        <v>0</v>
      </c>
      <c r="U450">
        <f>IF(COUNTIF($E450, _xlfn.CONCAT("*",Table13[[#Headers],[Mystery]],"*")),1,0)</f>
        <v>0</v>
      </c>
      <c r="V450">
        <f>IF(COUNTIF($E450, _xlfn.CONCAT("*",Table13[[#Headers],[Romance]],"*")),1,0)</f>
        <v>1</v>
      </c>
      <c r="W450">
        <f>IF(COUNTIF($E450, _xlfn.CONCAT("*",Table13[[#Headers],[Science Fiction]],"*")),1,0)</f>
        <v>1</v>
      </c>
      <c r="X450">
        <f>IF(COUNTIF($E450, _xlfn.CONCAT("*",Table13[[#Headers],[TV Movie]],"*")),1,0)</f>
        <v>0</v>
      </c>
      <c r="Y450">
        <f>IF(COUNTIF($E450, _xlfn.CONCAT("*",Table13[[#Headers],[Thriller]],"*")),1,0)</f>
        <v>0</v>
      </c>
      <c r="Z450">
        <f>IF(COUNTIF($E450, _xlfn.CONCAT("*",Table13[[#Headers],[War]],"*")),1,0)</f>
        <v>0</v>
      </c>
      <c r="AA450">
        <f>IF(COUNTIF($E450, _xlfn.CONCAT("*",Table13[[#Headers],[Western]],"*")),1,0)</f>
        <v>0</v>
      </c>
    </row>
    <row r="451" spans="1:27">
      <c r="A451" t="s">
        <v>616</v>
      </c>
      <c r="B451">
        <v>35</v>
      </c>
      <c r="C451">
        <f>MAX(Table13[Rank])-Table13[[#This Row],[Rank]]</f>
        <v>229</v>
      </c>
      <c r="D451" t="s">
        <v>489</v>
      </c>
      <c r="E451" t="s">
        <v>281</v>
      </c>
      <c r="F451" s="1">
        <v>29364</v>
      </c>
      <c r="G451">
        <f>YEAR(Table13[[#This Row],[Date]])</f>
        <v>1980</v>
      </c>
      <c r="H451" t="s">
        <v>280</v>
      </c>
      <c r="I451">
        <f>IF(COUNTIF($E451, _xlfn.CONCAT("*",Table13[[#Headers],[Action]],"*")),1,0)</f>
        <v>0</v>
      </c>
      <c r="J451">
        <f>IF(COUNTIF($E451, _xlfn.CONCAT("*",Table13[[#Headers],[Adventure]],"*")),1,0)</f>
        <v>0</v>
      </c>
      <c r="K451">
        <f>IF(COUNTIF($E451, _xlfn.CONCAT("*",Table13[[#Headers],[Animation]],"*")),1,0)</f>
        <v>0</v>
      </c>
      <c r="L451">
        <f>IF(COUNTIF($E451, _xlfn.CONCAT("*",Table13[[#Headers],[Comedy]],"*")),1,0)</f>
        <v>0</v>
      </c>
      <c r="M451">
        <f>IF(COUNTIF($E451, _xlfn.CONCAT("*",Table13[[#Headers],[Crime]],"*")),1,0)</f>
        <v>0</v>
      </c>
      <c r="N451">
        <f>IF(COUNTIF($E451, _xlfn.CONCAT("*",Table13[[#Headers],[Documentary]],"*")),1,0)</f>
        <v>0</v>
      </c>
      <c r="O451">
        <f>IF(COUNTIF($E451, _xlfn.CONCAT("*",Table13[[#Headers],[Drama]],"*")),1,0)</f>
        <v>0</v>
      </c>
      <c r="P451">
        <f>IF(COUNTIF($E451, _xlfn.CONCAT("*",Table13[[#Headers],[Family]],"*")),1,0)</f>
        <v>0</v>
      </c>
      <c r="Q451">
        <f>IF(COUNTIF($E451, _xlfn.CONCAT("*",Table13[[#Headers],[Fantasy]],"*")),1,0)</f>
        <v>0</v>
      </c>
      <c r="R451">
        <f>IF(COUNTIF($E451, _xlfn.CONCAT("*",Table13[[#Headers],[History]],"*")),1,0)</f>
        <v>0</v>
      </c>
      <c r="S451">
        <f>IF(COUNTIF($E451, _xlfn.CONCAT("*",Table13[[#Headers],[Horror]],"*")),1,0)</f>
        <v>1</v>
      </c>
      <c r="T451">
        <f>IF(COUNTIF($E451, _xlfn.CONCAT("*",Table13[[#Headers],[Music]],"*")),1,0)</f>
        <v>0</v>
      </c>
      <c r="U451">
        <f>IF(COUNTIF($E451, _xlfn.CONCAT("*",Table13[[#Headers],[Mystery]],"*")),1,0)</f>
        <v>0</v>
      </c>
      <c r="V451">
        <f>IF(COUNTIF($E451, _xlfn.CONCAT("*",Table13[[#Headers],[Romance]],"*")),1,0)</f>
        <v>0</v>
      </c>
      <c r="W451">
        <f>IF(COUNTIF($E451, _xlfn.CONCAT("*",Table13[[#Headers],[Science Fiction]],"*")),1,0)</f>
        <v>0</v>
      </c>
      <c r="X451">
        <f>IF(COUNTIF($E451, _xlfn.CONCAT("*",Table13[[#Headers],[TV Movie]],"*")),1,0)</f>
        <v>0</v>
      </c>
      <c r="Y451">
        <f>IF(COUNTIF($E451, _xlfn.CONCAT("*",Table13[[#Headers],[Thriller]],"*")),1,0)</f>
        <v>1</v>
      </c>
      <c r="Z451">
        <f>IF(COUNTIF($E451, _xlfn.CONCAT("*",Table13[[#Headers],[War]],"*")),1,0)</f>
        <v>0</v>
      </c>
      <c r="AA451">
        <f>IF(COUNTIF($E451, _xlfn.CONCAT("*",Table13[[#Headers],[Western]],"*")),1,0)</f>
        <v>0</v>
      </c>
    </row>
    <row r="452" spans="1:27">
      <c r="A452" t="s">
        <v>617</v>
      </c>
      <c r="B452">
        <v>34</v>
      </c>
      <c r="C452">
        <f>MAX(Table13[Rank])-Table13[[#This Row],[Rank]]</f>
        <v>230</v>
      </c>
      <c r="D452" t="s">
        <v>489</v>
      </c>
      <c r="E452" t="s">
        <v>618</v>
      </c>
      <c r="F452" s="1">
        <v>37608</v>
      </c>
      <c r="G452">
        <f>YEAR(Table13[[#This Row],[Date]])</f>
        <v>2002</v>
      </c>
      <c r="H452" t="s">
        <v>619</v>
      </c>
      <c r="I452">
        <f>IF(COUNTIF($E452, _xlfn.CONCAT("*",Table13[[#Headers],[Action]],"*")),1,0)</f>
        <v>1</v>
      </c>
      <c r="J452">
        <f>IF(COUNTIF($E452, _xlfn.CONCAT("*",Table13[[#Headers],[Adventure]],"*")),1,0)</f>
        <v>1</v>
      </c>
      <c r="K452">
        <f>IF(COUNTIF($E452, _xlfn.CONCAT("*",Table13[[#Headers],[Animation]],"*")),1,0)</f>
        <v>0</v>
      </c>
      <c r="L452">
        <f>IF(COUNTIF($E452, _xlfn.CONCAT("*",Table13[[#Headers],[Comedy]],"*")),1,0)</f>
        <v>0</v>
      </c>
      <c r="M452">
        <f>IF(COUNTIF($E452, _xlfn.CONCAT("*",Table13[[#Headers],[Crime]],"*")),1,0)</f>
        <v>0</v>
      </c>
      <c r="N452">
        <f>IF(COUNTIF($E452, _xlfn.CONCAT("*",Table13[[#Headers],[Documentary]],"*")),1,0)</f>
        <v>0</v>
      </c>
      <c r="O452">
        <f>IF(COUNTIF($E452, _xlfn.CONCAT("*",Table13[[#Headers],[Drama]],"*")),1,0)</f>
        <v>0</v>
      </c>
      <c r="P452">
        <f>IF(COUNTIF($E452, _xlfn.CONCAT("*",Table13[[#Headers],[Family]],"*")),1,0)</f>
        <v>0</v>
      </c>
      <c r="Q452">
        <f>IF(COUNTIF($E452, _xlfn.CONCAT("*",Table13[[#Headers],[Fantasy]],"*")),1,0)</f>
        <v>1</v>
      </c>
      <c r="R452">
        <f>IF(COUNTIF($E452, _xlfn.CONCAT("*",Table13[[#Headers],[History]],"*")),1,0)</f>
        <v>0</v>
      </c>
      <c r="S452">
        <f>IF(COUNTIF($E452, _xlfn.CONCAT("*",Table13[[#Headers],[Horror]],"*")),1,0)</f>
        <v>0</v>
      </c>
      <c r="T452">
        <f>IF(COUNTIF($E452, _xlfn.CONCAT("*",Table13[[#Headers],[Music]],"*")),1,0)</f>
        <v>0</v>
      </c>
      <c r="U452">
        <f>IF(COUNTIF($E452, _xlfn.CONCAT("*",Table13[[#Headers],[Mystery]],"*")),1,0)</f>
        <v>0</v>
      </c>
      <c r="V452">
        <f>IF(COUNTIF($E452, _xlfn.CONCAT("*",Table13[[#Headers],[Romance]],"*")),1,0)</f>
        <v>0</v>
      </c>
      <c r="W452">
        <f>IF(COUNTIF($E452, _xlfn.CONCAT("*",Table13[[#Headers],[Science Fiction]],"*")),1,0)</f>
        <v>0</v>
      </c>
      <c r="X452">
        <f>IF(COUNTIF($E452, _xlfn.CONCAT("*",Table13[[#Headers],[TV Movie]],"*")),1,0)</f>
        <v>0</v>
      </c>
      <c r="Y452">
        <f>IF(COUNTIF($E452, _xlfn.CONCAT("*",Table13[[#Headers],[Thriller]],"*")),1,0)</f>
        <v>0</v>
      </c>
      <c r="Z452">
        <f>IF(COUNTIF($E452, _xlfn.CONCAT("*",Table13[[#Headers],[War]],"*")),1,0)</f>
        <v>0</v>
      </c>
      <c r="AA452">
        <f>IF(COUNTIF($E452, _xlfn.CONCAT("*",Table13[[#Headers],[Western]],"*")),1,0)</f>
        <v>0</v>
      </c>
    </row>
    <row r="453" spans="1:27">
      <c r="A453" t="s">
        <v>620</v>
      </c>
      <c r="B453">
        <v>33</v>
      </c>
      <c r="C453">
        <f>MAX(Table13[Rank])-Table13[[#This Row],[Rank]]</f>
        <v>231</v>
      </c>
      <c r="D453" t="s">
        <v>489</v>
      </c>
      <c r="E453" t="s">
        <v>35</v>
      </c>
      <c r="F453" s="1">
        <v>15721</v>
      </c>
      <c r="G453">
        <f>YEAR(Table13[[#This Row],[Date]])</f>
        <v>1943</v>
      </c>
      <c r="H453" t="s">
        <v>317</v>
      </c>
      <c r="I453">
        <f>IF(COUNTIF($E453, _xlfn.CONCAT("*",Table13[[#Headers],[Action]],"*")),1,0)</f>
        <v>0</v>
      </c>
      <c r="J453">
        <f>IF(COUNTIF($E453, _xlfn.CONCAT("*",Table13[[#Headers],[Adventure]],"*")),1,0)</f>
        <v>0</v>
      </c>
      <c r="K453">
        <f>IF(COUNTIF($E453, _xlfn.CONCAT("*",Table13[[#Headers],[Animation]],"*")),1,0)</f>
        <v>0</v>
      </c>
      <c r="L453">
        <f>IF(COUNTIF($E453, _xlfn.CONCAT("*",Table13[[#Headers],[Comedy]],"*")),1,0)</f>
        <v>0</v>
      </c>
      <c r="M453">
        <f>IF(COUNTIF($E453, _xlfn.CONCAT("*",Table13[[#Headers],[Crime]],"*")),1,0)</f>
        <v>0</v>
      </c>
      <c r="N453">
        <f>IF(COUNTIF($E453, _xlfn.CONCAT("*",Table13[[#Headers],[Documentary]],"*")),1,0)</f>
        <v>0</v>
      </c>
      <c r="O453">
        <f>IF(COUNTIF($E453, _xlfn.CONCAT("*",Table13[[#Headers],[Drama]],"*")),1,0)</f>
        <v>1</v>
      </c>
      <c r="P453">
        <f>IF(COUNTIF($E453, _xlfn.CONCAT("*",Table13[[#Headers],[Family]],"*")),1,0)</f>
        <v>0</v>
      </c>
      <c r="Q453">
        <f>IF(COUNTIF($E453, _xlfn.CONCAT("*",Table13[[#Headers],[Fantasy]],"*")),1,0)</f>
        <v>0</v>
      </c>
      <c r="R453">
        <f>IF(COUNTIF($E453, _xlfn.CONCAT("*",Table13[[#Headers],[History]],"*")),1,0)</f>
        <v>0</v>
      </c>
      <c r="S453">
        <f>IF(COUNTIF($E453, _xlfn.CONCAT("*",Table13[[#Headers],[Horror]],"*")),1,0)</f>
        <v>0</v>
      </c>
      <c r="T453">
        <f>IF(COUNTIF($E453, _xlfn.CONCAT("*",Table13[[#Headers],[Music]],"*")),1,0)</f>
        <v>0</v>
      </c>
      <c r="U453">
        <f>IF(COUNTIF($E453, _xlfn.CONCAT("*",Table13[[#Headers],[Mystery]],"*")),1,0)</f>
        <v>0</v>
      </c>
      <c r="V453">
        <f>IF(COUNTIF($E453, _xlfn.CONCAT("*",Table13[[#Headers],[Romance]],"*")),1,0)</f>
        <v>1</v>
      </c>
      <c r="W453">
        <f>IF(COUNTIF($E453, _xlfn.CONCAT("*",Table13[[#Headers],[Science Fiction]],"*")),1,0)</f>
        <v>0</v>
      </c>
      <c r="X453">
        <f>IF(COUNTIF($E453, _xlfn.CONCAT("*",Table13[[#Headers],[TV Movie]],"*")),1,0)</f>
        <v>0</v>
      </c>
      <c r="Y453">
        <f>IF(COUNTIF($E453, _xlfn.CONCAT("*",Table13[[#Headers],[Thriller]],"*")),1,0)</f>
        <v>0</v>
      </c>
      <c r="Z453">
        <f>IF(COUNTIF($E453, _xlfn.CONCAT("*",Table13[[#Headers],[War]],"*")),1,0)</f>
        <v>0</v>
      </c>
      <c r="AA453">
        <f>IF(COUNTIF($E453, _xlfn.CONCAT("*",Table13[[#Headers],[Western]],"*")),1,0)</f>
        <v>0</v>
      </c>
    </row>
    <row r="454" spans="1:27">
      <c r="A454" t="s">
        <v>621</v>
      </c>
      <c r="B454">
        <v>32</v>
      </c>
      <c r="C454">
        <f>MAX(Table13[Rank])-Table13[[#This Row],[Rank]]</f>
        <v>232</v>
      </c>
      <c r="D454" t="s">
        <v>489</v>
      </c>
      <c r="E454" t="s">
        <v>236</v>
      </c>
      <c r="F454" s="1">
        <v>30127</v>
      </c>
      <c r="G454">
        <f>YEAR(Table13[[#This Row],[Date]])</f>
        <v>1982</v>
      </c>
      <c r="H454" t="s">
        <v>235</v>
      </c>
      <c r="I454">
        <f>IF(COUNTIF($E454, _xlfn.CONCAT("*",Table13[[#Headers],[Action]],"*")),1,0)</f>
        <v>0</v>
      </c>
      <c r="J454">
        <f>IF(COUNTIF($E454, _xlfn.CONCAT("*",Table13[[#Headers],[Adventure]],"*")),1,0)</f>
        <v>0</v>
      </c>
      <c r="K454">
        <f>IF(COUNTIF($E454, _xlfn.CONCAT("*",Table13[[#Headers],[Animation]],"*")),1,0)</f>
        <v>0</v>
      </c>
      <c r="L454">
        <f>IF(COUNTIF($E454, _xlfn.CONCAT("*",Table13[[#Headers],[Comedy]],"*")),1,0)</f>
        <v>0</v>
      </c>
      <c r="M454">
        <f>IF(COUNTIF($E454, _xlfn.CONCAT("*",Table13[[#Headers],[Crime]],"*")),1,0)</f>
        <v>0</v>
      </c>
      <c r="N454">
        <f>IF(COUNTIF($E454, _xlfn.CONCAT("*",Table13[[#Headers],[Documentary]],"*")),1,0)</f>
        <v>0</v>
      </c>
      <c r="O454">
        <f>IF(COUNTIF($E454, _xlfn.CONCAT("*",Table13[[#Headers],[Drama]],"*")),1,0)</f>
        <v>0</v>
      </c>
      <c r="P454">
        <f>IF(COUNTIF($E454, _xlfn.CONCAT("*",Table13[[#Headers],[Family]],"*")),1,0)</f>
        <v>0</v>
      </c>
      <c r="Q454">
        <f>IF(COUNTIF($E454, _xlfn.CONCAT("*",Table13[[#Headers],[Fantasy]],"*")),1,0)</f>
        <v>0</v>
      </c>
      <c r="R454">
        <f>IF(COUNTIF($E454, _xlfn.CONCAT("*",Table13[[#Headers],[History]],"*")),1,0)</f>
        <v>0</v>
      </c>
      <c r="S454">
        <f>IF(COUNTIF($E454, _xlfn.CONCAT("*",Table13[[#Headers],[Horror]],"*")),1,0)</f>
        <v>1</v>
      </c>
      <c r="T454">
        <f>IF(COUNTIF($E454, _xlfn.CONCAT("*",Table13[[#Headers],[Music]],"*")),1,0)</f>
        <v>0</v>
      </c>
      <c r="U454">
        <f>IF(COUNTIF($E454, _xlfn.CONCAT("*",Table13[[#Headers],[Mystery]],"*")),1,0)</f>
        <v>1</v>
      </c>
      <c r="V454">
        <f>IF(COUNTIF($E454, _xlfn.CONCAT("*",Table13[[#Headers],[Romance]],"*")),1,0)</f>
        <v>0</v>
      </c>
      <c r="W454">
        <f>IF(COUNTIF($E454, _xlfn.CONCAT("*",Table13[[#Headers],[Science Fiction]],"*")),1,0)</f>
        <v>1</v>
      </c>
      <c r="X454">
        <f>IF(COUNTIF($E454, _xlfn.CONCAT("*",Table13[[#Headers],[TV Movie]],"*")),1,0)</f>
        <v>0</v>
      </c>
      <c r="Y454">
        <f>IF(COUNTIF($E454, _xlfn.CONCAT("*",Table13[[#Headers],[Thriller]],"*")),1,0)</f>
        <v>0</v>
      </c>
      <c r="Z454">
        <f>IF(COUNTIF($E454, _xlfn.CONCAT("*",Table13[[#Headers],[War]],"*")),1,0)</f>
        <v>0</v>
      </c>
      <c r="AA454">
        <f>IF(COUNTIF($E454, _xlfn.CONCAT("*",Table13[[#Headers],[Western]],"*")),1,0)</f>
        <v>0</v>
      </c>
    </row>
    <row r="455" spans="1:27">
      <c r="A455" t="s">
        <v>622</v>
      </c>
      <c r="B455">
        <v>31</v>
      </c>
      <c r="C455">
        <f>MAX(Table13[Rank])-Table13[[#This Row],[Rank]]</f>
        <v>233</v>
      </c>
      <c r="D455" t="s">
        <v>489</v>
      </c>
      <c r="E455" t="s">
        <v>623</v>
      </c>
      <c r="F455" s="1">
        <v>41948</v>
      </c>
      <c r="G455">
        <f>YEAR(Table13[[#This Row],[Date]])</f>
        <v>2014</v>
      </c>
      <c r="H455" t="s">
        <v>624</v>
      </c>
      <c r="I455">
        <f>IF(COUNTIF($E455, _xlfn.CONCAT("*",Table13[[#Headers],[Action]],"*")),1,0)</f>
        <v>0</v>
      </c>
      <c r="J455">
        <f>IF(COUNTIF($E455, _xlfn.CONCAT("*",Table13[[#Headers],[Adventure]],"*")),1,0)</f>
        <v>1</v>
      </c>
      <c r="K455">
        <f>IF(COUNTIF($E455, _xlfn.CONCAT("*",Table13[[#Headers],[Animation]],"*")),1,0)</f>
        <v>0</v>
      </c>
      <c r="L455">
        <f>IF(COUNTIF($E455, _xlfn.CONCAT("*",Table13[[#Headers],[Comedy]],"*")),1,0)</f>
        <v>0</v>
      </c>
      <c r="M455">
        <f>IF(COUNTIF($E455, _xlfn.CONCAT("*",Table13[[#Headers],[Crime]],"*")),1,0)</f>
        <v>0</v>
      </c>
      <c r="N455">
        <f>IF(COUNTIF($E455, _xlfn.CONCAT("*",Table13[[#Headers],[Documentary]],"*")),1,0)</f>
        <v>0</v>
      </c>
      <c r="O455">
        <f>IF(COUNTIF($E455, _xlfn.CONCAT("*",Table13[[#Headers],[Drama]],"*")),1,0)</f>
        <v>1</v>
      </c>
      <c r="P455">
        <f>IF(COUNTIF($E455, _xlfn.CONCAT("*",Table13[[#Headers],[Family]],"*")),1,0)</f>
        <v>0</v>
      </c>
      <c r="Q455">
        <f>IF(COUNTIF($E455, _xlfn.CONCAT("*",Table13[[#Headers],[Fantasy]],"*")),1,0)</f>
        <v>0</v>
      </c>
      <c r="R455">
        <f>IF(COUNTIF($E455, _xlfn.CONCAT("*",Table13[[#Headers],[History]],"*")),1,0)</f>
        <v>0</v>
      </c>
      <c r="S455">
        <f>IF(COUNTIF($E455, _xlfn.CONCAT("*",Table13[[#Headers],[Horror]],"*")),1,0)</f>
        <v>0</v>
      </c>
      <c r="T455">
        <f>IF(COUNTIF($E455, _xlfn.CONCAT("*",Table13[[#Headers],[Music]],"*")),1,0)</f>
        <v>0</v>
      </c>
      <c r="U455">
        <f>IF(COUNTIF($E455, _xlfn.CONCAT("*",Table13[[#Headers],[Mystery]],"*")),1,0)</f>
        <v>0</v>
      </c>
      <c r="V455">
        <f>IF(COUNTIF($E455, _xlfn.CONCAT("*",Table13[[#Headers],[Romance]],"*")),1,0)</f>
        <v>0</v>
      </c>
      <c r="W455">
        <f>IF(COUNTIF($E455, _xlfn.CONCAT("*",Table13[[#Headers],[Science Fiction]],"*")),1,0)</f>
        <v>1</v>
      </c>
      <c r="X455">
        <f>IF(COUNTIF($E455, _xlfn.CONCAT("*",Table13[[#Headers],[TV Movie]],"*")),1,0)</f>
        <v>0</v>
      </c>
      <c r="Y455">
        <f>IF(COUNTIF($E455, _xlfn.CONCAT("*",Table13[[#Headers],[Thriller]],"*")),1,0)</f>
        <v>0</v>
      </c>
      <c r="Z455">
        <f>IF(COUNTIF($E455, _xlfn.CONCAT("*",Table13[[#Headers],[War]],"*")),1,0)</f>
        <v>0</v>
      </c>
      <c r="AA455">
        <f>IF(COUNTIF($E455, _xlfn.CONCAT("*",Table13[[#Headers],[Western]],"*")),1,0)</f>
        <v>0</v>
      </c>
    </row>
    <row r="456" spans="1:27">
      <c r="A456" t="s">
        <v>148</v>
      </c>
      <c r="B456">
        <v>30</v>
      </c>
      <c r="C456">
        <f>MAX(Table13[Rank])-Table13[[#This Row],[Rank]]</f>
        <v>234</v>
      </c>
      <c r="D456" t="s">
        <v>489</v>
      </c>
      <c r="E456" t="s">
        <v>149</v>
      </c>
      <c r="F456" s="1">
        <v>32116</v>
      </c>
      <c r="G456">
        <f>YEAR(Table13[[#This Row],[Date]])</f>
        <v>1987</v>
      </c>
      <c r="H456" t="s">
        <v>1270</v>
      </c>
      <c r="I456">
        <f>IF(COUNTIF($E456, _xlfn.CONCAT("*",Table13[[#Headers],[Action]],"*")),1,0)</f>
        <v>1</v>
      </c>
      <c r="J456">
        <f>IF(COUNTIF($E456, _xlfn.CONCAT("*",Table13[[#Headers],[Adventure]],"*")),1,0)</f>
        <v>0</v>
      </c>
      <c r="K456">
        <f>IF(COUNTIF($E456, _xlfn.CONCAT("*",Table13[[#Headers],[Animation]],"*")),1,0)</f>
        <v>0</v>
      </c>
      <c r="L456">
        <f>IF(COUNTIF($E456, _xlfn.CONCAT("*",Table13[[#Headers],[Comedy]],"*")),1,0)</f>
        <v>0</v>
      </c>
      <c r="M456">
        <f>IF(COUNTIF($E456, _xlfn.CONCAT("*",Table13[[#Headers],[Crime]],"*")),1,0)</f>
        <v>1</v>
      </c>
      <c r="N456">
        <f>IF(COUNTIF($E456, _xlfn.CONCAT("*",Table13[[#Headers],[Documentary]],"*")),1,0)</f>
        <v>0</v>
      </c>
      <c r="O456">
        <f>IF(COUNTIF($E456, _xlfn.CONCAT("*",Table13[[#Headers],[Drama]],"*")),1,0)</f>
        <v>0</v>
      </c>
      <c r="P456">
        <f>IF(COUNTIF($E456, _xlfn.CONCAT("*",Table13[[#Headers],[Family]],"*")),1,0)</f>
        <v>0</v>
      </c>
      <c r="Q456">
        <f>IF(COUNTIF($E456, _xlfn.CONCAT("*",Table13[[#Headers],[Fantasy]],"*")),1,0)</f>
        <v>0</v>
      </c>
      <c r="R456">
        <f>IF(COUNTIF($E456, _xlfn.CONCAT("*",Table13[[#Headers],[History]],"*")),1,0)</f>
        <v>0</v>
      </c>
      <c r="S456">
        <f>IF(COUNTIF($E456, _xlfn.CONCAT("*",Table13[[#Headers],[Horror]],"*")),1,0)</f>
        <v>0</v>
      </c>
      <c r="T456">
        <f>IF(COUNTIF($E456, _xlfn.CONCAT("*",Table13[[#Headers],[Music]],"*")),1,0)</f>
        <v>0</v>
      </c>
      <c r="U456">
        <f>IF(COUNTIF($E456, _xlfn.CONCAT("*",Table13[[#Headers],[Mystery]],"*")),1,0)</f>
        <v>0</v>
      </c>
      <c r="V456">
        <f>IF(COUNTIF($E456, _xlfn.CONCAT("*",Table13[[#Headers],[Romance]],"*")),1,0)</f>
        <v>0</v>
      </c>
      <c r="W456">
        <f>IF(COUNTIF($E456, _xlfn.CONCAT("*",Table13[[#Headers],[Science Fiction]],"*")),1,0)</f>
        <v>0</v>
      </c>
      <c r="X456">
        <f>IF(COUNTIF($E456, _xlfn.CONCAT("*",Table13[[#Headers],[TV Movie]],"*")),1,0)</f>
        <v>0</v>
      </c>
      <c r="Y456">
        <f>IF(COUNTIF($E456, _xlfn.CONCAT("*",Table13[[#Headers],[Thriller]],"*")),1,0)</f>
        <v>1</v>
      </c>
      <c r="Z456">
        <f>IF(COUNTIF($E456, _xlfn.CONCAT("*",Table13[[#Headers],[War]],"*")),1,0)</f>
        <v>0</v>
      </c>
      <c r="AA456">
        <f>IF(COUNTIF($E456, _xlfn.CONCAT("*",Table13[[#Headers],[Western]],"*")),1,0)</f>
        <v>0</v>
      </c>
    </row>
    <row r="457" spans="1:27">
      <c r="A457" t="s">
        <v>625</v>
      </c>
      <c r="B457">
        <v>29</v>
      </c>
      <c r="C457">
        <f>MAX(Table13[Rank])-Table13[[#This Row],[Rank]]</f>
        <v>235</v>
      </c>
      <c r="D457" t="s">
        <v>489</v>
      </c>
      <c r="E457" t="s">
        <v>81</v>
      </c>
      <c r="F457" s="1">
        <v>29082</v>
      </c>
      <c r="G457">
        <f>YEAR(Table13[[#This Row],[Date]])</f>
        <v>1979</v>
      </c>
      <c r="H457" t="s">
        <v>376</v>
      </c>
      <c r="I457">
        <f>IF(COUNTIF($E457, _xlfn.CONCAT("*",Table13[[#Headers],[Action]],"*")),1,0)</f>
        <v>0</v>
      </c>
      <c r="J457">
        <f>IF(COUNTIF($E457, _xlfn.CONCAT("*",Table13[[#Headers],[Adventure]],"*")),1,0)</f>
        <v>0</v>
      </c>
      <c r="K457">
        <f>IF(COUNTIF($E457, _xlfn.CONCAT("*",Table13[[#Headers],[Animation]],"*")),1,0)</f>
        <v>0</v>
      </c>
      <c r="L457">
        <f>IF(COUNTIF($E457, _xlfn.CONCAT("*",Table13[[#Headers],[Comedy]],"*")),1,0)</f>
        <v>0</v>
      </c>
      <c r="M457">
        <f>IF(COUNTIF($E457, _xlfn.CONCAT("*",Table13[[#Headers],[Crime]],"*")),1,0)</f>
        <v>0</v>
      </c>
      <c r="N457">
        <f>IF(COUNTIF($E457, _xlfn.CONCAT("*",Table13[[#Headers],[Documentary]],"*")),1,0)</f>
        <v>0</v>
      </c>
      <c r="O457">
        <f>IF(COUNTIF($E457, _xlfn.CONCAT("*",Table13[[#Headers],[Drama]],"*")),1,0)</f>
        <v>1</v>
      </c>
      <c r="P457">
        <f>IF(COUNTIF($E457, _xlfn.CONCAT("*",Table13[[#Headers],[Family]],"*")),1,0)</f>
        <v>0</v>
      </c>
      <c r="Q457">
        <f>IF(COUNTIF($E457, _xlfn.CONCAT("*",Table13[[#Headers],[Fantasy]],"*")),1,0)</f>
        <v>0</v>
      </c>
      <c r="R457">
        <f>IF(COUNTIF($E457, _xlfn.CONCAT("*",Table13[[#Headers],[History]],"*")),1,0)</f>
        <v>0</v>
      </c>
      <c r="S457">
        <f>IF(COUNTIF($E457, _xlfn.CONCAT("*",Table13[[#Headers],[Horror]],"*")),1,0)</f>
        <v>0</v>
      </c>
      <c r="T457">
        <f>IF(COUNTIF($E457, _xlfn.CONCAT("*",Table13[[#Headers],[Music]],"*")),1,0)</f>
        <v>0</v>
      </c>
      <c r="U457">
        <f>IF(COUNTIF($E457, _xlfn.CONCAT("*",Table13[[#Headers],[Mystery]],"*")),1,0)</f>
        <v>0</v>
      </c>
      <c r="V457">
        <f>IF(COUNTIF($E457, _xlfn.CONCAT("*",Table13[[#Headers],[Romance]],"*")),1,0)</f>
        <v>0</v>
      </c>
      <c r="W457">
        <f>IF(COUNTIF($E457, _xlfn.CONCAT("*",Table13[[#Headers],[Science Fiction]],"*")),1,0)</f>
        <v>0</v>
      </c>
      <c r="X457">
        <f>IF(COUNTIF($E457, _xlfn.CONCAT("*",Table13[[#Headers],[TV Movie]],"*")),1,0)</f>
        <v>0</v>
      </c>
      <c r="Y457">
        <f>IF(COUNTIF($E457, _xlfn.CONCAT("*",Table13[[#Headers],[Thriller]],"*")),1,0)</f>
        <v>0</v>
      </c>
      <c r="Z457">
        <f>IF(COUNTIF($E457, _xlfn.CONCAT("*",Table13[[#Headers],[War]],"*")),1,0)</f>
        <v>1</v>
      </c>
      <c r="AA457">
        <f>IF(COUNTIF($E457, _xlfn.CONCAT("*",Table13[[#Headers],[Western]],"*")),1,0)</f>
        <v>0</v>
      </c>
    </row>
    <row r="458" spans="1:27">
      <c r="A458" t="s">
        <v>626</v>
      </c>
      <c r="B458">
        <v>28</v>
      </c>
      <c r="C458">
        <f>MAX(Table13[Rank])-Table13[[#This Row],[Rank]]</f>
        <v>236</v>
      </c>
      <c r="D458" t="s">
        <v>489</v>
      </c>
      <c r="E458" t="s">
        <v>91</v>
      </c>
      <c r="F458" s="1">
        <v>32652</v>
      </c>
      <c r="G458">
        <f>YEAR(Table13[[#This Row],[Date]])</f>
        <v>1989</v>
      </c>
      <c r="H458" t="s">
        <v>627</v>
      </c>
      <c r="I458">
        <f>IF(COUNTIF($E458, _xlfn.CONCAT("*",Table13[[#Headers],[Action]],"*")),1,0)</f>
        <v>1</v>
      </c>
      <c r="J458">
        <f>IF(COUNTIF($E458, _xlfn.CONCAT("*",Table13[[#Headers],[Adventure]],"*")),1,0)</f>
        <v>1</v>
      </c>
      <c r="K458">
        <f>IF(COUNTIF($E458, _xlfn.CONCAT("*",Table13[[#Headers],[Animation]],"*")),1,0)</f>
        <v>0</v>
      </c>
      <c r="L458">
        <f>IF(COUNTIF($E458, _xlfn.CONCAT("*",Table13[[#Headers],[Comedy]],"*")),1,0)</f>
        <v>0</v>
      </c>
      <c r="M458">
        <f>IF(COUNTIF($E458, _xlfn.CONCAT("*",Table13[[#Headers],[Crime]],"*")),1,0)</f>
        <v>0</v>
      </c>
      <c r="N458">
        <f>IF(COUNTIF($E458, _xlfn.CONCAT("*",Table13[[#Headers],[Documentary]],"*")),1,0)</f>
        <v>0</v>
      </c>
      <c r="O458">
        <f>IF(COUNTIF($E458, _xlfn.CONCAT("*",Table13[[#Headers],[Drama]],"*")),1,0)</f>
        <v>0</v>
      </c>
      <c r="P458">
        <f>IF(COUNTIF($E458, _xlfn.CONCAT("*",Table13[[#Headers],[Family]],"*")),1,0)</f>
        <v>0</v>
      </c>
      <c r="Q458">
        <f>IF(COUNTIF($E458, _xlfn.CONCAT("*",Table13[[#Headers],[Fantasy]],"*")),1,0)</f>
        <v>0</v>
      </c>
      <c r="R458">
        <f>IF(COUNTIF($E458, _xlfn.CONCAT("*",Table13[[#Headers],[History]],"*")),1,0)</f>
        <v>0</v>
      </c>
      <c r="S458">
        <f>IF(COUNTIF($E458, _xlfn.CONCAT("*",Table13[[#Headers],[Horror]],"*")),1,0)</f>
        <v>0</v>
      </c>
      <c r="T458">
        <f>IF(COUNTIF($E458, _xlfn.CONCAT("*",Table13[[#Headers],[Music]],"*")),1,0)</f>
        <v>0</v>
      </c>
      <c r="U458">
        <f>IF(COUNTIF($E458, _xlfn.CONCAT("*",Table13[[#Headers],[Mystery]],"*")),1,0)</f>
        <v>0</v>
      </c>
      <c r="V458">
        <f>IF(COUNTIF($E458, _xlfn.CONCAT("*",Table13[[#Headers],[Romance]],"*")),1,0)</f>
        <v>0</v>
      </c>
      <c r="W458">
        <f>IF(COUNTIF($E458, _xlfn.CONCAT("*",Table13[[#Headers],[Science Fiction]],"*")),1,0)</f>
        <v>0</v>
      </c>
      <c r="X458">
        <f>IF(COUNTIF($E458, _xlfn.CONCAT("*",Table13[[#Headers],[TV Movie]],"*")),1,0)</f>
        <v>0</v>
      </c>
      <c r="Y458">
        <f>IF(COUNTIF($E458, _xlfn.CONCAT("*",Table13[[#Headers],[Thriller]],"*")),1,0)</f>
        <v>0</v>
      </c>
      <c r="Z458">
        <f>IF(COUNTIF($E458, _xlfn.CONCAT("*",Table13[[#Headers],[War]],"*")),1,0)</f>
        <v>0</v>
      </c>
      <c r="AA458">
        <f>IF(COUNTIF($E458, _xlfn.CONCAT("*",Table13[[#Headers],[Western]],"*")),1,0)</f>
        <v>0</v>
      </c>
    </row>
    <row r="459" spans="1:27">
      <c r="A459" t="s">
        <v>628</v>
      </c>
      <c r="B459">
        <v>27</v>
      </c>
      <c r="C459">
        <f>MAX(Table13[Rank])-Table13[[#This Row],[Rank]]</f>
        <v>237</v>
      </c>
      <c r="D459" t="s">
        <v>489</v>
      </c>
      <c r="E459" t="s">
        <v>618</v>
      </c>
      <c r="F459" s="1">
        <v>37956</v>
      </c>
      <c r="G459">
        <f>YEAR(Table13[[#This Row],[Date]])</f>
        <v>2003</v>
      </c>
      <c r="H459" t="s">
        <v>629</v>
      </c>
      <c r="I459">
        <f>IF(COUNTIF($E459, _xlfn.CONCAT("*",Table13[[#Headers],[Action]],"*")),1,0)</f>
        <v>1</v>
      </c>
      <c r="J459">
        <f>IF(COUNTIF($E459, _xlfn.CONCAT("*",Table13[[#Headers],[Adventure]],"*")),1,0)</f>
        <v>1</v>
      </c>
      <c r="K459">
        <f>IF(COUNTIF($E459, _xlfn.CONCAT("*",Table13[[#Headers],[Animation]],"*")),1,0)</f>
        <v>0</v>
      </c>
      <c r="L459">
        <f>IF(COUNTIF($E459, _xlfn.CONCAT("*",Table13[[#Headers],[Comedy]],"*")),1,0)</f>
        <v>0</v>
      </c>
      <c r="M459">
        <f>IF(COUNTIF($E459, _xlfn.CONCAT("*",Table13[[#Headers],[Crime]],"*")),1,0)</f>
        <v>0</v>
      </c>
      <c r="N459">
        <f>IF(COUNTIF($E459, _xlfn.CONCAT("*",Table13[[#Headers],[Documentary]],"*")),1,0)</f>
        <v>0</v>
      </c>
      <c r="O459">
        <f>IF(COUNTIF($E459, _xlfn.CONCAT("*",Table13[[#Headers],[Drama]],"*")),1,0)</f>
        <v>0</v>
      </c>
      <c r="P459">
        <f>IF(COUNTIF($E459, _xlfn.CONCAT("*",Table13[[#Headers],[Family]],"*")),1,0)</f>
        <v>0</v>
      </c>
      <c r="Q459">
        <f>IF(COUNTIF($E459, _xlfn.CONCAT("*",Table13[[#Headers],[Fantasy]],"*")),1,0)</f>
        <v>1</v>
      </c>
      <c r="R459">
        <f>IF(COUNTIF($E459, _xlfn.CONCAT("*",Table13[[#Headers],[History]],"*")),1,0)</f>
        <v>0</v>
      </c>
      <c r="S459">
        <f>IF(COUNTIF($E459, _xlfn.CONCAT("*",Table13[[#Headers],[Horror]],"*")),1,0)</f>
        <v>0</v>
      </c>
      <c r="T459">
        <f>IF(COUNTIF($E459, _xlfn.CONCAT("*",Table13[[#Headers],[Music]],"*")),1,0)</f>
        <v>0</v>
      </c>
      <c r="U459">
        <f>IF(COUNTIF($E459, _xlfn.CONCAT("*",Table13[[#Headers],[Mystery]],"*")),1,0)</f>
        <v>0</v>
      </c>
      <c r="V459">
        <f>IF(COUNTIF($E459, _xlfn.CONCAT("*",Table13[[#Headers],[Romance]],"*")),1,0)</f>
        <v>0</v>
      </c>
      <c r="W459">
        <f>IF(COUNTIF($E459, _xlfn.CONCAT("*",Table13[[#Headers],[Science Fiction]],"*")),1,0)</f>
        <v>0</v>
      </c>
      <c r="X459">
        <f>IF(COUNTIF($E459, _xlfn.CONCAT("*",Table13[[#Headers],[TV Movie]],"*")),1,0)</f>
        <v>0</v>
      </c>
      <c r="Y459">
        <f>IF(COUNTIF($E459, _xlfn.CONCAT("*",Table13[[#Headers],[Thriller]],"*")),1,0)</f>
        <v>0</v>
      </c>
      <c r="Z459">
        <f>IF(COUNTIF($E459, _xlfn.CONCAT("*",Table13[[#Headers],[War]],"*")),1,0)</f>
        <v>0</v>
      </c>
      <c r="AA459">
        <f>IF(COUNTIF($E459, _xlfn.CONCAT("*",Table13[[#Headers],[Western]],"*")),1,0)</f>
        <v>0</v>
      </c>
    </row>
    <row r="460" spans="1:27">
      <c r="A460" t="s">
        <v>630</v>
      </c>
      <c r="B460">
        <v>26</v>
      </c>
      <c r="C460">
        <f>MAX(Table13[Rank])-Table13[[#This Row],[Rank]]</f>
        <v>238</v>
      </c>
      <c r="D460" t="s">
        <v>489</v>
      </c>
      <c r="E460" t="s">
        <v>631</v>
      </c>
      <c r="F460" s="1">
        <v>41311</v>
      </c>
      <c r="G460">
        <f>YEAR(Table13[[#This Row],[Date]])</f>
        <v>2013</v>
      </c>
      <c r="H460" t="s">
        <v>632</v>
      </c>
      <c r="I460">
        <f>IF(COUNTIF($E460, _xlfn.CONCAT("*",Table13[[#Headers],[Action]],"*")),1,0)</f>
        <v>1</v>
      </c>
      <c r="J460">
        <f>IF(COUNTIF($E460, _xlfn.CONCAT("*",Table13[[#Headers],[Adventure]],"*")),1,0)</f>
        <v>0</v>
      </c>
      <c r="K460">
        <f>IF(COUNTIF($E460, _xlfn.CONCAT("*",Table13[[#Headers],[Animation]],"*")),1,0)</f>
        <v>0</v>
      </c>
      <c r="L460">
        <f>IF(COUNTIF($E460, _xlfn.CONCAT("*",Table13[[#Headers],[Comedy]],"*")),1,0)</f>
        <v>0</v>
      </c>
      <c r="M460">
        <f>IF(COUNTIF($E460, _xlfn.CONCAT("*",Table13[[#Headers],[Crime]],"*")),1,0)</f>
        <v>0</v>
      </c>
      <c r="N460">
        <f>IF(COUNTIF($E460, _xlfn.CONCAT("*",Table13[[#Headers],[Documentary]],"*")),1,0)</f>
        <v>0</v>
      </c>
      <c r="O460">
        <f>IF(COUNTIF($E460, _xlfn.CONCAT("*",Table13[[#Headers],[Drama]],"*")),1,0)</f>
        <v>0</v>
      </c>
      <c r="P460">
        <f>IF(COUNTIF($E460, _xlfn.CONCAT("*",Table13[[#Headers],[Family]],"*")),1,0)</f>
        <v>0</v>
      </c>
      <c r="Q460">
        <f>IF(COUNTIF($E460, _xlfn.CONCAT("*",Table13[[#Headers],[Fantasy]],"*")),1,0)</f>
        <v>0</v>
      </c>
      <c r="R460">
        <f>IF(COUNTIF($E460, _xlfn.CONCAT("*",Table13[[#Headers],[History]],"*")),1,0)</f>
        <v>0</v>
      </c>
      <c r="S460">
        <f>IF(COUNTIF($E460, _xlfn.CONCAT("*",Table13[[#Headers],[Horror]],"*")),1,0)</f>
        <v>0</v>
      </c>
      <c r="T460">
        <f>IF(COUNTIF($E460, _xlfn.CONCAT("*",Table13[[#Headers],[Music]],"*")),1,0)</f>
        <v>0</v>
      </c>
      <c r="U460">
        <f>IF(COUNTIF($E460, _xlfn.CONCAT("*",Table13[[#Headers],[Mystery]],"*")),1,0)</f>
        <v>0</v>
      </c>
      <c r="V460">
        <f>IF(COUNTIF($E460, _xlfn.CONCAT("*",Table13[[#Headers],[Romance]],"*")),1,0)</f>
        <v>0</v>
      </c>
      <c r="W460">
        <f>IF(COUNTIF($E460, _xlfn.CONCAT("*",Table13[[#Headers],[Science Fiction]],"*")),1,0)</f>
        <v>0</v>
      </c>
      <c r="X460">
        <f>IF(COUNTIF($E460, _xlfn.CONCAT("*",Table13[[#Headers],[TV Movie]],"*")),1,0)</f>
        <v>0</v>
      </c>
      <c r="Y460">
        <f>IF(COUNTIF($E460, _xlfn.CONCAT("*",Table13[[#Headers],[Thriller]],"*")),1,0)</f>
        <v>1</v>
      </c>
      <c r="Z460">
        <f>IF(COUNTIF($E460, _xlfn.CONCAT("*",Table13[[#Headers],[War]],"*")),1,0)</f>
        <v>0</v>
      </c>
      <c r="AA460">
        <f>IF(COUNTIF($E460, _xlfn.CONCAT("*",Table13[[#Headers],[Western]],"*")),1,0)</f>
        <v>0</v>
      </c>
    </row>
    <row r="461" spans="1:27">
      <c r="A461" t="s">
        <v>633</v>
      </c>
      <c r="B461">
        <v>25</v>
      </c>
      <c r="C461">
        <f>MAX(Table13[Rank])-Table13[[#This Row],[Rank]]</f>
        <v>239</v>
      </c>
      <c r="D461" t="s">
        <v>489</v>
      </c>
      <c r="E461" t="s">
        <v>21</v>
      </c>
      <c r="F461" s="1">
        <v>36448</v>
      </c>
      <c r="G461">
        <f>YEAR(Table13[[#This Row],[Date]])</f>
        <v>1999</v>
      </c>
      <c r="H461" t="s">
        <v>634</v>
      </c>
      <c r="I461">
        <f>IF(COUNTIF($E461, _xlfn.CONCAT("*",Table13[[#Headers],[Action]],"*")),1,0)</f>
        <v>0</v>
      </c>
      <c r="J461">
        <f>IF(COUNTIF($E461, _xlfn.CONCAT("*",Table13[[#Headers],[Adventure]],"*")),1,0)</f>
        <v>0</v>
      </c>
      <c r="K461">
        <f>IF(COUNTIF($E461, _xlfn.CONCAT("*",Table13[[#Headers],[Animation]],"*")),1,0)</f>
        <v>0</v>
      </c>
      <c r="L461">
        <f>IF(COUNTIF($E461, _xlfn.CONCAT("*",Table13[[#Headers],[Comedy]],"*")),1,0)</f>
        <v>0</v>
      </c>
      <c r="M461">
        <f>IF(COUNTIF($E461, _xlfn.CONCAT("*",Table13[[#Headers],[Crime]],"*")),1,0)</f>
        <v>0</v>
      </c>
      <c r="N461">
        <f>IF(COUNTIF($E461, _xlfn.CONCAT("*",Table13[[#Headers],[Documentary]],"*")),1,0)</f>
        <v>0</v>
      </c>
      <c r="O461">
        <f>IF(COUNTIF($E461, _xlfn.CONCAT("*",Table13[[#Headers],[Drama]],"*")),1,0)</f>
        <v>1</v>
      </c>
      <c r="P461">
        <f>IF(COUNTIF($E461, _xlfn.CONCAT("*",Table13[[#Headers],[Family]],"*")),1,0)</f>
        <v>0</v>
      </c>
      <c r="Q461">
        <f>IF(COUNTIF($E461, _xlfn.CONCAT("*",Table13[[#Headers],[Fantasy]],"*")),1,0)</f>
        <v>0</v>
      </c>
      <c r="R461">
        <f>IF(COUNTIF($E461, _xlfn.CONCAT("*",Table13[[#Headers],[History]],"*")),1,0)</f>
        <v>0</v>
      </c>
      <c r="S461">
        <f>IF(COUNTIF($E461, _xlfn.CONCAT("*",Table13[[#Headers],[Horror]],"*")),1,0)</f>
        <v>0</v>
      </c>
      <c r="T461">
        <f>IF(COUNTIF($E461, _xlfn.CONCAT("*",Table13[[#Headers],[Music]],"*")),1,0)</f>
        <v>0</v>
      </c>
      <c r="U461">
        <f>IF(COUNTIF($E461, _xlfn.CONCAT("*",Table13[[#Headers],[Mystery]],"*")),1,0)</f>
        <v>0</v>
      </c>
      <c r="V461">
        <f>IF(COUNTIF($E461, _xlfn.CONCAT("*",Table13[[#Headers],[Romance]],"*")),1,0)</f>
        <v>0</v>
      </c>
      <c r="W461">
        <f>IF(COUNTIF($E461, _xlfn.CONCAT("*",Table13[[#Headers],[Science Fiction]],"*")),1,0)</f>
        <v>0</v>
      </c>
      <c r="X461">
        <f>IF(COUNTIF($E461, _xlfn.CONCAT("*",Table13[[#Headers],[TV Movie]],"*")),1,0)</f>
        <v>0</v>
      </c>
      <c r="Y461">
        <f>IF(COUNTIF($E461, _xlfn.CONCAT("*",Table13[[#Headers],[Thriller]],"*")),1,0)</f>
        <v>0</v>
      </c>
      <c r="Z461">
        <f>IF(COUNTIF($E461, _xlfn.CONCAT("*",Table13[[#Headers],[War]],"*")),1,0)</f>
        <v>0</v>
      </c>
      <c r="AA461">
        <f>IF(COUNTIF($E461, _xlfn.CONCAT("*",Table13[[#Headers],[Western]],"*")),1,0)</f>
        <v>0</v>
      </c>
    </row>
    <row r="462" spans="1:27">
      <c r="A462" t="s">
        <v>635</v>
      </c>
      <c r="B462">
        <v>24</v>
      </c>
      <c r="C462">
        <f>MAX(Table13[Rank])-Table13[[#This Row],[Rank]]</f>
        <v>240</v>
      </c>
      <c r="D462" t="s">
        <v>489</v>
      </c>
      <c r="E462" t="s">
        <v>512</v>
      </c>
      <c r="F462" s="1">
        <v>33422</v>
      </c>
      <c r="G462">
        <f>YEAR(Table13[[#This Row],[Date]])</f>
        <v>1991</v>
      </c>
      <c r="H462" t="s">
        <v>636</v>
      </c>
      <c r="I462">
        <f>IF(COUNTIF($E462, _xlfn.CONCAT("*",Table13[[#Headers],[Action]],"*")),1,0)</f>
        <v>1</v>
      </c>
      <c r="J462">
        <f>IF(COUNTIF($E462, _xlfn.CONCAT("*",Table13[[#Headers],[Adventure]],"*")),1,0)</f>
        <v>0</v>
      </c>
      <c r="K462">
        <f>IF(COUNTIF($E462, _xlfn.CONCAT("*",Table13[[#Headers],[Animation]],"*")),1,0)</f>
        <v>0</v>
      </c>
      <c r="L462">
        <f>IF(COUNTIF($E462, _xlfn.CONCAT("*",Table13[[#Headers],[Comedy]],"*")),1,0)</f>
        <v>0</v>
      </c>
      <c r="M462">
        <f>IF(COUNTIF($E462, _xlfn.CONCAT("*",Table13[[#Headers],[Crime]],"*")),1,0)</f>
        <v>0</v>
      </c>
      <c r="N462">
        <f>IF(COUNTIF($E462, _xlfn.CONCAT("*",Table13[[#Headers],[Documentary]],"*")),1,0)</f>
        <v>0</v>
      </c>
      <c r="O462">
        <f>IF(COUNTIF($E462, _xlfn.CONCAT("*",Table13[[#Headers],[Drama]],"*")),1,0)</f>
        <v>0</v>
      </c>
      <c r="P462">
        <f>IF(COUNTIF($E462, _xlfn.CONCAT("*",Table13[[#Headers],[Family]],"*")),1,0)</f>
        <v>0</v>
      </c>
      <c r="Q462">
        <f>IF(COUNTIF($E462, _xlfn.CONCAT("*",Table13[[#Headers],[Fantasy]],"*")),1,0)</f>
        <v>0</v>
      </c>
      <c r="R462">
        <f>IF(COUNTIF($E462, _xlfn.CONCAT("*",Table13[[#Headers],[History]],"*")),1,0)</f>
        <v>0</v>
      </c>
      <c r="S462">
        <f>IF(COUNTIF($E462, _xlfn.CONCAT("*",Table13[[#Headers],[Horror]],"*")),1,0)</f>
        <v>0</v>
      </c>
      <c r="T462">
        <f>IF(COUNTIF($E462, _xlfn.CONCAT("*",Table13[[#Headers],[Music]],"*")),1,0)</f>
        <v>0</v>
      </c>
      <c r="U462">
        <f>IF(COUNTIF($E462, _xlfn.CONCAT("*",Table13[[#Headers],[Mystery]],"*")),1,0)</f>
        <v>0</v>
      </c>
      <c r="V462">
        <f>IF(COUNTIF($E462, _xlfn.CONCAT("*",Table13[[#Headers],[Romance]],"*")),1,0)</f>
        <v>0</v>
      </c>
      <c r="W462">
        <f>IF(COUNTIF($E462, _xlfn.CONCAT("*",Table13[[#Headers],[Science Fiction]],"*")),1,0)</f>
        <v>1</v>
      </c>
      <c r="X462">
        <f>IF(COUNTIF($E462, _xlfn.CONCAT("*",Table13[[#Headers],[TV Movie]],"*")),1,0)</f>
        <v>0</v>
      </c>
      <c r="Y462">
        <f>IF(COUNTIF($E462, _xlfn.CONCAT("*",Table13[[#Headers],[Thriller]],"*")),1,0)</f>
        <v>1</v>
      </c>
      <c r="Z462">
        <f>IF(COUNTIF($E462, _xlfn.CONCAT("*",Table13[[#Headers],[War]],"*")),1,0)</f>
        <v>0</v>
      </c>
      <c r="AA462">
        <f>IF(COUNTIF($E462, _xlfn.CONCAT("*",Table13[[#Headers],[Western]],"*")),1,0)</f>
        <v>0</v>
      </c>
    </row>
    <row r="463" spans="1:27">
      <c r="A463" t="s">
        <v>637</v>
      </c>
      <c r="B463">
        <v>23</v>
      </c>
      <c r="C463">
        <f>MAX(Table13[Rank])-Table13[[#This Row],[Rank]]</f>
        <v>241</v>
      </c>
      <c r="D463" t="s">
        <v>489</v>
      </c>
      <c r="E463" t="s">
        <v>392</v>
      </c>
      <c r="F463" s="1">
        <v>24930</v>
      </c>
      <c r="G463">
        <f>YEAR(Table13[[#This Row],[Date]])</f>
        <v>1968</v>
      </c>
      <c r="H463" t="s">
        <v>391</v>
      </c>
      <c r="I463">
        <f>IF(COUNTIF($E463, _xlfn.CONCAT("*",Table13[[#Headers],[Action]],"*")),1,0)</f>
        <v>0</v>
      </c>
      <c r="J463">
        <f>IF(COUNTIF($E463, _xlfn.CONCAT("*",Table13[[#Headers],[Adventure]],"*")),1,0)</f>
        <v>1</v>
      </c>
      <c r="K463">
        <f>IF(COUNTIF($E463, _xlfn.CONCAT("*",Table13[[#Headers],[Animation]],"*")),1,0)</f>
        <v>0</v>
      </c>
      <c r="L463">
        <f>IF(COUNTIF($E463, _xlfn.CONCAT("*",Table13[[#Headers],[Comedy]],"*")),1,0)</f>
        <v>0</v>
      </c>
      <c r="M463">
        <f>IF(COUNTIF($E463, _xlfn.CONCAT("*",Table13[[#Headers],[Crime]],"*")),1,0)</f>
        <v>0</v>
      </c>
      <c r="N463">
        <f>IF(COUNTIF($E463, _xlfn.CONCAT("*",Table13[[#Headers],[Documentary]],"*")),1,0)</f>
        <v>0</v>
      </c>
      <c r="O463">
        <f>IF(COUNTIF($E463, _xlfn.CONCAT("*",Table13[[#Headers],[Drama]],"*")),1,0)</f>
        <v>0</v>
      </c>
      <c r="P463">
        <f>IF(COUNTIF($E463, _xlfn.CONCAT("*",Table13[[#Headers],[Family]],"*")),1,0)</f>
        <v>0</v>
      </c>
      <c r="Q463">
        <f>IF(COUNTIF($E463, _xlfn.CONCAT("*",Table13[[#Headers],[Fantasy]],"*")),1,0)</f>
        <v>0</v>
      </c>
      <c r="R463">
        <f>IF(COUNTIF($E463, _xlfn.CONCAT("*",Table13[[#Headers],[History]],"*")),1,0)</f>
        <v>0</v>
      </c>
      <c r="S463">
        <f>IF(COUNTIF($E463, _xlfn.CONCAT("*",Table13[[#Headers],[Horror]],"*")),1,0)</f>
        <v>0</v>
      </c>
      <c r="T463">
        <f>IF(COUNTIF($E463, _xlfn.CONCAT("*",Table13[[#Headers],[Music]],"*")),1,0)</f>
        <v>0</v>
      </c>
      <c r="U463">
        <f>IF(COUNTIF($E463, _xlfn.CONCAT("*",Table13[[#Headers],[Mystery]],"*")),1,0)</f>
        <v>1</v>
      </c>
      <c r="V463">
        <f>IF(COUNTIF($E463, _xlfn.CONCAT("*",Table13[[#Headers],[Romance]],"*")),1,0)</f>
        <v>0</v>
      </c>
      <c r="W463">
        <f>IF(COUNTIF($E463, _xlfn.CONCAT("*",Table13[[#Headers],[Science Fiction]],"*")),1,0)</f>
        <v>1</v>
      </c>
      <c r="X463">
        <f>IF(COUNTIF($E463, _xlfn.CONCAT("*",Table13[[#Headers],[TV Movie]],"*")),1,0)</f>
        <v>0</v>
      </c>
      <c r="Y463">
        <f>IF(COUNTIF($E463, _xlfn.CONCAT("*",Table13[[#Headers],[Thriller]],"*")),1,0)</f>
        <v>0</v>
      </c>
      <c r="Z463">
        <f>IF(COUNTIF($E463, _xlfn.CONCAT("*",Table13[[#Headers],[War]],"*")),1,0)</f>
        <v>0</v>
      </c>
      <c r="AA463">
        <f>IF(COUNTIF($E463, _xlfn.CONCAT("*",Table13[[#Headers],[Western]],"*")),1,0)</f>
        <v>0</v>
      </c>
    </row>
    <row r="464" spans="1:27">
      <c r="A464" t="s">
        <v>638</v>
      </c>
      <c r="B464">
        <v>22</v>
      </c>
      <c r="C464">
        <f>MAX(Table13[Rank])-Table13[[#This Row],[Rank]]</f>
        <v>242</v>
      </c>
      <c r="D464" t="s">
        <v>489</v>
      </c>
      <c r="E464" t="s">
        <v>639</v>
      </c>
      <c r="F464" s="1">
        <v>43579</v>
      </c>
      <c r="G464">
        <f>YEAR(Table13[[#This Row],[Date]])</f>
        <v>2019</v>
      </c>
      <c r="H464" t="s">
        <v>640</v>
      </c>
      <c r="I464">
        <f>IF(COUNTIF($E464, _xlfn.CONCAT("*",Table13[[#Headers],[Action]],"*")),1,0)</f>
        <v>1</v>
      </c>
      <c r="J464">
        <f>IF(COUNTIF($E464, _xlfn.CONCAT("*",Table13[[#Headers],[Adventure]],"*")),1,0)</f>
        <v>1</v>
      </c>
      <c r="K464">
        <f>IF(COUNTIF($E464, _xlfn.CONCAT("*",Table13[[#Headers],[Animation]],"*")),1,0)</f>
        <v>0</v>
      </c>
      <c r="L464">
        <f>IF(COUNTIF($E464, _xlfn.CONCAT("*",Table13[[#Headers],[Comedy]],"*")),1,0)</f>
        <v>0</v>
      </c>
      <c r="M464">
        <f>IF(COUNTIF($E464, _xlfn.CONCAT("*",Table13[[#Headers],[Crime]],"*")),1,0)</f>
        <v>0</v>
      </c>
      <c r="N464">
        <f>IF(COUNTIF($E464, _xlfn.CONCAT("*",Table13[[#Headers],[Documentary]],"*")),1,0)</f>
        <v>0</v>
      </c>
      <c r="O464">
        <f>IF(COUNTIF($E464, _xlfn.CONCAT("*",Table13[[#Headers],[Drama]],"*")),1,0)</f>
        <v>0</v>
      </c>
      <c r="P464">
        <f>IF(COUNTIF($E464, _xlfn.CONCAT("*",Table13[[#Headers],[Family]],"*")),1,0)</f>
        <v>0</v>
      </c>
      <c r="Q464">
        <f>IF(COUNTIF($E464, _xlfn.CONCAT("*",Table13[[#Headers],[Fantasy]],"*")),1,0)</f>
        <v>0</v>
      </c>
      <c r="R464">
        <f>IF(COUNTIF($E464, _xlfn.CONCAT("*",Table13[[#Headers],[History]],"*")),1,0)</f>
        <v>0</v>
      </c>
      <c r="S464">
        <f>IF(COUNTIF($E464, _xlfn.CONCAT("*",Table13[[#Headers],[Horror]],"*")),1,0)</f>
        <v>0</v>
      </c>
      <c r="T464">
        <f>IF(COUNTIF($E464, _xlfn.CONCAT("*",Table13[[#Headers],[Music]],"*")),1,0)</f>
        <v>0</v>
      </c>
      <c r="U464">
        <f>IF(COUNTIF($E464, _xlfn.CONCAT("*",Table13[[#Headers],[Mystery]],"*")),1,0)</f>
        <v>0</v>
      </c>
      <c r="V464">
        <f>IF(COUNTIF($E464, _xlfn.CONCAT("*",Table13[[#Headers],[Romance]],"*")),1,0)</f>
        <v>0</v>
      </c>
      <c r="W464">
        <f>IF(COUNTIF($E464, _xlfn.CONCAT("*",Table13[[#Headers],[Science Fiction]],"*")),1,0)</f>
        <v>1</v>
      </c>
      <c r="X464">
        <f>IF(COUNTIF($E464, _xlfn.CONCAT("*",Table13[[#Headers],[TV Movie]],"*")),1,0)</f>
        <v>0</v>
      </c>
      <c r="Y464">
        <f>IF(COUNTIF($E464, _xlfn.CONCAT("*",Table13[[#Headers],[Thriller]],"*")),1,0)</f>
        <v>0</v>
      </c>
      <c r="Z464">
        <f>IF(COUNTIF($E464, _xlfn.CONCAT("*",Table13[[#Headers],[War]],"*")),1,0)</f>
        <v>0</v>
      </c>
      <c r="AA464">
        <f>IF(COUNTIF($E464, _xlfn.CONCAT("*",Table13[[#Headers],[Western]],"*")),1,0)</f>
        <v>0</v>
      </c>
    </row>
    <row r="465" spans="1:27">
      <c r="A465" t="s">
        <v>641</v>
      </c>
      <c r="B465">
        <v>21</v>
      </c>
      <c r="C465">
        <f>MAX(Table13[Rank])-Table13[[#This Row],[Rank]]</f>
        <v>243</v>
      </c>
      <c r="D465" t="s">
        <v>489</v>
      </c>
      <c r="E465" t="s">
        <v>642</v>
      </c>
      <c r="F465" s="1">
        <v>44762</v>
      </c>
      <c r="G465">
        <f>YEAR(Table13[[#This Row],[Date]])</f>
        <v>2022</v>
      </c>
      <c r="H465" t="s">
        <v>1296</v>
      </c>
      <c r="I465">
        <f>IF(COUNTIF($E465, _xlfn.CONCAT("*",Table13[[#Headers],[Action]],"*")),1,0)</f>
        <v>1</v>
      </c>
      <c r="J465">
        <f>IF(COUNTIF($E465, _xlfn.CONCAT("*",Table13[[#Headers],[Adventure]],"*")),1,0)</f>
        <v>1</v>
      </c>
      <c r="K465">
        <f>IF(COUNTIF($E465, _xlfn.CONCAT("*",Table13[[#Headers],[Animation]],"*")),1,0)</f>
        <v>0</v>
      </c>
      <c r="L465">
        <f>IF(COUNTIF($E465, _xlfn.CONCAT("*",Table13[[#Headers],[Comedy]],"*")),1,0)</f>
        <v>0</v>
      </c>
      <c r="M465">
        <f>IF(COUNTIF($E465, _xlfn.CONCAT("*",Table13[[#Headers],[Crime]],"*")),1,0)</f>
        <v>0</v>
      </c>
      <c r="N465">
        <f>IF(COUNTIF($E465, _xlfn.CONCAT("*",Table13[[#Headers],[Documentary]],"*")),1,0)</f>
        <v>0</v>
      </c>
      <c r="O465">
        <f>IF(COUNTIF($E465, _xlfn.CONCAT("*",Table13[[#Headers],[Drama]],"*")),1,0)</f>
        <v>0</v>
      </c>
      <c r="P465">
        <f>IF(COUNTIF($E465, _xlfn.CONCAT("*",Table13[[#Headers],[Family]],"*")),1,0)</f>
        <v>0</v>
      </c>
      <c r="Q465">
        <f>IF(COUNTIF($E465, _xlfn.CONCAT("*",Table13[[#Headers],[Fantasy]],"*")),1,0)</f>
        <v>1</v>
      </c>
      <c r="R465">
        <f>IF(COUNTIF($E465, _xlfn.CONCAT("*",Table13[[#Headers],[History]],"*")),1,0)</f>
        <v>0</v>
      </c>
      <c r="S465">
        <f>IF(COUNTIF($E465, _xlfn.CONCAT("*",Table13[[#Headers],[Horror]],"*")),1,0)</f>
        <v>0</v>
      </c>
      <c r="T465">
        <f>IF(COUNTIF($E465, _xlfn.CONCAT("*",Table13[[#Headers],[Music]],"*")),1,0)</f>
        <v>0</v>
      </c>
      <c r="U465">
        <f>IF(COUNTIF($E465, _xlfn.CONCAT("*",Table13[[#Headers],[Mystery]],"*")),1,0)</f>
        <v>0</v>
      </c>
      <c r="V465">
        <f>IF(COUNTIF($E465, _xlfn.CONCAT("*",Table13[[#Headers],[Romance]],"*")),1,0)</f>
        <v>0</v>
      </c>
      <c r="W465">
        <f>IF(COUNTIF($E465, _xlfn.CONCAT("*",Table13[[#Headers],[Science Fiction]],"*")),1,0)</f>
        <v>1</v>
      </c>
      <c r="X465">
        <f>IF(COUNTIF($E465, _xlfn.CONCAT("*",Table13[[#Headers],[TV Movie]],"*")),1,0)</f>
        <v>0</v>
      </c>
      <c r="Y465">
        <f>IF(COUNTIF($E465, _xlfn.CONCAT("*",Table13[[#Headers],[Thriller]],"*")),1,0)</f>
        <v>0</v>
      </c>
      <c r="Z465">
        <f>IF(COUNTIF($E465, _xlfn.CONCAT("*",Table13[[#Headers],[War]],"*")),1,0)</f>
        <v>0</v>
      </c>
      <c r="AA465">
        <f>IF(COUNTIF($E465, _xlfn.CONCAT("*",Table13[[#Headers],[Western]],"*")),1,0)</f>
        <v>0</v>
      </c>
    </row>
    <row r="466" spans="1:27">
      <c r="A466" t="s">
        <v>643</v>
      </c>
      <c r="B466">
        <v>20</v>
      </c>
      <c r="C466">
        <f>MAX(Table13[Rank])-Table13[[#This Row],[Rank]]</f>
        <v>244</v>
      </c>
      <c r="D466" t="s">
        <v>489</v>
      </c>
      <c r="E466" t="s">
        <v>233</v>
      </c>
      <c r="F466" s="1">
        <v>36249</v>
      </c>
      <c r="G466">
        <f>YEAR(Table13[[#This Row],[Date]])</f>
        <v>1999</v>
      </c>
      <c r="H466" t="s">
        <v>232</v>
      </c>
      <c r="I466">
        <f>IF(COUNTIF($E466, _xlfn.CONCAT("*",Table13[[#Headers],[Action]],"*")),1,0)</f>
        <v>1</v>
      </c>
      <c r="J466">
        <f>IF(COUNTIF($E466, _xlfn.CONCAT("*",Table13[[#Headers],[Adventure]],"*")),1,0)</f>
        <v>0</v>
      </c>
      <c r="K466">
        <f>IF(COUNTIF($E466, _xlfn.CONCAT("*",Table13[[#Headers],[Animation]],"*")),1,0)</f>
        <v>0</v>
      </c>
      <c r="L466">
        <f>IF(COUNTIF($E466, _xlfn.CONCAT("*",Table13[[#Headers],[Comedy]],"*")),1,0)</f>
        <v>0</v>
      </c>
      <c r="M466">
        <f>IF(COUNTIF($E466, _xlfn.CONCAT("*",Table13[[#Headers],[Crime]],"*")),1,0)</f>
        <v>0</v>
      </c>
      <c r="N466">
        <f>IF(COUNTIF($E466, _xlfn.CONCAT("*",Table13[[#Headers],[Documentary]],"*")),1,0)</f>
        <v>0</v>
      </c>
      <c r="O466">
        <f>IF(COUNTIF($E466, _xlfn.CONCAT("*",Table13[[#Headers],[Drama]],"*")),1,0)</f>
        <v>0</v>
      </c>
      <c r="P466">
        <f>IF(COUNTIF($E466, _xlfn.CONCAT("*",Table13[[#Headers],[Family]],"*")),1,0)</f>
        <v>0</v>
      </c>
      <c r="Q466">
        <f>IF(COUNTIF($E466, _xlfn.CONCAT("*",Table13[[#Headers],[Fantasy]],"*")),1,0)</f>
        <v>0</v>
      </c>
      <c r="R466">
        <f>IF(COUNTIF($E466, _xlfn.CONCAT("*",Table13[[#Headers],[History]],"*")),1,0)</f>
        <v>0</v>
      </c>
      <c r="S466">
        <f>IF(COUNTIF($E466, _xlfn.CONCAT("*",Table13[[#Headers],[Horror]],"*")),1,0)</f>
        <v>0</v>
      </c>
      <c r="T466">
        <f>IF(COUNTIF($E466, _xlfn.CONCAT("*",Table13[[#Headers],[Music]],"*")),1,0)</f>
        <v>0</v>
      </c>
      <c r="U466">
        <f>IF(COUNTIF($E466, _xlfn.CONCAT("*",Table13[[#Headers],[Mystery]],"*")),1,0)</f>
        <v>0</v>
      </c>
      <c r="V466">
        <f>IF(COUNTIF($E466, _xlfn.CONCAT("*",Table13[[#Headers],[Romance]],"*")),1,0)</f>
        <v>0</v>
      </c>
      <c r="W466">
        <f>IF(COUNTIF($E466, _xlfn.CONCAT("*",Table13[[#Headers],[Science Fiction]],"*")),1,0)</f>
        <v>1</v>
      </c>
      <c r="X466">
        <f>IF(COUNTIF($E466, _xlfn.CONCAT("*",Table13[[#Headers],[TV Movie]],"*")),1,0)</f>
        <v>0</v>
      </c>
      <c r="Y466">
        <f>IF(COUNTIF($E466, _xlfn.CONCAT("*",Table13[[#Headers],[Thriller]],"*")),1,0)</f>
        <v>0</v>
      </c>
      <c r="Z466">
        <f>IF(COUNTIF($E466, _xlfn.CONCAT("*",Table13[[#Headers],[War]],"*")),1,0)</f>
        <v>0</v>
      </c>
      <c r="AA466">
        <f>IF(COUNTIF($E466, _xlfn.CONCAT("*",Table13[[#Headers],[Western]],"*")),1,0)</f>
        <v>0</v>
      </c>
    </row>
    <row r="467" spans="1:27">
      <c r="A467" t="s">
        <v>644</v>
      </c>
      <c r="B467">
        <v>19</v>
      </c>
      <c r="C467">
        <f>MAX(Table13[Rank])-Table13[[#This Row],[Rank]]</f>
        <v>245</v>
      </c>
      <c r="D467" t="s">
        <v>489</v>
      </c>
      <c r="E467" t="s">
        <v>645</v>
      </c>
      <c r="F467" s="1">
        <v>40374</v>
      </c>
      <c r="G467">
        <f>YEAR(Table13[[#This Row],[Date]])</f>
        <v>2010</v>
      </c>
      <c r="H467" t="s">
        <v>646</v>
      </c>
      <c r="I467">
        <f>IF(COUNTIF($E467, _xlfn.CONCAT("*",Table13[[#Headers],[Action]],"*")),1,0)</f>
        <v>1</v>
      </c>
      <c r="J467">
        <f>IF(COUNTIF($E467, _xlfn.CONCAT("*",Table13[[#Headers],[Adventure]],"*")),1,0)</f>
        <v>1</v>
      </c>
      <c r="K467">
        <f>IF(COUNTIF($E467, _xlfn.CONCAT("*",Table13[[#Headers],[Animation]],"*")),1,0)</f>
        <v>0</v>
      </c>
      <c r="L467">
        <f>IF(COUNTIF($E467, _xlfn.CONCAT("*",Table13[[#Headers],[Comedy]],"*")),1,0)</f>
        <v>0</v>
      </c>
      <c r="M467">
        <f>IF(COUNTIF($E467, _xlfn.CONCAT("*",Table13[[#Headers],[Crime]],"*")),1,0)</f>
        <v>0</v>
      </c>
      <c r="N467">
        <f>IF(COUNTIF($E467, _xlfn.CONCAT("*",Table13[[#Headers],[Documentary]],"*")),1,0)</f>
        <v>0</v>
      </c>
      <c r="O467">
        <f>IF(COUNTIF($E467, _xlfn.CONCAT("*",Table13[[#Headers],[Drama]],"*")),1,0)</f>
        <v>0</v>
      </c>
      <c r="P467">
        <f>IF(COUNTIF($E467, _xlfn.CONCAT("*",Table13[[#Headers],[Family]],"*")),1,0)</f>
        <v>0</v>
      </c>
      <c r="Q467">
        <f>IF(COUNTIF($E467, _xlfn.CONCAT("*",Table13[[#Headers],[Fantasy]],"*")),1,0)</f>
        <v>0</v>
      </c>
      <c r="R467">
        <f>IF(COUNTIF($E467, _xlfn.CONCAT("*",Table13[[#Headers],[History]],"*")),1,0)</f>
        <v>0</v>
      </c>
      <c r="S467">
        <f>IF(COUNTIF($E467, _xlfn.CONCAT("*",Table13[[#Headers],[Horror]],"*")),1,0)</f>
        <v>0</v>
      </c>
      <c r="T467">
        <f>IF(COUNTIF($E467, _xlfn.CONCAT("*",Table13[[#Headers],[Music]],"*")),1,0)</f>
        <v>0</v>
      </c>
      <c r="U467">
        <f>IF(COUNTIF($E467, _xlfn.CONCAT("*",Table13[[#Headers],[Mystery]],"*")),1,0)</f>
        <v>0</v>
      </c>
      <c r="V467">
        <f>IF(COUNTIF($E467, _xlfn.CONCAT("*",Table13[[#Headers],[Romance]],"*")),1,0)</f>
        <v>0</v>
      </c>
      <c r="W467">
        <f>IF(COUNTIF($E467, _xlfn.CONCAT("*",Table13[[#Headers],[Science Fiction]],"*")),1,0)</f>
        <v>1</v>
      </c>
      <c r="X467">
        <f>IF(COUNTIF($E467, _xlfn.CONCAT("*",Table13[[#Headers],[TV Movie]],"*")),1,0)</f>
        <v>0</v>
      </c>
      <c r="Y467">
        <f>IF(COUNTIF($E467, _xlfn.CONCAT("*",Table13[[#Headers],[Thriller]],"*")),1,0)</f>
        <v>0</v>
      </c>
      <c r="Z467">
        <f>IF(COUNTIF($E467, _xlfn.CONCAT("*",Table13[[#Headers],[War]],"*")),1,0)</f>
        <v>0</v>
      </c>
      <c r="AA467">
        <f>IF(COUNTIF($E467, _xlfn.CONCAT("*",Table13[[#Headers],[Western]],"*")),1,0)</f>
        <v>0</v>
      </c>
    </row>
    <row r="468" spans="1:27">
      <c r="A468" t="s">
        <v>647</v>
      </c>
      <c r="B468">
        <v>18</v>
      </c>
      <c r="C468">
        <f>MAX(Table13[Rank])-Table13[[#This Row],[Rank]]</f>
        <v>246</v>
      </c>
      <c r="D468" t="s">
        <v>489</v>
      </c>
      <c r="E468" t="s">
        <v>648</v>
      </c>
      <c r="F468" s="1">
        <v>43615</v>
      </c>
      <c r="G468">
        <f>YEAR(Table13[[#This Row],[Date]])</f>
        <v>2019</v>
      </c>
      <c r="H468" t="s">
        <v>275</v>
      </c>
      <c r="I468">
        <f>IF(COUNTIF($E468, _xlfn.CONCAT("*",Table13[[#Headers],[Action]],"*")),1,0)</f>
        <v>0</v>
      </c>
      <c r="J468">
        <f>IF(COUNTIF($E468, _xlfn.CONCAT("*",Table13[[#Headers],[Adventure]],"*")),1,0)</f>
        <v>0</v>
      </c>
      <c r="K468">
        <f>IF(COUNTIF($E468, _xlfn.CONCAT("*",Table13[[#Headers],[Animation]],"*")),1,0)</f>
        <v>0</v>
      </c>
      <c r="L468">
        <f>IF(COUNTIF($E468, _xlfn.CONCAT("*",Table13[[#Headers],[Comedy]],"*")),1,0)</f>
        <v>1</v>
      </c>
      <c r="M468">
        <f>IF(COUNTIF($E468, _xlfn.CONCAT("*",Table13[[#Headers],[Crime]],"*")),1,0)</f>
        <v>0</v>
      </c>
      <c r="N468">
        <f>IF(COUNTIF($E468, _xlfn.CONCAT("*",Table13[[#Headers],[Documentary]],"*")),1,0)</f>
        <v>0</v>
      </c>
      <c r="O468">
        <f>IF(COUNTIF($E468, _xlfn.CONCAT("*",Table13[[#Headers],[Drama]],"*")),1,0)</f>
        <v>1</v>
      </c>
      <c r="P468">
        <f>IF(COUNTIF($E468, _xlfn.CONCAT("*",Table13[[#Headers],[Family]],"*")),1,0)</f>
        <v>0</v>
      </c>
      <c r="Q468">
        <f>IF(COUNTIF($E468, _xlfn.CONCAT("*",Table13[[#Headers],[Fantasy]],"*")),1,0)</f>
        <v>0</v>
      </c>
      <c r="R468">
        <f>IF(COUNTIF($E468, _xlfn.CONCAT("*",Table13[[#Headers],[History]],"*")),1,0)</f>
        <v>0</v>
      </c>
      <c r="S468">
        <f>IF(COUNTIF($E468, _xlfn.CONCAT("*",Table13[[#Headers],[Horror]],"*")),1,0)</f>
        <v>0</v>
      </c>
      <c r="T468">
        <f>IF(COUNTIF($E468, _xlfn.CONCAT("*",Table13[[#Headers],[Music]],"*")),1,0)</f>
        <v>0</v>
      </c>
      <c r="U468">
        <f>IF(COUNTIF($E468, _xlfn.CONCAT("*",Table13[[#Headers],[Mystery]],"*")),1,0)</f>
        <v>0</v>
      </c>
      <c r="V468">
        <f>IF(COUNTIF($E468, _xlfn.CONCAT("*",Table13[[#Headers],[Romance]],"*")),1,0)</f>
        <v>0</v>
      </c>
      <c r="W468">
        <f>IF(COUNTIF($E468, _xlfn.CONCAT("*",Table13[[#Headers],[Science Fiction]],"*")),1,0)</f>
        <v>0</v>
      </c>
      <c r="X468">
        <f>IF(COUNTIF($E468, _xlfn.CONCAT("*",Table13[[#Headers],[TV Movie]],"*")),1,0)</f>
        <v>0</v>
      </c>
      <c r="Y468">
        <f>IF(COUNTIF($E468, _xlfn.CONCAT("*",Table13[[#Headers],[Thriller]],"*")),1,0)</f>
        <v>1</v>
      </c>
      <c r="Z468">
        <f>IF(COUNTIF($E468, _xlfn.CONCAT("*",Table13[[#Headers],[War]],"*")),1,0)</f>
        <v>0</v>
      </c>
      <c r="AA468">
        <f>IF(COUNTIF($E468, _xlfn.CONCAT("*",Table13[[#Headers],[Western]],"*")),1,0)</f>
        <v>0</v>
      </c>
    </row>
    <row r="469" spans="1:27">
      <c r="A469" t="s">
        <v>649</v>
      </c>
      <c r="B469">
        <v>17</v>
      </c>
      <c r="C469">
        <f>MAX(Table13[Rank])-Table13[[#This Row],[Rank]]</f>
        <v>247</v>
      </c>
      <c r="D469" t="s">
        <v>489</v>
      </c>
      <c r="E469" t="s">
        <v>610</v>
      </c>
      <c r="F469" s="1">
        <v>43229</v>
      </c>
      <c r="G469">
        <f>YEAR(Table13[[#This Row],[Date]])</f>
        <v>2018</v>
      </c>
      <c r="H469" t="s">
        <v>1297</v>
      </c>
      <c r="I469">
        <f>IF(COUNTIF($E469, _xlfn.CONCAT("*",Table13[[#Headers],[Action]],"*")),1,0)</f>
        <v>0</v>
      </c>
      <c r="J469">
        <f>IF(COUNTIF($E469, _xlfn.CONCAT("*",Table13[[#Headers],[Adventure]],"*")),1,0)</f>
        <v>0</v>
      </c>
      <c r="K469">
        <f>IF(COUNTIF($E469, _xlfn.CONCAT("*",Table13[[#Headers],[Animation]],"*")),1,0)</f>
        <v>1</v>
      </c>
      <c r="L469">
        <f>IF(COUNTIF($E469, _xlfn.CONCAT("*",Table13[[#Headers],[Comedy]],"*")),1,0)</f>
        <v>0</v>
      </c>
      <c r="M469">
        <f>IF(COUNTIF($E469, _xlfn.CONCAT("*",Table13[[#Headers],[Crime]],"*")),1,0)</f>
        <v>0</v>
      </c>
      <c r="N469">
        <f>IF(COUNTIF($E469, _xlfn.CONCAT("*",Table13[[#Headers],[Documentary]],"*")),1,0)</f>
        <v>0</v>
      </c>
      <c r="O469">
        <f>IF(COUNTIF($E469, _xlfn.CONCAT("*",Table13[[#Headers],[Drama]],"*")),1,0)</f>
        <v>0</v>
      </c>
      <c r="P469">
        <f>IF(COUNTIF($E469, _xlfn.CONCAT("*",Table13[[#Headers],[Family]],"*")),1,0)</f>
        <v>1</v>
      </c>
      <c r="Q469">
        <f>IF(COUNTIF($E469, _xlfn.CONCAT("*",Table13[[#Headers],[Fantasy]],"*")),1,0)</f>
        <v>0</v>
      </c>
      <c r="R469">
        <f>IF(COUNTIF($E469, _xlfn.CONCAT("*",Table13[[#Headers],[History]],"*")),1,0)</f>
        <v>0</v>
      </c>
      <c r="S469">
        <f>IF(COUNTIF($E469, _xlfn.CONCAT("*",Table13[[#Headers],[Horror]],"*")),1,0)</f>
        <v>0</v>
      </c>
      <c r="T469">
        <f>IF(COUNTIF($E469, _xlfn.CONCAT("*",Table13[[#Headers],[Music]],"*")),1,0)</f>
        <v>0</v>
      </c>
      <c r="U469">
        <f>IF(COUNTIF($E469, _xlfn.CONCAT("*",Table13[[#Headers],[Mystery]],"*")),1,0)</f>
        <v>0</v>
      </c>
      <c r="V469">
        <f>IF(COUNTIF($E469, _xlfn.CONCAT("*",Table13[[#Headers],[Romance]],"*")),1,0)</f>
        <v>0</v>
      </c>
      <c r="W469">
        <f>IF(COUNTIF($E469, _xlfn.CONCAT("*",Table13[[#Headers],[Science Fiction]],"*")),1,0)</f>
        <v>0</v>
      </c>
      <c r="X469">
        <f>IF(COUNTIF($E469, _xlfn.CONCAT("*",Table13[[#Headers],[TV Movie]],"*")),1,0)</f>
        <v>0</v>
      </c>
      <c r="Y469">
        <f>IF(COUNTIF($E469, _xlfn.CONCAT("*",Table13[[#Headers],[Thriller]],"*")),1,0)</f>
        <v>0</v>
      </c>
      <c r="Z469">
        <f>IF(COUNTIF($E469, _xlfn.CONCAT("*",Table13[[#Headers],[War]],"*")),1,0)</f>
        <v>0</v>
      </c>
      <c r="AA469">
        <f>IF(COUNTIF($E469, _xlfn.CONCAT("*",Table13[[#Headers],[Western]],"*")),1,0)</f>
        <v>0</v>
      </c>
    </row>
    <row r="470" spans="1:27">
      <c r="A470" t="s">
        <v>650</v>
      </c>
      <c r="B470">
        <v>16</v>
      </c>
      <c r="C470">
        <f>MAX(Table13[Rank])-Table13[[#This Row],[Rank]]</f>
        <v>248</v>
      </c>
      <c r="D470" t="s">
        <v>489</v>
      </c>
      <c r="E470" t="s">
        <v>328</v>
      </c>
      <c r="F470" s="1">
        <v>30127</v>
      </c>
      <c r="G470">
        <f>YEAR(Table13[[#This Row],[Date]])</f>
        <v>1982</v>
      </c>
      <c r="H470" t="s">
        <v>327</v>
      </c>
      <c r="I470">
        <f>IF(COUNTIF($E470, _xlfn.CONCAT("*",Table13[[#Headers],[Action]],"*")),1,0)</f>
        <v>0</v>
      </c>
      <c r="J470">
        <f>IF(COUNTIF($E470, _xlfn.CONCAT("*",Table13[[#Headers],[Adventure]],"*")),1,0)</f>
        <v>0</v>
      </c>
      <c r="K470">
        <f>IF(COUNTIF($E470, _xlfn.CONCAT("*",Table13[[#Headers],[Animation]],"*")),1,0)</f>
        <v>0</v>
      </c>
      <c r="L470">
        <f>IF(COUNTIF($E470, _xlfn.CONCAT("*",Table13[[#Headers],[Comedy]],"*")),1,0)</f>
        <v>0</v>
      </c>
      <c r="M470">
        <f>IF(COUNTIF($E470, _xlfn.CONCAT("*",Table13[[#Headers],[Crime]],"*")),1,0)</f>
        <v>0</v>
      </c>
      <c r="N470">
        <f>IF(COUNTIF($E470, _xlfn.CONCAT("*",Table13[[#Headers],[Documentary]],"*")),1,0)</f>
        <v>0</v>
      </c>
      <c r="O470">
        <f>IF(COUNTIF($E470, _xlfn.CONCAT("*",Table13[[#Headers],[Drama]],"*")),1,0)</f>
        <v>1</v>
      </c>
      <c r="P470">
        <f>IF(COUNTIF($E470, _xlfn.CONCAT("*",Table13[[#Headers],[Family]],"*")),1,0)</f>
        <v>0</v>
      </c>
      <c r="Q470">
        <f>IF(COUNTIF($E470, _xlfn.CONCAT("*",Table13[[#Headers],[Fantasy]],"*")),1,0)</f>
        <v>0</v>
      </c>
      <c r="R470">
        <f>IF(COUNTIF($E470, _xlfn.CONCAT("*",Table13[[#Headers],[History]],"*")),1,0)</f>
        <v>0</v>
      </c>
      <c r="S470">
        <f>IF(COUNTIF($E470, _xlfn.CONCAT("*",Table13[[#Headers],[Horror]],"*")),1,0)</f>
        <v>0</v>
      </c>
      <c r="T470">
        <f>IF(COUNTIF($E470, _xlfn.CONCAT("*",Table13[[#Headers],[Music]],"*")),1,0)</f>
        <v>0</v>
      </c>
      <c r="U470">
        <f>IF(COUNTIF($E470, _xlfn.CONCAT("*",Table13[[#Headers],[Mystery]],"*")),1,0)</f>
        <v>0</v>
      </c>
      <c r="V470">
        <f>IF(COUNTIF($E470, _xlfn.CONCAT("*",Table13[[#Headers],[Romance]],"*")),1,0)</f>
        <v>0</v>
      </c>
      <c r="W470">
        <f>IF(COUNTIF($E470, _xlfn.CONCAT("*",Table13[[#Headers],[Science Fiction]],"*")),1,0)</f>
        <v>1</v>
      </c>
      <c r="X470">
        <f>IF(COUNTIF($E470, _xlfn.CONCAT("*",Table13[[#Headers],[TV Movie]],"*")),1,0)</f>
        <v>0</v>
      </c>
      <c r="Y470">
        <f>IF(COUNTIF($E470, _xlfn.CONCAT("*",Table13[[#Headers],[Thriller]],"*")),1,0)</f>
        <v>1</v>
      </c>
      <c r="Z470">
        <f>IF(COUNTIF($E470, _xlfn.CONCAT("*",Table13[[#Headers],[War]],"*")),1,0)</f>
        <v>0</v>
      </c>
      <c r="AA470">
        <f>IF(COUNTIF($E470, _xlfn.CONCAT("*",Table13[[#Headers],[Western]],"*")),1,0)</f>
        <v>0</v>
      </c>
    </row>
    <row r="471" spans="1:27">
      <c r="A471" t="s">
        <v>651</v>
      </c>
      <c r="B471">
        <v>15</v>
      </c>
      <c r="C471">
        <f>MAX(Table13[Rank])-Table13[[#This Row],[Rank]]</f>
        <v>249</v>
      </c>
      <c r="D471" t="s">
        <v>489</v>
      </c>
      <c r="E471" t="s">
        <v>652</v>
      </c>
      <c r="F471" s="1">
        <v>34131</v>
      </c>
      <c r="G471">
        <f>YEAR(Table13[[#This Row],[Date]])</f>
        <v>1993</v>
      </c>
      <c r="H471" t="s">
        <v>653</v>
      </c>
      <c r="I471">
        <f>IF(COUNTIF($E471, _xlfn.CONCAT("*",Table13[[#Headers],[Action]],"*")),1,0)</f>
        <v>0</v>
      </c>
      <c r="J471">
        <f>IF(COUNTIF($E471, _xlfn.CONCAT("*",Table13[[#Headers],[Adventure]],"*")),1,0)</f>
        <v>1</v>
      </c>
      <c r="K471">
        <f>IF(COUNTIF($E471, _xlfn.CONCAT("*",Table13[[#Headers],[Animation]],"*")),1,0)</f>
        <v>0</v>
      </c>
      <c r="L471">
        <f>IF(COUNTIF($E471, _xlfn.CONCAT("*",Table13[[#Headers],[Comedy]],"*")),1,0)</f>
        <v>0</v>
      </c>
      <c r="M471">
        <f>IF(COUNTIF($E471, _xlfn.CONCAT("*",Table13[[#Headers],[Crime]],"*")),1,0)</f>
        <v>0</v>
      </c>
      <c r="N471">
        <f>IF(COUNTIF($E471, _xlfn.CONCAT("*",Table13[[#Headers],[Documentary]],"*")),1,0)</f>
        <v>0</v>
      </c>
      <c r="O471">
        <f>IF(COUNTIF($E471, _xlfn.CONCAT("*",Table13[[#Headers],[Drama]],"*")),1,0)</f>
        <v>0</v>
      </c>
      <c r="P471">
        <f>IF(COUNTIF($E471, _xlfn.CONCAT("*",Table13[[#Headers],[Family]],"*")),1,0)</f>
        <v>0</v>
      </c>
      <c r="Q471">
        <f>IF(COUNTIF($E471, _xlfn.CONCAT("*",Table13[[#Headers],[Fantasy]],"*")),1,0)</f>
        <v>0</v>
      </c>
      <c r="R471">
        <f>IF(COUNTIF($E471, _xlfn.CONCAT("*",Table13[[#Headers],[History]],"*")),1,0)</f>
        <v>0</v>
      </c>
      <c r="S471">
        <f>IF(COUNTIF($E471, _xlfn.CONCAT("*",Table13[[#Headers],[Horror]],"*")),1,0)</f>
        <v>0</v>
      </c>
      <c r="T471">
        <f>IF(COUNTIF($E471, _xlfn.CONCAT("*",Table13[[#Headers],[Music]],"*")),1,0)</f>
        <v>0</v>
      </c>
      <c r="U471">
        <f>IF(COUNTIF($E471, _xlfn.CONCAT("*",Table13[[#Headers],[Mystery]],"*")),1,0)</f>
        <v>0</v>
      </c>
      <c r="V471">
        <f>IF(COUNTIF($E471, _xlfn.CONCAT("*",Table13[[#Headers],[Romance]],"*")),1,0)</f>
        <v>0</v>
      </c>
      <c r="W471">
        <f>IF(COUNTIF($E471, _xlfn.CONCAT("*",Table13[[#Headers],[Science Fiction]],"*")),1,0)</f>
        <v>1</v>
      </c>
      <c r="X471">
        <f>IF(COUNTIF($E471, _xlfn.CONCAT("*",Table13[[#Headers],[TV Movie]],"*")),1,0)</f>
        <v>0</v>
      </c>
      <c r="Y471">
        <f>IF(COUNTIF($E471, _xlfn.CONCAT("*",Table13[[#Headers],[Thriller]],"*")),1,0)</f>
        <v>0</v>
      </c>
      <c r="Z471">
        <f>IF(COUNTIF($E471, _xlfn.CONCAT("*",Table13[[#Headers],[War]],"*")),1,0)</f>
        <v>0</v>
      </c>
      <c r="AA471">
        <f>IF(COUNTIF($E471, _xlfn.CONCAT("*",Table13[[#Headers],[Western]],"*")),1,0)</f>
        <v>0</v>
      </c>
    </row>
    <row r="472" spans="1:27">
      <c r="A472" t="s">
        <v>654</v>
      </c>
      <c r="B472">
        <v>14</v>
      </c>
      <c r="C472">
        <f>MAX(Table13[Rank])-Table13[[#This Row],[Rank]]</f>
        <v>250</v>
      </c>
      <c r="D472" t="s">
        <v>489</v>
      </c>
      <c r="E472" t="s">
        <v>166</v>
      </c>
      <c r="F472" s="1">
        <v>27383</v>
      </c>
      <c r="G472">
        <f>YEAR(Table13[[#This Row],[Date]])</f>
        <v>1974</v>
      </c>
      <c r="H472" t="s">
        <v>257</v>
      </c>
      <c r="I472">
        <f>IF(COUNTIF($E472, _xlfn.CONCAT("*",Table13[[#Headers],[Action]],"*")),1,0)</f>
        <v>0</v>
      </c>
      <c r="J472">
        <f>IF(COUNTIF($E472, _xlfn.CONCAT("*",Table13[[#Headers],[Adventure]],"*")),1,0)</f>
        <v>0</v>
      </c>
      <c r="K472">
        <f>IF(COUNTIF($E472, _xlfn.CONCAT("*",Table13[[#Headers],[Animation]],"*")),1,0)</f>
        <v>0</v>
      </c>
      <c r="L472">
        <f>IF(COUNTIF($E472, _xlfn.CONCAT("*",Table13[[#Headers],[Comedy]],"*")),1,0)</f>
        <v>0</v>
      </c>
      <c r="M472">
        <f>IF(COUNTIF($E472, _xlfn.CONCAT("*",Table13[[#Headers],[Crime]],"*")),1,0)</f>
        <v>1</v>
      </c>
      <c r="N472">
        <f>IF(COUNTIF($E472, _xlfn.CONCAT("*",Table13[[#Headers],[Documentary]],"*")),1,0)</f>
        <v>0</v>
      </c>
      <c r="O472">
        <f>IF(COUNTIF($E472, _xlfn.CONCAT("*",Table13[[#Headers],[Drama]],"*")),1,0)</f>
        <v>1</v>
      </c>
      <c r="P472">
        <f>IF(COUNTIF($E472, _xlfn.CONCAT("*",Table13[[#Headers],[Family]],"*")),1,0)</f>
        <v>0</v>
      </c>
      <c r="Q472">
        <f>IF(COUNTIF($E472, _xlfn.CONCAT("*",Table13[[#Headers],[Fantasy]],"*")),1,0)</f>
        <v>0</v>
      </c>
      <c r="R472">
        <f>IF(COUNTIF($E472, _xlfn.CONCAT("*",Table13[[#Headers],[History]],"*")),1,0)</f>
        <v>0</v>
      </c>
      <c r="S472">
        <f>IF(COUNTIF($E472, _xlfn.CONCAT("*",Table13[[#Headers],[Horror]],"*")),1,0)</f>
        <v>0</v>
      </c>
      <c r="T472">
        <f>IF(COUNTIF($E472, _xlfn.CONCAT("*",Table13[[#Headers],[Music]],"*")),1,0)</f>
        <v>0</v>
      </c>
      <c r="U472">
        <f>IF(COUNTIF($E472, _xlfn.CONCAT("*",Table13[[#Headers],[Mystery]],"*")),1,0)</f>
        <v>0</v>
      </c>
      <c r="V472">
        <f>IF(COUNTIF($E472, _xlfn.CONCAT("*",Table13[[#Headers],[Romance]],"*")),1,0)</f>
        <v>0</v>
      </c>
      <c r="W472">
        <f>IF(COUNTIF($E472, _xlfn.CONCAT("*",Table13[[#Headers],[Science Fiction]],"*")),1,0)</f>
        <v>0</v>
      </c>
      <c r="X472">
        <f>IF(COUNTIF($E472, _xlfn.CONCAT("*",Table13[[#Headers],[TV Movie]],"*")),1,0)</f>
        <v>0</v>
      </c>
      <c r="Y472">
        <f>IF(COUNTIF($E472, _xlfn.CONCAT("*",Table13[[#Headers],[Thriller]],"*")),1,0)</f>
        <v>0</v>
      </c>
      <c r="Z472">
        <f>IF(COUNTIF($E472, _xlfn.CONCAT("*",Table13[[#Headers],[War]],"*")),1,0)</f>
        <v>0</v>
      </c>
      <c r="AA472">
        <f>IF(COUNTIF($E472, _xlfn.CONCAT("*",Table13[[#Headers],[Western]],"*")),1,0)</f>
        <v>0</v>
      </c>
    </row>
    <row r="473" spans="1:27">
      <c r="A473" t="s">
        <v>655</v>
      </c>
      <c r="B473">
        <v>13</v>
      </c>
      <c r="C473">
        <f>MAX(Table13[Rank])-Table13[[#This Row],[Rank]]</f>
        <v>251</v>
      </c>
      <c r="D473" t="s">
        <v>489</v>
      </c>
      <c r="E473" t="s">
        <v>656</v>
      </c>
      <c r="F473" s="1">
        <v>31231</v>
      </c>
      <c r="G473">
        <f>YEAR(Table13[[#This Row],[Date]])</f>
        <v>1985</v>
      </c>
      <c r="H473" t="s">
        <v>657</v>
      </c>
      <c r="I473">
        <f>IF(COUNTIF($E473, _xlfn.CONCAT("*",Table13[[#Headers],[Action]],"*")),1,0)</f>
        <v>0</v>
      </c>
      <c r="J473">
        <f>IF(COUNTIF($E473, _xlfn.CONCAT("*",Table13[[#Headers],[Adventure]],"*")),1,0)</f>
        <v>1</v>
      </c>
      <c r="K473">
        <f>IF(COUNTIF($E473, _xlfn.CONCAT("*",Table13[[#Headers],[Animation]],"*")),1,0)</f>
        <v>0</v>
      </c>
      <c r="L473">
        <f>IF(COUNTIF($E473, _xlfn.CONCAT("*",Table13[[#Headers],[Comedy]],"*")),1,0)</f>
        <v>1</v>
      </c>
      <c r="M473">
        <f>IF(COUNTIF($E473, _xlfn.CONCAT("*",Table13[[#Headers],[Crime]],"*")),1,0)</f>
        <v>0</v>
      </c>
      <c r="N473">
        <f>IF(COUNTIF($E473, _xlfn.CONCAT("*",Table13[[#Headers],[Documentary]],"*")),1,0)</f>
        <v>0</v>
      </c>
      <c r="O473">
        <f>IF(COUNTIF($E473, _xlfn.CONCAT("*",Table13[[#Headers],[Drama]],"*")),1,0)</f>
        <v>0</v>
      </c>
      <c r="P473">
        <f>IF(COUNTIF($E473, _xlfn.CONCAT("*",Table13[[#Headers],[Family]],"*")),1,0)</f>
        <v>0</v>
      </c>
      <c r="Q473">
        <f>IF(COUNTIF($E473, _xlfn.CONCAT("*",Table13[[#Headers],[Fantasy]],"*")),1,0)</f>
        <v>0</v>
      </c>
      <c r="R473">
        <f>IF(COUNTIF($E473, _xlfn.CONCAT("*",Table13[[#Headers],[History]],"*")),1,0)</f>
        <v>0</v>
      </c>
      <c r="S473">
        <f>IF(COUNTIF($E473, _xlfn.CONCAT("*",Table13[[#Headers],[Horror]],"*")),1,0)</f>
        <v>0</v>
      </c>
      <c r="T473">
        <f>IF(COUNTIF($E473, _xlfn.CONCAT("*",Table13[[#Headers],[Music]],"*")),1,0)</f>
        <v>0</v>
      </c>
      <c r="U473">
        <f>IF(COUNTIF($E473, _xlfn.CONCAT("*",Table13[[#Headers],[Mystery]],"*")),1,0)</f>
        <v>0</v>
      </c>
      <c r="V473">
        <f>IF(COUNTIF($E473, _xlfn.CONCAT("*",Table13[[#Headers],[Romance]],"*")),1,0)</f>
        <v>0</v>
      </c>
      <c r="W473">
        <f>IF(COUNTIF($E473, _xlfn.CONCAT("*",Table13[[#Headers],[Science Fiction]],"*")),1,0)</f>
        <v>1</v>
      </c>
      <c r="X473">
        <f>IF(COUNTIF($E473, _xlfn.CONCAT("*",Table13[[#Headers],[TV Movie]],"*")),1,0)</f>
        <v>0</v>
      </c>
      <c r="Y473">
        <f>IF(COUNTIF($E473, _xlfn.CONCAT("*",Table13[[#Headers],[Thriller]],"*")),1,0)</f>
        <v>0</v>
      </c>
      <c r="Z473">
        <f>IF(COUNTIF($E473, _xlfn.CONCAT("*",Table13[[#Headers],[War]],"*")),1,0)</f>
        <v>0</v>
      </c>
      <c r="AA473">
        <f>IF(COUNTIF($E473, _xlfn.CONCAT("*",Table13[[#Headers],[Western]],"*")),1,0)</f>
        <v>0</v>
      </c>
    </row>
    <row r="474" spans="1:27">
      <c r="A474" t="s">
        <v>658</v>
      </c>
      <c r="B474">
        <v>12</v>
      </c>
      <c r="C474">
        <f>MAX(Table13[Rank])-Table13[[#This Row],[Rank]]</f>
        <v>252</v>
      </c>
      <c r="D474" t="s">
        <v>489</v>
      </c>
      <c r="E474" t="s">
        <v>111</v>
      </c>
      <c r="F474" s="1">
        <v>42137</v>
      </c>
      <c r="G474">
        <f>YEAR(Table13[[#This Row],[Date]])</f>
        <v>2015</v>
      </c>
      <c r="H474" t="s">
        <v>110</v>
      </c>
      <c r="I474">
        <f>IF(COUNTIF($E474, _xlfn.CONCAT("*",Table13[[#Headers],[Action]],"*")),1,0)</f>
        <v>1</v>
      </c>
      <c r="J474">
        <f>IF(COUNTIF($E474, _xlfn.CONCAT("*",Table13[[#Headers],[Adventure]],"*")),1,0)</f>
        <v>1</v>
      </c>
      <c r="K474">
        <f>IF(COUNTIF($E474, _xlfn.CONCAT("*",Table13[[#Headers],[Animation]],"*")),1,0)</f>
        <v>0</v>
      </c>
      <c r="L474">
        <f>IF(COUNTIF($E474, _xlfn.CONCAT("*",Table13[[#Headers],[Comedy]],"*")),1,0)</f>
        <v>0</v>
      </c>
      <c r="M474">
        <f>IF(COUNTIF($E474, _xlfn.CONCAT("*",Table13[[#Headers],[Crime]],"*")),1,0)</f>
        <v>0</v>
      </c>
      <c r="N474">
        <f>IF(COUNTIF($E474, _xlfn.CONCAT("*",Table13[[#Headers],[Documentary]],"*")),1,0)</f>
        <v>0</v>
      </c>
      <c r="O474">
        <f>IF(COUNTIF($E474, _xlfn.CONCAT("*",Table13[[#Headers],[Drama]],"*")),1,0)</f>
        <v>0</v>
      </c>
      <c r="P474">
        <f>IF(COUNTIF($E474, _xlfn.CONCAT("*",Table13[[#Headers],[Family]],"*")),1,0)</f>
        <v>0</v>
      </c>
      <c r="Q474">
        <f>IF(COUNTIF($E474, _xlfn.CONCAT("*",Table13[[#Headers],[Fantasy]],"*")),1,0)</f>
        <v>0</v>
      </c>
      <c r="R474">
        <f>IF(COUNTIF($E474, _xlfn.CONCAT("*",Table13[[#Headers],[History]],"*")),1,0)</f>
        <v>0</v>
      </c>
      <c r="S474">
        <f>IF(COUNTIF($E474, _xlfn.CONCAT("*",Table13[[#Headers],[Horror]],"*")),1,0)</f>
        <v>0</v>
      </c>
      <c r="T474">
        <f>IF(COUNTIF($E474, _xlfn.CONCAT("*",Table13[[#Headers],[Music]],"*")),1,0)</f>
        <v>0</v>
      </c>
      <c r="U474">
        <f>IF(COUNTIF($E474, _xlfn.CONCAT("*",Table13[[#Headers],[Mystery]],"*")),1,0)</f>
        <v>0</v>
      </c>
      <c r="V474">
        <f>IF(COUNTIF($E474, _xlfn.CONCAT("*",Table13[[#Headers],[Romance]],"*")),1,0)</f>
        <v>0</v>
      </c>
      <c r="W474">
        <f>IF(COUNTIF($E474, _xlfn.CONCAT("*",Table13[[#Headers],[Science Fiction]],"*")),1,0)</f>
        <v>1</v>
      </c>
      <c r="X474">
        <f>IF(COUNTIF($E474, _xlfn.CONCAT("*",Table13[[#Headers],[TV Movie]],"*")),1,0)</f>
        <v>0</v>
      </c>
      <c r="Y474">
        <f>IF(COUNTIF($E474, _xlfn.CONCAT("*",Table13[[#Headers],[Thriller]],"*")),1,0)</f>
        <v>0</v>
      </c>
      <c r="Z474">
        <f>IF(COUNTIF($E474, _xlfn.CONCAT("*",Table13[[#Headers],[War]],"*")),1,0)</f>
        <v>0</v>
      </c>
      <c r="AA474">
        <f>IF(COUNTIF($E474, _xlfn.CONCAT("*",Table13[[#Headers],[Western]],"*")),1,0)</f>
        <v>0</v>
      </c>
    </row>
    <row r="475" spans="1:27">
      <c r="A475" t="s">
        <v>659</v>
      </c>
      <c r="B475">
        <v>11</v>
      </c>
      <c r="C475">
        <f>MAX(Table13[Rank])-Table13[[#This Row],[Rank]]</f>
        <v>253</v>
      </c>
      <c r="D475" t="s">
        <v>489</v>
      </c>
      <c r="E475" t="s">
        <v>49</v>
      </c>
      <c r="F475" s="1">
        <v>28270</v>
      </c>
      <c r="G475">
        <f>YEAR(Table13[[#This Row],[Date]])</f>
        <v>1977</v>
      </c>
      <c r="H475" t="s">
        <v>48</v>
      </c>
      <c r="I475">
        <f>IF(COUNTIF($E475, _xlfn.CONCAT("*",Table13[[#Headers],[Action]],"*")),1,0)</f>
        <v>1</v>
      </c>
      <c r="J475">
        <f>IF(COUNTIF($E475, _xlfn.CONCAT("*",Table13[[#Headers],[Adventure]],"*")),1,0)</f>
        <v>1</v>
      </c>
      <c r="K475">
        <f>IF(COUNTIF($E475, _xlfn.CONCAT("*",Table13[[#Headers],[Animation]],"*")),1,0)</f>
        <v>0</v>
      </c>
      <c r="L475">
        <f>IF(COUNTIF($E475, _xlfn.CONCAT("*",Table13[[#Headers],[Comedy]],"*")),1,0)</f>
        <v>0</v>
      </c>
      <c r="M475">
        <f>IF(COUNTIF($E475, _xlfn.CONCAT("*",Table13[[#Headers],[Crime]],"*")),1,0)</f>
        <v>0</v>
      </c>
      <c r="N475">
        <f>IF(COUNTIF($E475, _xlfn.CONCAT("*",Table13[[#Headers],[Documentary]],"*")),1,0)</f>
        <v>0</v>
      </c>
      <c r="O475">
        <f>IF(COUNTIF($E475, _xlfn.CONCAT("*",Table13[[#Headers],[Drama]],"*")),1,0)</f>
        <v>0</v>
      </c>
      <c r="P475">
        <f>IF(COUNTIF($E475, _xlfn.CONCAT("*",Table13[[#Headers],[Family]],"*")),1,0)</f>
        <v>0</v>
      </c>
      <c r="Q475">
        <f>IF(COUNTIF($E475, _xlfn.CONCAT("*",Table13[[#Headers],[Fantasy]],"*")),1,0)</f>
        <v>0</v>
      </c>
      <c r="R475">
        <f>IF(COUNTIF($E475, _xlfn.CONCAT("*",Table13[[#Headers],[History]],"*")),1,0)</f>
        <v>0</v>
      </c>
      <c r="S475">
        <f>IF(COUNTIF($E475, _xlfn.CONCAT("*",Table13[[#Headers],[Horror]],"*")),1,0)</f>
        <v>0</v>
      </c>
      <c r="T475">
        <f>IF(COUNTIF($E475, _xlfn.CONCAT("*",Table13[[#Headers],[Music]],"*")),1,0)</f>
        <v>0</v>
      </c>
      <c r="U475">
        <f>IF(COUNTIF($E475, _xlfn.CONCAT("*",Table13[[#Headers],[Mystery]],"*")),1,0)</f>
        <v>0</v>
      </c>
      <c r="V475">
        <f>IF(COUNTIF($E475, _xlfn.CONCAT("*",Table13[[#Headers],[Romance]],"*")),1,0)</f>
        <v>0</v>
      </c>
      <c r="W475">
        <f>IF(COUNTIF($E475, _xlfn.CONCAT("*",Table13[[#Headers],[Science Fiction]],"*")),1,0)</f>
        <v>1</v>
      </c>
      <c r="X475">
        <f>IF(COUNTIF($E475, _xlfn.CONCAT("*",Table13[[#Headers],[TV Movie]],"*")),1,0)</f>
        <v>0</v>
      </c>
      <c r="Y475">
        <f>IF(COUNTIF($E475, _xlfn.CONCAT("*",Table13[[#Headers],[Thriller]],"*")),1,0)</f>
        <v>0</v>
      </c>
      <c r="Z475">
        <f>IF(COUNTIF($E475, _xlfn.CONCAT("*",Table13[[#Headers],[War]],"*")),1,0)</f>
        <v>0</v>
      </c>
      <c r="AA475">
        <f>IF(COUNTIF($E475, _xlfn.CONCAT("*",Table13[[#Headers],[Western]],"*")),1,0)</f>
        <v>0</v>
      </c>
    </row>
    <row r="476" spans="1:27">
      <c r="A476" t="s">
        <v>660</v>
      </c>
      <c r="B476">
        <v>10</v>
      </c>
      <c r="C476">
        <f>MAX(Table13[Rank])-Table13[[#This Row],[Rank]]</f>
        <v>254</v>
      </c>
      <c r="D476" t="s">
        <v>489</v>
      </c>
      <c r="E476" t="s">
        <v>166</v>
      </c>
      <c r="F476" s="1">
        <v>33128</v>
      </c>
      <c r="G476">
        <f>YEAR(Table13[[#This Row],[Date]])</f>
        <v>1990</v>
      </c>
      <c r="H476" t="s">
        <v>316</v>
      </c>
      <c r="I476">
        <f>IF(COUNTIF($E476, _xlfn.CONCAT("*",Table13[[#Headers],[Action]],"*")),1,0)</f>
        <v>0</v>
      </c>
      <c r="J476">
        <f>IF(COUNTIF($E476, _xlfn.CONCAT("*",Table13[[#Headers],[Adventure]],"*")),1,0)</f>
        <v>0</v>
      </c>
      <c r="K476">
        <f>IF(COUNTIF($E476, _xlfn.CONCAT("*",Table13[[#Headers],[Animation]],"*")),1,0)</f>
        <v>0</v>
      </c>
      <c r="L476">
        <f>IF(COUNTIF($E476, _xlfn.CONCAT("*",Table13[[#Headers],[Comedy]],"*")),1,0)</f>
        <v>0</v>
      </c>
      <c r="M476">
        <f>IF(COUNTIF($E476, _xlfn.CONCAT("*",Table13[[#Headers],[Crime]],"*")),1,0)</f>
        <v>1</v>
      </c>
      <c r="N476">
        <f>IF(COUNTIF($E476, _xlfn.CONCAT("*",Table13[[#Headers],[Documentary]],"*")),1,0)</f>
        <v>0</v>
      </c>
      <c r="O476">
        <f>IF(COUNTIF($E476, _xlfn.CONCAT("*",Table13[[#Headers],[Drama]],"*")),1,0)</f>
        <v>1</v>
      </c>
      <c r="P476">
        <f>IF(COUNTIF($E476, _xlfn.CONCAT("*",Table13[[#Headers],[Family]],"*")),1,0)</f>
        <v>0</v>
      </c>
      <c r="Q476">
        <f>IF(COUNTIF($E476, _xlfn.CONCAT("*",Table13[[#Headers],[Fantasy]],"*")),1,0)</f>
        <v>0</v>
      </c>
      <c r="R476">
        <f>IF(COUNTIF($E476, _xlfn.CONCAT("*",Table13[[#Headers],[History]],"*")),1,0)</f>
        <v>0</v>
      </c>
      <c r="S476">
        <f>IF(COUNTIF($E476, _xlfn.CONCAT("*",Table13[[#Headers],[Horror]],"*")),1,0)</f>
        <v>0</v>
      </c>
      <c r="T476">
        <f>IF(COUNTIF($E476, _xlfn.CONCAT("*",Table13[[#Headers],[Music]],"*")),1,0)</f>
        <v>0</v>
      </c>
      <c r="U476">
        <f>IF(COUNTIF($E476, _xlfn.CONCAT("*",Table13[[#Headers],[Mystery]],"*")),1,0)</f>
        <v>0</v>
      </c>
      <c r="V476">
        <f>IF(COUNTIF($E476, _xlfn.CONCAT("*",Table13[[#Headers],[Romance]],"*")),1,0)</f>
        <v>0</v>
      </c>
      <c r="W476">
        <f>IF(COUNTIF($E476, _xlfn.CONCAT("*",Table13[[#Headers],[Science Fiction]],"*")),1,0)</f>
        <v>0</v>
      </c>
      <c r="X476">
        <f>IF(COUNTIF($E476, _xlfn.CONCAT("*",Table13[[#Headers],[TV Movie]],"*")),1,0)</f>
        <v>0</v>
      </c>
      <c r="Y476">
        <f>IF(COUNTIF($E476, _xlfn.CONCAT("*",Table13[[#Headers],[Thriller]],"*")),1,0)</f>
        <v>0</v>
      </c>
      <c r="Z476">
        <f>IF(COUNTIF($E476, _xlfn.CONCAT("*",Table13[[#Headers],[War]],"*")),1,0)</f>
        <v>0</v>
      </c>
      <c r="AA476">
        <f>IF(COUNTIF($E476, _xlfn.CONCAT("*",Table13[[#Headers],[Western]],"*")),1,0)</f>
        <v>0</v>
      </c>
    </row>
    <row r="477" spans="1:27">
      <c r="A477" t="s">
        <v>661</v>
      </c>
      <c r="B477">
        <v>9</v>
      </c>
      <c r="C477">
        <f>MAX(Table13[Rank])-Table13[[#This Row],[Rank]]</f>
        <v>255</v>
      </c>
      <c r="D477" t="s">
        <v>489</v>
      </c>
      <c r="E477" t="s">
        <v>91</v>
      </c>
      <c r="F477" s="1">
        <v>29749</v>
      </c>
      <c r="G477">
        <f>YEAR(Table13[[#This Row],[Date]])</f>
        <v>1981</v>
      </c>
      <c r="H477" t="s">
        <v>90</v>
      </c>
      <c r="I477">
        <f>IF(COUNTIF($E477, _xlfn.CONCAT("*",Table13[[#Headers],[Action]],"*")),1,0)</f>
        <v>1</v>
      </c>
      <c r="J477">
        <f>IF(COUNTIF($E477, _xlfn.CONCAT("*",Table13[[#Headers],[Adventure]],"*")),1,0)</f>
        <v>1</v>
      </c>
      <c r="K477">
        <f>IF(COUNTIF($E477, _xlfn.CONCAT("*",Table13[[#Headers],[Animation]],"*")),1,0)</f>
        <v>0</v>
      </c>
      <c r="L477">
        <f>IF(COUNTIF($E477, _xlfn.CONCAT("*",Table13[[#Headers],[Comedy]],"*")),1,0)</f>
        <v>0</v>
      </c>
      <c r="M477">
        <f>IF(COUNTIF($E477, _xlfn.CONCAT("*",Table13[[#Headers],[Crime]],"*")),1,0)</f>
        <v>0</v>
      </c>
      <c r="N477">
        <f>IF(COUNTIF($E477, _xlfn.CONCAT("*",Table13[[#Headers],[Documentary]],"*")),1,0)</f>
        <v>0</v>
      </c>
      <c r="O477">
        <f>IF(COUNTIF($E477, _xlfn.CONCAT("*",Table13[[#Headers],[Drama]],"*")),1,0)</f>
        <v>0</v>
      </c>
      <c r="P477">
        <f>IF(COUNTIF($E477, _xlfn.CONCAT("*",Table13[[#Headers],[Family]],"*")),1,0)</f>
        <v>0</v>
      </c>
      <c r="Q477">
        <f>IF(COUNTIF($E477, _xlfn.CONCAT("*",Table13[[#Headers],[Fantasy]],"*")),1,0)</f>
        <v>0</v>
      </c>
      <c r="R477">
        <f>IF(COUNTIF($E477, _xlfn.CONCAT("*",Table13[[#Headers],[History]],"*")),1,0)</f>
        <v>0</v>
      </c>
      <c r="S477">
        <f>IF(COUNTIF($E477, _xlfn.CONCAT("*",Table13[[#Headers],[Horror]],"*")),1,0)</f>
        <v>0</v>
      </c>
      <c r="T477">
        <f>IF(COUNTIF($E477, _xlfn.CONCAT("*",Table13[[#Headers],[Music]],"*")),1,0)</f>
        <v>0</v>
      </c>
      <c r="U477">
        <f>IF(COUNTIF($E477, _xlfn.CONCAT("*",Table13[[#Headers],[Mystery]],"*")),1,0)</f>
        <v>0</v>
      </c>
      <c r="V477">
        <f>IF(COUNTIF($E477, _xlfn.CONCAT("*",Table13[[#Headers],[Romance]],"*")),1,0)</f>
        <v>0</v>
      </c>
      <c r="W477">
        <f>IF(COUNTIF($E477, _xlfn.CONCAT("*",Table13[[#Headers],[Science Fiction]],"*")),1,0)</f>
        <v>0</v>
      </c>
      <c r="X477">
        <f>IF(COUNTIF($E477, _xlfn.CONCAT("*",Table13[[#Headers],[TV Movie]],"*")),1,0)</f>
        <v>0</v>
      </c>
      <c r="Y477">
        <f>IF(COUNTIF($E477, _xlfn.CONCAT("*",Table13[[#Headers],[Thriller]],"*")),1,0)</f>
        <v>0</v>
      </c>
      <c r="Z477">
        <f>IF(COUNTIF($E477, _xlfn.CONCAT("*",Table13[[#Headers],[War]],"*")),1,0)</f>
        <v>0</v>
      </c>
      <c r="AA477">
        <f>IF(COUNTIF($E477, _xlfn.CONCAT("*",Table13[[#Headers],[Western]],"*")),1,0)</f>
        <v>0</v>
      </c>
    </row>
    <row r="478" spans="1:27">
      <c r="A478" t="s">
        <v>662</v>
      </c>
      <c r="B478">
        <v>8</v>
      </c>
      <c r="C478">
        <f>MAX(Table13[Rank])-Table13[[#This Row],[Rank]]</f>
        <v>256</v>
      </c>
      <c r="D478" t="s">
        <v>489</v>
      </c>
      <c r="E478" t="s">
        <v>49</v>
      </c>
      <c r="F478" s="1">
        <v>43215</v>
      </c>
      <c r="G478">
        <f>YEAR(Table13[[#This Row],[Date]])</f>
        <v>2018</v>
      </c>
      <c r="H478" t="s">
        <v>663</v>
      </c>
      <c r="I478">
        <f>IF(COUNTIF($E478, _xlfn.CONCAT("*",Table13[[#Headers],[Action]],"*")),1,0)</f>
        <v>1</v>
      </c>
      <c r="J478">
        <f>IF(COUNTIF($E478, _xlfn.CONCAT("*",Table13[[#Headers],[Adventure]],"*")),1,0)</f>
        <v>1</v>
      </c>
      <c r="K478">
        <f>IF(COUNTIF($E478, _xlfn.CONCAT("*",Table13[[#Headers],[Animation]],"*")),1,0)</f>
        <v>0</v>
      </c>
      <c r="L478">
        <f>IF(COUNTIF($E478, _xlfn.CONCAT("*",Table13[[#Headers],[Comedy]],"*")),1,0)</f>
        <v>0</v>
      </c>
      <c r="M478">
        <f>IF(COUNTIF($E478, _xlfn.CONCAT("*",Table13[[#Headers],[Crime]],"*")),1,0)</f>
        <v>0</v>
      </c>
      <c r="N478">
        <f>IF(COUNTIF($E478, _xlfn.CONCAT("*",Table13[[#Headers],[Documentary]],"*")),1,0)</f>
        <v>0</v>
      </c>
      <c r="O478">
        <f>IF(COUNTIF($E478, _xlfn.CONCAT("*",Table13[[#Headers],[Drama]],"*")),1,0)</f>
        <v>0</v>
      </c>
      <c r="P478">
        <f>IF(COUNTIF($E478, _xlfn.CONCAT("*",Table13[[#Headers],[Family]],"*")),1,0)</f>
        <v>0</v>
      </c>
      <c r="Q478">
        <f>IF(COUNTIF($E478, _xlfn.CONCAT("*",Table13[[#Headers],[Fantasy]],"*")),1,0)</f>
        <v>0</v>
      </c>
      <c r="R478">
        <f>IF(COUNTIF($E478, _xlfn.CONCAT("*",Table13[[#Headers],[History]],"*")),1,0)</f>
        <v>0</v>
      </c>
      <c r="S478">
        <f>IF(COUNTIF($E478, _xlfn.CONCAT("*",Table13[[#Headers],[Horror]],"*")),1,0)</f>
        <v>0</v>
      </c>
      <c r="T478">
        <f>IF(COUNTIF($E478, _xlfn.CONCAT("*",Table13[[#Headers],[Music]],"*")),1,0)</f>
        <v>0</v>
      </c>
      <c r="U478">
        <f>IF(COUNTIF($E478, _xlfn.CONCAT("*",Table13[[#Headers],[Mystery]],"*")),1,0)</f>
        <v>0</v>
      </c>
      <c r="V478">
        <f>IF(COUNTIF($E478, _xlfn.CONCAT("*",Table13[[#Headers],[Romance]],"*")),1,0)</f>
        <v>0</v>
      </c>
      <c r="W478">
        <f>IF(COUNTIF($E478, _xlfn.CONCAT("*",Table13[[#Headers],[Science Fiction]],"*")),1,0)</f>
        <v>1</v>
      </c>
      <c r="X478">
        <f>IF(COUNTIF($E478, _xlfn.CONCAT("*",Table13[[#Headers],[TV Movie]],"*")),1,0)</f>
        <v>0</v>
      </c>
      <c r="Y478">
        <f>IF(COUNTIF($E478, _xlfn.CONCAT("*",Table13[[#Headers],[Thriller]],"*")),1,0)</f>
        <v>0</v>
      </c>
      <c r="Z478">
        <f>IF(COUNTIF($E478, _xlfn.CONCAT("*",Table13[[#Headers],[War]],"*")),1,0)</f>
        <v>0</v>
      </c>
      <c r="AA478">
        <f>IF(COUNTIF($E478, _xlfn.CONCAT("*",Table13[[#Headers],[Western]],"*")),1,0)</f>
        <v>0</v>
      </c>
    </row>
    <row r="479" spans="1:27">
      <c r="A479" t="s">
        <v>664</v>
      </c>
      <c r="B479">
        <v>7</v>
      </c>
      <c r="C479">
        <f>MAX(Table13[Rank])-Table13[[#This Row],[Rank]]</f>
        <v>257</v>
      </c>
      <c r="D479" t="s">
        <v>489</v>
      </c>
      <c r="E479" t="s">
        <v>217</v>
      </c>
      <c r="F479" s="1">
        <v>34587</v>
      </c>
      <c r="G479">
        <f>YEAR(Table13[[#This Row],[Date]])</f>
        <v>1994</v>
      </c>
      <c r="H479" t="s">
        <v>216</v>
      </c>
      <c r="I479">
        <f>IF(COUNTIF($E479, _xlfn.CONCAT("*",Table13[[#Headers],[Action]],"*")),1,0)</f>
        <v>0</v>
      </c>
      <c r="J479">
        <f>IF(COUNTIF($E479, _xlfn.CONCAT("*",Table13[[#Headers],[Adventure]],"*")),1,0)</f>
        <v>0</v>
      </c>
      <c r="K479">
        <f>IF(COUNTIF($E479, _xlfn.CONCAT("*",Table13[[#Headers],[Animation]],"*")),1,0)</f>
        <v>0</v>
      </c>
      <c r="L479">
        <f>IF(COUNTIF($E479, _xlfn.CONCAT("*",Table13[[#Headers],[Comedy]],"*")),1,0)</f>
        <v>0</v>
      </c>
      <c r="M479">
        <f>IF(COUNTIF($E479, _xlfn.CONCAT("*",Table13[[#Headers],[Crime]],"*")),1,0)</f>
        <v>1</v>
      </c>
      <c r="N479">
        <f>IF(COUNTIF($E479, _xlfn.CONCAT("*",Table13[[#Headers],[Documentary]],"*")),1,0)</f>
        <v>0</v>
      </c>
      <c r="O479">
        <f>IF(COUNTIF($E479, _xlfn.CONCAT("*",Table13[[#Headers],[Drama]],"*")),1,0)</f>
        <v>0</v>
      </c>
      <c r="P479">
        <f>IF(COUNTIF($E479, _xlfn.CONCAT("*",Table13[[#Headers],[Family]],"*")),1,0)</f>
        <v>0</v>
      </c>
      <c r="Q479">
        <f>IF(COUNTIF($E479, _xlfn.CONCAT("*",Table13[[#Headers],[Fantasy]],"*")),1,0)</f>
        <v>0</v>
      </c>
      <c r="R479">
        <f>IF(COUNTIF($E479, _xlfn.CONCAT("*",Table13[[#Headers],[History]],"*")),1,0)</f>
        <v>0</v>
      </c>
      <c r="S479">
        <f>IF(COUNTIF($E479, _xlfn.CONCAT("*",Table13[[#Headers],[Horror]],"*")),1,0)</f>
        <v>0</v>
      </c>
      <c r="T479">
        <f>IF(COUNTIF($E479, _xlfn.CONCAT("*",Table13[[#Headers],[Music]],"*")),1,0)</f>
        <v>0</v>
      </c>
      <c r="U479">
        <f>IF(COUNTIF($E479, _xlfn.CONCAT("*",Table13[[#Headers],[Mystery]],"*")),1,0)</f>
        <v>0</v>
      </c>
      <c r="V479">
        <f>IF(COUNTIF($E479, _xlfn.CONCAT("*",Table13[[#Headers],[Romance]],"*")),1,0)</f>
        <v>0</v>
      </c>
      <c r="W479">
        <f>IF(COUNTIF($E479, _xlfn.CONCAT("*",Table13[[#Headers],[Science Fiction]],"*")),1,0)</f>
        <v>0</v>
      </c>
      <c r="X479">
        <f>IF(COUNTIF($E479, _xlfn.CONCAT("*",Table13[[#Headers],[TV Movie]],"*")),1,0)</f>
        <v>0</v>
      </c>
      <c r="Y479">
        <f>IF(COUNTIF($E479, _xlfn.CONCAT("*",Table13[[#Headers],[Thriller]],"*")),1,0)</f>
        <v>1</v>
      </c>
      <c r="Z479">
        <f>IF(COUNTIF($E479, _xlfn.CONCAT("*",Table13[[#Headers],[War]],"*")),1,0)</f>
        <v>0</v>
      </c>
      <c r="AA479">
        <f>IF(COUNTIF($E479, _xlfn.CONCAT("*",Table13[[#Headers],[Western]],"*")),1,0)</f>
        <v>0</v>
      </c>
    </row>
    <row r="480" spans="1:27">
      <c r="A480" t="s">
        <v>665</v>
      </c>
      <c r="B480">
        <v>6</v>
      </c>
      <c r="C480">
        <f>MAX(Table13[Rank])-Table13[[#This Row],[Rank]]</f>
        <v>258</v>
      </c>
      <c r="D480" t="s">
        <v>489</v>
      </c>
      <c r="E480" t="s">
        <v>666</v>
      </c>
      <c r="F480" s="1">
        <v>45176</v>
      </c>
      <c r="G480">
        <f>YEAR(Table13[[#This Row],[Date]])</f>
        <v>2023</v>
      </c>
      <c r="H480" t="s">
        <v>1298</v>
      </c>
      <c r="I480">
        <f>IF(COUNTIF($E480, _xlfn.CONCAT("*",Table13[[#Headers],[Action]],"*")),1,0)</f>
        <v>1</v>
      </c>
      <c r="J480">
        <f>IF(COUNTIF($E480, _xlfn.CONCAT("*",Table13[[#Headers],[Adventure]],"*")),1,0)</f>
        <v>1</v>
      </c>
      <c r="K480">
        <f>IF(COUNTIF($E480, _xlfn.CONCAT("*",Table13[[#Headers],[Animation]],"*")),1,0)</f>
        <v>0</v>
      </c>
      <c r="L480">
        <f>IF(COUNTIF($E480, _xlfn.CONCAT("*",Table13[[#Headers],[Comedy]],"*")),1,0)</f>
        <v>0</v>
      </c>
      <c r="M480">
        <f>IF(COUNTIF($E480, _xlfn.CONCAT("*",Table13[[#Headers],[Crime]],"*")),1,0)</f>
        <v>0</v>
      </c>
      <c r="N480">
        <f>IF(COUNTIF($E480, _xlfn.CONCAT("*",Table13[[#Headers],[Documentary]],"*")),1,0)</f>
        <v>0</v>
      </c>
      <c r="O480">
        <f>IF(COUNTIF($E480, _xlfn.CONCAT("*",Table13[[#Headers],[Drama]],"*")),1,0)</f>
        <v>0</v>
      </c>
      <c r="P480">
        <f>IF(COUNTIF($E480, _xlfn.CONCAT("*",Table13[[#Headers],[Family]],"*")),1,0)</f>
        <v>0</v>
      </c>
      <c r="Q480">
        <f>IF(COUNTIF($E480, _xlfn.CONCAT("*",Table13[[#Headers],[Fantasy]],"*")),1,0)</f>
        <v>0</v>
      </c>
      <c r="R480">
        <f>IF(COUNTIF($E480, _xlfn.CONCAT("*",Table13[[#Headers],[History]],"*")),1,0)</f>
        <v>0</v>
      </c>
      <c r="S480">
        <f>IF(COUNTIF($E480, _xlfn.CONCAT("*",Table13[[#Headers],[Horror]],"*")),1,0)</f>
        <v>0</v>
      </c>
      <c r="T480">
        <f>IF(COUNTIF($E480, _xlfn.CONCAT("*",Table13[[#Headers],[Music]],"*")),1,0)</f>
        <v>0</v>
      </c>
      <c r="U480">
        <f>IF(COUNTIF($E480, _xlfn.CONCAT("*",Table13[[#Headers],[Mystery]],"*")),1,0)</f>
        <v>0</v>
      </c>
      <c r="V480">
        <f>IF(COUNTIF($E480, _xlfn.CONCAT("*",Table13[[#Headers],[Romance]],"*")),1,0)</f>
        <v>0</v>
      </c>
      <c r="W480">
        <f>IF(COUNTIF($E480, _xlfn.CONCAT("*",Table13[[#Headers],[Science Fiction]],"*")),1,0)</f>
        <v>0</v>
      </c>
      <c r="X480">
        <f>IF(COUNTIF($E480, _xlfn.CONCAT("*",Table13[[#Headers],[TV Movie]],"*")),1,0)</f>
        <v>0</v>
      </c>
      <c r="Y480">
        <f>IF(COUNTIF($E480, _xlfn.CONCAT("*",Table13[[#Headers],[Thriller]],"*")),1,0)</f>
        <v>1</v>
      </c>
      <c r="Z480">
        <f>IF(COUNTIF($E480, _xlfn.CONCAT("*",Table13[[#Headers],[War]],"*")),1,0)</f>
        <v>0</v>
      </c>
      <c r="AA480">
        <f>IF(COUNTIF($E480, _xlfn.CONCAT("*",Table13[[#Headers],[Western]],"*")),1,0)</f>
        <v>0</v>
      </c>
    </row>
    <row r="481" spans="1:27">
      <c r="A481" t="s">
        <v>667</v>
      </c>
      <c r="B481">
        <v>5</v>
      </c>
      <c r="C481">
        <f>MAX(Table13[Rank])-Table13[[#This Row],[Rank]]</f>
        <v>259</v>
      </c>
      <c r="D481" t="s">
        <v>489</v>
      </c>
      <c r="E481" t="s">
        <v>166</v>
      </c>
      <c r="F481" s="1">
        <v>34600</v>
      </c>
      <c r="G481">
        <f>YEAR(Table13[[#This Row],[Date]])</f>
        <v>1994</v>
      </c>
      <c r="H481" t="s">
        <v>668</v>
      </c>
      <c r="I481">
        <f>IF(COUNTIF($E481, _xlfn.CONCAT("*",Table13[[#Headers],[Action]],"*")),1,0)</f>
        <v>0</v>
      </c>
      <c r="J481">
        <f>IF(COUNTIF($E481, _xlfn.CONCAT("*",Table13[[#Headers],[Adventure]],"*")),1,0)</f>
        <v>0</v>
      </c>
      <c r="K481">
        <f>IF(COUNTIF($E481, _xlfn.CONCAT("*",Table13[[#Headers],[Animation]],"*")),1,0)</f>
        <v>0</v>
      </c>
      <c r="L481">
        <f>IF(COUNTIF($E481, _xlfn.CONCAT("*",Table13[[#Headers],[Comedy]],"*")),1,0)</f>
        <v>0</v>
      </c>
      <c r="M481">
        <f>IF(COUNTIF($E481, _xlfn.CONCAT("*",Table13[[#Headers],[Crime]],"*")),1,0)</f>
        <v>1</v>
      </c>
      <c r="N481">
        <f>IF(COUNTIF($E481, _xlfn.CONCAT("*",Table13[[#Headers],[Documentary]],"*")),1,0)</f>
        <v>0</v>
      </c>
      <c r="O481">
        <f>IF(COUNTIF($E481, _xlfn.CONCAT("*",Table13[[#Headers],[Drama]],"*")),1,0)</f>
        <v>1</v>
      </c>
      <c r="P481">
        <f>IF(COUNTIF($E481, _xlfn.CONCAT("*",Table13[[#Headers],[Family]],"*")),1,0)</f>
        <v>0</v>
      </c>
      <c r="Q481">
        <f>IF(COUNTIF($E481, _xlfn.CONCAT("*",Table13[[#Headers],[Fantasy]],"*")),1,0)</f>
        <v>0</v>
      </c>
      <c r="R481">
        <f>IF(COUNTIF($E481, _xlfn.CONCAT("*",Table13[[#Headers],[History]],"*")),1,0)</f>
        <v>0</v>
      </c>
      <c r="S481">
        <f>IF(COUNTIF($E481, _xlfn.CONCAT("*",Table13[[#Headers],[Horror]],"*")),1,0)</f>
        <v>0</v>
      </c>
      <c r="T481">
        <f>IF(COUNTIF($E481, _xlfn.CONCAT("*",Table13[[#Headers],[Music]],"*")),1,0)</f>
        <v>0</v>
      </c>
      <c r="U481">
        <f>IF(COUNTIF($E481, _xlfn.CONCAT("*",Table13[[#Headers],[Mystery]],"*")),1,0)</f>
        <v>0</v>
      </c>
      <c r="V481">
        <f>IF(COUNTIF($E481, _xlfn.CONCAT("*",Table13[[#Headers],[Romance]],"*")),1,0)</f>
        <v>0</v>
      </c>
      <c r="W481">
        <f>IF(COUNTIF($E481, _xlfn.CONCAT("*",Table13[[#Headers],[Science Fiction]],"*")),1,0)</f>
        <v>0</v>
      </c>
      <c r="X481">
        <f>IF(COUNTIF($E481, _xlfn.CONCAT("*",Table13[[#Headers],[TV Movie]],"*")),1,0)</f>
        <v>0</v>
      </c>
      <c r="Y481">
        <f>IF(COUNTIF($E481, _xlfn.CONCAT("*",Table13[[#Headers],[Thriller]],"*")),1,0)</f>
        <v>0</v>
      </c>
      <c r="Z481">
        <f>IF(COUNTIF($E481, _xlfn.CONCAT("*",Table13[[#Headers],[War]],"*")),1,0)</f>
        <v>0</v>
      </c>
      <c r="AA481">
        <f>IF(COUNTIF($E481, _xlfn.CONCAT("*",Table13[[#Headers],[Western]],"*")),1,0)</f>
        <v>0</v>
      </c>
    </row>
    <row r="482" spans="1:27">
      <c r="A482" t="s">
        <v>669</v>
      </c>
      <c r="B482">
        <v>4</v>
      </c>
      <c r="C482">
        <f>MAX(Table13[Rank])-Table13[[#This Row],[Rank]]</f>
        <v>260</v>
      </c>
      <c r="D482" t="s">
        <v>489</v>
      </c>
      <c r="E482" t="s">
        <v>441</v>
      </c>
      <c r="F482" s="1">
        <v>39645</v>
      </c>
      <c r="G482">
        <f>YEAR(Table13[[#This Row],[Date]])</f>
        <v>2008</v>
      </c>
      <c r="H482" t="s">
        <v>440</v>
      </c>
      <c r="I482">
        <f>IF(COUNTIF($E482, _xlfn.CONCAT("*",Table13[[#Headers],[Action]],"*")),1,0)</f>
        <v>1</v>
      </c>
      <c r="J482">
        <f>IF(COUNTIF($E482, _xlfn.CONCAT("*",Table13[[#Headers],[Adventure]],"*")),1,0)</f>
        <v>0</v>
      </c>
      <c r="K482">
        <f>IF(COUNTIF($E482, _xlfn.CONCAT("*",Table13[[#Headers],[Animation]],"*")),1,0)</f>
        <v>0</v>
      </c>
      <c r="L482">
        <f>IF(COUNTIF($E482, _xlfn.CONCAT("*",Table13[[#Headers],[Comedy]],"*")),1,0)</f>
        <v>0</v>
      </c>
      <c r="M482">
        <f>IF(COUNTIF($E482, _xlfn.CONCAT("*",Table13[[#Headers],[Crime]],"*")),1,0)</f>
        <v>1</v>
      </c>
      <c r="N482">
        <f>IF(COUNTIF($E482, _xlfn.CONCAT("*",Table13[[#Headers],[Documentary]],"*")),1,0)</f>
        <v>0</v>
      </c>
      <c r="O482">
        <f>IF(COUNTIF($E482, _xlfn.CONCAT("*",Table13[[#Headers],[Drama]],"*")),1,0)</f>
        <v>1</v>
      </c>
      <c r="P482">
        <f>IF(COUNTIF($E482, _xlfn.CONCAT("*",Table13[[#Headers],[Family]],"*")),1,0)</f>
        <v>0</v>
      </c>
      <c r="Q482">
        <f>IF(COUNTIF($E482, _xlfn.CONCAT("*",Table13[[#Headers],[Fantasy]],"*")),1,0)</f>
        <v>0</v>
      </c>
      <c r="R482">
        <f>IF(COUNTIF($E482, _xlfn.CONCAT("*",Table13[[#Headers],[History]],"*")),1,0)</f>
        <v>0</v>
      </c>
      <c r="S482">
        <f>IF(COUNTIF($E482, _xlfn.CONCAT("*",Table13[[#Headers],[Horror]],"*")),1,0)</f>
        <v>0</v>
      </c>
      <c r="T482">
        <f>IF(COUNTIF($E482, _xlfn.CONCAT("*",Table13[[#Headers],[Music]],"*")),1,0)</f>
        <v>0</v>
      </c>
      <c r="U482">
        <f>IF(COUNTIF($E482, _xlfn.CONCAT("*",Table13[[#Headers],[Mystery]],"*")),1,0)</f>
        <v>0</v>
      </c>
      <c r="V482">
        <f>IF(COUNTIF($E482, _xlfn.CONCAT("*",Table13[[#Headers],[Romance]],"*")),1,0)</f>
        <v>0</v>
      </c>
      <c r="W482">
        <f>IF(COUNTIF($E482, _xlfn.CONCAT("*",Table13[[#Headers],[Science Fiction]],"*")),1,0)</f>
        <v>0</v>
      </c>
      <c r="X482">
        <f>IF(COUNTIF($E482, _xlfn.CONCAT("*",Table13[[#Headers],[TV Movie]],"*")),1,0)</f>
        <v>0</v>
      </c>
      <c r="Y482">
        <f>IF(COUNTIF($E482, _xlfn.CONCAT("*",Table13[[#Headers],[Thriller]],"*")),1,0)</f>
        <v>1</v>
      </c>
      <c r="Z482">
        <f>IF(COUNTIF($E482, _xlfn.CONCAT("*",Table13[[#Headers],[War]],"*")),1,0)</f>
        <v>0</v>
      </c>
      <c r="AA482">
        <f>IF(COUNTIF($E482, _xlfn.CONCAT("*",Table13[[#Headers],[Western]],"*")),1,0)</f>
        <v>0</v>
      </c>
    </row>
    <row r="483" spans="1:27">
      <c r="A483" t="s">
        <v>670</v>
      </c>
      <c r="B483">
        <v>3</v>
      </c>
      <c r="C483">
        <f>MAX(Table13[Rank])-Table13[[#This Row],[Rank]]</f>
        <v>261</v>
      </c>
      <c r="D483" t="s">
        <v>489</v>
      </c>
      <c r="E483" t="s">
        <v>166</v>
      </c>
      <c r="F483" s="1">
        <v>26372</v>
      </c>
      <c r="G483">
        <f>YEAR(Table13[[#This Row],[Date]])</f>
        <v>1972</v>
      </c>
      <c r="H483" t="s">
        <v>384</v>
      </c>
      <c r="I483">
        <f>IF(COUNTIF($E483, _xlfn.CONCAT("*",Table13[[#Headers],[Action]],"*")),1,0)</f>
        <v>0</v>
      </c>
      <c r="J483">
        <f>IF(COUNTIF($E483, _xlfn.CONCAT("*",Table13[[#Headers],[Adventure]],"*")),1,0)</f>
        <v>0</v>
      </c>
      <c r="K483">
        <f>IF(COUNTIF($E483, _xlfn.CONCAT("*",Table13[[#Headers],[Animation]],"*")),1,0)</f>
        <v>0</v>
      </c>
      <c r="L483">
        <f>IF(COUNTIF($E483, _xlfn.CONCAT("*",Table13[[#Headers],[Comedy]],"*")),1,0)</f>
        <v>0</v>
      </c>
      <c r="M483">
        <f>IF(COUNTIF($E483, _xlfn.CONCAT("*",Table13[[#Headers],[Crime]],"*")),1,0)</f>
        <v>1</v>
      </c>
      <c r="N483">
        <f>IF(COUNTIF($E483, _xlfn.CONCAT("*",Table13[[#Headers],[Documentary]],"*")),1,0)</f>
        <v>0</v>
      </c>
      <c r="O483">
        <f>IF(COUNTIF($E483, _xlfn.CONCAT("*",Table13[[#Headers],[Drama]],"*")),1,0)</f>
        <v>1</v>
      </c>
      <c r="P483">
        <f>IF(COUNTIF($E483, _xlfn.CONCAT("*",Table13[[#Headers],[Family]],"*")),1,0)</f>
        <v>0</v>
      </c>
      <c r="Q483">
        <f>IF(COUNTIF($E483, _xlfn.CONCAT("*",Table13[[#Headers],[Fantasy]],"*")),1,0)</f>
        <v>0</v>
      </c>
      <c r="R483">
        <f>IF(COUNTIF($E483, _xlfn.CONCAT("*",Table13[[#Headers],[History]],"*")),1,0)</f>
        <v>0</v>
      </c>
      <c r="S483">
        <f>IF(COUNTIF($E483, _xlfn.CONCAT("*",Table13[[#Headers],[Horror]],"*")),1,0)</f>
        <v>0</v>
      </c>
      <c r="T483">
        <f>IF(COUNTIF($E483, _xlfn.CONCAT("*",Table13[[#Headers],[Music]],"*")),1,0)</f>
        <v>0</v>
      </c>
      <c r="U483">
        <f>IF(COUNTIF($E483, _xlfn.CONCAT("*",Table13[[#Headers],[Mystery]],"*")),1,0)</f>
        <v>0</v>
      </c>
      <c r="V483">
        <f>IF(COUNTIF($E483, _xlfn.CONCAT("*",Table13[[#Headers],[Romance]],"*")),1,0)</f>
        <v>0</v>
      </c>
      <c r="W483">
        <f>IF(COUNTIF($E483, _xlfn.CONCAT("*",Table13[[#Headers],[Science Fiction]],"*")),1,0)</f>
        <v>0</v>
      </c>
      <c r="X483">
        <f>IF(COUNTIF($E483, _xlfn.CONCAT("*",Table13[[#Headers],[TV Movie]],"*")),1,0)</f>
        <v>0</v>
      </c>
      <c r="Y483">
        <f>IF(COUNTIF($E483, _xlfn.CONCAT("*",Table13[[#Headers],[Thriller]],"*")),1,0)</f>
        <v>0</v>
      </c>
      <c r="Z483">
        <f>IF(COUNTIF($E483, _xlfn.CONCAT("*",Table13[[#Headers],[War]],"*")),1,0)</f>
        <v>0</v>
      </c>
      <c r="AA483">
        <f>IF(COUNTIF($E483, _xlfn.CONCAT("*",Table13[[#Headers],[Western]],"*")),1,0)</f>
        <v>0</v>
      </c>
    </row>
    <row r="484" spans="1:27">
      <c r="A484" t="s">
        <v>671</v>
      </c>
      <c r="B484">
        <v>2</v>
      </c>
      <c r="C484">
        <f>MAX(Table13[Rank])-Table13[[#This Row],[Rank]]</f>
        <v>262</v>
      </c>
      <c r="D484" t="s">
        <v>489</v>
      </c>
      <c r="E484" t="s">
        <v>49</v>
      </c>
      <c r="F484" s="1">
        <v>29361</v>
      </c>
      <c r="G484">
        <f>YEAR(Table13[[#This Row],[Date]])</f>
        <v>1980</v>
      </c>
      <c r="H484" t="s">
        <v>478</v>
      </c>
      <c r="I484">
        <f>IF(COUNTIF($E484, _xlfn.CONCAT("*",Table13[[#Headers],[Action]],"*")),1,0)</f>
        <v>1</v>
      </c>
      <c r="J484">
        <f>IF(COUNTIF($E484, _xlfn.CONCAT("*",Table13[[#Headers],[Adventure]],"*")),1,0)</f>
        <v>1</v>
      </c>
      <c r="K484">
        <f>IF(COUNTIF($E484, _xlfn.CONCAT("*",Table13[[#Headers],[Animation]],"*")),1,0)</f>
        <v>0</v>
      </c>
      <c r="L484">
        <f>IF(COUNTIF($E484, _xlfn.CONCAT("*",Table13[[#Headers],[Comedy]],"*")),1,0)</f>
        <v>0</v>
      </c>
      <c r="M484">
        <f>IF(COUNTIF($E484, _xlfn.CONCAT("*",Table13[[#Headers],[Crime]],"*")),1,0)</f>
        <v>0</v>
      </c>
      <c r="N484">
        <f>IF(COUNTIF($E484, _xlfn.CONCAT("*",Table13[[#Headers],[Documentary]],"*")),1,0)</f>
        <v>0</v>
      </c>
      <c r="O484">
        <f>IF(COUNTIF($E484, _xlfn.CONCAT("*",Table13[[#Headers],[Drama]],"*")),1,0)</f>
        <v>0</v>
      </c>
      <c r="P484">
        <f>IF(COUNTIF($E484, _xlfn.CONCAT("*",Table13[[#Headers],[Family]],"*")),1,0)</f>
        <v>0</v>
      </c>
      <c r="Q484">
        <f>IF(COUNTIF($E484, _xlfn.CONCAT("*",Table13[[#Headers],[Fantasy]],"*")),1,0)</f>
        <v>0</v>
      </c>
      <c r="R484">
        <f>IF(COUNTIF($E484, _xlfn.CONCAT("*",Table13[[#Headers],[History]],"*")),1,0)</f>
        <v>0</v>
      </c>
      <c r="S484">
        <f>IF(COUNTIF($E484, _xlfn.CONCAT("*",Table13[[#Headers],[Horror]],"*")),1,0)</f>
        <v>0</v>
      </c>
      <c r="T484">
        <f>IF(COUNTIF($E484, _xlfn.CONCAT("*",Table13[[#Headers],[Music]],"*")),1,0)</f>
        <v>0</v>
      </c>
      <c r="U484">
        <f>IF(COUNTIF($E484, _xlfn.CONCAT("*",Table13[[#Headers],[Mystery]],"*")),1,0)</f>
        <v>0</v>
      </c>
      <c r="V484">
        <f>IF(COUNTIF($E484, _xlfn.CONCAT("*",Table13[[#Headers],[Romance]],"*")),1,0)</f>
        <v>0</v>
      </c>
      <c r="W484">
        <f>IF(COUNTIF($E484, _xlfn.CONCAT("*",Table13[[#Headers],[Science Fiction]],"*")),1,0)</f>
        <v>1</v>
      </c>
      <c r="X484">
        <f>IF(COUNTIF($E484, _xlfn.CONCAT("*",Table13[[#Headers],[TV Movie]],"*")),1,0)</f>
        <v>0</v>
      </c>
      <c r="Y484">
        <f>IF(COUNTIF($E484, _xlfn.CONCAT("*",Table13[[#Headers],[Thriller]],"*")),1,0)</f>
        <v>0</v>
      </c>
      <c r="Z484">
        <f>IF(COUNTIF($E484, _xlfn.CONCAT("*",Table13[[#Headers],[War]],"*")),1,0)</f>
        <v>0</v>
      </c>
      <c r="AA484">
        <f>IF(COUNTIF($E484, _xlfn.CONCAT("*",Table13[[#Headers],[Western]],"*")),1,0)</f>
        <v>0</v>
      </c>
    </row>
    <row r="485" spans="1:27">
      <c r="A485" t="s">
        <v>672</v>
      </c>
      <c r="B485">
        <v>1</v>
      </c>
      <c r="C485">
        <f>MAX(Table13[Rank])-Table13[[#This Row],[Rank]]</f>
        <v>263</v>
      </c>
      <c r="D485" t="s">
        <v>489</v>
      </c>
      <c r="E485" t="s">
        <v>618</v>
      </c>
      <c r="F485" s="1">
        <v>37243</v>
      </c>
      <c r="G485">
        <f>YEAR(Table13[[#This Row],[Date]])</f>
        <v>2001</v>
      </c>
      <c r="H485" t="s">
        <v>673</v>
      </c>
      <c r="I485">
        <f>IF(COUNTIF($E485, _xlfn.CONCAT("*",Table13[[#Headers],[Action]],"*")),1,0)</f>
        <v>1</v>
      </c>
      <c r="J485">
        <f>IF(COUNTIF($E485, _xlfn.CONCAT("*",Table13[[#Headers],[Adventure]],"*")),1,0)</f>
        <v>1</v>
      </c>
      <c r="K485">
        <f>IF(COUNTIF($E485, _xlfn.CONCAT("*",Table13[[#Headers],[Animation]],"*")),1,0)</f>
        <v>0</v>
      </c>
      <c r="L485">
        <f>IF(COUNTIF($E485, _xlfn.CONCAT("*",Table13[[#Headers],[Comedy]],"*")),1,0)</f>
        <v>0</v>
      </c>
      <c r="M485">
        <f>IF(COUNTIF($E485, _xlfn.CONCAT("*",Table13[[#Headers],[Crime]],"*")),1,0)</f>
        <v>0</v>
      </c>
      <c r="N485">
        <f>IF(COUNTIF($E485, _xlfn.CONCAT("*",Table13[[#Headers],[Documentary]],"*")),1,0)</f>
        <v>0</v>
      </c>
      <c r="O485">
        <f>IF(COUNTIF($E485, _xlfn.CONCAT("*",Table13[[#Headers],[Drama]],"*")),1,0)</f>
        <v>0</v>
      </c>
      <c r="P485">
        <f>IF(COUNTIF($E485, _xlfn.CONCAT("*",Table13[[#Headers],[Family]],"*")),1,0)</f>
        <v>0</v>
      </c>
      <c r="Q485">
        <f>IF(COUNTIF($E485, _xlfn.CONCAT("*",Table13[[#Headers],[Fantasy]],"*")),1,0)</f>
        <v>1</v>
      </c>
      <c r="R485">
        <f>IF(COUNTIF($E485, _xlfn.CONCAT("*",Table13[[#Headers],[History]],"*")),1,0)</f>
        <v>0</v>
      </c>
      <c r="S485">
        <f>IF(COUNTIF($E485, _xlfn.CONCAT("*",Table13[[#Headers],[Horror]],"*")),1,0)</f>
        <v>0</v>
      </c>
      <c r="T485">
        <f>IF(COUNTIF($E485, _xlfn.CONCAT("*",Table13[[#Headers],[Music]],"*")),1,0)</f>
        <v>0</v>
      </c>
      <c r="U485">
        <f>IF(COUNTIF($E485, _xlfn.CONCAT("*",Table13[[#Headers],[Mystery]],"*")),1,0)</f>
        <v>0</v>
      </c>
      <c r="V485">
        <f>IF(COUNTIF($E485, _xlfn.CONCAT("*",Table13[[#Headers],[Romance]],"*")),1,0)</f>
        <v>0</v>
      </c>
      <c r="W485">
        <f>IF(COUNTIF($E485, _xlfn.CONCAT("*",Table13[[#Headers],[Science Fiction]],"*")),1,0)</f>
        <v>0</v>
      </c>
      <c r="X485">
        <f>IF(COUNTIF($E485, _xlfn.CONCAT("*",Table13[[#Headers],[TV Movie]],"*")),1,0)</f>
        <v>0</v>
      </c>
      <c r="Y485">
        <f>IF(COUNTIF($E485, _xlfn.CONCAT("*",Table13[[#Headers],[Thriller]],"*")),1,0)</f>
        <v>0</v>
      </c>
      <c r="Z485">
        <f>IF(COUNTIF($E485, _xlfn.CONCAT("*",Table13[[#Headers],[War]],"*")),1,0)</f>
        <v>0</v>
      </c>
      <c r="AA485">
        <f>IF(COUNTIF($E485, _xlfn.CONCAT("*",Table13[[#Headers],[Western]],"*")),1,0)</f>
        <v>0</v>
      </c>
    </row>
    <row r="486" spans="1:27">
      <c r="A486" t="s">
        <v>668</v>
      </c>
      <c r="B486">
        <v>1</v>
      </c>
      <c r="C486">
        <f>MAX(Table13[Rank])-Table13[[#This Row],[Rank]]</f>
        <v>263</v>
      </c>
      <c r="D486" t="s">
        <v>674</v>
      </c>
      <c r="E486" t="s">
        <v>166</v>
      </c>
      <c r="F486" s="1">
        <v>34600</v>
      </c>
      <c r="G486">
        <f>YEAR(Table13[[#This Row],[Date]])</f>
        <v>1994</v>
      </c>
      <c r="H486" t="s">
        <v>668</v>
      </c>
      <c r="I486">
        <f>IF(COUNTIF($E486, _xlfn.CONCAT("*",Table13[[#Headers],[Action]],"*")),1,0)</f>
        <v>0</v>
      </c>
      <c r="J486">
        <f>IF(COUNTIF($E486, _xlfn.CONCAT("*",Table13[[#Headers],[Adventure]],"*")),1,0)</f>
        <v>0</v>
      </c>
      <c r="K486">
        <f>IF(COUNTIF($E486, _xlfn.CONCAT("*",Table13[[#Headers],[Animation]],"*")),1,0)</f>
        <v>0</v>
      </c>
      <c r="L486">
        <f>IF(COUNTIF($E486, _xlfn.CONCAT("*",Table13[[#Headers],[Comedy]],"*")),1,0)</f>
        <v>0</v>
      </c>
      <c r="M486">
        <f>IF(COUNTIF($E486, _xlfn.CONCAT("*",Table13[[#Headers],[Crime]],"*")),1,0)</f>
        <v>1</v>
      </c>
      <c r="N486">
        <f>IF(COUNTIF($E486, _xlfn.CONCAT("*",Table13[[#Headers],[Documentary]],"*")),1,0)</f>
        <v>0</v>
      </c>
      <c r="O486">
        <f>IF(COUNTIF($E486, _xlfn.CONCAT("*",Table13[[#Headers],[Drama]],"*")),1,0)</f>
        <v>1</v>
      </c>
      <c r="P486">
        <f>IF(COUNTIF($E486, _xlfn.CONCAT("*",Table13[[#Headers],[Family]],"*")),1,0)</f>
        <v>0</v>
      </c>
      <c r="Q486">
        <f>IF(COUNTIF($E486, _xlfn.CONCAT("*",Table13[[#Headers],[Fantasy]],"*")),1,0)</f>
        <v>0</v>
      </c>
      <c r="R486">
        <f>IF(COUNTIF($E486, _xlfn.CONCAT("*",Table13[[#Headers],[History]],"*")),1,0)</f>
        <v>0</v>
      </c>
      <c r="S486">
        <f>IF(COUNTIF($E486, _xlfn.CONCAT("*",Table13[[#Headers],[Horror]],"*")),1,0)</f>
        <v>0</v>
      </c>
      <c r="T486">
        <f>IF(COUNTIF($E486, _xlfn.CONCAT("*",Table13[[#Headers],[Music]],"*")),1,0)</f>
        <v>0</v>
      </c>
      <c r="U486">
        <f>IF(COUNTIF($E486, _xlfn.CONCAT("*",Table13[[#Headers],[Mystery]],"*")),1,0)</f>
        <v>0</v>
      </c>
      <c r="V486">
        <f>IF(COUNTIF($E486, _xlfn.CONCAT("*",Table13[[#Headers],[Romance]],"*")),1,0)</f>
        <v>0</v>
      </c>
      <c r="W486">
        <f>IF(COUNTIF($E486, _xlfn.CONCAT("*",Table13[[#Headers],[Science Fiction]],"*")),1,0)</f>
        <v>0</v>
      </c>
      <c r="X486">
        <f>IF(COUNTIF($E486, _xlfn.CONCAT("*",Table13[[#Headers],[TV Movie]],"*")),1,0)</f>
        <v>0</v>
      </c>
      <c r="Y486">
        <f>IF(COUNTIF($E486, _xlfn.CONCAT("*",Table13[[#Headers],[Thriller]],"*")),1,0)</f>
        <v>0</v>
      </c>
      <c r="Z486">
        <f>IF(COUNTIF($E486, _xlfn.CONCAT("*",Table13[[#Headers],[War]],"*")),1,0)</f>
        <v>0</v>
      </c>
      <c r="AA486">
        <f>IF(COUNTIF($E486, _xlfn.CONCAT("*",Table13[[#Headers],[Western]],"*")),1,0)</f>
        <v>0</v>
      </c>
    </row>
    <row r="487" spans="1:27">
      <c r="A487" t="s">
        <v>634</v>
      </c>
      <c r="B487">
        <v>2</v>
      </c>
      <c r="C487">
        <f>MAX(Table13[Rank])-Table13[[#This Row],[Rank]]</f>
        <v>262</v>
      </c>
      <c r="D487" t="s">
        <v>674</v>
      </c>
      <c r="E487" t="s">
        <v>21</v>
      </c>
      <c r="F487" s="1">
        <v>36448</v>
      </c>
      <c r="G487">
        <f>YEAR(Table13[[#This Row],[Date]])</f>
        <v>1999</v>
      </c>
      <c r="H487" t="s">
        <v>634</v>
      </c>
      <c r="I487">
        <f>IF(COUNTIF($E487, _xlfn.CONCAT("*",Table13[[#Headers],[Action]],"*")),1,0)</f>
        <v>0</v>
      </c>
      <c r="J487">
        <f>IF(COUNTIF($E487, _xlfn.CONCAT("*",Table13[[#Headers],[Adventure]],"*")),1,0)</f>
        <v>0</v>
      </c>
      <c r="K487">
        <f>IF(COUNTIF($E487, _xlfn.CONCAT("*",Table13[[#Headers],[Animation]],"*")),1,0)</f>
        <v>0</v>
      </c>
      <c r="L487">
        <f>IF(COUNTIF($E487, _xlfn.CONCAT("*",Table13[[#Headers],[Comedy]],"*")),1,0)</f>
        <v>0</v>
      </c>
      <c r="M487">
        <f>IF(COUNTIF($E487, _xlfn.CONCAT("*",Table13[[#Headers],[Crime]],"*")),1,0)</f>
        <v>0</v>
      </c>
      <c r="N487">
        <f>IF(COUNTIF($E487, _xlfn.CONCAT("*",Table13[[#Headers],[Documentary]],"*")),1,0)</f>
        <v>0</v>
      </c>
      <c r="O487">
        <f>IF(COUNTIF($E487, _xlfn.CONCAT("*",Table13[[#Headers],[Drama]],"*")),1,0)</f>
        <v>1</v>
      </c>
      <c r="P487">
        <f>IF(COUNTIF($E487, _xlfn.CONCAT("*",Table13[[#Headers],[Family]],"*")),1,0)</f>
        <v>0</v>
      </c>
      <c r="Q487">
        <f>IF(COUNTIF($E487, _xlfn.CONCAT("*",Table13[[#Headers],[Fantasy]],"*")),1,0)</f>
        <v>0</v>
      </c>
      <c r="R487">
        <f>IF(COUNTIF($E487, _xlfn.CONCAT("*",Table13[[#Headers],[History]],"*")),1,0)</f>
        <v>0</v>
      </c>
      <c r="S487">
        <f>IF(COUNTIF($E487, _xlfn.CONCAT("*",Table13[[#Headers],[Horror]],"*")),1,0)</f>
        <v>0</v>
      </c>
      <c r="T487">
        <f>IF(COUNTIF($E487, _xlfn.CONCAT("*",Table13[[#Headers],[Music]],"*")),1,0)</f>
        <v>0</v>
      </c>
      <c r="U487">
        <f>IF(COUNTIF($E487, _xlfn.CONCAT("*",Table13[[#Headers],[Mystery]],"*")),1,0)</f>
        <v>0</v>
      </c>
      <c r="V487">
        <f>IF(COUNTIF($E487, _xlfn.CONCAT("*",Table13[[#Headers],[Romance]],"*")),1,0)</f>
        <v>0</v>
      </c>
      <c r="W487">
        <f>IF(COUNTIF($E487, _xlfn.CONCAT("*",Table13[[#Headers],[Science Fiction]],"*")),1,0)</f>
        <v>0</v>
      </c>
      <c r="X487">
        <f>IF(COUNTIF($E487, _xlfn.CONCAT("*",Table13[[#Headers],[TV Movie]],"*")),1,0)</f>
        <v>0</v>
      </c>
      <c r="Y487">
        <f>IF(COUNTIF($E487, _xlfn.CONCAT("*",Table13[[#Headers],[Thriller]],"*")),1,0)</f>
        <v>0</v>
      </c>
      <c r="Z487">
        <f>IF(COUNTIF($E487, _xlfn.CONCAT("*",Table13[[#Headers],[War]],"*")),1,0)</f>
        <v>0</v>
      </c>
      <c r="AA487">
        <f>IF(COUNTIF($E487, _xlfn.CONCAT("*",Table13[[#Headers],[Western]],"*")),1,0)</f>
        <v>0</v>
      </c>
    </row>
    <row r="488" spans="1:27">
      <c r="A488" t="s">
        <v>384</v>
      </c>
      <c r="B488">
        <v>3</v>
      </c>
      <c r="C488">
        <f>MAX(Table13[Rank])-Table13[[#This Row],[Rank]]</f>
        <v>261</v>
      </c>
      <c r="D488" t="s">
        <v>674</v>
      </c>
      <c r="E488" t="s">
        <v>166</v>
      </c>
      <c r="F488" s="1">
        <v>26372</v>
      </c>
      <c r="G488">
        <f>YEAR(Table13[[#This Row],[Date]])</f>
        <v>1972</v>
      </c>
      <c r="H488" t="s">
        <v>384</v>
      </c>
      <c r="I488">
        <f>IF(COUNTIF($E488, _xlfn.CONCAT("*",Table13[[#Headers],[Action]],"*")),1,0)</f>
        <v>0</v>
      </c>
      <c r="J488">
        <f>IF(COUNTIF($E488, _xlfn.CONCAT("*",Table13[[#Headers],[Adventure]],"*")),1,0)</f>
        <v>0</v>
      </c>
      <c r="K488">
        <f>IF(COUNTIF($E488, _xlfn.CONCAT("*",Table13[[#Headers],[Animation]],"*")),1,0)</f>
        <v>0</v>
      </c>
      <c r="L488">
        <f>IF(COUNTIF($E488, _xlfn.CONCAT("*",Table13[[#Headers],[Comedy]],"*")),1,0)</f>
        <v>0</v>
      </c>
      <c r="M488">
        <f>IF(COUNTIF($E488, _xlfn.CONCAT("*",Table13[[#Headers],[Crime]],"*")),1,0)</f>
        <v>1</v>
      </c>
      <c r="N488">
        <f>IF(COUNTIF($E488, _xlfn.CONCAT("*",Table13[[#Headers],[Documentary]],"*")),1,0)</f>
        <v>0</v>
      </c>
      <c r="O488">
        <f>IF(COUNTIF($E488, _xlfn.CONCAT("*",Table13[[#Headers],[Drama]],"*")),1,0)</f>
        <v>1</v>
      </c>
      <c r="P488">
        <f>IF(COUNTIF($E488, _xlfn.CONCAT("*",Table13[[#Headers],[Family]],"*")),1,0)</f>
        <v>0</v>
      </c>
      <c r="Q488">
        <f>IF(COUNTIF($E488, _xlfn.CONCAT("*",Table13[[#Headers],[Fantasy]],"*")),1,0)</f>
        <v>0</v>
      </c>
      <c r="R488">
        <f>IF(COUNTIF($E488, _xlfn.CONCAT("*",Table13[[#Headers],[History]],"*")),1,0)</f>
        <v>0</v>
      </c>
      <c r="S488">
        <f>IF(COUNTIF($E488, _xlfn.CONCAT("*",Table13[[#Headers],[Horror]],"*")),1,0)</f>
        <v>0</v>
      </c>
      <c r="T488">
        <f>IF(COUNTIF($E488, _xlfn.CONCAT("*",Table13[[#Headers],[Music]],"*")),1,0)</f>
        <v>0</v>
      </c>
      <c r="U488">
        <f>IF(COUNTIF($E488, _xlfn.CONCAT("*",Table13[[#Headers],[Mystery]],"*")),1,0)</f>
        <v>0</v>
      </c>
      <c r="V488">
        <f>IF(COUNTIF($E488, _xlfn.CONCAT("*",Table13[[#Headers],[Romance]],"*")),1,0)</f>
        <v>0</v>
      </c>
      <c r="W488">
        <f>IF(COUNTIF($E488, _xlfn.CONCAT("*",Table13[[#Headers],[Science Fiction]],"*")),1,0)</f>
        <v>0</v>
      </c>
      <c r="X488">
        <f>IF(COUNTIF($E488, _xlfn.CONCAT("*",Table13[[#Headers],[TV Movie]],"*")),1,0)</f>
        <v>0</v>
      </c>
      <c r="Y488">
        <f>IF(COUNTIF($E488, _xlfn.CONCAT("*",Table13[[#Headers],[Thriller]],"*")),1,0)</f>
        <v>0</v>
      </c>
      <c r="Z488">
        <f>IF(COUNTIF($E488, _xlfn.CONCAT("*",Table13[[#Headers],[War]],"*")),1,0)</f>
        <v>0</v>
      </c>
      <c r="AA488">
        <f>IF(COUNTIF($E488, _xlfn.CONCAT("*",Table13[[#Headers],[Western]],"*")),1,0)</f>
        <v>0</v>
      </c>
    </row>
    <row r="489" spans="1:27">
      <c r="A489" t="s">
        <v>440</v>
      </c>
      <c r="B489">
        <v>4</v>
      </c>
      <c r="C489">
        <f>MAX(Table13[Rank])-Table13[[#This Row],[Rank]]</f>
        <v>260</v>
      </c>
      <c r="D489" t="s">
        <v>674</v>
      </c>
      <c r="E489" t="s">
        <v>441</v>
      </c>
      <c r="F489" s="1">
        <v>39645</v>
      </c>
      <c r="G489">
        <f>YEAR(Table13[[#This Row],[Date]])</f>
        <v>2008</v>
      </c>
      <c r="H489" t="s">
        <v>440</v>
      </c>
      <c r="I489">
        <f>IF(COUNTIF($E489, _xlfn.CONCAT("*",Table13[[#Headers],[Action]],"*")),1,0)</f>
        <v>1</v>
      </c>
      <c r="J489">
        <f>IF(COUNTIF($E489, _xlfn.CONCAT("*",Table13[[#Headers],[Adventure]],"*")),1,0)</f>
        <v>0</v>
      </c>
      <c r="K489">
        <f>IF(COUNTIF($E489, _xlfn.CONCAT("*",Table13[[#Headers],[Animation]],"*")),1,0)</f>
        <v>0</v>
      </c>
      <c r="L489">
        <f>IF(COUNTIF($E489, _xlfn.CONCAT("*",Table13[[#Headers],[Comedy]],"*")),1,0)</f>
        <v>0</v>
      </c>
      <c r="M489">
        <f>IF(COUNTIF($E489, _xlfn.CONCAT("*",Table13[[#Headers],[Crime]],"*")),1,0)</f>
        <v>1</v>
      </c>
      <c r="N489">
        <f>IF(COUNTIF($E489, _xlfn.CONCAT("*",Table13[[#Headers],[Documentary]],"*")),1,0)</f>
        <v>0</v>
      </c>
      <c r="O489">
        <f>IF(COUNTIF($E489, _xlfn.CONCAT("*",Table13[[#Headers],[Drama]],"*")),1,0)</f>
        <v>1</v>
      </c>
      <c r="P489">
        <f>IF(COUNTIF($E489, _xlfn.CONCAT("*",Table13[[#Headers],[Family]],"*")),1,0)</f>
        <v>0</v>
      </c>
      <c r="Q489">
        <f>IF(COUNTIF($E489, _xlfn.CONCAT("*",Table13[[#Headers],[Fantasy]],"*")),1,0)</f>
        <v>0</v>
      </c>
      <c r="R489">
        <f>IF(COUNTIF($E489, _xlfn.CONCAT("*",Table13[[#Headers],[History]],"*")),1,0)</f>
        <v>0</v>
      </c>
      <c r="S489">
        <f>IF(COUNTIF($E489, _xlfn.CONCAT("*",Table13[[#Headers],[Horror]],"*")),1,0)</f>
        <v>0</v>
      </c>
      <c r="T489">
        <f>IF(COUNTIF($E489, _xlfn.CONCAT("*",Table13[[#Headers],[Music]],"*")),1,0)</f>
        <v>0</v>
      </c>
      <c r="U489">
        <f>IF(COUNTIF($E489, _xlfn.CONCAT("*",Table13[[#Headers],[Mystery]],"*")),1,0)</f>
        <v>0</v>
      </c>
      <c r="V489">
        <f>IF(COUNTIF($E489, _xlfn.CONCAT("*",Table13[[#Headers],[Romance]],"*")),1,0)</f>
        <v>0</v>
      </c>
      <c r="W489">
        <f>IF(COUNTIF($E489, _xlfn.CONCAT("*",Table13[[#Headers],[Science Fiction]],"*")),1,0)</f>
        <v>0</v>
      </c>
      <c r="X489">
        <f>IF(COUNTIF($E489, _xlfn.CONCAT("*",Table13[[#Headers],[TV Movie]],"*")),1,0)</f>
        <v>0</v>
      </c>
      <c r="Y489">
        <f>IF(COUNTIF($E489, _xlfn.CONCAT("*",Table13[[#Headers],[Thriller]],"*")),1,0)</f>
        <v>1</v>
      </c>
      <c r="Z489">
        <f>IF(COUNTIF($E489, _xlfn.CONCAT("*",Table13[[#Headers],[War]],"*")),1,0)</f>
        <v>0</v>
      </c>
      <c r="AA489">
        <f>IF(COUNTIF($E489, _xlfn.CONCAT("*",Table13[[#Headers],[Western]],"*")),1,0)</f>
        <v>0</v>
      </c>
    </row>
    <row r="490" spans="1:27">
      <c r="A490" t="s">
        <v>216</v>
      </c>
      <c r="B490">
        <v>5</v>
      </c>
      <c r="C490">
        <f>MAX(Table13[Rank])-Table13[[#This Row],[Rank]]</f>
        <v>259</v>
      </c>
      <c r="D490" t="s">
        <v>674</v>
      </c>
      <c r="E490" t="s">
        <v>217</v>
      </c>
      <c r="F490" s="1">
        <v>34587</v>
      </c>
      <c r="G490">
        <f>YEAR(Table13[[#This Row],[Date]])</f>
        <v>1994</v>
      </c>
      <c r="H490" t="s">
        <v>216</v>
      </c>
      <c r="I490">
        <f>IF(COUNTIF($E490, _xlfn.CONCAT("*",Table13[[#Headers],[Action]],"*")),1,0)</f>
        <v>0</v>
      </c>
      <c r="J490">
        <f>IF(COUNTIF($E490, _xlfn.CONCAT("*",Table13[[#Headers],[Adventure]],"*")),1,0)</f>
        <v>0</v>
      </c>
      <c r="K490">
        <f>IF(COUNTIF($E490, _xlfn.CONCAT("*",Table13[[#Headers],[Animation]],"*")),1,0)</f>
        <v>0</v>
      </c>
      <c r="L490">
        <f>IF(COUNTIF($E490, _xlfn.CONCAT("*",Table13[[#Headers],[Comedy]],"*")),1,0)</f>
        <v>0</v>
      </c>
      <c r="M490">
        <f>IF(COUNTIF($E490, _xlfn.CONCAT("*",Table13[[#Headers],[Crime]],"*")),1,0)</f>
        <v>1</v>
      </c>
      <c r="N490">
        <f>IF(COUNTIF($E490, _xlfn.CONCAT("*",Table13[[#Headers],[Documentary]],"*")),1,0)</f>
        <v>0</v>
      </c>
      <c r="O490">
        <f>IF(COUNTIF($E490, _xlfn.CONCAT("*",Table13[[#Headers],[Drama]],"*")),1,0)</f>
        <v>0</v>
      </c>
      <c r="P490">
        <f>IF(COUNTIF($E490, _xlfn.CONCAT("*",Table13[[#Headers],[Family]],"*")),1,0)</f>
        <v>0</v>
      </c>
      <c r="Q490">
        <f>IF(COUNTIF($E490, _xlfn.CONCAT("*",Table13[[#Headers],[Fantasy]],"*")),1,0)</f>
        <v>0</v>
      </c>
      <c r="R490">
        <f>IF(COUNTIF($E490, _xlfn.CONCAT("*",Table13[[#Headers],[History]],"*")),1,0)</f>
        <v>0</v>
      </c>
      <c r="S490">
        <f>IF(COUNTIF($E490, _xlfn.CONCAT("*",Table13[[#Headers],[Horror]],"*")),1,0)</f>
        <v>0</v>
      </c>
      <c r="T490">
        <f>IF(COUNTIF($E490, _xlfn.CONCAT("*",Table13[[#Headers],[Music]],"*")),1,0)</f>
        <v>0</v>
      </c>
      <c r="U490">
        <f>IF(COUNTIF($E490, _xlfn.CONCAT("*",Table13[[#Headers],[Mystery]],"*")),1,0)</f>
        <v>0</v>
      </c>
      <c r="V490">
        <f>IF(COUNTIF($E490, _xlfn.CONCAT("*",Table13[[#Headers],[Romance]],"*")),1,0)</f>
        <v>0</v>
      </c>
      <c r="W490">
        <f>IF(COUNTIF($E490, _xlfn.CONCAT("*",Table13[[#Headers],[Science Fiction]],"*")),1,0)</f>
        <v>0</v>
      </c>
      <c r="X490">
        <f>IF(COUNTIF($E490, _xlfn.CONCAT("*",Table13[[#Headers],[TV Movie]],"*")),1,0)</f>
        <v>0</v>
      </c>
      <c r="Y490">
        <f>IF(COUNTIF($E490, _xlfn.CONCAT("*",Table13[[#Headers],[Thriller]],"*")),1,0)</f>
        <v>1</v>
      </c>
      <c r="Z490">
        <f>IF(COUNTIF($E490, _xlfn.CONCAT("*",Table13[[#Headers],[War]],"*")),1,0)</f>
        <v>0</v>
      </c>
      <c r="AA490">
        <f>IF(COUNTIF($E490, _xlfn.CONCAT("*",Table13[[#Headers],[Western]],"*")),1,0)</f>
        <v>0</v>
      </c>
    </row>
    <row r="491" spans="1:27">
      <c r="A491" t="s">
        <v>587</v>
      </c>
      <c r="B491">
        <v>6</v>
      </c>
      <c r="C491">
        <f>MAX(Table13[Rank])-Table13[[#This Row],[Rank]]</f>
        <v>258</v>
      </c>
      <c r="D491" t="s">
        <v>674</v>
      </c>
      <c r="E491" t="s">
        <v>15</v>
      </c>
      <c r="F491" s="1">
        <v>34508</v>
      </c>
      <c r="G491">
        <f>YEAR(Table13[[#This Row],[Date]])</f>
        <v>1994</v>
      </c>
      <c r="H491" t="s">
        <v>587</v>
      </c>
      <c r="I491">
        <f>IF(COUNTIF($E491, _xlfn.CONCAT("*",Table13[[#Headers],[Action]],"*")),1,0)</f>
        <v>0</v>
      </c>
      <c r="J491">
        <f>IF(COUNTIF($E491, _xlfn.CONCAT("*",Table13[[#Headers],[Adventure]],"*")),1,0)</f>
        <v>0</v>
      </c>
      <c r="K491">
        <f>IF(COUNTIF($E491, _xlfn.CONCAT("*",Table13[[#Headers],[Animation]],"*")),1,0)</f>
        <v>0</v>
      </c>
      <c r="L491">
        <f>IF(COUNTIF($E491, _xlfn.CONCAT("*",Table13[[#Headers],[Comedy]],"*")),1,0)</f>
        <v>1</v>
      </c>
      <c r="M491">
        <f>IF(COUNTIF($E491, _xlfn.CONCAT("*",Table13[[#Headers],[Crime]],"*")),1,0)</f>
        <v>0</v>
      </c>
      <c r="N491">
        <f>IF(COUNTIF($E491, _xlfn.CONCAT("*",Table13[[#Headers],[Documentary]],"*")),1,0)</f>
        <v>0</v>
      </c>
      <c r="O491">
        <f>IF(COUNTIF($E491, _xlfn.CONCAT("*",Table13[[#Headers],[Drama]],"*")),1,0)</f>
        <v>1</v>
      </c>
      <c r="P491">
        <f>IF(COUNTIF($E491, _xlfn.CONCAT("*",Table13[[#Headers],[Family]],"*")),1,0)</f>
        <v>0</v>
      </c>
      <c r="Q491">
        <f>IF(COUNTIF($E491, _xlfn.CONCAT("*",Table13[[#Headers],[Fantasy]],"*")),1,0)</f>
        <v>0</v>
      </c>
      <c r="R491">
        <f>IF(COUNTIF($E491, _xlfn.CONCAT("*",Table13[[#Headers],[History]],"*")),1,0)</f>
        <v>0</v>
      </c>
      <c r="S491">
        <f>IF(COUNTIF($E491, _xlfn.CONCAT("*",Table13[[#Headers],[Horror]],"*")),1,0)</f>
        <v>0</v>
      </c>
      <c r="T491">
        <f>IF(COUNTIF($E491, _xlfn.CONCAT("*",Table13[[#Headers],[Music]],"*")),1,0)</f>
        <v>0</v>
      </c>
      <c r="U491">
        <f>IF(COUNTIF($E491, _xlfn.CONCAT("*",Table13[[#Headers],[Mystery]],"*")),1,0)</f>
        <v>0</v>
      </c>
      <c r="V491">
        <f>IF(COUNTIF($E491, _xlfn.CONCAT("*",Table13[[#Headers],[Romance]],"*")),1,0)</f>
        <v>1</v>
      </c>
      <c r="W491">
        <f>IF(COUNTIF($E491, _xlfn.CONCAT("*",Table13[[#Headers],[Science Fiction]],"*")),1,0)</f>
        <v>0</v>
      </c>
      <c r="X491">
        <f>IF(COUNTIF($E491, _xlfn.CONCAT("*",Table13[[#Headers],[TV Movie]],"*")),1,0)</f>
        <v>0</v>
      </c>
      <c r="Y491">
        <f>IF(COUNTIF($E491, _xlfn.CONCAT("*",Table13[[#Headers],[Thriller]],"*")),1,0)</f>
        <v>0</v>
      </c>
      <c r="Z491">
        <f>IF(COUNTIF($E491, _xlfn.CONCAT("*",Table13[[#Headers],[War]],"*")),1,0)</f>
        <v>0</v>
      </c>
      <c r="AA491">
        <f>IF(COUNTIF($E491, _xlfn.CONCAT("*",Table13[[#Headers],[Western]],"*")),1,0)</f>
        <v>0</v>
      </c>
    </row>
    <row r="492" spans="1:27">
      <c r="A492" t="s">
        <v>675</v>
      </c>
      <c r="B492">
        <v>7</v>
      </c>
      <c r="C492">
        <f>MAX(Table13[Rank])-Table13[[#This Row],[Rank]]</f>
        <v>257</v>
      </c>
      <c r="D492" t="s">
        <v>674</v>
      </c>
      <c r="E492" t="s">
        <v>618</v>
      </c>
      <c r="F492" s="1">
        <v>37243</v>
      </c>
      <c r="G492">
        <f>YEAR(Table13[[#This Row],[Date]])</f>
        <v>2001</v>
      </c>
      <c r="H492" t="s">
        <v>673</v>
      </c>
      <c r="I492">
        <f>IF(COUNTIF($E492, _xlfn.CONCAT("*",Table13[[#Headers],[Action]],"*")),1,0)</f>
        <v>1</v>
      </c>
      <c r="J492">
        <f>IF(COUNTIF($E492, _xlfn.CONCAT("*",Table13[[#Headers],[Adventure]],"*")),1,0)</f>
        <v>1</v>
      </c>
      <c r="K492">
        <f>IF(COUNTIF($E492, _xlfn.CONCAT("*",Table13[[#Headers],[Animation]],"*")),1,0)</f>
        <v>0</v>
      </c>
      <c r="L492">
        <f>IF(COUNTIF($E492, _xlfn.CONCAT("*",Table13[[#Headers],[Comedy]],"*")),1,0)</f>
        <v>0</v>
      </c>
      <c r="M492">
        <f>IF(COUNTIF($E492, _xlfn.CONCAT("*",Table13[[#Headers],[Crime]],"*")),1,0)</f>
        <v>0</v>
      </c>
      <c r="N492">
        <f>IF(COUNTIF($E492, _xlfn.CONCAT("*",Table13[[#Headers],[Documentary]],"*")),1,0)</f>
        <v>0</v>
      </c>
      <c r="O492">
        <f>IF(COUNTIF($E492, _xlfn.CONCAT("*",Table13[[#Headers],[Drama]],"*")),1,0)</f>
        <v>0</v>
      </c>
      <c r="P492">
        <f>IF(COUNTIF($E492, _xlfn.CONCAT("*",Table13[[#Headers],[Family]],"*")),1,0)</f>
        <v>0</v>
      </c>
      <c r="Q492">
        <f>IF(COUNTIF($E492, _xlfn.CONCAT("*",Table13[[#Headers],[Fantasy]],"*")),1,0)</f>
        <v>1</v>
      </c>
      <c r="R492">
        <f>IF(COUNTIF($E492, _xlfn.CONCAT("*",Table13[[#Headers],[History]],"*")),1,0)</f>
        <v>0</v>
      </c>
      <c r="S492">
        <f>IF(COUNTIF($E492, _xlfn.CONCAT("*",Table13[[#Headers],[Horror]],"*")),1,0)</f>
        <v>0</v>
      </c>
      <c r="T492">
        <f>IF(COUNTIF($E492, _xlfn.CONCAT("*",Table13[[#Headers],[Music]],"*")),1,0)</f>
        <v>0</v>
      </c>
      <c r="U492">
        <f>IF(COUNTIF($E492, _xlfn.CONCAT("*",Table13[[#Headers],[Mystery]],"*")),1,0)</f>
        <v>0</v>
      </c>
      <c r="V492">
        <f>IF(COUNTIF($E492, _xlfn.CONCAT("*",Table13[[#Headers],[Romance]],"*")),1,0)</f>
        <v>0</v>
      </c>
      <c r="W492">
        <f>IF(COUNTIF($E492, _xlfn.CONCAT("*",Table13[[#Headers],[Science Fiction]],"*")),1,0)</f>
        <v>0</v>
      </c>
      <c r="X492">
        <f>IF(COUNTIF($E492, _xlfn.CONCAT("*",Table13[[#Headers],[TV Movie]],"*")),1,0)</f>
        <v>0</v>
      </c>
      <c r="Y492">
        <f>IF(COUNTIF($E492, _xlfn.CONCAT("*",Table13[[#Headers],[Thriller]],"*")),1,0)</f>
        <v>0</v>
      </c>
      <c r="Z492">
        <f>IF(COUNTIF($E492, _xlfn.CONCAT("*",Table13[[#Headers],[War]],"*")),1,0)</f>
        <v>0</v>
      </c>
      <c r="AA492">
        <f>IF(COUNTIF($E492, _xlfn.CONCAT("*",Table13[[#Headers],[Western]],"*")),1,0)</f>
        <v>0</v>
      </c>
    </row>
    <row r="493" spans="1:27">
      <c r="A493" t="s">
        <v>676</v>
      </c>
      <c r="B493">
        <v>8</v>
      </c>
      <c r="C493">
        <f>MAX(Table13[Rank])-Table13[[#This Row],[Rank]]</f>
        <v>256</v>
      </c>
      <c r="D493" t="s">
        <v>674</v>
      </c>
      <c r="E493" t="s">
        <v>618</v>
      </c>
      <c r="F493" s="1">
        <v>37956</v>
      </c>
      <c r="G493">
        <f>YEAR(Table13[[#This Row],[Date]])</f>
        <v>2003</v>
      </c>
      <c r="H493" t="s">
        <v>629</v>
      </c>
      <c r="I493">
        <f>IF(COUNTIF($E493, _xlfn.CONCAT("*",Table13[[#Headers],[Action]],"*")),1,0)</f>
        <v>1</v>
      </c>
      <c r="J493">
        <f>IF(COUNTIF($E493, _xlfn.CONCAT("*",Table13[[#Headers],[Adventure]],"*")),1,0)</f>
        <v>1</v>
      </c>
      <c r="K493">
        <f>IF(COUNTIF($E493, _xlfn.CONCAT("*",Table13[[#Headers],[Animation]],"*")),1,0)</f>
        <v>0</v>
      </c>
      <c r="L493">
        <f>IF(COUNTIF($E493, _xlfn.CONCAT("*",Table13[[#Headers],[Comedy]],"*")),1,0)</f>
        <v>0</v>
      </c>
      <c r="M493">
        <f>IF(COUNTIF($E493, _xlfn.CONCAT("*",Table13[[#Headers],[Crime]],"*")),1,0)</f>
        <v>0</v>
      </c>
      <c r="N493">
        <f>IF(COUNTIF($E493, _xlfn.CONCAT("*",Table13[[#Headers],[Documentary]],"*")),1,0)</f>
        <v>0</v>
      </c>
      <c r="O493">
        <f>IF(COUNTIF($E493, _xlfn.CONCAT("*",Table13[[#Headers],[Drama]],"*")),1,0)</f>
        <v>0</v>
      </c>
      <c r="P493">
        <f>IF(COUNTIF($E493, _xlfn.CONCAT("*",Table13[[#Headers],[Family]],"*")),1,0)</f>
        <v>0</v>
      </c>
      <c r="Q493">
        <f>IF(COUNTIF($E493, _xlfn.CONCAT("*",Table13[[#Headers],[Fantasy]],"*")),1,0)</f>
        <v>1</v>
      </c>
      <c r="R493">
        <f>IF(COUNTIF($E493, _xlfn.CONCAT("*",Table13[[#Headers],[History]],"*")),1,0)</f>
        <v>0</v>
      </c>
      <c r="S493">
        <f>IF(COUNTIF($E493, _xlfn.CONCAT("*",Table13[[#Headers],[Horror]],"*")),1,0)</f>
        <v>0</v>
      </c>
      <c r="T493">
        <f>IF(COUNTIF($E493, _xlfn.CONCAT("*",Table13[[#Headers],[Music]],"*")),1,0)</f>
        <v>0</v>
      </c>
      <c r="U493">
        <f>IF(COUNTIF($E493, _xlfn.CONCAT("*",Table13[[#Headers],[Mystery]],"*")),1,0)</f>
        <v>0</v>
      </c>
      <c r="V493">
        <f>IF(COUNTIF($E493, _xlfn.CONCAT("*",Table13[[#Headers],[Romance]],"*")),1,0)</f>
        <v>0</v>
      </c>
      <c r="W493">
        <f>IF(COUNTIF($E493, _xlfn.CONCAT("*",Table13[[#Headers],[Science Fiction]],"*")),1,0)</f>
        <v>0</v>
      </c>
      <c r="X493">
        <f>IF(COUNTIF($E493, _xlfn.CONCAT("*",Table13[[#Headers],[TV Movie]],"*")),1,0)</f>
        <v>0</v>
      </c>
      <c r="Y493">
        <f>IF(COUNTIF($E493, _xlfn.CONCAT("*",Table13[[#Headers],[Thriller]],"*")),1,0)</f>
        <v>0</v>
      </c>
      <c r="Z493">
        <f>IF(COUNTIF($E493, _xlfn.CONCAT("*",Table13[[#Headers],[War]],"*")),1,0)</f>
        <v>0</v>
      </c>
      <c r="AA493">
        <f>IF(COUNTIF($E493, _xlfn.CONCAT("*",Table13[[#Headers],[Western]],"*")),1,0)</f>
        <v>0</v>
      </c>
    </row>
    <row r="494" spans="1:27">
      <c r="A494" t="s">
        <v>232</v>
      </c>
      <c r="B494">
        <v>9</v>
      </c>
      <c r="C494">
        <f>MAX(Table13[Rank])-Table13[[#This Row],[Rank]]</f>
        <v>255</v>
      </c>
      <c r="D494" t="s">
        <v>674</v>
      </c>
      <c r="E494" t="s">
        <v>233</v>
      </c>
      <c r="F494" s="1">
        <v>36249</v>
      </c>
      <c r="G494">
        <f>YEAR(Table13[[#This Row],[Date]])</f>
        <v>1999</v>
      </c>
      <c r="H494" t="s">
        <v>232</v>
      </c>
      <c r="I494">
        <f>IF(COUNTIF($E494, _xlfn.CONCAT("*",Table13[[#Headers],[Action]],"*")),1,0)</f>
        <v>1</v>
      </c>
      <c r="J494">
        <f>IF(COUNTIF($E494, _xlfn.CONCAT("*",Table13[[#Headers],[Adventure]],"*")),1,0)</f>
        <v>0</v>
      </c>
      <c r="K494">
        <f>IF(COUNTIF($E494, _xlfn.CONCAT("*",Table13[[#Headers],[Animation]],"*")),1,0)</f>
        <v>0</v>
      </c>
      <c r="L494">
        <f>IF(COUNTIF($E494, _xlfn.CONCAT("*",Table13[[#Headers],[Comedy]],"*")),1,0)</f>
        <v>0</v>
      </c>
      <c r="M494">
        <f>IF(COUNTIF($E494, _xlfn.CONCAT("*",Table13[[#Headers],[Crime]],"*")),1,0)</f>
        <v>0</v>
      </c>
      <c r="N494">
        <f>IF(COUNTIF($E494, _xlfn.CONCAT("*",Table13[[#Headers],[Documentary]],"*")),1,0)</f>
        <v>0</v>
      </c>
      <c r="O494">
        <f>IF(COUNTIF($E494, _xlfn.CONCAT("*",Table13[[#Headers],[Drama]],"*")),1,0)</f>
        <v>0</v>
      </c>
      <c r="P494">
        <f>IF(COUNTIF($E494, _xlfn.CONCAT("*",Table13[[#Headers],[Family]],"*")),1,0)</f>
        <v>0</v>
      </c>
      <c r="Q494">
        <f>IF(COUNTIF($E494, _xlfn.CONCAT("*",Table13[[#Headers],[Fantasy]],"*")),1,0)</f>
        <v>0</v>
      </c>
      <c r="R494">
        <f>IF(COUNTIF($E494, _xlfn.CONCAT("*",Table13[[#Headers],[History]],"*")),1,0)</f>
        <v>0</v>
      </c>
      <c r="S494">
        <f>IF(COUNTIF($E494, _xlfn.CONCAT("*",Table13[[#Headers],[Horror]],"*")),1,0)</f>
        <v>0</v>
      </c>
      <c r="T494">
        <f>IF(COUNTIF($E494, _xlfn.CONCAT("*",Table13[[#Headers],[Music]],"*")),1,0)</f>
        <v>0</v>
      </c>
      <c r="U494">
        <f>IF(COUNTIF($E494, _xlfn.CONCAT("*",Table13[[#Headers],[Mystery]],"*")),1,0)</f>
        <v>0</v>
      </c>
      <c r="V494">
        <f>IF(COUNTIF($E494, _xlfn.CONCAT("*",Table13[[#Headers],[Romance]],"*")),1,0)</f>
        <v>0</v>
      </c>
      <c r="W494">
        <f>IF(COUNTIF($E494, _xlfn.CONCAT("*",Table13[[#Headers],[Science Fiction]],"*")),1,0)</f>
        <v>1</v>
      </c>
      <c r="X494">
        <f>IF(COUNTIF($E494, _xlfn.CONCAT("*",Table13[[#Headers],[TV Movie]],"*")),1,0)</f>
        <v>0</v>
      </c>
      <c r="Y494">
        <f>IF(COUNTIF($E494, _xlfn.CONCAT("*",Table13[[#Headers],[Thriller]],"*")),1,0)</f>
        <v>0</v>
      </c>
      <c r="Z494">
        <f>IF(COUNTIF($E494, _xlfn.CONCAT("*",Table13[[#Headers],[War]],"*")),1,0)</f>
        <v>0</v>
      </c>
      <c r="AA494">
        <f>IF(COUNTIF($E494, _xlfn.CONCAT("*",Table13[[#Headers],[Western]],"*")),1,0)</f>
        <v>0</v>
      </c>
    </row>
    <row r="495" spans="1:27">
      <c r="A495" t="s">
        <v>600</v>
      </c>
      <c r="B495">
        <v>10</v>
      </c>
      <c r="C495">
        <f>MAX(Table13[Rank])-Table13[[#This Row],[Rank]]</f>
        <v>254</v>
      </c>
      <c r="D495" t="s">
        <v>674</v>
      </c>
      <c r="E495" t="s">
        <v>186</v>
      </c>
      <c r="F495" s="1">
        <v>34318</v>
      </c>
      <c r="G495">
        <f>YEAR(Table13[[#This Row],[Date]])</f>
        <v>1993</v>
      </c>
      <c r="H495" t="s">
        <v>600</v>
      </c>
      <c r="I495">
        <f>IF(COUNTIF($E495, _xlfn.CONCAT("*",Table13[[#Headers],[Action]],"*")),1,0)</f>
        <v>0</v>
      </c>
      <c r="J495">
        <f>IF(COUNTIF($E495, _xlfn.CONCAT("*",Table13[[#Headers],[Adventure]],"*")),1,0)</f>
        <v>0</v>
      </c>
      <c r="K495">
        <f>IF(COUNTIF($E495, _xlfn.CONCAT("*",Table13[[#Headers],[Animation]],"*")),1,0)</f>
        <v>0</v>
      </c>
      <c r="L495">
        <f>IF(COUNTIF($E495, _xlfn.CONCAT("*",Table13[[#Headers],[Comedy]],"*")),1,0)</f>
        <v>0</v>
      </c>
      <c r="M495">
        <f>IF(COUNTIF($E495, _xlfn.CONCAT("*",Table13[[#Headers],[Crime]],"*")),1,0)</f>
        <v>0</v>
      </c>
      <c r="N495">
        <f>IF(COUNTIF($E495, _xlfn.CONCAT("*",Table13[[#Headers],[Documentary]],"*")),1,0)</f>
        <v>0</v>
      </c>
      <c r="O495">
        <f>IF(COUNTIF($E495, _xlfn.CONCAT("*",Table13[[#Headers],[Drama]],"*")),1,0)</f>
        <v>1</v>
      </c>
      <c r="P495">
        <f>IF(COUNTIF($E495, _xlfn.CONCAT("*",Table13[[#Headers],[Family]],"*")),1,0)</f>
        <v>0</v>
      </c>
      <c r="Q495">
        <f>IF(COUNTIF($E495, _xlfn.CONCAT("*",Table13[[#Headers],[Fantasy]],"*")),1,0)</f>
        <v>0</v>
      </c>
      <c r="R495">
        <f>IF(COUNTIF($E495, _xlfn.CONCAT("*",Table13[[#Headers],[History]],"*")),1,0)</f>
        <v>1</v>
      </c>
      <c r="S495">
        <f>IF(COUNTIF($E495, _xlfn.CONCAT("*",Table13[[#Headers],[Horror]],"*")),1,0)</f>
        <v>0</v>
      </c>
      <c r="T495">
        <f>IF(COUNTIF($E495, _xlfn.CONCAT("*",Table13[[#Headers],[Music]],"*")),1,0)</f>
        <v>0</v>
      </c>
      <c r="U495">
        <f>IF(COUNTIF($E495, _xlfn.CONCAT("*",Table13[[#Headers],[Mystery]],"*")),1,0)</f>
        <v>0</v>
      </c>
      <c r="V495">
        <f>IF(COUNTIF($E495, _xlfn.CONCAT("*",Table13[[#Headers],[Romance]],"*")),1,0)</f>
        <v>0</v>
      </c>
      <c r="W495">
        <f>IF(COUNTIF($E495, _xlfn.CONCAT("*",Table13[[#Headers],[Science Fiction]],"*")),1,0)</f>
        <v>0</v>
      </c>
      <c r="X495">
        <f>IF(COUNTIF($E495, _xlfn.CONCAT("*",Table13[[#Headers],[TV Movie]],"*")),1,0)</f>
        <v>0</v>
      </c>
      <c r="Y495">
        <f>IF(COUNTIF($E495, _xlfn.CONCAT("*",Table13[[#Headers],[Thriller]],"*")),1,0)</f>
        <v>0</v>
      </c>
      <c r="Z495">
        <f>IF(COUNTIF($E495, _xlfn.CONCAT("*",Table13[[#Headers],[War]],"*")),1,0)</f>
        <v>1</v>
      </c>
      <c r="AA495">
        <f>IF(COUNTIF($E495, _xlfn.CONCAT("*",Table13[[#Headers],[Western]],"*")),1,0)</f>
        <v>0</v>
      </c>
    </row>
    <row r="496" spans="1:27">
      <c r="A496" t="s">
        <v>484</v>
      </c>
      <c r="B496">
        <v>11</v>
      </c>
      <c r="C496">
        <f>MAX(Table13[Rank])-Table13[[#This Row],[Rank]]</f>
        <v>253</v>
      </c>
      <c r="D496" t="s">
        <v>674</v>
      </c>
      <c r="E496" t="s">
        <v>166</v>
      </c>
      <c r="F496" s="1">
        <v>33128</v>
      </c>
      <c r="G496">
        <f>YEAR(Table13[[#This Row],[Date]])</f>
        <v>1990</v>
      </c>
      <c r="H496" t="s">
        <v>316</v>
      </c>
      <c r="I496">
        <f>IF(COUNTIF($E496, _xlfn.CONCAT("*",Table13[[#Headers],[Action]],"*")),1,0)</f>
        <v>0</v>
      </c>
      <c r="J496">
        <f>IF(COUNTIF($E496, _xlfn.CONCAT("*",Table13[[#Headers],[Adventure]],"*")),1,0)</f>
        <v>0</v>
      </c>
      <c r="K496">
        <f>IF(COUNTIF($E496, _xlfn.CONCAT("*",Table13[[#Headers],[Animation]],"*")),1,0)</f>
        <v>0</v>
      </c>
      <c r="L496">
        <f>IF(COUNTIF($E496, _xlfn.CONCAT("*",Table13[[#Headers],[Comedy]],"*")),1,0)</f>
        <v>0</v>
      </c>
      <c r="M496">
        <f>IF(COUNTIF($E496, _xlfn.CONCAT("*",Table13[[#Headers],[Crime]],"*")),1,0)</f>
        <v>1</v>
      </c>
      <c r="N496">
        <f>IF(COUNTIF($E496, _xlfn.CONCAT("*",Table13[[#Headers],[Documentary]],"*")),1,0)</f>
        <v>0</v>
      </c>
      <c r="O496">
        <f>IF(COUNTIF($E496, _xlfn.CONCAT("*",Table13[[#Headers],[Drama]],"*")),1,0)</f>
        <v>1</v>
      </c>
      <c r="P496">
        <f>IF(COUNTIF($E496, _xlfn.CONCAT("*",Table13[[#Headers],[Family]],"*")),1,0)</f>
        <v>0</v>
      </c>
      <c r="Q496">
        <f>IF(COUNTIF($E496, _xlfn.CONCAT("*",Table13[[#Headers],[Fantasy]],"*")),1,0)</f>
        <v>0</v>
      </c>
      <c r="R496">
        <f>IF(COUNTIF($E496, _xlfn.CONCAT("*",Table13[[#Headers],[History]],"*")),1,0)</f>
        <v>0</v>
      </c>
      <c r="S496">
        <f>IF(COUNTIF($E496, _xlfn.CONCAT("*",Table13[[#Headers],[Horror]],"*")),1,0)</f>
        <v>0</v>
      </c>
      <c r="T496">
        <f>IF(COUNTIF($E496, _xlfn.CONCAT("*",Table13[[#Headers],[Music]],"*")),1,0)</f>
        <v>0</v>
      </c>
      <c r="U496">
        <f>IF(COUNTIF($E496, _xlfn.CONCAT("*",Table13[[#Headers],[Mystery]],"*")),1,0)</f>
        <v>0</v>
      </c>
      <c r="V496">
        <f>IF(COUNTIF($E496, _xlfn.CONCAT("*",Table13[[#Headers],[Romance]],"*")),1,0)</f>
        <v>0</v>
      </c>
      <c r="W496">
        <f>IF(COUNTIF($E496, _xlfn.CONCAT("*",Table13[[#Headers],[Science Fiction]],"*")),1,0)</f>
        <v>0</v>
      </c>
      <c r="X496">
        <f>IF(COUNTIF($E496, _xlfn.CONCAT("*",Table13[[#Headers],[TV Movie]],"*")),1,0)</f>
        <v>0</v>
      </c>
      <c r="Y496">
        <f>IF(COUNTIF($E496, _xlfn.CONCAT("*",Table13[[#Headers],[Thriller]],"*")),1,0)</f>
        <v>0</v>
      </c>
      <c r="Z496">
        <f>IF(COUNTIF($E496, _xlfn.CONCAT("*",Table13[[#Headers],[War]],"*")),1,0)</f>
        <v>0</v>
      </c>
      <c r="AA496">
        <f>IF(COUNTIF($E496, _xlfn.CONCAT("*",Table13[[#Headers],[Western]],"*")),1,0)</f>
        <v>0</v>
      </c>
    </row>
    <row r="497" spans="1:27">
      <c r="A497" t="s">
        <v>646</v>
      </c>
      <c r="B497">
        <v>12</v>
      </c>
      <c r="C497">
        <f>MAX(Table13[Rank])-Table13[[#This Row],[Rank]]</f>
        <v>252</v>
      </c>
      <c r="D497" t="s">
        <v>674</v>
      </c>
      <c r="E497" t="s">
        <v>645</v>
      </c>
      <c r="F497" s="1">
        <v>40374</v>
      </c>
      <c r="G497">
        <f>YEAR(Table13[[#This Row],[Date]])</f>
        <v>2010</v>
      </c>
      <c r="H497" t="s">
        <v>646</v>
      </c>
      <c r="I497">
        <f>IF(COUNTIF($E497, _xlfn.CONCAT("*",Table13[[#Headers],[Action]],"*")),1,0)</f>
        <v>1</v>
      </c>
      <c r="J497">
        <f>IF(COUNTIF($E497, _xlfn.CONCAT("*",Table13[[#Headers],[Adventure]],"*")),1,0)</f>
        <v>1</v>
      </c>
      <c r="K497">
        <f>IF(COUNTIF($E497, _xlfn.CONCAT("*",Table13[[#Headers],[Animation]],"*")),1,0)</f>
        <v>0</v>
      </c>
      <c r="L497">
        <f>IF(COUNTIF($E497, _xlfn.CONCAT("*",Table13[[#Headers],[Comedy]],"*")),1,0)</f>
        <v>0</v>
      </c>
      <c r="M497">
        <f>IF(COUNTIF($E497, _xlfn.CONCAT("*",Table13[[#Headers],[Crime]],"*")),1,0)</f>
        <v>0</v>
      </c>
      <c r="N497">
        <f>IF(COUNTIF($E497, _xlfn.CONCAT("*",Table13[[#Headers],[Documentary]],"*")),1,0)</f>
        <v>0</v>
      </c>
      <c r="O497">
        <f>IF(COUNTIF($E497, _xlfn.CONCAT("*",Table13[[#Headers],[Drama]],"*")),1,0)</f>
        <v>0</v>
      </c>
      <c r="P497">
        <f>IF(COUNTIF($E497, _xlfn.CONCAT("*",Table13[[#Headers],[Family]],"*")),1,0)</f>
        <v>0</v>
      </c>
      <c r="Q497">
        <f>IF(COUNTIF($E497, _xlfn.CONCAT("*",Table13[[#Headers],[Fantasy]],"*")),1,0)</f>
        <v>0</v>
      </c>
      <c r="R497">
        <f>IF(COUNTIF($E497, _xlfn.CONCAT("*",Table13[[#Headers],[History]],"*")),1,0)</f>
        <v>0</v>
      </c>
      <c r="S497">
        <f>IF(COUNTIF($E497, _xlfn.CONCAT("*",Table13[[#Headers],[Horror]],"*")),1,0)</f>
        <v>0</v>
      </c>
      <c r="T497">
        <f>IF(COUNTIF($E497, _xlfn.CONCAT("*",Table13[[#Headers],[Music]],"*")),1,0)</f>
        <v>0</v>
      </c>
      <c r="U497">
        <f>IF(COUNTIF($E497, _xlfn.CONCAT("*",Table13[[#Headers],[Mystery]],"*")),1,0)</f>
        <v>0</v>
      </c>
      <c r="V497">
        <f>IF(COUNTIF($E497, _xlfn.CONCAT("*",Table13[[#Headers],[Romance]],"*")),1,0)</f>
        <v>0</v>
      </c>
      <c r="W497">
        <f>IF(COUNTIF($E497, _xlfn.CONCAT("*",Table13[[#Headers],[Science Fiction]],"*")),1,0)</f>
        <v>1</v>
      </c>
      <c r="X497">
        <f>IF(COUNTIF($E497, _xlfn.CONCAT("*",Table13[[#Headers],[TV Movie]],"*")),1,0)</f>
        <v>0</v>
      </c>
      <c r="Y497">
        <f>IF(COUNTIF($E497, _xlfn.CONCAT("*",Table13[[#Headers],[Thriller]],"*")),1,0)</f>
        <v>0</v>
      </c>
      <c r="Z497">
        <f>IF(COUNTIF($E497, _xlfn.CONCAT("*",Table13[[#Headers],[War]],"*")),1,0)</f>
        <v>0</v>
      </c>
      <c r="AA497">
        <f>IF(COUNTIF($E497, _xlfn.CONCAT("*",Table13[[#Headers],[Western]],"*")),1,0)</f>
        <v>0</v>
      </c>
    </row>
    <row r="498" spans="1:27">
      <c r="A498" t="s">
        <v>474</v>
      </c>
      <c r="B498">
        <v>13</v>
      </c>
      <c r="C498">
        <f>MAX(Table13[Rank])-Table13[[#This Row],[Rank]]</f>
        <v>251</v>
      </c>
      <c r="D498" t="s">
        <v>674</v>
      </c>
      <c r="E498" t="s">
        <v>367</v>
      </c>
      <c r="F498" s="1">
        <v>33283</v>
      </c>
      <c r="G498">
        <f>YEAR(Table13[[#This Row],[Date]])</f>
        <v>1991</v>
      </c>
      <c r="H498" t="s">
        <v>474</v>
      </c>
      <c r="I498">
        <f>IF(COUNTIF($E498, _xlfn.CONCAT("*",Table13[[#Headers],[Action]],"*")),1,0)</f>
        <v>0</v>
      </c>
      <c r="J498">
        <f>IF(COUNTIF($E498, _xlfn.CONCAT("*",Table13[[#Headers],[Adventure]],"*")),1,0)</f>
        <v>0</v>
      </c>
      <c r="K498">
        <f>IF(COUNTIF($E498, _xlfn.CONCAT("*",Table13[[#Headers],[Animation]],"*")),1,0)</f>
        <v>0</v>
      </c>
      <c r="L498">
        <f>IF(COUNTIF($E498, _xlfn.CONCAT("*",Table13[[#Headers],[Comedy]],"*")),1,0)</f>
        <v>0</v>
      </c>
      <c r="M498">
        <f>IF(COUNTIF($E498, _xlfn.CONCAT("*",Table13[[#Headers],[Crime]],"*")),1,0)</f>
        <v>1</v>
      </c>
      <c r="N498">
        <f>IF(COUNTIF($E498, _xlfn.CONCAT("*",Table13[[#Headers],[Documentary]],"*")),1,0)</f>
        <v>0</v>
      </c>
      <c r="O498">
        <f>IF(COUNTIF($E498, _xlfn.CONCAT("*",Table13[[#Headers],[Drama]],"*")),1,0)</f>
        <v>1</v>
      </c>
      <c r="P498">
        <f>IF(COUNTIF($E498, _xlfn.CONCAT("*",Table13[[#Headers],[Family]],"*")),1,0)</f>
        <v>0</v>
      </c>
      <c r="Q498">
        <f>IF(COUNTIF($E498, _xlfn.CONCAT("*",Table13[[#Headers],[Fantasy]],"*")),1,0)</f>
        <v>0</v>
      </c>
      <c r="R498">
        <f>IF(COUNTIF($E498, _xlfn.CONCAT("*",Table13[[#Headers],[History]],"*")),1,0)</f>
        <v>0</v>
      </c>
      <c r="S498">
        <f>IF(COUNTIF($E498, _xlfn.CONCAT("*",Table13[[#Headers],[Horror]],"*")),1,0)</f>
        <v>0</v>
      </c>
      <c r="T498">
        <f>IF(COUNTIF($E498, _xlfn.CONCAT("*",Table13[[#Headers],[Music]],"*")),1,0)</f>
        <v>0</v>
      </c>
      <c r="U498">
        <f>IF(COUNTIF($E498, _xlfn.CONCAT("*",Table13[[#Headers],[Mystery]],"*")),1,0)</f>
        <v>0</v>
      </c>
      <c r="V498">
        <f>IF(COUNTIF($E498, _xlfn.CONCAT("*",Table13[[#Headers],[Romance]],"*")),1,0)</f>
        <v>0</v>
      </c>
      <c r="W498">
        <f>IF(COUNTIF($E498, _xlfn.CONCAT("*",Table13[[#Headers],[Science Fiction]],"*")),1,0)</f>
        <v>0</v>
      </c>
      <c r="X498">
        <f>IF(COUNTIF($E498, _xlfn.CONCAT("*",Table13[[#Headers],[TV Movie]],"*")),1,0)</f>
        <v>0</v>
      </c>
      <c r="Y498">
        <f>IF(COUNTIF($E498, _xlfn.CONCAT("*",Table13[[#Headers],[Thriller]],"*")),1,0)</f>
        <v>1</v>
      </c>
      <c r="Z498">
        <f>IF(COUNTIF($E498, _xlfn.CONCAT("*",Table13[[#Headers],[War]],"*")),1,0)</f>
        <v>0</v>
      </c>
      <c r="AA498">
        <f>IF(COUNTIF($E498, _xlfn.CONCAT("*",Table13[[#Headers],[Western]],"*")),1,0)</f>
        <v>0</v>
      </c>
    </row>
    <row r="499" spans="1:27">
      <c r="A499" t="s">
        <v>677</v>
      </c>
      <c r="B499">
        <v>14</v>
      </c>
      <c r="C499">
        <f>MAX(Table13[Rank])-Table13[[#This Row],[Rank]]</f>
        <v>250</v>
      </c>
      <c r="D499" t="s">
        <v>674</v>
      </c>
      <c r="E499" t="s">
        <v>49</v>
      </c>
      <c r="F499" s="1">
        <v>29361</v>
      </c>
      <c r="G499">
        <f>YEAR(Table13[[#This Row],[Date]])</f>
        <v>1980</v>
      </c>
      <c r="H499" t="s">
        <v>478</v>
      </c>
      <c r="I499">
        <f>IF(COUNTIF($E499, _xlfn.CONCAT("*",Table13[[#Headers],[Action]],"*")),1,0)</f>
        <v>1</v>
      </c>
      <c r="J499">
        <f>IF(COUNTIF($E499, _xlfn.CONCAT("*",Table13[[#Headers],[Adventure]],"*")),1,0)</f>
        <v>1</v>
      </c>
      <c r="K499">
        <f>IF(COUNTIF($E499, _xlfn.CONCAT("*",Table13[[#Headers],[Animation]],"*")),1,0)</f>
        <v>0</v>
      </c>
      <c r="L499">
        <f>IF(COUNTIF($E499, _xlfn.CONCAT("*",Table13[[#Headers],[Comedy]],"*")),1,0)</f>
        <v>0</v>
      </c>
      <c r="M499">
        <f>IF(COUNTIF($E499, _xlfn.CONCAT("*",Table13[[#Headers],[Crime]],"*")),1,0)</f>
        <v>0</v>
      </c>
      <c r="N499">
        <f>IF(COUNTIF($E499, _xlfn.CONCAT("*",Table13[[#Headers],[Documentary]],"*")),1,0)</f>
        <v>0</v>
      </c>
      <c r="O499">
        <f>IF(COUNTIF($E499, _xlfn.CONCAT("*",Table13[[#Headers],[Drama]],"*")),1,0)</f>
        <v>0</v>
      </c>
      <c r="P499">
        <f>IF(COUNTIF($E499, _xlfn.CONCAT("*",Table13[[#Headers],[Family]],"*")),1,0)</f>
        <v>0</v>
      </c>
      <c r="Q499">
        <f>IF(COUNTIF($E499, _xlfn.CONCAT("*",Table13[[#Headers],[Fantasy]],"*")),1,0)</f>
        <v>0</v>
      </c>
      <c r="R499">
        <f>IF(COUNTIF($E499, _xlfn.CONCAT("*",Table13[[#Headers],[History]],"*")),1,0)</f>
        <v>0</v>
      </c>
      <c r="S499">
        <f>IF(COUNTIF($E499, _xlfn.CONCAT("*",Table13[[#Headers],[Horror]],"*")),1,0)</f>
        <v>0</v>
      </c>
      <c r="T499">
        <f>IF(COUNTIF($E499, _xlfn.CONCAT("*",Table13[[#Headers],[Music]],"*")),1,0)</f>
        <v>0</v>
      </c>
      <c r="U499">
        <f>IF(COUNTIF($E499, _xlfn.CONCAT("*",Table13[[#Headers],[Mystery]],"*")),1,0)</f>
        <v>0</v>
      </c>
      <c r="V499">
        <f>IF(COUNTIF($E499, _xlfn.CONCAT("*",Table13[[#Headers],[Romance]],"*")),1,0)</f>
        <v>0</v>
      </c>
      <c r="W499">
        <f>IF(COUNTIF($E499, _xlfn.CONCAT("*",Table13[[#Headers],[Science Fiction]],"*")),1,0)</f>
        <v>1</v>
      </c>
      <c r="X499">
        <f>IF(COUNTIF($E499, _xlfn.CONCAT("*",Table13[[#Headers],[TV Movie]],"*")),1,0)</f>
        <v>0</v>
      </c>
      <c r="Y499">
        <f>IF(COUNTIF($E499, _xlfn.CONCAT("*",Table13[[#Headers],[Thriller]],"*")),1,0)</f>
        <v>0</v>
      </c>
      <c r="Z499">
        <f>IF(COUNTIF($E499, _xlfn.CONCAT("*",Table13[[#Headers],[War]],"*")),1,0)</f>
        <v>0</v>
      </c>
      <c r="AA499">
        <f>IF(COUNTIF($E499, _xlfn.CONCAT("*",Table13[[#Headers],[Western]],"*")),1,0)</f>
        <v>0</v>
      </c>
    </row>
    <row r="500" spans="1:27">
      <c r="A500" t="s">
        <v>90</v>
      </c>
      <c r="B500">
        <v>15</v>
      </c>
      <c r="C500">
        <f>MAX(Table13[Rank])-Table13[[#This Row],[Rank]]</f>
        <v>249</v>
      </c>
      <c r="D500" t="s">
        <v>674</v>
      </c>
      <c r="E500" t="s">
        <v>91</v>
      </c>
      <c r="F500" s="1">
        <v>29749</v>
      </c>
      <c r="G500">
        <f>YEAR(Table13[[#This Row],[Date]])</f>
        <v>1981</v>
      </c>
      <c r="H500" t="s">
        <v>90</v>
      </c>
      <c r="I500">
        <f>IF(COUNTIF($E500, _xlfn.CONCAT("*",Table13[[#Headers],[Action]],"*")),1,0)</f>
        <v>1</v>
      </c>
      <c r="J500">
        <f>IF(COUNTIF($E500, _xlfn.CONCAT("*",Table13[[#Headers],[Adventure]],"*")),1,0)</f>
        <v>1</v>
      </c>
      <c r="K500">
        <f>IF(COUNTIF($E500, _xlfn.CONCAT("*",Table13[[#Headers],[Animation]],"*")),1,0)</f>
        <v>0</v>
      </c>
      <c r="L500">
        <f>IF(COUNTIF($E500, _xlfn.CONCAT("*",Table13[[#Headers],[Comedy]],"*")),1,0)</f>
        <v>0</v>
      </c>
      <c r="M500">
        <f>IF(COUNTIF($E500, _xlfn.CONCAT("*",Table13[[#Headers],[Crime]],"*")),1,0)</f>
        <v>0</v>
      </c>
      <c r="N500">
        <f>IF(COUNTIF($E500, _xlfn.CONCAT("*",Table13[[#Headers],[Documentary]],"*")),1,0)</f>
        <v>0</v>
      </c>
      <c r="O500">
        <f>IF(COUNTIF($E500, _xlfn.CONCAT("*",Table13[[#Headers],[Drama]],"*")),1,0)</f>
        <v>0</v>
      </c>
      <c r="P500">
        <f>IF(COUNTIF($E500, _xlfn.CONCAT("*",Table13[[#Headers],[Family]],"*")),1,0)</f>
        <v>0</v>
      </c>
      <c r="Q500">
        <f>IF(COUNTIF($E500, _xlfn.CONCAT("*",Table13[[#Headers],[Fantasy]],"*")),1,0)</f>
        <v>0</v>
      </c>
      <c r="R500">
        <f>IF(COUNTIF($E500, _xlfn.CONCAT("*",Table13[[#Headers],[History]],"*")),1,0)</f>
        <v>0</v>
      </c>
      <c r="S500">
        <f>IF(COUNTIF($E500, _xlfn.CONCAT("*",Table13[[#Headers],[Horror]],"*")),1,0)</f>
        <v>0</v>
      </c>
      <c r="T500">
        <f>IF(COUNTIF($E500, _xlfn.CONCAT("*",Table13[[#Headers],[Music]],"*")),1,0)</f>
        <v>0</v>
      </c>
      <c r="U500">
        <f>IF(COUNTIF($E500, _xlfn.CONCAT("*",Table13[[#Headers],[Mystery]],"*")),1,0)</f>
        <v>0</v>
      </c>
      <c r="V500">
        <f>IF(COUNTIF($E500, _xlfn.CONCAT("*",Table13[[#Headers],[Romance]],"*")),1,0)</f>
        <v>0</v>
      </c>
      <c r="W500">
        <f>IF(COUNTIF($E500, _xlfn.CONCAT("*",Table13[[#Headers],[Science Fiction]],"*")),1,0)</f>
        <v>0</v>
      </c>
      <c r="X500">
        <f>IF(COUNTIF($E500, _xlfn.CONCAT("*",Table13[[#Headers],[TV Movie]],"*")),1,0)</f>
        <v>0</v>
      </c>
      <c r="Y500">
        <f>IF(COUNTIF($E500, _xlfn.CONCAT("*",Table13[[#Headers],[Thriller]],"*")),1,0)</f>
        <v>0</v>
      </c>
      <c r="Z500">
        <f>IF(COUNTIF($E500, _xlfn.CONCAT("*",Table13[[#Headers],[War]],"*")),1,0)</f>
        <v>0</v>
      </c>
      <c r="AA500">
        <f>IF(COUNTIF($E500, _xlfn.CONCAT("*",Table13[[#Headers],[Western]],"*")),1,0)</f>
        <v>0</v>
      </c>
    </row>
    <row r="501" spans="1:27">
      <c r="A501" t="s">
        <v>678</v>
      </c>
      <c r="B501">
        <v>16</v>
      </c>
      <c r="C501">
        <f>MAX(Table13[Rank])-Table13[[#This Row],[Rank]]</f>
        <v>248</v>
      </c>
      <c r="D501" t="s">
        <v>674</v>
      </c>
      <c r="E501" t="s">
        <v>166</v>
      </c>
      <c r="F501" s="1">
        <v>27383</v>
      </c>
      <c r="G501">
        <f>YEAR(Table13[[#This Row],[Date]])</f>
        <v>1974</v>
      </c>
      <c r="H501" t="s">
        <v>257</v>
      </c>
      <c r="I501">
        <f>IF(COUNTIF($E501, _xlfn.CONCAT("*",Table13[[#Headers],[Action]],"*")),1,0)</f>
        <v>0</v>
      </c>
      <c r="J501">
        <f>IF(COUNTIF($E501, _xlfn.CONCAT("*",Table13[[#Headers],[Adventure]],"*")),1,0)</f>
        <v>0</v>
      </c>
      <c r="K501">
        <f>IF(COUNTIF($E501, _xlfn.CONCAT("*",Table13[[#Headers],[Animation]],"*")),1,0)</f>
        <v>0</v>
      </c>
      <c r="L501">
        <f>IF(COUNTIF($E501, _xlfn.CONCAT("*",Table13[[#Headers],[Comedy]],"*")),1,0)</f>
        <v>0</v>
      </c>
      <c r="M501">
        <f>IF(COUNTIF($E501, _xlfn.CONCAT("*",Table13[[#Headers],[Crime]],"*")),1,0)</f>
        <v>1</v>
      </c>
      <c r="N501">
        <f>IF(COUNTIF($E501, _xlfn.CONCAT("*",Table13[[#Headers],[Documentary]],"*")),1,0)</f>
        <v>0</v>
      </c>
      <c r="O501">
        <f>IF(COUNTIF($E501, _xlfn.CONCAT("*",Table13[[#Headers],[Drama]],"*")),1,0)</f>
        <v>1</v>
      </c>
      <c r="P501">
        <f>IF(COUNTIF($E501, _xlfn.CONCAT("*",Table13[[#Headers],[Family]],"*")),1,0)</f>
        <v>0</v>
      </c>
      <c r="Q501">
        <f>IF(COUNTIF($E501, _xlfn.CONCAT("*",Table13[[#Headers],[Fantasy]],"*")),1,0)</f>
        <v>0</v>
      </c>
      <c r="R501">
        <f>IF(COUNTIF($E501, _xlfn.CONCAT("*",Table13[[#Headers],[History]],"*")),1,0)</f>
        <v>0</v>
      </c>
      <c r="S501">
        <f>IF(COUNTIF($E501, _xlfn.CONCAT("*",Table13[[#Headers],[Horror]],"*")),1,0)</f>
        <v>0</v>
      </c>
      <c r="T501">
        <f>IF(COUNTIF($E501, _xlfn.CONCAT("*",Table13[[#Headers],[Music]],"*")),1,0)</f>
        <v>0</v>
      </c>
      <c r="U501">
        <f>IF(COUNTIF($E501, _xlfn.CONCAT("*",Table13[[#Headers],[Mystery]],"*")),1,0)</f>
        <v>0</v>
      </c>
      <c r="V501">
        <f>IF(COUNTIF($E501, _xlfn.CONCAT("*",Table13[[#Headers],[Romance]],"*")),1,0)</f>
        <v>0</v>
      </c>
      <c r="W501">
        <f>IF(COUNTIF($E501, _xlfn.CONCAT("*",Table13[[#Headers],[Science Fiction]],"*")),1,0)</f>
        <v>0</v>
      </c>
      <c r="X501">
        <f>IF(COUNTIF($E501, _xlfn.CONCAT("*",Table13[[#Headers],[TV Movie]],"*")),1,0)</f>
        <v>0</v>
      </c>
      <c r="Y501">
        <f>IF(COUNTIF($E501, _xlfn.CONCAT("*",Table13[[#Headers],[Thriller]],"*")),1,0)</f>
        <v>0</v>
      </c>
      <c r="Z501">
        <f>IF(COUNTIF($E501, _xlfn.CONCAT("*",Table13[[#Headers],[War]],"*")),1,0)</f>
        <v>0</v>
      </c>
      <c r="AA501">
        <f>IF(COUNTIF($E501, _xlfn.CONCAT("*",Table13[[#Headers],[Western]],"*")),1,0)</f>
        <v>0</v>
      </c>
    </row>
    <row r="502" spans="1:27">
      <c r="A502" t="s">
        <v>679</v>
      </c>
      <c r="B502">
        <v>17</v>
      </c>
      <c r="C502">
        <f>MAX(Table13[Rank])-Table13[[#This Row],[Rank]]</f>
        <v>247</v>
      </c>
      <c r="D502" t="s">
        <v>674</v>
      </c>
      <c r="E502" t="s">
        <v>618</v>
      </c>
      <c r="F502" s="1">
        <v>37608</v>
      </c>
      <c r="G502">
        <f>YEAR(Table13[[#This Row],[Date]])</f>
        <v>2002</v>
      </c>
      <c r="H502" t="s">
        <v>619</v>
      </c>
      <c r="I502">
        <f>IF(COUNTIF($E502, _xlfn.CONCAT("*",Table13[[#Headers],[Action]],"*")),1,0)</f>
        <v>1</v>
      </c>
      <c r="J502">
        <f>IF(COUNTIF($E502, _xlfn.CONCAT("*",Table13[[#Headers],[Adventure]],"*")),1,0)</f>
        <v>1</v>
      </c>
      <c r="K502">
        <f>IF(COUNTIF($E502, _xlfn.CONCAT("*",Table13[[#Headers],[Animation]],"*")),1,0)</f>
        <v>0</v>
      </c>
      <c r="L502">
        <f>IF(COUNTIF($E502, _xlfn.CONCAT("*",Table13[[#Headers],[Comedy]],"*")),1,0)</f>
        <v>0</v>
      </c>
      <c r="M502">
        <f>IF(COUNTIF($E502, _xlfn.CONCAT("*",Table13[[#Headers],[Crime]],"*")),1,0)</f>
        <v>0</v>
      </c>
      <c r="N502">
        <f>IF(COUNTIF($E502, _xlfn.CONCAT("*",Table13[[#Headers],[Documentary]],"*")),1,0)</f>
        <v>0</v>
      </c>
      <c r="O502">
        <f>IF(COUNTIF($E502, _xlfn.CONCAT("*",Table13[[#Headers],[Drama]],"*")),1,0)</f>
        <v>0</v>
      </c>
      <c r="P502">
        <f>IF(COUNTIF($E502, _xlfn.CONCAT("*",Table13[[#Headers],[Family]],"*")),1,0)</f>
        <v>0</v>
      </c>
      <c r="Q502">
        <f>IF(COUNTIF($E502, _xlfn.CONCAT("*",Table13[[#Headers],[Fantasy]],"*")),1,0)</f>
        <v>1</v>
      </c>
      <c r="R502">
        <f>IF(COUNTIF($E502, _xlfn.CONCAT("*",Table13[[#Headers],[History]],"*")),1,0)</f>
        <v>0</v>
      </c>
      <c r="S502">
        <f>IF(COUNTIF($E502, _xlfn.CONCAT("*",Table13[[#Headers],[Horror]],"*")),1,0)</f>
        <v>0</v>
      </c>
      <c r="T502">
        <f>IF(COUNTIF($E502, _xlfn.CONCAT("*",Table13[[#Headers],[Music]],"*")),1,0)</f>
        <v>0</v>
      </c>
      <c r="U502">
        <f>IF(COUNTIF($E502, _xlfn.CONCAT("*",Table13[[#Headers],[Mystery]],"*")),1,0)</f>
        <v>0</v>
      </c>
      <c r="V502">
        <f>IF(COUNTIF($E502, _xlfn.CONCAT("*",Table13[[#Headers],[Romance]],"*")),1,0)</f>
        <v>0</v>
      </c>
      <c r="W502">
        <f>IF(COUNTIF($E502, _xlfn.CONCAT("*",Table13[[#Headers],[Science Fiction]],"*")),1,0)</f>
        <v>0</v>
      </c>
      <c r="X502">
        <f>IF(COUNTIF($E502, _xlfn.CONCAT("*",Table13[[#Headers],[TV Movie]],"*")),1,0)</f>
        <v>0</v>
      </c>
      <c r="Y502">
        <f>IF(COUNTIF($E502, _xlfn.CONCAT("*",Table13[[#Headers],[Thriller]],"*")),1,0)</f>
        <v>0</v>
      </c>
      <c r="Z502">
        <f>IF(COUNTIF($E502, _xlfn.CONCAT("*",Table13[[#Headers],[War]],"*")),1,0)</f>
        <v>0</v>
      </c>
      <c r="AA502">
        <f>IF(COUNTIF($E502, _xlfn.CONCAT("*",Table13[[#Headers],[Western]],"*")),1,0)</f>
        <v>0</v>
      </c>
    </row>
    <row r="503" spans="1:27">
      <c r="A503" t="s">
        <v>486</v>
      </c>
      <c r="B503">
        <v>18</v>
      </c>
      <c r="C503">
        <f>MAX(Table13[Rank])-Table13[[#This Row],[Rank]]</f>
        <v>246</v>
      </c>
      <c r="D503" t="s">
        <v>674</v>
      </c>
      <c r="E503" t="s">
        <v>186</v>
      </c>
      <c r="F503" s="1">
        <v>36000</v>
      </c>
      <c r="G503">
        <f>YEAR(Table13[[#This Row],[Date]])</f>
        <v>1998</v>
      </c>
      <c r="H503" t="s">
        <v>486</v>
      </c>
      <c r="I503">
        <f>IF(COUNTIF($E503, _xlfn.CONCAT("*",Table13[[#Headers],[Action]],"*")),1,0)</f>
        <v>0</v>
      </c>
      <c r="J503">
        <f>IF(COUNTIF($E503, _xlfn.CONCAT("*",Table13[[#Headers],[Adventure]],"*")),1,0)</f>
        <v>0</v>
      </c>
      <c r="K503">
        <f>IF(COUNTIF($E503, _xlfn.CONCAT("*",Table13[[#Headers],[Animation]],"*")),1,0)</f>
        <v>0</v>
      </c>
      <c r="L503">
        <f>IF(COUNTIF($E503, _xlfn.CONCAT("*",Table13[[#Headers],[Comedy]],"*")),1,0)</f>
        <v>0</v>
      </c>
      <c r="M503">
        <f>IF(COUNTIF($E503, _xlfn.CONCAT("*",Table13[[#Headers],[Crime]],"*")),1,0)</f>
        <v>0</v>
      </c>
      <c r="N503">
        <f>IF(COUNTIF($E503, _xlfn.CONCAT("*",Table13[[#Headers],[Documentary]],"*")),1,0)</f>
        <v>0</v>
      </c>
      <c r="O503">
        <f>IF(COUNTIF($E503, _xlfn.CONCAT("*",Table13[[#Headers],[Drama]],"*")),1,0)</f>
        <v>1</v>
      </c>
      <c r="P503">
        <f>IF(COUNTIF($E503, _xlfn.CONCAT("*",Table13[[#Headers],[Family]],"*")),1,0)</f>
        <v>0</v>
      </c>
      <c r="Q503">
        <f>IF(COUNTIF($E503, _xlfn.CONCAT("*",Table13[[#Headers],[Fantasy]],"*")),1,0)</f>
        <v>0</v>
      </c>
      <c r="R503">
        <f>IF(COUNTIF($E503, _xlfn.CONCAT("*",Table13[[#Headers],[History]],"*")),1,0)</f>
        <v>1</v>
      </c>
      <c r="S503">
        <f>IF(COUNTIF($E503, _xlfn.CONCAT("*",Table13[[#Headers],[Horror]],"*")),1,0)</f>
        <v>0</v>
      </c>
      <c r="T503">
        <f>IF(COUNTIF($E503, _xlfn.CONCAT("*",Table13[[#Headers],[Music]],"*")),1,0)</f>
        <v>0</v>
      </c>
      <c r="U503">
        <f>IF(COUNTIF($E503, _xlfn.CONCAT("*",Table13[[#Headers],[Mystery]],"*")),1,0)</f>
        <v>0</v>
      </c>
      <c r="V503">
        <f>IF(COUNTIF($E503, _xlfn.CONCAT("*",Table13[[#Headers],[Romance]],"*")),1,0)</f>
        <v>0</v>
      </c>
      <c r="W503">
        <f>IF(COUNTIF($E503, _xlfn.CONCAT("*",Table13[[#Headers],[Science Fiction]],"*")),1,0)</f>
        <v>0</v>
      </c>
      <c r="X503">
        <f>IF(COUNTIF($E503, _xlfn.CONCAT("*",Table13[[#Headers],[TV Movie]],"*")),1,0)</f>
        <v>0</v>
      </c>
      <c r="Y503">
        <f>IF(COUNTIF($E503, _xlfn.CONCAT("*",Table13[[#Headers],[Thriller]],"*")),1,0)</f>
        <v>0</v>
      </c>
      <c r="Z503">
        <f>IF(COUNTIF($E503, _xlfn.CONCAT("*",Table13[[#Headers],[War]],"*")),1,0)</f>
        <v>1</v>
      </c>
      <c r="AA503">
        <f>IF(COUNTIF($E503, _xlfn.CONCAT("*",Table13[[#Headers],[Western]],"*")),1,0)</f>
        <v>0</v>
      </c>
    </row>
    <row r="504" spans="1:27">
      <c r="A504" t="s">
        <v>657</v>
      </c>
      <c r="B504">
        <v>19</v>
      </c>
      <c r="C504">
        <f>MAX(Table13[Rank])-Table13[[#This Row],[Rank]]</f>
        <v>245</v>
      </c>
      <c r="D504" t="s">
        <v>674</v>
      </c>
      <c r="E504" t="s">
        <v>656</v>
      </c>
      <c r="F504" s="1">
        <v>31231</v>
      </c>
      <c r="G504">
        <f>YEAR(Table13[[#This Row],[Date]])</f>
        <v>1985</v>
      </c>
      <c r="H504" t="s">
        <v>657</v>
      </c>
      <c r="I504">
        <f>IF(COUNTIF($E504, _xlfn.CONCAT("*",Table13[[#Headers],[Action]],"*")),1,0)</f>
        <v>0</v>
      </c>
      <c r="J504">
        <f>IF(COUNTIF($E504, _xlfn.CONCAT("*",Table13[[#Headers],[Adventure]],"*")),1,0)</f>
        <v>1</v>
      </c>
      <c r="K504">
        <f>IF(COUNTIF($E504, _xlfn.CONCAT("*",Table13[[#Headers],[Animation]],"*")),1,0)</f>
        <v>0</v>
      </c>
      <c r="L504">
        <f>IF(COUNTIF($E504, _xlfn.CONCAT("*",Table13[[#Headers],[Comedy]],"*")),1,0)</f>
        <v>1</v>
      </c>
      <c r="M504">
        <f>IF(COUNTIF($E504, _xlfn.CONCAT("*",Table13[[#Headers],[Crime]],"*")),1,0)</f>
        <v>0</v>
      </c>
      <c r="N504">
        <f>IF(COUNTIF($E504, _xlfn.CONCAT("*",Table13[[#Headers],[Documentary]],"*")),1,0)</f>
        <v>0</v>
      </c>
      <c r="O504">
        <f>IF(COUNTIF($E504, _xlfn.CONCAT("*",Table13[[#Headers],[Drama]],"*")),1,0)</f>
        <v>0</v>
      </c>
      <c r="P504">
        <f>IF(COUNTIF($E504, _xlfn.CONCAT("*",Table13[[#Headers],[Family]],"*")),1,0)</f>
        <v>0</v>
      </c>
      <c r="Q504">
        <f>IF(COUNTIF($E504, _xlfn.CONCAT("*",Table13[[#Headers],[Fantasy]],"*")),1,0)</f>
        <v>0</v>
      </c>
      <c r="R504">
        <f>IF(COUNTIF($E504, _xlfn.CONCAT("*",Table13[[#Headers],[History]],"*")),1,0)</f>
        <v>0</v>
      </c>
      <c r="S504">
        <f>IF(COUNTIF($E504, _xlfn.CONCAT("*",Table13[[#Headers],[Horror]],"*")),1,0)</f>
        <v>0</v>
      </c>
      <c r="T504">
        <f>IF(COUNTIF($E504, _xlfn.CONCAT("*",Table13[[#Headers],[Music]],"*")),1,0)</f>
        <v>0</v>
      </c>
      <c r="U504">
        <f>IF(COUNTIF($E504, _xlfn.CONCAT("*",Table13[[#Headers],[Mystery]],"*")),1,0)</f>
        <v>0</v>
      </c>
      <c r="V504">
        <f>IF(COUNTIF($E504, _xlfn.CONCAT("*",Table13[[#Headers],[Romance]],"*")),1,0)</f>
        <v>0</v>
      </c>
      <c r="W504">
        <f>IF(COUNTIF($E504, _xlfn.CONCAT("*",Table13[[#Headers],[Science Fiction]],"*")),1,0)</f>
        <v>1</v>
      </c>
      <c r="X504">
        <f>IF(COUNTIF($E504, _xlfn.CONCAT("*",Table13[[#Headers],[TV Movie]],"*")),1,0)</f>
        <v>0</v>
      </c>
      <c r="Y504">
        <f>IF(COUNTIF($E504, _xlfn.CONCAT("*",Table13[[#Headers],[Thriller]],"*")),1,0)</f>
        <v>0</v>
      </c>
      <c r="Z504">
        <f>IF(COUNTIF($E504, _xlfn.CONCAT("*",Table13[[#Headers],[War]],"*")),1,0)</f>
        <v>0</v>
      </c>
      <c r="AA504">
        <f>IF(COUNTIF($E504, _xlfn.CONCAT("*",Table13[[#Headers],[Western]],"*")),1,0)</f>
        <v>0</v>
      </c>
    </row>
    <row r="505" spans="1:27">
      <c r="A505" t="s">
        <v>563</v>
      </c>
      <c r="B505">
        <v>20</v>
      </c>
      <c r="C505">
        <f>MAX(Table13[Rank])-Table13[[#This Row],[Rank]]</f>
        <v>244</v>
      </c>
      <c r="D505" t="s">
        <v>674</v>
      </c>
      <c r="E505" t="s">
        <v>21</v>
      </c>
      <c r="F505" s="1">
        <v>27717</v>
      </c>
      <c r="G505">
        <f>YEAR(Table13[[#This Row],[Date]])</f>
        <v>1975</v>
      </c>
      <c r="H505" t="s">
        <v>563</v>
      </c>
      <c r="I505">
        <f>IF(COUNTIF($E505, _xlfn.CONCAT("*",Table13[[#Headers],[Action]],"*")),1,0)</f>
        <v>0</v>
      </c>
      <c r="J505">
        <f>IF(COUNTIF($E505, _xlfn.CONCAT("*",Table13[[#Headers],[Adventure]],"*")),1,0)</f>
        <v>0</v>
      </c>
      <c r="K505">
        <f>IF(COUNTIF($E505, _xlfn.CONCAT("*",Table13[[#Headers],[Animation]],"*")),1,0)</f>
        <v>0</v>
      </c>
      <c r="L505">
        <f>IF(COUNTIF($E505, _xlfn.CONCAT("*",Table13[[#Headers],[Comedy]],"*")),1,0)</f>
        <v>0</v>
      </c>
      <c r="M505">
        <f>IF(COUNTIF($E505, _xlfn.CONCAT("*",Table13[[#Headers],[Crime]],"*")),1,0)</f>
        <v>0</v>
      </c>
      <c r="N505">
        <f>IF(COUNTIF($E505, _xlfn.CONCAT("*",Table13[[#Headers],[Documentary]],"*")),1,0)</f>
        <v>0</v>
      </c>
      <c r="O505">
        <f>IF(COUNTIF($E505, _xlfn.CONCAT("*",Table13[[#Headers],[Drama]],"*")),1,0)</f>
        <v>1</v>
      </c>
      <c r="P505">
        <f>IF(COUNTIF($E505, _xlfn.CONCAT("*",Table13[[#Headers],[Family]],"*")),1,0)</f>
        <v>0</v>
      </c>
      <c r="Q505">
        <f>IF(COUNTIF($E505, _xlfn.CONCAT("*",Table13[[#Headers],[Fantasy]],"*")),1,0)</f>
        <v>0</v>
      </c>
      <c r="R505">
        <f>IF(COUNTIF($E505, _xlfn.CONCAT("*",Table13[[#Headers],[History]],"*")),1,0)</f>
        <v>0</v>
      </c>
      <c r="S505">
        <f>IF(COUNTIF($E505, _xlfn.CONCAT("*",Table13[[#Headers],[Horror]],"*")),1,0)</f>
        <v>0</v>
      </c>
      <c r="T505">
        <f>IF(COUNTIF($E505, _xlfn.CONCAT("*",Table13[[#Headers],[Music]],"*")),1,0)</f>
        <v>0</v>
      </c>
      <c r="U505">
        <f>IF(COUNTIF($E505, _xlfn.CONCAT("*",Table13[[#Headers],[Mystery]],"*")),1,0)</f>
        <v>0</v>
      </c>
      <c r="V505">
        <f>IF(COUNTIF($E505, _xlfn.CONCAT("*",Table13[[#Headers],[Romance]],"*")),1,0)</f>
        <v>0</v>
      </c>
      <c r="W505">
        <f>IF(COUNTIF($E505, _xlfn.CONCAT("*",Table13[[#Headers],[Science Fiction]],"*")),1,0)</f>
        <v>0</v>
      </c>
      <c r="X505">
        <f>IF(COUNTIF($E505, _xlfn.CONCAT("*",Table13[[#Headers],[TV Movie]],"*")),1,0)</f>
        <v>0</v>
      </c>
      <c r="Y505">
        <f>IF(COUNTIF($E505, _xlfn.CONCAT("*",Table13[[#Headers],[Thriller]],"*")),1,0)</f>
        <v>0</v>
      </c>
      <c r="Z505">
        <f>IF(COUNTIF($E505, _xlfn.CONCAT("*",Table13[[#Headers],[War]],"*")),1,0)</f>
        <v>0</v>
      </c>
      <c r="AA505">
        <f>IF(COUNTIF($E505, _xlfn.CONCAT("*",Table13[[#Headers],[Western]],"*")),1,0)</f>
        <v>0</v>
      </c>
    </row>
    <row r="506" spans="1:27">
      <c r="A506" t="s">
        <v>680</v>
      </c>
      <c r="B506">
        <v>21</v>
      </c>
      <c r="C506">
        <f>MAX(Table13[Rank])-Table13[[#This Row],[Rank]]</f>
        <v>243</v>
      </c>
      <c r="D506" t="s">
        <v>674</v>
      </c>
      <c r="E506" t="s">
        <v>49</v>
      </c>
      <c r="F506" s="1">
        <v>28270</v>
      </c>
      <c r="G506">
        <f>YEAR(Table13[[#This Row],[Date]])</f>
        <v>1977</v>
      </c>
      <c r="H506" t="s">
        <v>48</v>
      </c>
      <c r="I506">
        <f>IF(COUNTIF($E506, _xlfn.CONCAT("*",Table13[[#Headers],[Action]],"*")),1,0)</f>
        <v>1</v>
      </c>
      <c r="J506">
        <f>IF(COUNTIF($E506, _xlfn.CONCAT("*",Table13[[#Headers],[Adventure]],"*")),1,0)</f>
        <v>1</v>
      </c>
      <c r="K506">
        <f>IF(COUNTIF($E506, _xlfn.CONCAT("*",Table13[[#Headers],[Animation]],"*")),1,0)</f>
        <v>0</v>
      </c>
      <c r="L506">
        <f>IF(COUNTIF($E506, _xlfn.CONCAT("*",Table13[[#Headers],[Comedy]],"*")),1,0)</f>
        <v>0</v>
      </c>
      <c r="M506">
        <f>IF(COUNTIF($E506, _xlfn.CONCAT("*",Table13[[#Headers],[Crime]],"*")),1,0)</f>
        <v>0</v>
      </c>
      <c r="N506">
        <f>IF(COUNTIF($E506, _xlfn.CONCAT("*",Table13[[#Headers],[Documentary]],"*")),1,0)</f>
        <v>0</v>
      </c>
      <c r="O506">
        <f>IF(COUNTIF($E506, _xlfn.CONCAT("*",Table13[[#Headers],[Drama]],"*")),1,0)</f>
        <v>0</v>
      </c>
      <c r="P506">
        <f>IF(COUNTIF($E506, _xlfn.CONCAT("*",Table13[[#Headers],[Family]],"*")),1,0)</f>
        <v>0</v>
      </c>
      <c r="Q506">
        <f>IF(COUNTIF($E506, _xlfn.CONCAT("*",Table13[[#Headers],[Fantasy]],"*")),1,0)</f>
        <v>0</v>
      </c>
      <c r="R506">
        <f>IF(COUNTIF($E506, _xlfn.CONCAT("*",Table13[[#Headers],[History]],"*")),1,0)</f>
        <v>0</v>
      </c>
      <c r="S506">
        <f>IF(COUNTIF($E506, _xlfn.CONCAT("*",Table13[[#Headers],[Horror]],"*")),1,0)</f>
        <v>0</v>
      </c>
      <c r="T506">
        <f>IF(COUNTIF($E506, _xlfn.CONCAT("*",Table13[[#Headers],[Music]],"*")),1,0)</f>
        <v>0</v>
      </c>
      <c r="U506">
        <f>IF(COUNTIF($E506, _xlfn.CONCAT("*",Table13[[#Headers],[Mystery]],"*")),1,0)</f>
        <v>0</v>
      </c>
      <c r="V506">
        <f>IF(COUNTIF($E506, _xlfn.CONCAT("*",Table13[[#Headers],[Romance]],"*")),1,0)</f>
        <v>0</v>
      </c>
      <c r="W506">
        <f>IF(COUNTIF($E506, _xlfn.CONCAT("*",Table13[[#Headers],[Science Fiction]],"*")),1,0)</f>
        <v>1</v>
      </c>
      <c r="X506">
        <f>IF(COUNTIF($E506, _xlfn.CONCAT("*",Table13[[#Headers],[TV Movie]],"*")),1,0)</f>
        <v>0</v>
      </c>
      <c r="Y506">
        <f>IF(COUNTIF($E506, _xlfn.CONCAT("*",Table13[[#Headers],[Thriller]],"*")),1,0)</f>
        <v>0</v>
      </c>
      <c r="Z506">
        <f>IF(COUNTIF($E506, _xlfn.CONCAT("*",Table13[[#Headers],[War]],"*")),1,0)</f>
        <v>0</v>
      </c>
      <c r="AA506">
        <f>IF(COUNTIF($E506, _xlfn.CONCAT("*",Table13[[#Headers],[Western]],"*")),1,0)</f>
        <v>0</v>
      </c>
    </row>
    <row r="507" spans="1:27">
      <c r="A507" t="s">
        <v>613</v>
      </c>
      <c r="B507">
        <v>22</v>
      </c>
      <c r="C507">
        <f>MAX(Table13[Rank])-Table13[[#This Row],[Rank]]</f>
        <v>242</v>
      </c>
      <c r="D507" t="s">
        <v>674</v>
      </c>
      <c r="E507" t="s">
        <v>533</v>
      </c>
      <c r="F507" s="1">
        <v>34964</v>
      </c>
      <c r="G507">
        <f>YEAR(Table13[[#This Row],[Date]])</f>
        <v>1995</v>
      </c>
      <c r="H507" t="s">
        <v>613</v>
      </c>
      <c r="I507">
        <f>IF(COUNTIF($E507, _xlfn.CONCAT("*",Table13[[#Headers],[Action]],"*")),1,0)</f>
        <v>0</v>
      </c>
      <c r="J507">
        <f>IF(COUNTIF($E507, _xlfn.CONCAT("*",Table13[[#Headers],[Adventure]],"*")),1,0)</f>
        <v>0</v>
      </c>
      <c r="K507">
        <f>IF(COUNTIF($E507, _xlfn.CONCAT("*",Table13[[#Headers],[Animation]],"*")),1,0)</f>
        <v>0</v>
      </c>
      <c r="L507">
        <f>IF(COUNTIF($E507, _xlfn.CONCAT("*",Table13[[#Headers],[Comedy]],"*")),1,0)</f>
        <v>0</v>
      </c>
      <c r="M507">
        <f>IF(COUNTIF($E507, _xlfn.CONCAT("*",Table13[[#Headers],[Crime]],"*")),1,0)</f>
        <v>1</v>
      </c>
      <c r="N507">
        <f>IF(COUNTIF($E507, _xlfn.CONCAT("*",Table13[[#Headers],[Documentary]],"*")),1,0)</f>
        <v>0</v>
      </c>
      <c r="O507">
        <f>IF(COUNTIF($E507, _xlfn.CONCAT("*",Table13[[#Headers],[Drama]],"*")),1,0)</f>
        <v>0</v>
      </c>
      <c r="P507">
        <f>IF(COUNTIF($E507, _xlfn.CONCAT("*",Table13[[#Headers],[Family]],"*")),1,0)</f>
        <v>0</v>
      </c>
      <c r="Q507">
        <f>IF(COUNTIF($E507, _xlfn.CONCAT("*",Table13[[#Headers],[Fantasy]],"*")),1,0)</f>
        <v>0</v>
      </c>
      <c r="R507">
        <f>IF(COUNTIF($E507, _xlfn.CONCAT("*",Table13[[#Headers],[History]],"*")),1,0)</f>
        <v>0</v>
      </c>
      <c r="S507">
        <f>IF(COUNTIF($E507, _xlfn.CONCAT("*",Table13[[#Headers],[Horror]],"*")),1,0)</f>
        <v>0</v>
      </c>
      <c r="T507">
        <f>IF(COUNTIF($E507, _xlfn.CONCAT("*",Table13[[#Headers],[Music]],"*")),1,0)</f>
        <v>0</v>
      </c>
      <c r="U507">
        <f>IF(COUNTIF($E507, _xlfn.CONCAT("*",Table13[[#Headers],[Mystery]],"*")),1,0)</f>
        <v>1</v>
      </c>
      <c r="V507">
        <f>IF(COUNTIF($E507, _xlfn.CONCAT("*",Table13[[#Headers],[Romance]],"*")),1,0)</f>
        <v>0</v>
      </c>
      <c r="W507">
        <f>IF(COUNTIF($E507, _xlfn.CONCAT("*",Table13[[#Headers],[Science Fiction]],"*")),1,0)</f>
        <v>0</v>
      </c>
      <c r="X507">
        <f>IF(COUNTIF($E507, _xlfn.CONCAT("*",Table13[[#Headers],[TV Movie]],"*")),1,0)</f>
        <v>0</v>
      </c>
      <c r="Y507">
        <f>IF(COUNTIF($E507, _xlfn.CONCAT("*",Table13[[#Headers],[Thriller]],"*")),1,0)</f>
        <v>1</v>
      </c>
      <c r="Z507">
        <f>IF(COUNTIF($E507, _xlfn.CONCAT("*",Table13[[#Headers],[War]],"*")),1,0)</f>
        <v>0</v>
      </c>
      <c r="AA507">
        <f>IF(COUNTIF($E507, _xlfn.CONCAT("*",Table13[[#Headers],[Western]],"*")),1,0)</f>
        <v>0</v>
      </c>
    </row>
    <row r="508" spans="1:27">
      <c r="A508" t="s">
        <v>681</v>
      </c>
      <c r="B508">
        <v>23</v>
      </c>
      <c r="C508">
        <f>MAX(Table13[Rank])-Table13[[#This Row],[Rank]]</f>
        <v>241</v>
      </c>
      <c r="D508" t="s">
        <v>674</v>
      </c>
      <c r="E508" t="s">
        <v>682</v>
      </c>
      <c r="F508" s="1">
        <v>36650</v>
      </c>
      <c r="G508">
        <f>YEAR(Table13[[#This Row],[Date]])</f>
        <v>2000</v>
      </c>
      <c r="H508" t="s">
        <v>681</v>
      </c>
      <c r="I508">
        <f>IF(COUNTIF($E508, _xlfn.CONCAT("*",Table13[[#Headers],[Action]],"*")),1,0)</f>
        <v>1</v>
      </c>
      <c r="J508">
        <f>IF(COUNTIF($E508, _xlfn.CONCAT("*",Table13[[#Headers],[Adventure]],"*")),1,0)</f>
        <v>1</v>
      </c>
      <c r="K508">
        <f>IF(COUNTIF($E508, _xlfn.CONCAT("*",Table13[[#Headers],[Animation]],"*")),1,0)</f>
        <v>0</v>
      </c>
      <c r="L508">
        <f>IF(COUNTIF($E508, _xlfn.CONCAT("*",Table13[[#Headers],[Comedy]],"*")),1,0)</f>
        <v>0</v>
      </c>
      <c r="M508">
        <f>IF(COUNTIF($E508, _xlfn.CONCAT("*",Table13[[#Headers],[Crime]],"*")),1,0)</f>
        <v>0</v>
      </c>
      <c r="N508">
        <f>IF(COUNTIF($E508, _xlfn.CONCAT("*",Table13[[#Headers],[Documentary]],"*")),1,0)</f>
        <v>0</v>
      </c>
      <c r="O508">
        <f>IF(COUNTIF($E508, _xlfn.CONCAT("*",Table13[[#Headers],[Drama]],"*")),1,0)</f>
        <v>1</v>
      </c>
      <c r="P508">
        <f>IF(COUNTIF($E508, _xlfn.CONCAT("*",Table13[[#Headers],[Family]],"*")),1,0)</f>
        <v>0</v>
      </c>
      <c r="Q508">
        <f>IF(COUNTIF($E508, _xlfn.CONCAT("*",Table13[[#Headers],[Fantasy]],"*")),1,0)</f>
        <v>0</v>
      </c>
      <c r="R508">
        <f>IF(COUNTIF($E508, _xlfn.CONCAT("*",Table13[[#Headers],[History]],"*")),1,0)</f>
        <v>0</v>
      </c>
      <c r="S508">
        <f>IF(COUNTIF($E508, _xlfn.CONCAT("*",Table13[[#Headers],[Horror]],"*")),1,0)</f>
        <v>0</v>
      </c>
      <c r="T508">
        <f>IF(COUNTIF($E508, _xlfn.CONCAT("*",Table13[[#Headers],[Music]],"*")),1,0)</f>
        <v>0</v>
      </c>
      <c r="U508">
        <f>IF(COUNTIF($E508, _xlfn.CONCAT("*",Table13[[#Headers],[Mystery]],"*")),1,0)</f>
        <v>0</v>
      </c>
      <c r="V508">
        <f>IF(COUNTIF($E508, _xlfn.CONCAT("*",Table13[[#Headers],[Romance]],"*")),1,0)</f>
        <v>0</v>
      </c>
      <c r="W508">
        <f>IF(COUNTIF($E508, _xlfn.CONCAT("*",Table13[[#Headers],[Science Fiction]],"*")),1,0)</f>
        <v>0</v>
      </c>
      <c r="X508">
        <f>IF(COUNTIF($E508, _xlfn.CONCAT("*",Table13[[#Headers],[TV Movie]],"*")),1,0)</f>
        <v>0</v>
      </c>
      <c r="Y508">
        <f>IF(COUNTIF($E508, _xlfn.CONCAT("*",Table13[[#Headers],[Thriller]],"*")),1,0)</f>
        <v>0</v>
      </c>
      <c r="Z508">
        <f>IF(COUNTIF($E508, _xlfn.CONCAT("*",Table13[[#Headers],[War]],"*")),1,0)</f>
        <v>0</v>
      </c>
      <c r="AA508">
        <f>IF(COUNTIF($E508, _xlfn.CONCAT("*",Table13[[#Headers],[Western]],"*")),1,0)</f>
        <v>0</v>
      </c>
    </row>
    <row r="509" spans="1:27">
      <c r="A509" t="s">
        <v>683</v>
      </c>
      <c r="B509">
        <v>24</v>
      </c>
      <c r="C509">
        <f>MAX(Table13[Rank])-Table13[[#This Row],[Rank]]</f>
        <v>240</v>
      </c>
      <c r="D509" t="s">
        <v>674</v>
      </c>
      <c r="E509" t="s">
        <v>684</v>
      </c>
      <c r="F509" s="1">
        <v>34843</v>
      </c>
      <c r="G509">
        <f>YEAR(Table13[[#This Row],[Date]])</f>
        <v>1995</v>
      </c>
      <c r="H509" t="s">
        <v>683</v>
      </c>
      <c r="I509">
        <f>IF(COUNTIF($E509, _xlfn.CONCAT("*",Table13[[#Headers],[Action]],"*")),1,0)</f>
        <v>1</v>
      </c>
      <c r="J509">
        <f>IF(COUNTIF($E509, _xlfn.CONCAT("*",Table13[[#Headers],[Adventure]],"*")),1,0)</f>
        <v>0</v>
      </c>
      <c r="K509">
        <f>IF(COUNTIF($E509, _xlfn.CONCAT("*",Table13[[#Headers],[Animation]],"*")),1,0)</f>
        <v>0</v>
      </c>
      <c r="L509">
        <f>IF(COUNTIF($E509, _xlfn.CONCAT("*",Table13[[#Headers],[Comedy]],"*")),1,0)</f>
        <v>0</v>
      </c>
      <c r="M509">
        <f>IF(COUNTIF($E509, _xlfn.CONCAT("*",Table13[[#Headers],[Crime]],"*")),1,0)</f>
        <v>0</v>
      </c>
      <c r="N509">
        <f>IF(COUNTIF($E509, _xlfn.CONCAT("*",Table13[[#Headers],[Documentary]],"*")),1,0)</f>
        <v>0</v>
      </c>
      <c r="O509">
        <f>IF(COUNTIF($E509, _xlfn.CONCAT("*",Table13[[#Headers],[Drama]],"*")),1,0)</f>
        <v>1</v>
      </c>
      <c r="P509">
        <f>IF(COUNTIF($E509, _xlfn.CONCAT("*",Table13[[#Headers],[Family]],"*")),1,0)</f>
        <v>0</v>
      </c>
      <c r="Q509">
        <f>IF(COUNTIF($E509, _xlfn.CONCAT("*",Table13[[#Headers],[Fantasy]],"*")),1,0)</f>
        <v>0</v>
      </c>
      <c r="R509">
        <f>IF(COUNTIF($E509, _xlfn.CONCAT("*",Table13[[#Headers],[History]],"*")),1,0)</f>
        <v>1</v>
      </c>
      <c r="S509">
        <f>IF(COUNTIF($E509, _xlfn.CONCAT("*",Table13[[#Headers],[Horror]],"*")),1,0)</f>
        <v>0</v>
      </c>
      <c r="T509">
        <f>IF(COUNTIF($E509, _xlfn.CONCAT("*",Table13[[#Headers],[Music]],"*")),1,0)</f>
        <v>0</v>
      </c>
      <c r="U509">
        <f>IF(COUNTIF($E509, _xlfn.CONCAT("*",Table13[[#Headers],[Mystery]],"*")),1,0)</f>
        <v>0</v>
      </c>
      <c r="V509">
        <f>IF(COUNTIF($E509, _xlfn.CONCAT("*",Table13[[#Headers],[Romance]],"*")),1,0)</f>
        <v>0</v>
      </c>
      <c r="W509">
        <f>IF(COUNTIF($E509, _xlfn.CONCAT("*",Table13[[#Headers],[Science Fiction]],"*")),1,0)</f>
        <v>0</v>
      </c>
      <c r="X509">
        <f>IF(COUNTIF($E509, _xlfn.CONCAT("*",Table13[[#Headers],[TV Movie]],"*")),1,0)</f>
        <v>0</v>
      </c>
      <c r="Y509">
        <f>IF(COUNTIF($E509, _xlfn.CONCAT("*",Table13[[#Headers],[Thriller]],"*")),1,0)</f>
        <v>0</v>
      </c>
      <c r="Z509">
        <f>IF(COUNTIF($E509, _xlfn.CONCAT("*",Table13[[#Headers],[War]],"*")),1,0)</f>
        <v>1</v>
      </c>
      <c r="AA509">
        <f>IF(COUNTIF($E509, _xlfn.CONCAT("*",Table13[[#Headers],[Western]],"*")),1,0)</f>
        <v>0</v>
      </c>
    </row>
    <row r="510" spans="1:27">
      <c r="A510" t="s">
        <v>685</v>
      </c>
      <c r="B510">
        <v>25</v>
      </c>
      <c r="C510">
        <f>MAX(Table13[Rank])-Table13[[#This Row],[Rank]]</f>
        <v>239</v>
      </c>
      <c r="D510" t="s">
        <v>674</v>
      </c>
      <c r="E510" t="s">
        <v>631</v>
      </c>
      <c r="F510" s="1">
        <v>32339</v>
      </c>
      <c r="G510">
        <f>YEAR(Table13[[#This Row],[Date]])</f>
        <v>1988</v>
      </c>
      <c r="H510" t="s">
        <v>685</v>
      </c>
      <c r="I510">
        <f>IF(COUNTIF($E510, _xlfn.CONCAT("*",Table13[[#Headers],[Action]],"*")),1,0)</f>
        <v>1</v>
      </c>
      <c r="J510">
        <f>IF(COUNTIF($E510, _xlfn.CONCAT("*",Table13[[#Headers],[Adventure]],"*")),1,0)</f>
        <v>0</v>
      </c>
      <c r="K510">
        <f>IF(COUNTIF($E510, _xlfn.CONCAT("*",Table13[[#Headers],[Animation]],"*")),1,0)</f>
        <v>0</v>
      </c>
      <c r="L510">
        <f>IF(COUNTIF($E510, _xlfn.CONCAT("*",Table13[[#Headers],[Comedy]],"*")),1,0)</f>
        <v>0</v>
      </c>
      <c r="M510">
        <f>IF(COUNTIF($E510, _xlfn.CONCAT("*",Table13[[#Headers],[Crime]],"*")),1,0)</f>
        <v>0</v>
      </c>
      <c r="N510">
        <f>IF(COUNTIF($E510, _xlfn.CONCAT("*",Table13[[#Headers],[Documentary]],"*")),1,0)</f>
        <v>0</v>
      </c>
      <c r="O510">
        <f>IF(COUNTIF($E510, _xlfn.CONCAT("*",Table13[[#Headers],[Drama]],"*")),1,0)</f>
        <v>0</v>
      </c>
      <c r="P510">
        <f>IF(COUNTIF($E510, _xlfn.CONCAT("*",Table13[[#Headers],[Family]],"*")),1,0)</f>
        <v>0</v>
      </c>
      <c r="Q510">
        <f>IF(COUNTIF($E510, _xlfn.CONCAT("*",Table13[[#Headers],[Fantasy]],"*")),1,0)</f>
        <v>0</v>
      </c>
      <c r="R510">
        <f>IF(COUNTIF($E510, _xlfn.CONCAT("*",Table13[[#Headers],[History]],"*")),1,0)</f>
        <v>0</v>
      </c>
      <c r="S510">
        <f>IF(COUNTIF($E510, _xlfn.CONCAT("*",Table13[[#Headers],[Horror]],"*")),1,0)</f>
        <v>0</v>
      </c>
      <c r="T510">
        <f>IF(COUNTIF($E510, _xlfn.CONCAT("*",Table13[[#Headers],[Music]],"*")),1,0)</f>
        <v>0</v>
      </c>
      <c r="U510">
        <f>IF(COUNTIF($E510, _xlfn.CONCAT("*",Table13[[#Headers],[Mystery]],"*")),1,0)</f>
        <v>0</v>
      </c>
      <c r="V510">
        <f>IF(COUNTIF($E510, _xlfn.CONCAT("*",Table13[[#Headers],[Romance]],"*")),1,0)</f>
        <v>0</v>
      </c>
      <c r="W510">
        <f>IF(COUNTIF($E510, _xlfn.CONCAT("*",Table13[[#Headers],[Science Fiction]],"*")),1,0)</f>
        <v>0</v>
      </c>
      <c r="X510">
        <f>IF(COUNTIF($E510, _xlfn.CONCAT("*",Table13[[#Headers],[TV Movie]],"*")),1,0)</f>
        <v>0</v>
      </c>
      <c r="Y510">
        <f>IF(COUNTIF($E510, _xlfn.CONCAT("*",Table13[[#Headers],[Thriller]],"*")),1,0)</f>
        <v>1</v>
      </c>
      <c r="Z510">
        <f>IF(COUNTIF($E510, _xlfn.CONCAT("*",Table13[[#Headers],[War]],"*")),1,0)</f>
        <v>0</v>
      </c>
      <c r="AA510">
        <f>IF(COUNTIF($E510, _xlfn.CONCAT("*",Table13[[#Headers],[Western]],"*")),1,0)</f>
        <v>0</v>
      </c>
    </row>
    <row r="511" spans="1:27">
      <c r="A511" t="s">
        <v>686</v>
      </c>
      <c r="B511">
        <v>26</v>
      </c>
      <c r="C511">
        <f>MAX(Table13[Rank])-Table13[[#This Row],[Rank]]</f>
        <v>238</v>
      </c>
      <c r="D511" t="s">
        <v>674</v>
      </c>
      <c r="E511" t="s">
        <v>687</v>
      </c>
      <c r="F511" s="1">
        <v>38994</v>
      </c>
      <c r="G511">
        <f>YEAR(Table13[[#This Row],[Date]])</f>
        <v>2006</v>
      </c>
      <c r="H511" t="s">
        <v>686</v>
      </c>
      <c r="I511">
        <f>IF(COUNTIF($E511, _xlfn.CONCAT("*",Table13[[#Headers],[Action]],"*")),1,0)</f>
        <v>0</v>
      </c>
      <c r="J511">
        <f>IF(COUNTIF($E511, _xlfn.CONCAT("*",Table13[[#Headers],[Adventure]],"*")),1,0)</f>
        <v>0</v>
      </c>
      <c r="K511">
        <f>IF(COUNTIF($E511, _xlfn.CONCAT("*",Table13[[#Headers],[Animation]],"*")),1,0)</f>
        <v>0</v>
      </c>
      <c r="L511">
        <f>IF(COUNTIF($E511, _xlfn.CONCAT("*",Table13[[#Headers],[Comedy]],"*")),1,0)</f>
        <v>0</v>
      </c>
      <c r="M511">
        <f>IF(COUNTIF($E511, _xlfn.CONCAT("*",Table13[[#Headers],[Crime]],"*")),1,0)</f>
        <v>1</v>
      </c>
      <c r="N511">
        <f>IF(COUNTIF($E511, _xlfn.CONCAT("*",Table13[[#Headers],[Documentary]],"*")),1,0)</f>
        <v>0</v>
      </c>
      <c r="O511">
        <f>IF(COUNTIF($E511, _xlfn.CONCAT("*",Table13[[#Headers],[Drama]],"*")),1,0)</f>
        <v>1</v>
      </c>
      <c r="P511">
        <f>IF(COUNTIF($E511, _xlfn.CONCAT("*",Table13[[#Headers],[Family]],"*")),1,0)</f>
        <v>0</v>
      </c>
      <c r="Q511">
        <f>IF(COUNTIF($E511, _xlfn.CONCAT("*",Table13[[#Headers],[Fantasy]],"*")),1,0)</f>
        <v>0</v>
      </c>
      <c r="R511">
        <f>IF(COUNTIF($E511, _xlfn.CONCAT("*",Table13[[#Headers],[History]],"*")),1,0)</f>
        <v>0</v>
      </c>
      <c r="S511">
        <f>IF(COUNTIF($E511, _xlfn.CONCAT("*",Table13[[#Headers],[Horror]],"*")),1,0)</f>
        <v>0</v>
      </c>
      <c r="T511">
        <f>IF(COUNTIF($E511, _xlfn.CONCAT("*",Table13[[#Headers],[Music]],"*")),1,0)</f>
        <v>0</v>
      </c>
      <c r="U511">
        <f>IF(COUNTIF($E511, _xlfn.CONCAT("*",Table13[[#Headers],[Mystery]],"*")),1,0)</f>
        <v>0</v>
      </c>
      <c r="V511">
        <f>IF(COUNTIF($E511, _xlfn.CONCAT("*",Table13[[#Headers],[Romance]],"*")),1,0)</f>
        <v>0</v>
      </c>
      <c r="W511">
        <f>IF(COUNTIF($E511, _xlfn.CONCAT("*",Table13[[#Headers],[Science Fiction]],"*")),1,0)</f>
        <v>0</v>
      </c>
      <c r="X511">
        <f>IF(COUNTIF($E511, _xlfn.CONCAT("*",Table13[[#Headers],[TV Movie]],"*")),1,0)</f>
        <v>0</v>
      </c>
      <c r="Y511">
        <f>IF(COUNTIF($E511, _xlfn.CONCAT("*",Table13[[#Headers],[Thriller]],"*")),1,0)</f>
        <v>1</v>
      </c>
      <c r="Z511">
        <f>IF(COUNTIF($E511, _xlfn.CONCAT("*",Table13[[#Headers],[War]],"*")),1,0)</f>
        <v>0</v>
      </c>
      <c r="AA511">
        <f>IF(COUNTIF($E511, _xlfn.CONCAT("*",Table13[[#Headers],[Western]],"*")),1,0)</f>
        <v>0</v>
      </c>
    </row>
    <row r="512" spans="1:27">
      <c r="A512" t="s">
        <v>688</v>
      </c>
      <c r="B512">
        <v>27</v>
      </c>
      <c r="C512">
        <f>MAX(Table13[Rank])-Table13[[#This Row],[Rank]]</f>
        <v>237</v>
      </c>
      <c r="D512" t="s">
        <v>674</v>
      </c>
      <c r="E512" t="s">
        <v>689</v>
      </c>
      <c r="F512" s="1">
        <v>43658</v>
      </c>
      <c r="G512">
        <f>YEAR(Table13[[#This Row],[Date]])</f>
        <v>2019</v>
      </c>
      <c r="H512" t="s">
        <v>688</v>
      </c>
      <c r="I512">
        <f>IF(COUNTIF($E512, _xlfn.CONCAT("*",Table13[[#Headers],[Action]],"*")),1,0)</f>
        <v>0</v>
      </c>
      <c r="J512">
        <f>IF(COUNTIF($E512, _xlfn.CONCAT("*",Table13[[#Headers],[Adventure]],"*")),1,0)</f>
        <v>1</v>
      </c>
      <c r="K512">
        <f>IF(COUNTIF($E512, _xlfn.CONCAT("*",Table13[[#Headers],[Animation]],"*")),1,0)</f>
        <v>1</v>
      </c>
      <c r="L512">
        <f>IF(COUNTIF($E512, _xlfn.CONCAT("*",Table13[[#Headers],[Comedy]],"*")),1,0)</f>
        <v>0</v>
      </c>
      <c r="M512">
        <f>IF(COUNTIF($E512, _xlfn.CONCAT("*",Table13[[#Headers],[Crime]],"*")),1,0)</f>
        <v>0</v>
      </c>
      <c r="N512">
        <f>IF(COUNTIF($E512, _xlfn.CONCAT("*",Table13[[#Headers],[Documentary]],"*")),1,0)</f>
        <v>0</v>
      </c>
      <c r="O512">
        <f>IF(COUNTIF($E512, _xlfn.CONCAT("*",Table13[[#Headers],[Drama]],"*")),1,0)</f>
        <v>1</v>
      </c>
      <c r="P512">
        <f>IF(COUNTIF($E512, _xlfn.CONCAT("*",Table13[[#Headers],[Family]],"*")),1,0)</f>
        <v>1</v>
      </c>
      <c r="Q512">
        <f>IF(COUNTIF($E512, _xlfn.CONCAT("*",Table13[[#Headers],[Fantasy]],"*")),1,0)</f>
        <v>0</v>
      </c>
      <c r="R512">
        <f>IF(COUNTIF($E512, _xlfn.CONCAT("*",Table13[[#Headers],[History]],"*")),1,0)</f>
        <v>0</v>
      </c>
      <c r="S512">
        <f>IF(COUNTIF($E512, _xlfn.CONCAT("*",Table13[[#Headers],[Horror]],"*")),1,0)</f>
        <v>0</v>
      </c>
      <c r="T512">
        <f>IF(COUNTIF($E512, _xlfn.CONCAT("*",Table13[[#Headers],[Music]],"*")),1,0)</f>
        <v>0</v>
      </c>
      <c r="U512">
        <f>IF(COUNTIF($E512, _xlfn.CONCAT("*",Table13[[#Headers],[Mystery]],"*")),1,0)</f>
        <v>0</v>
      </c>
      <c r="V512">
        <f>IF(COUNTIF($E512, _xlfn.CONCAT("*",Table13[[#Headers],[Romance]],"*")),1,0)</f>
        <v>0</v>
      </c>
      <c r="W512">
        <f>IF(COUNTIF($E512, _xlfn.CONCAT("*",Table13[[#Headers],[Science Fiction]],"*")),1,0)</f>
        <v>0</v>
      </c>
      <c r="X512">
        <f>IF(COUNTIF($E512, _xlfn.CONCAT("*",Table13[[#Headers],[TV Movie]],"*")),1,0)</f>
        <v>0</v>
      </c>
      <c r="Y512">
        <f>IF(COUNTIF($E512, _xlfn.CONCAT("*",Table13[[#Headers],[Thriller]],"*")),1,0)</f>
        <v>0</v>
      </c>
      <c r="Z512">
        <f>IF(COUNTIF($E512, _xlfn.CONCAT("*",Table13[[#Headers],[War]],"*")),1,0)</f>
        <v>0</v>
      </c>
      <c r="AA512">
        <f>IF(COUNTIF($E512, _xlfn.CONCAT("*",Table13[[#Headers],[Western]],"*")),1,0)</f>
        <v>0</v>
      </c>
    </row>
    <row r="513" spans="1:27">
      <c r="A513" t="s">
        <v>280</v>
      </c>
      <c r="B513">
        <v>28</v>
      </c>
      <c r="C513">
        <f>MAX(Table13[Rank])-Table13[[#This Row],[Rank]]</f>
        <v>236</v>
      </c>
      <c r="D513" t="s">
        <v>674</v>
      </c>
      <c r="E513" t="s">
        <v>281</v>
      </c>
      <c r="F513" s="1">
        <v>29364</v>
      </c>
      <c r="G513">
        <f>YEAR(Table13[[#This Row],[Date]])</f>
        <v>1980</v>
      </c>
      <c r="H513" t="s">
        <v>280</v>
      </c>
      <c r="I513">
        <f>IF(COUNTIF($E513, _xlfn.CONCAT("*",Table13[[#Headers],[Action]],"*")),1,0)</f>
        <v>0</v>
      </c>
      <c r="J513">
        <f>IF(COUNTIF($E513, _xlfn.CONCAT("*",Table13[[#Headers],[Adventure]],"*")),1,0)</f>
        <v>0</v>
      </c>
      <c r="K513">
        <f>IF(COUNTIF($E513, _xlfn.CONCAT("*",Table13[[#Headers],[Animation]],"*")),1,0)</f>
        <v>0</v>
      </c>
      <c r="L513">
        <f>IF(COUNTIF($E513, _xlfn.CONCAT("*",Table13[[#Headers],[Comedy]],"*")),1,0)</f>
        <v>0</v>
      </c>
      <c r="M513">
        <f>IF(COUNTIF($E513, _xlfn.CONCAT("*",Table13[[#Headers],[Crime]],"*")),1,0)</f>
        <v>0</v>
      </c>
      <c r="N513">
        <f>IF(COUNTIF($E513, _xlfn.CONCAT("*",Table13[[#Headers],[Documentary]],"*")),1,0)</f>
        <v>0</v>
      </c>
      <c r="O513">
        <f>IF(COUNTIF($E513, _xlfn.CONCAT("*",Table13[[#Headers],[Drama]],"*")),1,0)</f>
        <v>0</v>
      </c>
      <c r="P513">
        <f>IF(COUNTIF($E513, _xlfn.CONCAT("*",Table13[[#Headers],[Family]],"*")),1,0)</f>
        <v>0</v>
      </c>
      <c r="Q513">
        <f>IF(COUNTIF($E513, _xlfn.CONCAT("*",Table13[[#Headers],[Fantasy]],"*")),1,0)</f>
        <v>0</v>
      </c>
      <c r="R513">
        <f>IF(COUNTIF($E513, _xlfn.CONCAT("*",Table13[[#Headers],[History]],"*")),1,0)</f>
        <v>0</v>
      </c>
      <c r="S513">
        <f>IF(COUNTIF($E513, _xlfn.CONCAT("*",Table13[[#Headers],[Horror]],"*")),1,0)</f>
        <v>1</v>
      </c>
      <c r="T513">
        <f>IF(COUNTIF($E513, _xlfn.CONCAT("*",Table13[[#Headers],[Music]],"*")),1,0)</f>
        <v>0</v>
      </c>
      <c r="U513">
        <f>IF(COUNTIF($E513, _xlfn.CONCAT("*",Table13[[#Headers],[Mystery]],"*")),1,0)</f>
        <v>0</v>
      </c>
      <c r="V513">
        <f>IF(COUNTIF($E513, _xlfn.CONCAT("*",Table13[[#Headers],[Romance]],"*")),1,0)</f>
        <v>0</v>
      </c>
      <c r="W513">
        <f>IF(COUNTIF($E513, _xlfn.CONCAT("*",Table13[[#Headers],[Science Fiction]],"*")),1,0)</f>
        <v>0</v>
      </c>
      <c r="X513">
        <f>IF(COUNTIF($E513, _xlfn.CONCAT("*",Table13[[#Headers],[TV Movie]],"*")),1,0)</f>
        <v>0</v>
      </c>
      <c r="Y513">
        <f>IF(COUNTIF($E513, _xlfn.CONCAT("*",Table13[[#Headers],[Thriller]],"*")),1,0)</f>
        <v>1</v>
      </c>
      <c r="Z513">
        <f>IF(COUNTIF($E513, _xlfn.CONCAT("*",Table13[[#Headers],[War]],"*")),1,0)</f>
        <v>0</v>
      </c>
      <c r="AA513">
        <f>IF(COUNTIF($E513, _xlfn.CONCAT("*",Table13[[#Headers],[Western]],"*")),1,0)</f>
        <v>0</v>
      </c>
    </row>
    <row r="514" spans="1:27">
      <c r="A514" t="s">
        <v>420</v>
      </c>
      <c r="B514">
        <v>29</v>
      </c>
      <c r="C514">
        <f>MAX(Table13[Rank])-Table13[[#This Row],[Rank]]</f>
        <v>235</v>
      </c>
      <c r="D514" t="s">
        <v>674</v>
      </c>
      <c r="E514" t="s">
        <v>21</v>
      </c>
      <c r="F514" s="1">
        <v>20920</v>
      </c>
      <c r="G514">
        <f>YEAR(Table13[[#This Row],[Date]])</f>
        <v>1957</v>
      </c>
      <c r="H514" t="s">
        <v>420</v>
      </c>
      <c r="I514">
        <f>IF(COUNTIF($E514, _xlfn.CONCAT("*",Table13[[#Headers],[Action]],"*")),1,0)</f>
        <v>0</v>
      </c>
      <c r="J514">
        <f>IF(COUNTIF($E514, _xlfn.CONCAT("*",Table13[[#Headers],[Adventure]],"*")),1,0)</f>
        <v>0</v>
      </c>
      <c r="K514">
        <f>IF(COUNTIF($E514, _xlfn.CONCAT("*",Table13[[#Headers],[Animation]],"*")),1,0)</f>
        <v>0</v>
      </c>
      <c r="L514">
        <f>IF(COUNTIF($E514, _xlfn.CONCAT("*",Table13[[#Headers],[Comedy]],"*")),1,0)</f>
        <v>0</v>
      </c>
      <c r="M514">
        <f>IF(COUNTIF($E514, _xlfn.CONCAT("*",Table13[[#Headers],[Crime]],"*")),1,0)</f>
        <v>0</v>
      </c>
      <c r="N514">
        <f>IF(COUNTIF($E514, _xlfn.CONCAT("*",Table13[[#Headers],[Documentary]],"*")),1,0)</f>
        <v>0</v>
      </c>
      <c r="O514">
        <f>IF(COUNTIF($E514, _xlfn.CONCAT("*",Table13[[#Headers],[Drama]],"*")),1,0)</f>
        <v>1</v>
      </c>
      <c r="P514">
        <f>IF(COUNTIF($E514, _xlfn.CONCAT("*",Table13[[#Headers],[Family]],"*")),1,0)</f>
        <v>0</v>
      </c>
      <c r="Q514">
        <f>IF(COUNTIF($E514, _xlfn.CONCAT("*",Table13[[#Headers],[Fantasy]],"*")),1,0)</f>
        <v>0</v>
      </c>
      <c r="R514">
        <f>IF(COUNTIF($E514, _xlfn.CONCAT("*",Table13[[#Headers],[History]],"*")),1,0)</f>
        <v>0</v>
      </c>
      <c r="S514">
        <f>IF(COUNTIF($E514, _xlfn.CONCAT("*",Table13[[#Headers],[Horror]],"*")),1,0)</f>
        <v>0</v>
      </c>
      <c r="T514">
        <f>IF(COUNTIF($E514, _xlfn.CONCAT("*",Table13[[#Headers],[Music]],"*")),1,0)</f>
        <v>0</v>
      </c>
      <c r="U514">
        <f>IF(COUNTIF($E514, _xlfn.CONCAT("*",Table13[[#Headers],[Mystery]],"*")),1,0)</f>
        <v>0</v>
      </c>
      <c r="V514">
        <f>IF(COUNTIF($E514, _xlfn.CONCAT("*",Table13[[#Headers],[Romance]],"*")),1,0)</f>
        <v>0</v>
      </c>
      <c r="W514">
        <f>IF(COUNTIF($E514, _xlfn.CONCAT("*",Table13[[#Headers],[Science Fiction]],"*")),1,0)</f>
        <v>0</v>
      </c>
      <c r="X514">
        <f>IF(COUNTIF($E514, _xlfn.CONCAT("*",Table13[[#Headers],[TV Movie]],"*")),1,0)</f>
        <v>0</v>
      </c>
      <c r="Y514">
        <f>IF(COUNTIF($E514, _xlfn.CONCAT("*",Table13[[#Headers],[Thriller]],"*")),1,0)</f>
        <v>0</v>
      </c>
      <c r="Z514">
        <f>IF(COUNTIF($E514, _xlfn.CONCAT("*",Table13[[#Headers],[War]],"*")),1,0)</f>
        <v>0</v>
      </c>
      <c r="AA514">
        <f>IF(COUNTIF($E514, _xlfn.CONCAT("*",Table13[[#Headers],[Western]],"*")),1,0)</f>
        <v>0</v>
      </c>
    </row>
    <row r="515" spans="1:27">
      <c r="A515" t="s">
        <v>690</v>
      </c>
      <c r="B515">
        <v>30</v>
      </c>
      <c r="C515">
        <f>MAX(Table13[Rank])-Table13[[#This Row],[Rank]]</f>
        <v>234</v>
      </c>
      <c r="D515" t="s">
        <v>674</v>
      </c>
      <c r="E515" t="s">
        <v>141</v>
      </c>
      <c r="F515" s="1">
        <v>24464</v>
      </c>
      <c r="G515">
        <f>YEAR(Table13[[#This Row],[Date]])</f>
        <v>1966</v>
      </c>
      <c r="H515" t="s">
        <v>140</v>
      </c>
      <c r="I515">
        <f>IF(COUNTIF($E515, _xlfn.CONCAT("*",Table13[[#Headers],[Action]],"*")),1,0)</f>
        <v>0</v>
      </c>
      <c r="J515">
        <f>IF(COUNTIF($E515, _xlfn.CONCAT("*",Table13[[#Headers],[Adventure]],"*")),1,0)</f>
        <v>0</v>
      </c>
      <c r="K515">
        <f>IF(COUNTIF($E515, _xlfn.CONCAT("*",Table13[[#Headers],[Animation]],"*")),1,0)</f>
        <v>0</v>
      </c>
      <c r="L515">
        <f>IF(COUNTIF($E515, _xlfn.CONCAT("*",Table13[[#Headers],[Comedy]],"*")),1,0)</f>
        <v>0</v>
      </c>
      <c r="M515">
        <f>IF(COUNTIF($E515, _xlfn.CONCAT("*",Table13[[#Headers],[Crime]],"*")),1,0)</f>
        <v>0</v>
      </c>
      <c r="N515">
        <f>IF(COUNTIF($E515, _xlfn.CONCAT("*",Table13[[#Headers],[Documentary]],"*")),1,0)</f>
        <v>0</v>
      </c>
      <c r="O515">
        <f>IF(COUNTIF($E515, _xlfn.CONCAT("*",Table13[[#Headers],[Drama]],"*")),1,0)</f>
        <v>0</v>
      </c>
      <c r="P515">
        <f>IF(COUNTIF($E515, _xlfn.CONCAT("*",Table13[[#Headers],[Family]],"*")),1,0)</f>
        <v>0</v>
      </c>
      <c r="Q515">
        <f>IF(COUNTIF($E515, _xlfn.CONCAT("*",Table13[[#Headers],[Fantasy]],"*")),1,0)</f>
        <v>0</v>
      </c>
      <c r="R515">
        <f>IF(COUNTIF($E515, _xlfn.CONCAT("*",Table13[[#Headers],[History]],"*")),1,0)</f>
        <v>0</v>
      </c>
      <c r="S515">
        <f>IF(COUNTIF($E515, _xlfn.CONCAT("*",Table13[[#Headers],[Horror]],"*")),1,0)</f>
        <v>0</v>
      </c>
      <c r="T515">
        <f>IF(COUNTIF($E515, _xlfn.CONCAT("*",Table13[[#Headers],[Music]],"*")),1,0)</f>
        <v>0</v>
      </c>
      <c r="U515">
        <f>IF(COUNTIF($E515, _xlfn.CONCAT("*",Table13[[#Headers],[Mystery]],"*")),1,0)</f>
        <v>0</v>
      </c>
      <c r="V515">
        <f>IF(COUNTIF($E515, _xlfn.CONCAT("*",Table13[[#Headers],[Romance]],"*")),1,0)</f>
        <v>0</v>
      </c>
      <c r="W515">
        <f>IF(COUNTIF($E515, _xlfn.CONCAT("*",Table13[[#Headers],[Science Fiction]],"*")),1,0)</f>
        <v>0</v>
      </c>
      <c r="X515">
        <f>IF(COUNTIF($E515, _xlfn.CONCAT("*",Table13[[#Headers],[TV Movie]],"*")),1,0)</f>
        <v>0</v>
      </c>
      <c r="Y515">
        <f>IF(COUNTIF($E515, _xlfn.CONCAT("*",Table13[[#Headers],[Thriller]],"*")),1,0)</f>
        <v>0</v>
      </c>
      <c r="Z515">
        <f>IF(COUNTIF($E515, _xlfn.CONCAT("*",Table13[[#Headers],[War]],"*")),1,0)</f>
        <v>0</v>
      </c>
      <c r="AA515">
        <f>IF(COUNTIF($E515, _xlfn.CONCAT("*",Table13[[#Headers],[Western]],"*")),1,0)</f>
        <v>1</v>
      </c>
    </row>
    <row r="516" spans="1:27">
      <c r="A516" t="s">
        <v>691</v>
      </c>
      <c r="B516">
        <v>31</v>
      </c>
      <c r="C516">
        <f>MAX(Table13[Rank])-Table13[[#This Row],[Rank]]</f>
        <v>233</v>
      </c>
      <c r="D516" t="s">
        <v>674</v>
      </c>
      <c r="E516" t="s">
        <v>512</v>
      </c>
      <c r="F516" s="1">
        <v>33422</v>
      </c>
      <c r="G516">
        <f>YEAR(Table13[[#This Row],[Date]])</f>
        <v>1991</v>
      </c>
      <c r="H516" t="s">
        <v>636</v>
      </c>
      <c r="I516">
        <f>IF(COUNTIF($E516, _xlfn.CONCAT("*",Table13[[#Headers],[Action]],"*")),1,0)</f>
        <v>1</v>
      </c>
      <c r="J516">
        <f>IF(COUNTIF($E516, _xlfn.CONCAT("*",Table13[[#Headers],[Adventure]],"*")),1,0)</f>
        <v>0</v>
      </c>
      <c r="K516">
        <f>IF(COUNTIF($E516, _xlfn.CONCAT("*",Table13[[#Headers],[Animation]],"*")),1,0)</f>
        <v>0</v>
      </c>
      <c r="L516">
        <f>IF(COUNTIF($E516, _xlfn.CONCAT("*",Table13[[#Headers],[Comedy]],"*")),1,0)</f>
        <v>0</v>
      </c>
      <c r="M516">
        <f>IF(COUNTIF($E516, _xlfn.CONCAT("*",Table13[[#Headers],[Crime]],"*")),1,0)</f>
        <v>0</v>
      </c>
      <c r="N516">
        <f>IF(COUNTIF($E516, _xlfn.CONCAT("*",Table13[[#Headers],[Documentary]],"*")),1,0)</f>
        <v>0</v>
      </c>
      <c r="O516">
        <f>IF(COUNTIF($E516, _xlfn.CONCAT("*",Table13[[#Headers],[Drama]],"*")),1,0)</f>
        <v>0</v>
      </c>
      <c r="P516">
        <f>IF(COUNTIF($E516, _xlfn.CONCAT("*",Table13[[#Headers],[Family]],"*")),1,0)</f>
        <v>0</v>
      </c>
      <c r="Q516">
        <f>IF(COUNTIF($E516, _xlfn.CONCAT("*",Table13[[#Headers],[Fantasy]],"*")),1,0)</f>
        <v>0</v>
      </c>
      <c r="R516">
        <f>IF(COUNTIF($E516, _xlfn.CONCAT("*",Table13[[#Headers],[History]],"*")),1,0)</f>
        <v>0</v>
      </c>
      <c r="S516">
        <f>IF(COUNTIF($E516, _xlfn.CONCAT("*",Table13[[#Headers],[Horror]],"*")),1,0)</f>
        <v>0</v>
      </c>
      <c r="T516">
        <f>IF(COUNTIF($E516, _xlfn.CONCAT("*",Table13[[#Headers],[Music]],"*")),1,0)</f>
        <v>0</v>
      </c>
      <c r="U516">
        <f>IF(COUNTIF($E516, _xlfn.CONCAT("*",Table13[[#Headers],[Mystery]],"*")),1,0)</f>
        <v>0</v>
      </c>
      <c r="V516">
        <f>IF(COUNTIF($E516, _xlfn.CONCAT("*",Table13[[#Headers],[Romance]],"*")),1,0)</f>
        <v>0</v>
      </c>
      <c r="W516">
        <f>IF(COUNTIF($E516, _xlfn.CONCAT("*",Table13[[#Headers],[Science Fiction]],"*")),1,0)</f>
        <v>1</v>
      </c>
      <c r="X516">
        <f>IF(COUNTIF($E516, _xlfn.CONCAT("*",Table13[[#Headers],[TV Movie]],"*")),1,0)</f>
        <v>0</v>
      </c>
      <c r="Y516">
        <f>IF(COUNTIF($E516, _xlfn.CONCAT("*",Table13[[#Headers],[Thriller]],"*")),1,0)</f>
        <v>1</v>
      </c>
      <c r="Z516">
        <f>IF(COUNTIF($E516, _xlfn.CONCAT("*",Table13[[#Headers],[War]],"*")),1,0)</f>
        <v>0</v>
      </c>
      <c r="AA516">
        <f>IF(COUNTIF($E516, _xlfn.CONCAT("*",Table13[[#Headers],[Western]],"*")),1,0)</f>
        <v>0</v>
      </c>
    </row>
    <row r="517" spans="1:27">
      <c r="A517" t="s">
        <v>357</v>
      </c>
      <c r="B517">
        <v>32</v>
      </c>
      <c r="C517">
        <f>MAX(Table13[Rank])-Table13[[#This Row],[Rank]]</f>
        <v>232</v>
      </c>
      <c r="D517" t="s">
        <v>674</v>
      </c>
      <c r="E517" t="s">
        <v>358</v>
      </c>
      <c r="F517" s="1">
        <v>22089</v>
      </c>
      <c r="G517">
        <f>YEAR(Table13[[#This Row],[Date]])</f>
        <v>1960</v>
      </c>
      <c r="H517" t="s">
        <v>357</v>
      </c>
      <c r="I517">
        <f>IF(COUNTIF($E517, _xlfn.CONCAT("*",Table13[[#Headers],[Action]],"*")),1,0)</f>
        <v>0</v>
      </c>
      <c r="J517">
        <f>IF(COUNTIF($E517, _xlfn.CONCAT("*",Table13[[#Headers],[Adventure]],"*")),1,0)</f>
        <v>0</v>
      </c>
      <c r="K517">
        <f>IF(COUNTIF($E517, _xlfn.CONCAT("*",Table13[[#Headers],[Animation]],"*")),1,0)</f>
        <v>0</v>
      </c>
      <c r="L517">
        <f>IF(COUNTIF($E517, _xlfn.CONCAT("*",Table13[[#Headers],[Comedy]],"*")),1,0)</f>
        <v>0</v>
      </c>
      <c r="M517">
        <f>IF(COUNTIF($E517, _xlfn.CONCAT("*",Table13[[#Headers],[Crime]],"*")),1,0)</f>
        <v>0</v>
      </c>
      <c r="N517">
        <f>IF(COUNTIF($E517, _xlfn.CONCAT("*",Table13[[#Headers],[Documentary]],"*")),1,0)</f>
        <v>0</v>
      </c>
      <c r="O517">
        <f>IF(COUNTIF($E517, _xlfn.CONCAT("*",Table13[[#Headers],[Drama]],"*")),1,0)</f>
        <v>1</v>
      </c>
      <c r="P517">
        <f>IF(COUNTIF($E517, _xlfn.CONCAT("*",Table13[[#Headers],[Family]],"*")),1,0)</f>
        <v>0</v>
      </c>
      <c r="Q517">
        <f>IF(COUNTIF($E517, _xlfn.CONCAT("*",Table13[[#Headers],[Fantasy]],"*")),1,0)</f>
        <v>0</v>
      </c>
      <c r="R517">
        <f>IF(COUNTIF($E517, _xlfn.CONCAT("*",Table13[[#Headers],[History]],"*")),1,0)</f>
        <v>0</v>
      </c>
      <c r="S517">
        <f>IF(COUNTIF($E517, _xlfn.CONCAT("*",Table13[[#Headers],[Horror]],"*")),1,0)</f>
        <v>1</v>
      </c>
      <c r="T517">
        <f>IF(COUNTIF($E517, _xlfn.CONCAT("*",Table13[[#Headers],[Music]],"*")),1,0)</f>
        <v>0</v>
      </c>
      <c r="U517">
        <f>IF(COUNTIF($E517, _xlfn.CONCAT("*",Table13[[#Headers],[Mystery]],"*")),1,0)</f>
        <v>0</v>
      </c>
      <c r="V517">
        <f>IF(COUNTIF($E517, _xlfn.CONCAT("*",Table13[[#Headers],[Romance]],"*")),1,0)</f>
        <v>0</v>
      </c>
      <c r="W517">
        <f>IF(COUNTIF($E517, _xlfn.CONCAT("*",Table13[[#Headers],[Science Fiction]],"*")),1,0)</f>
        <v>0</v>
      </c>
      <c r="X517">
        <f>IF(COUNTIF($E517, _xlfn.CONCAT("*",Table13[[#Headers],[TV Movie]],"*")),1,0)</f>
        <v>0</v>
      </c>
      <c r="Y517">
        <f>IF(COUNTIF($E517, _xlfn.CONCAT("*",Table13[[#Headers],[Thriller]],"*")),1,0)</f>
        <v>1</v>
      </c>
      <c r="Z517">
        <f>IF(COUNTIF($E517, _xlfn.CONCAT("*",Table13[[#Headers],[War]],"*")),1,0)</f>
        <v>0</v>
      </c>
      <c r="AA517">
        <f>IF(COUNTIF($E517, _xlfn.CONCAT("*",Table13[[#Headers],[Western]],"*")),1,0)</f>
        <v>0</v>
      </c>
    </row>
    <row r="518" spans="1:27">
      <c r="A518" t="s">
        <v>188</v>
      </c>
      <c r="B518">
        <v>33</v>
      </c>
      <c r="C518">
        <f>MAX(Table13[Rank])-Table13[[#This Row],[Rank]]</f>
        <v>231</v>
      </c>
      <c r="D518" t="s">
        <v>674</v>
      </c>
      <c r="E518" t="s">
        <v>189</v>
      </c>
      <c r="F518" s="1">
        <v>29000</v>
      </c>
      <c r="G518">
        <f>YEAR(Table13[[#This Row],[Date]])</f>
        <v>1979</v>
      </c>
      <c r="H518" t="s">
        <v>188</v>
      </c>
      <c r="I518">
        <f>IF(COUNTIF($E518, _xlfn.CONCAT("*",Table13[[#Headers],[Action]],"*")),1,0)</f>
        <v>0</v>
      </c>
      <c r="J518">
        <f>IF(COUNTIF($E518, _xlfn.CONCAT("*",Table13[[#Headers],[Adventure]],"*")),1,0)</f>
        <v>0</v>
      </c>
      <c r="K518">
        <f>IF(COUNTIF($E518, _xlfn.CONCAT("*",Table13[[#Headers],[Animation]],"*")),1,0)</f>
        <v>0</v>
      </c>
      <c r="L518">
        <f>IF(COUNTIF($E518, _xlfn.CONCAT("*",Table13[[#Headers],[Comedy]],"*")),1,0)</f>
        <v>0</v>
      </c>
      <c r="M518">
        <f>IF(COUNTIF($E518, _xlfn.CONCAT("*",Table13[[#Headers],[Crime]],"*")),1,0)</f>
        <v>0</v>
      </c>
      <c r="N518">
        <f>IF(COUNTIF($E518, _xlfn.CONCAT("*",Table13[[#Headers],[Documentary]],"*")),1,0)</f>
        <v>0</v>
      </c>
      <c r="O518">
        <f>IF(COUNTIF($E518, _xlfn.CONCAT("*",Table13[[#Headers],[Drama]],"*")),1,0)</f>
        <v>0</v>
      </c>
      <c r="P518">
        <f>IF(COUNTIF($E518, _xlfn.CONCAT("*",Table13[[#Headers],[Family]],"*")),1,0)</f>
        <v>0</v>
      </c>
      <c r="Q518">
        <f>IF(COUNTIF($E518, _xlfn.CONCAT("*",Table13[[#Headers],[Fantasy]],"*")),1,0)</f>
        <v>0</v>
      </c>
      <c r="R518">
        <f>IF(COUNTIF($E518, _xlfn.CONCAT("*",Table13[[#Headers],[History]],"*")),1,0)</f>
        <v>0</v>
      </c>
      <c r="S518">
        <f>IF(COUNTIF($E518, _xlfn.CONCAT("*",Table13[[#Headers],[Horror]],"*")),1,0)</f>
        <v>1</v>
      </c>
      <c r="T518">
        <f>IF(COUNTIF($E518, _xlfn.CONCAT("*",Table13[[#Headers],[Music]],"*")),1,0)</f>
        <v>0</v>
      </c>
      <c r="U518">
        <f>IF(COUNTIF($E518, _xlfn.CONCAT("*",Table13[[#Headers],[Mystery]],"*")),1,0)</f>
        <v>0</v>
      </c>
      <c r="V518">
        <f>IF(COUNTIF($E518, _xlfn.CONCAT("*",Table13[[#Headers],[Romance]],"*")),1,0)</f>
        <v>0</v>
      </c>
      <c r="W518">
        <f>IF(COUNTIF($E518, _xlfn.CONCAT("*",Table13[[#Headers],[Science Fiction]],"*")),1,0)</f>
        <v>1</v>
      </c>
      <c r="X518">
        <f>IF(COUNTIF($E518, _xlfn.CONCAT("*",Table13[[#Headers],[TV Movie]],"*")),1,0)</f>
        <v>0</v>
      </c>
      <c r="Y518">
        <f>IF(COUNTIF($E518, _xlfn.CONCAT("*",Table13[[#Headers],[Thriller]],"*")),1,0)</f>
        <v>0</v>
      </c>
      <c r="Z518">
        <f>IF(COUNTIF($E518, _xlfn.CONCAT("*",Table13[[#Headers],[War]],"*")),1,0)</f>
        <v>0</v>
      </c>
      <c r="AA518">
        <f>IF(COUNTIF($E518, _xlfn.CONCAT("*",Table13[[#Headers],[Western]],"*")),1,0)</f>
        <v>0</v>
      </c>
    </row>
    <row r="519" spans="1:27">
      <c r="A519" t="s">
        <v>530</v>
      </c>
      <c r="B519">
        <v>34</v>
      </c>
      <c r="C519">
        <f>MAX(Table13[Rank])-Table13[[#This Row],[Rank]]</f>
        <v>230</v>
      </c>
      <c r="D519" t="s">
        <v>674</v>
      </c>
      <c r="E519" t="s">
        <v>529</v>
      </c>
      <c r="F519" s="1">
        <v>34899</v>
      </c>
      <c r="G519">
        <f>YEAR(Table13[[#This Row],[Date]])</f>
        <v>1995</v>
      </c>
      <c r="H519" t="s">
        <v>530</v>
      </c>
      <c r="I519">
        <f>IF(COUNTIF($E519, _xlfn.CONCAT("*",Table13[[#Headers],[Action]],"*")),1,0)</f>
        <v>0</v>
      </c>
      <c r="J519">
        <f>IF(COUNTIF($E519, _xlfn.CONCAT("*",Table13[[#Headers],[Adventure]],"*")),1,0)</f>
        <v>0</v>
      </c>
      <c r="K519">
        <f>IF(COUNTIF($E519, _xlfn.CONCAT("*",Table13[[#Headers],[Animation]],"*")),1,0)</f>
        <v>0</v>
      </c>
      <c r="L519">
        <f>IF(COUNTIF($E519, _xlfn.CONCAT("*",Table13[[#Headers],[Comedy]],"*")),1,0)</f>
        <v>0</v>
      </c>
      <c r="M519">
        <f>IF(COUNTIF($E519, _xlfn.CONCAT("*",Table13[[#Headers],[Crime]],"*")),1,0)</f>
        <v>1</v>
      </c>
      <c r="N519">
        <f>IF(COUNTIF($E519, _xlfn.CONCAT("*",Table13[[#Headers],[Documentary]],"*")),1,0)</f>
        <v>0</v>
      </c>
      <c r="O519">
        <f>IF(COUNTIF($E519, _xlfn.CONCAT("*",Table13[[#Headers],[Drama]],"*")),1,0)</f>
        <v>1</v>
      </c>
      <c r="P519">
        <f>IF(COUNTIF($E519, _xlfn.CONCAT("*",Table13[[#Headers],[Family]],"*")),1,0)</f>
        <v>0</v>
      </c>
      <c r="Q519">
        <f>IF(COUNTIF($E519, _xlfn.CONCAT("*",Table13[[#Headers],[Fantasy]],"*")),1,0)</f>
        <v>0</v>
      </c>
      <c r="R519">
        <f>IF(COUNTIF($E519, _xlfn.CONCAT("*",Table13[[#Headers],[History]],"*")),1,0)</f>
        <v>0</v>
      </c>
      <c r="S519">
        <f>IF(COUNTIF($E519, _xlfn.CONCAT("*",Table13[[#Headers],[Horror]],"*")),1,0)</f>
        <v>0</v>
      </c>
      <c r="T519">
        <f>IF(COUNTIF($E519, _xlfn.CONCAT("*",Table13[[#Headers],[Music]],"*")),1,0)</f>
        <v>0</v>
      </c>
      <c r="U519">
        <f>IF(COUNTIF($E519, _xlfn.CONCAT("*",Table13[[#Headers],[Mystery]],"*")),1,0)</f>
        <v>0</v>
      </c>
      <c r="V519">
        <f>IF(COUNTIF($E519, _xlfn.CONCAT("*",Table13[[#Headers],[Romance]],"*")),1,0)</f>
        <v>0</v>
      </c>
      <c r="W519">
        <f>IF(COUNTIF($E519, _xlfn.CONCAT("*",Table13[[#Headers],[Science Fiction]],"*")),1,0)</f>
        <v>0</v>
      </c>
      <c r="X519">
        <f>IF(COUNTIF($E519, _xlfn.CONCAT("*",Table13[[#Headers],[TV Movie]],"*")),1,0)</f>
        <v>0</v>
      </c>
      <c r="Y519">
        <f>IF(COUNTIF($E519, _xlfn.CONCAT("*",Table13[[#Headers],[Thriller]],"*")),1,0)</f>
        <v>1</v>
      </c>
      <c r="Z519">
        <f>IF(COUNTIF($E519, _xlfn.CONCAT("*",Table13[[#Headers],[War]],"*")),1,0)</f>
        <v>0</v>
      </c>
      <c r="AA519">
        <f>IF(COUNTIF($E519, _xlfn.CONCAT("*",Table13[[#Headers],[Western]],"*")),1,0)</f>
        <v>0</v>
      </c>
    </row>
    <row r="520" spans="1:27">
      <c r="A520" t="s">
        <v>425</v>
      </c>
      <c r="B520">
        <v>35</v>
      </c>
      <c r="C520">
        <f>MAX(Table13[Rank])-Table13[[#This Row],[Rank]]</f>
        <v>229</v>
      </c>
      <c r="D520" t="s">
        <v>674</v>
      </c>
      <c r="E520" t="s">
        <v>426</v>
      </c>
      <c r="F520" s="1">
        <v>35002</v>
      </c>
      <c r="G520">
        <f>YEAR(Table13[[#This Row],[Date]])</f>
        <v>1995</v>
      </c>
      <c r="H520" t="s">
        <v>425</v>
      </c>
      <c r="I520">
        <f>IF(COUNTIF($E520, _xlfn.CONCAT("*",Table13[[#Headers],[Action]],"*")),1,0)</f>
        <v>0</v>
      </c>
      <c r="J520">
        <f>IF(COUNTIF($E520, _xlfn.CONCAT("*",Table13[[#Headers],[Adventure]],"*")),1,0)</f>
        <v>1</v>
      </c>
      <c r="K520">
        <f>IF(COUNTIF($E520, _xlfn.CONCAT("*",Table13[[#Headers],[Animation]],"*")),1,0)</f>
        <v>1</v>
      </c>
      <c r="L520">
        <f>IF(COUNTIF($E520, _xlfn.CONCAT("*",Table13[[#Headers],[Comedy]],"*")),1,0)</f>
        <v>1</v>
      </c>
      <c r="M520">
        <f>IF(COUNTIF($E520, _xlfn.CONCAT("*",Table13[[#Headers],[Crime]],"*")),1,0)</f>
        <v>0</v>
      </c>
      <c r="N520">
        <f>IF(COUNTIF($E520, _xlfn.CONCAT("*",Table13[[#Headers],[Documentary]],"*")),1,0)</f>
        <v>0</v>
      </c>
      <c r="O520">
        <f>IF(COUNTIF($E520, _xlfn.CONCAT("*",Table13[[#Headers],[Drama]],"*")),1,0)</f>
        <v>0</v>
      </c>
      <c r="P520">
        <f>IF(COUNTIF($E520, _xlfn.CONCAT("*",Table13[[#Headers],[Family]],"*")),1,0)</f>
        <v>1</v>
      </c>
      <c r="Q520">
        <f>IF(COUNTIF($E520, _xlfn.CONCAT("*",Table13[[#Headers],[Fantasy]],"*")),1,0)</f>
        <v>0</v>
      </c>
      <c r="R520">
        <f>IF(COUNTIF($E520, _xlfn.CONCAT("*",Table13[[#Headers],[History]],"*")),1,0)</f>
        <v>0</v>
      </c>
      <c r="S520">
        <f>IF(COUNTIF($E520, _xlfn.CONCAT("*",Table13[[#Headers],[Horror]],"*")),1,0)</f>
        <v>0</v>
      </c>
      <c r="T520">
        <f>IF(COUNTIF($E520, _xlfn.CONCAT("*",Table13[[#Headers],[Music]],"*")),1,0)</f>
        <v>0</v>
      </c>
      <c r="U520">
        <f>IF(COUNTIF($E520, _xlfn.CONCAT("*",Table13[[#Headers],[Mystery]],"*")),1,0)</f>
        <v>0</v>
      </c>
      <c r="V520">
        <f>IF(COUNTIF($E520, _xlfn.CONCAT("*",Table13[[#Headers],[Romance]],"*")),1,0)</f>
        <v>0</v>
      </c>
      <c r="W520">
        <f>IF(COUNTIF($E520, _xlfn.CONCAT("*",Table13[[#Headers],[Science Fiction]],"*")),1,0)</f>
        <v>0</v>
      </c>
      <c r="X520">
        <f>IF(COUNTIF($E520, _xlfn.CONCAT("*",Table13[[#Headers],[TV Movie]],"*")),1,0)</f>
        <v>0</v>
      </c>
      <c r="Y520">
        <f>IF(COUNTIF($E520, _xlfn.CONCAT("*",Table13[[#Headers],[Thriller]],"*")),1,0)</f>
        <v>0</v>
      </c>
      <c r="Z520">
        <f>IF(COUNTIF($E520, _xlfn.CONCAT("*",Table13[[#Headers],[War]],"*")),1,0)</f>
        <v>0</v>
      </c>
      <c r="AA520">
        <f>IF(COUNTIF($E520, _xlfn.CONCAT("*",Table13[[#Headers],[Western]],"*")),1,0)</f>
        <v>0</v>
      </c>
    </row>
    <row r="521" spans="1:27">
      <c r="A521" t="s">
        <v>692</v>
      </c>
      <c r="B521">
        <v>36</v>
      </c>
      <c r="C521">
        <f>MAX(Table13[Rank])-Table13[[#This Row],[Rank]]</f>
        <v>228</v>
      </c>
      <c r="D521" t="s">
        <v>674</v>
      </c>
      <c r="E521" t="s">
        <v>693</v>
      </c>
      <c r="F521" s="1">
        <v>36810</v>
      </c>
      <c r="G521">
        <f>YEAR(Table13[[#This Row],[Date]])</f>
        <v>2000</v>
      </c>
      <c r="H521" t="s">
        <v>692</v>
      </c>
      <c r="I521">
        <f>IF(COUNTIF($E521, _xlfn.CONCAT("*",Table13[[#Headers],[Action]],"*")),1,0)</f>
        <v>0</v>
      </c>
      <c r="J521">
        <f>IF(COUNTIF($E521, _xlfn.CONCAT("*",Table13[[#Headers],[Adventure]],"*")),1,0)</f>
        <v>0</v>
      </c>
      <c r="K521">
        <f>IF(COUNTIF($E521, _xlfn.CONCAT("*",Table13[[#Headers],[Animation]],"*")),1,0)</f>
        <v>0</v>
      </c>
      <c r="L521">
        <f>IF(COUNTIF($E521, _xlfn.CONCAT("*",Table13[[#Headers],[Comedy]],"*")),1,0)</f>
        <v>0</v>
      </c>
      <c r="M521">
        <f>IF(COUNTIF($E521, _xlfn.CONCAT("*",Table13[[#Headers],[Crime]],"*")),1,0)</f>
        <v>0</v>
      </c>
      <c r="N521">
        <f>IF(COUNTIF($E521, _xlfn.CONCAT("*",Table13[[#Headers],[Documentary]],"*")),1,0)</f>
        <v>0</v>
      </c>
      <c r="O521">
        <f>IF(COUNTIF($E521, _xlfn.CONCAT("*",Table13[[#Headers],[Drama]],"*")),1,0)</f>
        <v>0</v>
      </c>
      <c r="P521">
        <f>IF(COUNTIF($E521, _xlfn.CONCAT("*",Table13[[#Headers],[Family]],"*")),1,0)</f>
        <v>0</v>
      </c>
      <c r="Q521">
        <f>IF(COUNTIF($E521, _xlfn.CONCAT("*",Table13[[#Headers],[Fantasy]],"*")),1,0)</f>
        <v>0</v>
      </c>
      <c r="R521">
        <f>IF(COUNTIF($E521, _xlfn.CONCAT("*",Table13[[#Headers],[History]],"*")),1,0)</f>
        <v>0</v>
      </c>
      <c r="S521">
        <f>IF(COUNTIF($E521, _xlfn.CONCAT("*",Table13[[#Headers],[Horror]],"*")),1,0)</f>
        <v>0</v>
      </c>
      <c r="T521">
        <f>IF(COUNTIF($E521, _xlfn.CONCAT("*",Table13[[#Headers],[Music]],"*")),1,0)</f>
        <v>0</v>
      </c>
      <c r="U521">
        <f>IF(COUNTIF($E521, _xlfn.CONCAT("*",Table13[[#Headers],[Mystery]],"*")),1,0)</f>
        <v>1</v>
      </c>
      <c r="V521">
        <f>IF(COUNTIF($E521, _xlfn.CONCAT("*",Table13[[#Headers],[Romance]],"*")),1,0)</f>
        <v>0</v>
      </c>
      <c r="W521">
        <f>IF(COUNTIF($E521, _xlfn.CONCAT("*",Table13[[#Headers],[Science Fiction]],"*")),1,0)</f>
        <v>0</v>
      </c>
      <c r="X521">
        <f>IF(COUNTIF($E521, _xlfn.CONCAT("*",Table13[[#Headers],[TV Movie]],"*")),1,0)</f>
        <v>0</v>
      </c>
      <c r="Y521">
        <f>IF(COUNTIF($E521, _xlfn.CONCAT("*",Table13[[#Headers],[Thriller]],"*")),1,0)</f>
        <v>1</v>
      </c>
      <c r="Z521">
        <f>IF(COUNTIF($E521, _xlfn.CONCAT("*",Table13[[#Headers],[War]],"*")),1,0)</f>
        <v>0</v>
      </c>
      <c r="AA521">
        <f>IF(COUNTIF($E521, _xlfn.CONCAT("*",Table13[[#Headers],[Western]],"*")),1,0)</f>
        <v>0</v>
      </c>
    </row>
    <row r="522" spans="1:27">
      <c r="A522" t="s">
        <v>317</v>
      </c>
      <c r="B522">
        <v>37</v>
      </c>
      <c r="C522">
        <f>MAX(Table13[Rank])-Table13[[#This Row],[Rank]]</f>
        <v>227</v>
      </c>
      <c r="D522" t="s">
        <v>674</v>
      </c>
      <c r="E522" t="s">
        <v>35</v>
      </c>
      <c r="F522" s="1">
        <v>15721</v>
      </c>
      <c r="G522">
        <f>YEAR(Table13[[#This Row],[Date]])</f>
        <v>1943</v>
      </c>
      <c r="H522" t="s">
        <v>317</v>
      </c>
      <c r="I522">
        <f>IF(COUNTIF($E522, _xlfn.CONCAT("*",Table13[[#Headers],[Action]],"*")),1,0)</f>
        <v>0</v>
      </c>
      <c r="J522">
        <f>IF(COUNTIF($E522, _xlfn.CONCAT("*",Table13[[#Headers],[Adventure]],"*")),1,0)</f>
        <v>0</v>
      </c>
      <c r="K522">
        <f>IF(COUNTIF($E522, _xlfn.CONCAT("*",Table13[[#Headers],[Animation]],"*")),1,0)</f>
        <v>0</v>
      </c>
      <c r="L522">
        <f>IF(COUNTIF($E522, _xlfn.CONCAT("*",Table13[[#Headers],[Comedy]],"*")),1,0)</f>
        <v>0</v>
      </c>
      <c r="M522">
        <f>IF(COUNTIF($E522, _xlfn.CONCAT("*",Table13[[#Headers],[Crime]],"*")),1,0)</f>
        <v>0</v>
      </c>
      <c r="N522">
        <f>IF(COUNTIF($E522, _xlfn.CONCAT("*",Table13[[#Headers],[Documentary]],"*")),1,0)</f>
        <v>0</v>
      </c>
      <c r="O522">
        <f>IF(COUNTIF($E522, _xlfn.CONCAT("*",Table13[[#Headers],[Drama]],"*")),1,0)</f>
        <v>1</v>
      </c>
      <c r="P522">
        <f>IF(COUNTIF($E522, _xlfn.CONCAT("*",Table13[[#Headers],[Family]],"*")),1,0)</f>
        <v>0</v>
      </c>
      <c r="Q522">
        <f>IF(COUNTIF($E522, _xlfn.CONCAT("*",Table13[[#Headers],[Fantasy]],"*")),1,0)</f>
        <v>0</v>
      </c>
      <c r="R522">
        <f>IF(COUNTIF($E522, _xlfn.CONCAT("*",Table13[[#Headers],[History]],"*")),1,0)</f>
        <v>0</v>
      </c>
      <c r="S522">
        <f>IF(COUNTIF($E522, _xlfn.CONCAT("*",Table13[[#Headers],[Horror]],"*")),1,0)</f>
        <v>0</v>
      </c>
      <c r="T522">
        <f>IF(COUNTIF($E522, _xlfn.CONCAT("*",Table13[[#Headers],[Music]],"*")),1,0)</f>
        <v>0</v>
      </c>
      <c r="U522">
        <f>IF(COUNTIF($E522, _xlfn.CONCAT("*",Table13[[#Headers],[Mystery]],"*")),1,0)</f>
        <v>0</v>
      </c>
      <c r="V522">
        <f>IF(COUNTIF($E522, _xlfn.CONCAT("*",Table13[[#Headers],[Romance]],"*")),1,0)</f>
        <v>1</v>
      </c>
      <c r="W522">
        <f>IF(COUNTIF($E522, _xlfn.CONCAT("*",Table13[[#Headers],[Science Fiction]],"*")),1,0)</f>
        <v>0</v>
      </c>
      <c r="X522">
        <f>IF(COUNTIF($E522, _xlfn.CONCAT("*",Table13[[#Headers],[TV Movie]],"*")),1,0)</f>
        <v>0</v>
      </c>
      <c r="Y522">
        <f>IF(COUNTIF($E522, _xlfn.CONCAT("*",Table13[[#Headers],[Thriller]],"*")),1,0)</f>
        <v>0</v>
      </c>
      <c r="Z522">
        <f>IF(COUNTIF($E522, _xlfn.CONCAT("*",Table13[[#Headers],[War]],"*")),1,0)</f>
        <v>0</v>
      </c>
      <c r="AA522">
        <f>IF(COUNTIF($E522, _xlfn.CONCAT("*",Table13[[#Headers],[Western]],"*")),1,0)</f>
        <v>0</v>
      </c>
    </row>
    <row r="523" spans="1:27">
      <c r="A523" t="s">
        <v>362</v>
      </c>
      <c r="B523">
        <v>38</v>
      </c>
      <c r="C523">
        <f>MAX(Table13[Rank])-Table13[[#This Row],[Rank]]</f>
        <v>226</v>
      </c>
      <c r="D523" t="s">
        <v>674</v>
      </c>
      <c r="E523" t="s">
        <v>156</v>
      </c>
      <c r="F523" s="1">
        <v>27799</v>
      </c>
      <c r="G523">
        <f>YEAR(Table13[[#This Row],[Date]])</f>
        <v>1976</v>
      </c>
      <c r="H523" t="s">
        <v>362</v>
      </c>
      <c r="I523">
        <f>IF(COUNTIF($E523, _xlfn.CONCAT("*",Table13[[#Headers],[Action]],"*")),1,0)</f>
        <v>0</v>
      </c>
      <c r="J523">
        <f>IF(COUNTIF($E523, _xlfn.CONCAT("*",Table13[[#Headers],[Adventure]],"*")),1,0)</f>
        <v>0</v>
      </c>
      <c r="K523">
        <f>IF(COUNTIF($E523, _xlfn.CONCAT("*",Table13[[#Headers],[Animation]],"*")),1,0)</f>
        <v>0</v>
      </c>
      <c r="L523">
        <f>IF(COUNTIF($E523, _xlfn.CONCAT("*",Table13[[#Headers],[Comedy]],"*")),1,0)</f>
        <v>0</v>
      </c>
      <c r="M523">
        <f>IF(COUNTIF($E523, _xlfn.CONCAT("*",Table13[[#Headers],[Crime]],"*")),1,0)</f>
        <v>1</v>
      </c>
      <c r="N523">
        <f>IF(COUNTIF($E523, _xlfn.CONCAT("*",Table13[[#Headers],[Documentary]],"*")),1,0)</f>
        <v>0</v>
      </c>
      <c r="O523">
        <f>IF(COUNTIF($E523, _xlfn.CONCAT("*",Table13[[#Headers],[Drama]],"*")),1,0)</f>
        <v>1</v>
      </c>
      <c r="P523">
        <f>IF(COUNTIF($E523, _xlfn.CONCAT("*",Table13[[#Headers],[Family]],"*")),1,0)</f>
        <v>0</v>
      </c>
      <c r="Q523">
        <f>IF(COUNTIF($E523, _xlfn.CONCAT("*",Table13[[#Headers],[Fantasy]],"*")),1,0)</f>
        <v>0</v>
      </c>
      <c r="R523">
        <f>IF(COUNTIF($E523, _xlfn.CONCAT("*",Table13[[#Headers],[History]],"*")),1,0)</f>
        <v>0</v>
      </c>
      <c r="S523">
        <f>IF(COUNTIF($E523, _xlfn.CONCAT("*",Table13[[#Headers],[Horror]],"*")),1,0)</f>
        <v>0</v>
      </c>
      <c r="T523">
        <f>IF(COUNTIF($E523, _xlfn.CONCAT("*",Table13[[#Headers],[Music]],"*")),1,0)</f>
        <v>0</v>
      </c>
      <c r="U523">
        <f>IF(COUNTIF($E523, _xlfn.CONCAT("*",Table13[[#Headers],[Mystery]],"*")),1,0)</f>
        <v>0</v>
      </c>
      <c r="V523">
        <f>IF(COUNTIF($E523, _xlfn.CONCAT("*",Table13[[#Headers],[Romance]],"*")),1,0)</f>
        <v>0</v>
      </c>
      <c r="W523">
        <f>IF(COUNTIF($E523, _xlfn.CONCAT("*",Table13[[#Headers],[Science Fiction]],"*")),1,0)</f>
        <v>0</v>
      </c>
      <c r="X523">
        <f>IF(COUNTIF($E523, _xlfn.CONCAT("*",Table13[[#Headers],[TV Movie]],"*")),1,0)</f>
        <v>0</v>
      </c>
      <c r="Y523">
        <f>IF(COUNTIF($E523, _xlfn.CONCAT("*",Table13[[#Headers],[Thriller]],"*")),1,0)</f>
        <v>0</v>
      </c>
      <c r="Z523">
        <f>IF(COUNTIF($E523, _xlfn.CONCAT("*",Table13[[#Headers],[War]],"*")),1,0)</f>
        <v>0</v>
      </c>
      <c r="AA523">
        <f>IF(COUNTIF($E523, _xlfn.CONCAT("*",Table13[[#Headers],[Western]],"*")),1,0)</f>
        <v>0</v>
      </c>
    </row>
    <row r="524" spans="1:27">
      <c r="A524" t="s">
        <v>490</v>
      </c>
      <c r="B524">
        <v>39</v>
      </c>
      <c r="C524">
        <f>MAX(Table13[Rank])-Table13[[#This Row],[Rank]]</f>
        <v>225</v>
      </c>
      <c r="D524" t="s">
        <v>674</v>
      </c>
      <c r="E524" t="s">
        <v>102</v>
      </c>
      <c r="F524" s="1">
        <v>33849</v>
      </c>
      <c r="G524">
        <f>YEAR(Table13[[#This Row],[Date]])</f>
        <v>1992</v>
      </c>
      <c r="H524" t="s">
        <v>490</v>
      </c>
      <c r="I524">
        <f>IF(COUNTIF($E524, _xlfn.CONCAT("*",Table13[[#Headers],[Action]],"*")),1,0)</f>
        <v>0</v>
      </c>
      <c r="J524">
        <f>IF(COUNTIF($E524, _xlfn.CONCAT("*",Table13[[#Headers],[Adventure]],"*")),1,0)</f>
        <v>0</v>
      </c>
      <c r="K524">
        <f>IF(COUNTIF($E524, _xlfn.CONCAT("*",Table13[[#Headers],[Animation]],"*")),1,0)</f>
        <v>0</v>
      </c>
      <c r="L524">
        <f>IF(COUNTIF($E524, _xlfn.CONCAT("*",Table13[[#Headers],[Comedy]],"*")),1,0)</f>
        <v>0</v>
      </c>
      <c r="M524">
        <f>IF(COUNTIF($E524, _xlfn.CONCAT("*",Table13[[#Headers],[Crime]],"*")),1,0)</f>
        <v>1</v>
      </c>
      <c r="N524">
        <f>IF(COUNTIF($E524, _xlfn.CONCAT("*",Table13[[#Headers],[Documentary]],"*")),1,0)</f>
        <v>0</v>
      </c>
      <c r="O524">
        <f>IF(COUNTIF($E524, _xlfn.CONCAT("*",Table13[[#Headers],[Drama]],"*")),1,0)</f>
        <v>0</v>
      </c>
      <c r="P524">
        <f>IF(COUNTIF($E524, _xlfn.CONCAT("*",Table13[[#Headers],[Family]],"*")),1,0)</f>
        <v>0</v>
      </c>
      <c r="Q524">
        <f>IF(COUNTIF($E524, _xlfn.CONCAT("*",Table13[[#Headers],[Fantasy]],"*")),1,0)</f>
        <v>0</v>
      </c>
      <c r="R524">
        <f>IF(COUNTIF($E524, _xlfn.CONCAT("*",Table13[[#Headers],[History]],"*")),1,0)</f>
        <v>0</v>
      </c>
      <c r="S524">
        <f>IF(COUNTIF($E524, _xlfn.CONCAT("*",Table13[[#Headers],[Horror]],"*")),1,0)</f>
        <v>0</v>
      </c>
      <c r="T524">
        <f>IF(COUNTIF($E524, _xlfn.CONCAT("*",Table13[[#Headers],[Music]],"*")),1,0)</f>
        <v>0</v>
      </c>
      <c r="U524">
        <f>IF(COUNTIF($E524, _xlfn.CONCAT("*",Table13[[#Headers],[Mystery]],"*")),1,0)</f>
        <v>0</v>
      </c>
      <c r="V524">
        <f>IF(COUNTIF($E524, _xlfn.CONCAT("*",Table13[[#Headers],[Romance]],"*")),1,0)</f>
        <v>0</v>
      </c>
      <c r="W524">
        <f>IF(COUNTIF($E524, _xlfn.CONCAT("*",Table13[[#Headers],[Science Fiction]],"*")),1,0)</f>
        <v>0</v>
      </c>
      <c r="X524">
        <f>IF(COUNTIF($E524, _xlfn.CONCAT("*",Table13[[#Headers],[TV Movie]],"*")),1,0)</f>
        <v>0</v>
      </c>
      <c r="Y524">
        <f>IF(COUNTIF($E524, _xlfn.CONCAT("*",Table13[[#Headers],[Thriller]],"*")),1,0)</f>
        <v>1</v>
      </c>
      <c r="Z524">
        <f>IF(COUNTIF($E524, _xlfn.CONCAT("*",Table13[[#Headers],[War]],"*")),1,0)</f>
        <v>0</v>
      </c>
      <c r="AA524">
        <f>IF(COUNTIF($E524, _xlfn.CONCAT("*",Table13[[#Headers],[Western]],"*")),1,0)</f>
        <v>0</v>
      </c>
    </row>
    <row r="525" spans="1:27">
      <c r="A525" t="s">
        <v>694</v>
      </c>
      <c r="B525">
        <v>40</v>
      </c>
      <c r="C525">
        <f>MAX(Table13[Rank])-Table13[[#This Row],[Rank]]</f>
        <v>224</v>
      </c>
      <c r="D525" t="s">
        <v>674</v>
      </c>
      <c r="E525" t="s">
        <v>21</v>
      </c>
      <c r="F525" s="1">
        <v>35977</v>
      </c>
      <c r="G525">
        <f>YEAR(Table13[[#This Row],[Date]])</f>
        <v>1998</v>
      </c>
      <c r="H525" t="s">
        <v>694</v>
      </c>
      <c r="I525">
        <f>IF(COUNTIF($E525, _xlfn.CONCAT("*",Table13[[#Headers],[Action]],"*")),1,0)</f>
        <v>0</v>
      </c>
      <c r="J525">
        <f>IF(COUNTIF($E525, _xlfn.CONCAT("*",Table13[[#Headers],[Adventure]],"*")),1,0)</f>
        <v>0</v>
      </c>
      <c r="K525">
        <f>IF(COUNTIF($E525, _xlfn.CONCAT("*",Table13[[#Headers],[Animation]],"*")),1,0)</f>
        <v>0</v>
      </c>
      <c r="L525">
        <f>IF(COUNTIF($E525, _xlfn.CONCAT("*",Table13[[#Headers],[Comedy]],"*")),1,0)</f>
        <v>0</v>
      </c>
      <c r="M525">
        <f>IF(COUNTIF($E525, _xlfn.CONCAT("*",Table13[[#Headers],[Crime]],"*")),1,0)</f>
        <v>0</v>
      </c>
      <c r="N525">
        <f>IF(COUNTIF($E525, _xlfn.CONCAT("*",Table13[[#Headers],[Documentary]],"*")),1,0)</f>
        <v>0</v>
      </c>
      <c r="O525">
        <f>IF(COUNTIF($E525, _xlfn.CONCAT("*",Table13[[#Headers],[Drama]],"*")),1,0)</f>
        <v>1</v>
      </c>
      <c r="P525">
        <f>IF(COUNTIF($E525, _xlfn.CONCAT("*",Table13[[#Headers],[Family]],"*")),1,0)</f>
        <v>0</v>
      </c>
      <c r="Q525">
        <f>IF(COUNTIF($E525, _xlfn.CONCAT("*",Table13[[#Headers],[Fantasy]],"*")),1,0)</f>
        <v>0</v>
      </c>
      <c r="R525">
        <f>IF(COUNTIF($E525, _xlfn.CONCAT("*",Table13[[#Headers],[History]],"*")),1,0)</f>
        <v>0</v>
      </c>
      <c r="S525">
        <f>IF(COUNTIF($E525, _xlfn.CONCAT("*",Table13[[#Headers],[Horror]],"*")),1,0)</f>
        <v>0</v>
      </c>
      <c r="T525">
        <f>IF(COUNTIF($E525, _xlfn.CONCAT("*",Table13[[#Headers],[Music]],"*")),1,0)</f>
        <v>0</v>
      </c>
      <c r="U525">
        <f>IF(COUNTIF($E525, _xlfn.CONCAT("*",Table13[[#Headers],[Mystery]],"*")),1,0)</f>
        <v>0</v>
      </c>
      <c r="V525">
        <f>IF(COUNTIF($E525, _xlfn.CONCAT("*",Table13[[#Headers],[Romance]],"*")),1,0)</f>
        <v>0</v>
      </c>
      <c r="W525">
        <f>IF(COUNTIF($E525, _xlfn.CONCAT("*",Table13[[#Headers],[Science Fiction]],"*")),1,0)</f>
        <v>0</v>
      </c>
      <c r="X525">
        <f>IF(COUNTIF($E525, _xlfn.CONCAT("*",Table13[[#Headers],[TV Movie]],"*")),1,0)</f>
        <v>0</v>
      </c>
      <c r="Y525">
        <f>IF(COUNTIF($E525, _xlfn.CONCAT("*",Table13[[#Headers],[Thriller]],"*")),1,0)</f>
        <v>0</v>
      </c>
      <c r="Z525">
        <f>IF(COUNTIF($E525, _xlfn.CONCAT("*",Table13[[#Headers],[War]],"*")),1,0)</f>
        <v>0</v>
      </c>
      <c r="AA525">
        <f>IF(COUNTIF($E525, _xlfn.CONCAT("*",Table13[[#Headers],[Western]],"*")),1,0)</f>
        <v>0</v>
      </c>
    </row>
    <row r="526" spans="1:27">
      <c r="A526" t="s">
        <v>376</v>
      </c>
      <c r="B526">
        <v>41</v>
      </c>
      <c r="C526">
        <f>MAX(Table13[Rank])-Table13[[#This Row],[Rank]]</f>
        <v>223</v>
      </c>
      <c r="D526" t="s">
        <v>674</v>
      </c>
      <c r="E526" t="s">
        <v>81</v>
      </c>
      <c r="F526" s="1">
        <v>29082</v>
      </c>
      <c r="G526">
        <f>YEAR(Table13[[#This Row],[Date]])</f>
        <v>1979</v>
      </c>
      <c r="H526" t="s">
        <v>376</v>
      </c>
      <c r="I526">
        <f>IF(COUNTIF($E526, _xlfn.CONCAT("*",Table13[[#Headers],[Action]],"*")),1,0)</f>
        <v>0</v>
      </c>
      <c r="J526">
        <f>IF(COUNTIF($E526, _xlfn.CONCAT("*",Table13[[#Headers],[Adventure]],"*")),1,0)</f>
        <v>0</v>
      </c>
      <c r="K526">
        <f>IF(COUNTIF($E526, _xlfn.CONCAT("*",Table13[[#Headers],[Animation]],"*")),1,0)</f>
        <v>0</v>
      </c>
      <c r="L526">
        <f>IF(COUNTIF($E526, _xlfn.CONCAT("*",Table13[[#Headers],[Comedy]],"*")),1,0)</f>
        <v>0</v>
      </c>
      <c r="M526">
        <f>IF(COUNTIF($E526, _xlfn.CONCAT("*",Table13[[#Headers],[Crime]],"*")),1,0)</f>
        <v>0</v>
      </c>
      <c r="N526">
        <f>IF(COUNTIF($E526, _xlfn.CONCAT("*",Table13[[#Headers],[Documentary]],"*")),1,0)</f>
        <v>0</v>
      </c>
      <c r="O526">
        <f>IF(COUNTIF($E526, _xlfn.CONCAT("*",Table13[[#Headers],[Drama]],"*")),1,0)</f>
        <v>1</v>
      </c>
      <c r="P526">
        <f>IF(COUNTIF($E526, _xlfn.CONCAT("*",Table13[[#Headers],[Family]],"*")),1,0)</f>
        <v>0</v>
      </c>
      <c r="Q526">
        <f>IF(COUNTIF($E526, _xlfn.CONCAT("*",Table13[[#Headers],[Fantasy]],"*")),1,0)</f>
        <v>0</v>
      </c>
      <c r="R526">
        <f>IF(COUNTIF($E526, _xlfn.CONCAT("*",Table13[[#Headers],[History]],"*")),1,0)</f>
        <v>0</v>
      </c>
      <c r="S526">
        <f>IF(COUNTIF($E526, _xlfn.CONCAT("*",Table13[[#Headers],[Horror]],"*")),1,0)</f>
        <v>0</v>
      </c>
      <c r="T526">
        <f>IF(COUNTIF($E526, _xlfn.CONCAT("*",Table13[[#Headers],[Music]],"*")),1,0)</f>
        <v>0</v>
      </c>
      <c r="U526">
        <f>IF(COUNTIF($E526, _xlfn.CONCAT("*",Table13[[#Headers],[Mystery]],"*")),1,0)</f>
        <v>0</v>
      </c>
      <c r="V526">
        <f>IF(COUNTIF($E526, _xlfn.CONCAT("*",Table13[[#Headers],[Romance]],"*")),1,0)</f>
        <v>0</v>
      </c>
      <c r="W526">
        <f>IF(COUNTIF($E526, _xlfn.CONCAT("*",Table13[[#Headers],[Science Fiction]],"*")),1,0)</f>
        <v>0</v>
      </c>
      <c r="X526">
        <f>IF(COUNTIF($E526, _xlfn.CONCAT("*",Table13[[#Headers],[TV Movie]],"*")),1,0)</f>
        <v>0</v>
      </c>
      <c r="Y526">
        <f>IF(COUNTIF($E526, _xlfn.CONCAT("*",Table13[[#Headers],[Thriller]],"*")),1,0)</f>
        <v>0</v>
      </c>
      <c r="Z526">
        <f>IF(COUNTIF($E526, _xlfn.CONCAT("*",Table13[[#Headers],[War]],"*")),1,0)</f>
        <v>1</v>
      </c>
      <c r="AA526">
        <f>IF(COUNTIF($E526, _xlfn.CONCAT("*",Table13[[#Headers],[Western]],"*")),1,0)</f>
        <v>0</v>
      </c>
    </row>
    <row r="527" spans="1:27">
      <c r="A527" t="s">
        <v>653</v>
      </c>
      <c r="B527">
        <v>42</v>
      </c>
      <c r="C527">
        <f>MAX(Table13[Rank])-Table13[[#This Row],[Rank]]</f>
        <v>222</v>
      </c>
      <c r="D527" t="s">
        <v>674</v>
      </c>
      <c r="E527" t="s">
        <v>652</v>
      </c>
      <c r="F527" s="1">
        <v>34131</v>
      </c>
      <c r="G527">
        <f>YEAR(Table13[[#This Row],[Date]])</f>
        <v>1993</v>
      </c>
      <c r="H527" t="s">
        <v>653</v>
      </c>
      <c r="I527">
        <f>IF(COUNTIF($E527, _xlfn.CONCAT("*",Table13[[#Headers],[Action]],"*")),1,0)</f>
        <v>0</v>
      </c>
      <c r="J527">
        <f>IF(COUNTIF($E527, _xlfn.CONCAT("*",Table13[[#Headers],[Adventure]],"*")),1,0)</f>
        <v>1</v>
      </c>
      <c r="K527">
        <f>IF(COUNTIF($E527, _xlfn.CONCAT("*",Table13[[#Headers],[Animation]],"*")),1,0)</f>
        <v>0</v>
      </c>
      <c r="L527">
        <f>IF(COUNTIF($E527, _xlfn.CONCAT("*",Table13[[#Headers],[Comedy]],"*")),1,0)</f>
        <v>0</v>
      </c>
      <c r="M527">
        <f>IF(COUNTIF($E527, _xlfn.CONCAT("*",Table13[[#Headers],[Crime]],"*")),1,0)</f>
        <v>0</v>
      </c>
      <c r="N527">
        <f>IF(COUNTIF($E527, _xlfn.CONCAT("*",Table13[[#Headers],[Documentary]],"*")),1,0)</f>
        <v>0</v>
      </c>
      <c r="O527">
        <f>IF(COUNTIF($E527, _xlfn.CONCAT("*",Table13[[#Headers],[Drama]],"*")),1,0)</f>
        <v>0</v>
      </c>
      <c r="P527">
        <f>IF(COUNTIF($E527, _xlfn.CONCAT("*",Table13[[#Headers],[Family]],"*")),1,0)</f>
        <v>0</v>
      </c>
      <c r="Q527">
        <f>IF(COUNTIF($E527, _xlfn.CONCAT("*",Table13[[#Headers],[Fantasy]],"*")),1,0)</f>
        <v>0</v>
      </c>
      <c r="R527">
        <f>IF(COUNTIF($E527, _xlfn.CONCAT("*",Table13[[#Headers],[History]],"*")),1,0)</f>
        <v>0</v>
      </c>
      <c r="S527">
        <f>IF(COUNTIF($E527, _xlfn.CONCAT("*",Table13[[#Headers],[Horror]],"*")),1,0)</f>
        <v>0</v>
      </c>
      <c r="T527">
        <f>IF(COUNTIF($E527, _xlfn.CONCAT("*",Table13[[#Headers],[Music]],"*")),1,0)</f>
        <v>0</v>
      </c>
      <c r="U527">
        <f>IF(COUNTIF($E527, _xlfn.CONCAT("*",Table13[[#Headers],[Mystery]],"*")),1,0)</f>
        <v>0</v>
      </c>
      <c r="V527">
        <f>IF(COUNTIF($E527, _xlfn.CONCAT("*",Table13[[#Headers],[Romance]],"*")),1,0)</f>
        <v>0</v>
      </c>
      <c r="W527">
        <f>IF(COUNTIF($E527, _xlfn.CONCAT("*",Table13[[#Headers],[Science Fiction]],"*")),1,0)</f>
        <v>1</v>
      </c>
      <c r="X527">
        <f>IF(COUNTIF($E527, _xlfn.CONCAT("*",Table13[[#Headers],[TV Movie]],"*")),1,0)</f>
        <v>0</v>
      </c>
      <c r="Y527">
        <f>IF(COUNTIF($E527, _xlfn.CONCAT("*",Table13[[#Headers],[Thriller]],"*")),1,0)</f>
        <v>0</v>
      </c>
      <c r="Z527">
        <f>IF(COUNTIF($E527, _xlfn.CONCAT("*",Table13[[#Headers],[War]],"*")),1,0)</f>
        <v>0</v>
      </c>
      <c r="AA527">
        <f>IF(COUNTIF($E527, _xlfn.CONCAT("*",Table13[[#Headers],[Western]],"*")),1,0)</f>
        <v>0</v>
      </c>
    </row>
    <row r="528" spans="1:27">
      <c r="A528" t="s">
        <v>347</v>
      </c>
      <c r="B528">
        <v>43</v>
      </c>
      <c r="C528">
        <f>MAX(Table13[Rank])-Table13[[#This Row],[Rank]]</f>
        <v>221</v>
      </c>
      <c r="D528" t="s">
        <v>674</v>
      </c>
      <c r="E528" t="s">
        <v>315</v>
      </c>
      <c r="F528" s="1">
        <v>19937</v>
      </c>
      <c r="G528">
        <f>YEAR(Table13[[#This Row],[Date]])</f>
        <v>1954</v>
      </c>
      <c r="H528" t="s">
        <v>347</v>
      </c>
      <c r="I528">
        <f>IF(COUNTIF($E528, _xlfn.CONCAT("*",Table13[[#Headers],[Action]],"*")),1,0)</f>
        <v>0</v>
      </c>
      <c r="J528">
        <f>IF(COUNTIF($E528, _xlfn.CONCAT("*",Table13[[#Headers],[Adventure]],"*")),1,0)</f>
        <v>0</v>
      </c>
      <c r="K528">
        <f>IF(COUNTIF($E528, _xlfn.CONCAT("*",Table13[[#Headers],[Animation]],"*")),1,0)</f>
        <v>0</v>
      </c>
      <c r="L528">
        <f>IF(COUNTIF($E528, _xlfn.CONCAT("*",Table13[[#Headers],[Comedy]],"*")),1,0)</f>
        <v>0</v>
      </c>
      <c r="M528">
        <f>IF(COUNTIF($E528, _xlfn.CONCAT("*",Table13[[#Headers],[Crime]],"*")),1,0)</f>
        <v>0</v>
      </c>
      <c r="N528">
        <f>IF(COUNTIF($E528, _xlfn.CONCAT("*",Table13[[#Headers],[Documentary]],"*")),1,0)</f>
        <v>0</v>
      </c>
      <c r="O528">
        <f>IF(COUNTIF($E528, _xlfn.CONCAT("*",Table13[[#Headers],[Drama]],"*")),1,0)</f>
        <v>0</v>
      </c>
      <c r="P528">
        <f>IF(COUNTIF($E528, _xlfn.CONCAT("*",Table13[[#Headers],[Family]],"*")),1,0)</f>
        <v>0</v>
      </c>
      <c r="Q528">
        <f>IF(COUNTIF($E528, _xlfn.CONCAT("*",Table13[[#Headers],[Fantasy]],"*")),1,0)</f>
        <v>0</v>
      </c>
      <c r="R528">
        <f>IF(COUNTIF($E528, _xlfn.CONCAT("*",Table13[[#Headers],[History]],"*")),1,0)</f>
        <v>0</v>
      </c>
      <c r="S528">
        <f>IF(COUNTIF($E528, _xlfn.CONCAT("*",Table13[[#Headers],[Horror]],"*")),1,0)</f>
        <v>0</v>
      </c>
      <c r="T528">
        <f>IF(COUNTIF($E528, _xlfn.CONCAT("*",Table13[[#Headers],[Music]],"*")),1,0)</f>
        <v>0</v>
      </c>
      <c r="U528">
        <f>IF(COUNTIF($E528, _xlfn.CONCAT("*",Table13[[#Headers],[Mystery]],"*")),1,0)</f>
        <v>1</v>
      </c>
      <c r="V528">
        <f>IF(COUNTIF($E528, _xlfn.CONCAT("*",Table13[[#Headers],[Romance]],"*")),1,0)</f>
        <v>0</v>
      </c>
      <c r="W528">
        <f>IF(COUNTIF($E528, _xlfn.CONCAT("*",Table13[[#Headers],[Science Fiction]],"*")),1,0)</f>
        <v>0</v>
      </c>
      <c r="X528">
        <f>IF(COUNTIF($E528, _xlfn.CONCAT("*",Table13[[#Headers],[TV Movie]],"*")),1,0)</f>
        <v>0</v>
      </c>
      <c r="Y528">
        <f>IF(COUNTIF($E528, _xlfn.CONCAT("*",Table13[[#Headers],[Thriller]],"*")),1,0)</f>
        <v>1</v>
      </c>
      <c r="Z528">
        <f>IF(COUNTIF($E528, _xlfn.CONCAT("*",Table13[[#Headers],[War]],"*")),1,0)</f>
        <v>0</v>
      </c>
      <c r="AA528">
        <f>IF(COUNTIF($E528, _xlfn.CONCAT("*",Table13[[#Headers],[Western]],"*")),1,0)</f>
        <v>0</v>
      </c>
    </row>
    <row r="529" spans="1:27">
      <c r="A529" t="s">
        <v>695</v>
      </c>
      <c r="B529">
        <v>44</v>
      </c>
      <c r="C529">
        <f>MAX(Table13[Rank])-Table13[[#This Row],[Rank]]</f>
        <v>220</v>
      </c>
      <c r="D529" t="s">
        <v>674</v>
      </c>
      <c r="E529" t="s">
        <v>696</v>
      </c>
      <c r="F529" s="1">
        <v>36504</v>
      </c>
      <c r="G529">
        <f>YEAR(Table13[[#This Row],[Date]])</f>
        <v>1999</v>
      </c>
      <c r="H529" t="s">
        <v>695</v>
      </c>
      <c r="I529">
        <f>IF(COUNTIF($E529, _xlfn.CONCAT("*",Table13[[#Headers],[Action]],"*")),1,0)</f>
        <v>0</v>
      </c>
      <c r="J529">
        <f>IF(COUNTIF($E529, _xlfn.CONCAT("*",Table13[[#Headers],[Adventure]],"*")),1,0)</f>
        <v>0</v>
      </c>
      <c r="K529">
        <f>IF(COUNTIF($E529, _xlfn.CONCAT("*",Table13[[#Headers],[Animation]],"*")),1,0)</f>
        <v>0</v>
      </c>
      <c r="L529">
        <f>IF(COUNTIF($E529, _xlfn.CONCAT("*",Table13[[#Headers],[Comedy]],"*")),1,0)</f>
        <v>0</v>
      </c>
      <c r="M529">
        <f>IF(COUNTIF($E529, _xlfn.CONCAT("*",Table13[[#Headers],[Crime]],"*")),1,0)</f>
        <v>1</v>
      </c>
      <c r="N529">
        <f>IF(COUNTIF($E529, _xlfn.CONCAT("*",Table13[[#Headers],[Documentary]],"*")),1,0)</f>
        <v>0</v>
      </c>
      <c r="O529">
        <f>IF(COUNTIF($E529, _xlfn.CONCAT("*",Table13[[#Headers],[Drama]],"*")),1,0)</f>
        <v>1</v>
      </c>
      <c r="P529">
        <f>IF(COUNTIF($E529, _xlfn.CONCAT("*",Table13[[#Headers],[Family]],"*")),1,0)</f>
        <v>0</v>
      </c>
      <c r="Q529">
        <f>IF(COUNTIF($E529, _xlfn.CONCAT("*",Table13[[#Headers],[Fantasy]],"*")),1,0)</f>
        <v>1</v>
      </c>
      <c r="R529">
        <f>IF(COUNTIF($E529, _xlfn.CONCAT("*",Table13[[#Headers],[History]],"*")),1,0)</f>
        <v>0</v>
      </c>
      <c r="S529">
        <f>IF(COUNTIF($E529, _xlfn.CONCAT("*",Table13[[#Headers],[Horror]],"*")),1,0)</f>
        <v>0</v>
      </c>
      <c r="T529">
        <f>IF(COUNTIF($E529, _xlfn.CONCAT("*",Table13[[#Headers],[Music]],"*")),1,0)</f>
        <v>0</v>
      </c>
      <c r="U529">
        <f>IF(COUNTIF($E529, _xlfn.CONCAT("*",Table13[[#Headers],[Mystery]],"*")),1,0)</f>
        <v>0</v>
      </c>
      <c r="V529">
        <f>IF(COUNTIF($E529, _xlfn.CONCAT("*",Table13[[#Headers],[Romance]],"*")),1,0)</f>
        <v>0</v>
      </c>
      <c r="W529">
        <f>IF(COUNTIF($E529, _xlfn.CONCAT("*",Table13[[#Headers],[Science Fiction]],"*")),1,0)</f>
        <v>0</v>
      </c>
      <c r="X529">
        <f>IF(COUNTIF($E529, _xlfn.CONCAT("*",Table13[[#Headers],[TV Movie]],"*")),1,0)</f>
        <v>0</v>
      </c>
      <c r="Y529">
        <f>IF(COUNTIF($E529, _xlfn.CONCAT("*",Table13[[#Headers],[Thriller]],"*")),1,0)</f>
        <v>0</v>
      </c>
      <c r="Z529">
        <f>IF(COUNTIF($E529, _xlfn.CONCAT("*",Table13[[#Headers],[War]],"*")),1,0)</f>
        <v>0</v>
      </c>
      <c r="AA529">
        <f>IF(COUNTIF($E529, _xlfn.CONCAT("*",Table13[[#Headers],[Western]],"*")),1,0)</f>
        <v>0</v>
      </c>
    </row>
    <row r="530" spans="1:27">
      <c r="A530" t="s">
        <v>697</v>
      </c>
      <c r="B530">
        <v>45</v>
      </c>
      <c r="C530">
        <f>MAX(Table13[Rank])-Table13[[#This Row],[Rank]]</f>
        <v>219</v>
      </c>
      <c r="D530" t="s">
        <v>674</v>
      </c>
      <c r="E530" t="s">
        <v>698</v>
      </c>
      <c r="F530" s="1">
        <v>38513</v>
      </c>
      <c r="G530">
        <f>YEAR(Table13[[#This Row],[Date]])</f>
        <v>2005</v>
      </c>
      <c r="H530" t="s">
        <v>697</v>
      </c>
      <c r="I530">
        <f>IF(COUNTIF($E530, _xlfn.CONCAT("*",Table13[[#Headers],[Action]],"*")),1,0)</f>
        <v>1</v>
      </c>
      <c r="J530">
        <f>IF(COUNTIF($E530, _xlfn.CONCAT("*",Table13[[#Headers],[Adventure]],"*")),1,0)</f>
        <v>0</v>
      </c>
      <c r="K530">
        <f>IF(COUNTIF($E530, _xlfn.CONCAT("*",Table13[[#Headers],[Animation]],"*")),1,0)</f>
        <v>0</v>
      </c>
      <c r="L530">
        <f>IF(COUNTIF($E530, _xlfn.CONCAT("*",Table13[[#Headers],[Comedy]],"*")),1,0)</f>
        <v>0</v>
      </c>
      <c r="M530">
        <f>IF(COUNTIF($E530, _xlfn.CONCAT("*",Table13[[#Headers],[Crime]],"*")),1,0)</f>
        <v>1</v>
      </c>
      <c r="N530">
        <f>IF(COUNTIF($E530, _xlfn.CONCAT("*",Table13[[#Headers],[Documentary]],"*")),1,0)</f>
        <v>0</v>
      </c>
      <c r="O530">
        <f>IF(COUNTIF($E530, _xlfn.CONCAT("*",Table13[[#Headers],[Drama]],"*")),1,0)</f>
        <v>1</v>
      </c>
      <c r="P530">
        <f>IF(COUNTIF($E530, _xlfn.CONCAT("*",Table13[[#Headers],[Family]],"*")),1,0)</f>
        <v>0</v>
      </c>
      <c r="Q530">
        <f>IF(COUNTIF($E530, _xlfn.CONCAT("*",Table13[[#Headers],[Fantasy]],"*")),1,0)</f>
        <v>0</v>
      </c>
      <c r="R530">
        <f>IF(COUNTIF($E530, _xlfn.CONCAT("*",Table13[[#Headers],[History]],"*")),1,0)</f>
        <v>0</v>
      </c>
      <c r="S530">
        <f>IF(COUNTIF($E530, _xlfn.CONCAT("*",Table13[[#Headers],[Horror]],"*")),1,0)</f>
        <v>0</v>
      </c>
      <c r="T530">
        <f>IF(COUNTIF($E530, _xlfn.CONCAT("*",Table13[[#Headers],[Music]],"*")),1,0)</f>
        <v>0</v>
      </c>
      <c r="U530">
        <f>IF(COUNTIF($E530, _xlfn.CONCAT("*",Table13[[#Headers],[Mystery]],"*")),1,0)</f>
        <v>0</v>
      </c>
      <c r="V530">
        <f>IF(COUNTIF($E530, _xlfn.CONCAT("*",Table13[[#Headers],[Romance]],"*")),1,0)</f>
        <v>0</v>
      </c>
      <c r="W530">
        <f>IF(COUNTIF($E530, _xlfn.CONCAT("*",Table13[[#Headers],[Science Fiction]],"*")),1,0)</f>
        <v>0</v>
      </c>
      <c r="X530">
        <f>IF(COUNTIF($E530, _xlfn.CONCAT("*",Table13[[#Headers],[TV Movie]],"*")),1,0)</f>
        <v>0</v>
      </c>
      <c r="Y530">
        <f>IF(COUNTIF($E530, _xlfn.CONCAT("*",Table13[[#Headers],[Thriller]],"*")),1,0)</f>
        <v>0</v>
      </c>
      <c r="Z530">
        <f>IF(COUNTIF($E530, _xlfn.CONCAT("*",Table13[[#Headers],[War]],"*")),1,0)</f>
        <v>0</v>
      </c>
      <c r="AA530">
        <f>IF(COUNTIF($E530, _xlfn.CONCAT("*",Table13[[#Headers],[Western]],"*")),1,0)</f>
        <v>0</v>
      </c>
    </row>
    <row r="531" spans="1:27">
      <c r="A531" t="s">
        <v>699</v>
      </c>
      <c r="B531">
        <v>46</v>
      </c>
      <c r="C531">
        <f>MAX(Table13[Rank])-Table13[[#This Row],[Rank]]</f>
        <v>218</v>
      </c>
      <c r="D531" t="s">
        <v>674</v>
      </c>
      <c r="E531" t="s">
        <v>700</v>
      </c>
      <c r="F531" s="1">
        <v>36378</v>
      </c>
      <c r="G531">
        <f>YEAR(Table13[[#This Row],[Date]])</f>
        <v>1999</v>
      </c>
      <c r="H531" t="s">
        <v>699</v>
      </c>
      <c r="I531">
        <f>IF(COUNTIF($E531, _xlfn.CONCAT("*",Table13[[#Headers],[Action]],"*")),1,0)</f>
        <v>0</v>
      </c>
      <c r="J531">
        <f>IF(COUNTIF($E531, _xlfn.CONCAT("*",Table13[[#Headers],[Adventure]],"*")),1,0)</f>
        <v>0</v>
      </c>
      <c r="K531">
        <f>IF(COUNTIF($E531, _xlfn.CONCAT("*",Table13[[#Headers],[Animation]],"*")),1,0)</f>
        <v>0</v>
      </c>
      <c r="L531">
        <f>IF(COUNTIF($E531, _xlfn.CONCAT("*",Table13[[#Headers],[Comedy]],"*")),1,0)</f>
        <v>0</v>
      </c>
      <c r="M531">
        <f>IF(COUNTIF($E531, _xlfn.CONCAT("*",Table13[[#Headers],[Crime]],"*")),1,0)</f>
        <v>0</v>
      </c>
      <c r="N531">
        <f>IF(COUNTIF($E531, _xlfn.CONCAT("*",Table13[[#Headers],[Documentary]],"*")),1,0)</f>
        <v>0</v>
      </c>
      <c r="O531">
        <f>IF(COUNTIF($E531, _xlfn.CONCAT("*",Table13[[#Headers],[Drama]],"*")),1,0)</f>
        <v>1</v>
      </c>
      <c r="P531">
        <f>IF(COUNTIF($E531, _xlfn.CONCAT("*",Table13[[#Headers],[Family]],"*")),1,0)</f>
        <v>0</v>
      </c>
      <c r="Q531">
        <f>IF(COUNTIF($E531, _xlfn.CONCAT("*",Table13[[#Headers],[Fantasy]],"*")),1,0)</f>
        <v>0</v>
      </c>
      <c r="R531">
        <f>IF(COUNTIF($E531, _xlfn.CONCAT("*",Table13[[#Headers],[History]],"*")),1,0)</f>
        <v>0</v>
      </c>
      <c r="S531">
        <f>IF(COUNTIF($E531, _xlfn.CONCAT("*",Table13[[#Headers],[Horror]],"*")),1,0)</f>
        <v>0</v>
      </c>
      <c r="T531">
        <f>IF(COUNTIF($E531, _xlfn.CONCAT("*",Table13[[#Headers],[Music]],"*")),1,0)</f>
        <v>0</v>
      </c>
      <c r="U531">
        <f>IF(COUNTIF($E531, _xlfn.CONCAT("*",Table13[[#Headers],[Mystery]],"*")),1,0)</f>
        <v>1</v>
      </c>
      <c r="V531">
        <f>IF(COUNTIF($E531, _xlfn.CONCAT("*",Table13[[#Headers],[Romance]],"*")),1,0)</f>
        <v>0</v>
      </c>
      <c r="W531">
        <f>IF(COUNTIF($E531, _xlfn.CONCAT("*",Table13[[#Headers],[Science Fiction]],"*")),1,0)</f>
        <v>0</v>
      </c>
      <c r="X531">
        <f>IF(COUNTIF($E531, _xlfn.CONCAT("*",Table13[[#Headers],[TV Movie]],"*")),1,0)</f>
        <v>0</v>
      </c>
      <c r="Y531">
        <f>IF(COUNTIF($E531, _xlfn.CONCAT("*",Table13[[#Headers],[Thriller]],"*")),1,0)</f>
        <v>1</v>
      </c>
      <c r="Z531">
        <f>IF(COUNTIF($E531, _xlfn.CONCAT("*",Table13[[#Headers],[War]],"*")),1,0)</f>
        <v>0</v>
      </c>
      <c r="AA531">
        <f>IF(COUNTIF($E531, _xlfn.CONCAT("*",Table13[[#Headers],[Western]],"*")),1,0)</f>
        <v>0</v>
      </c>
    </row>
    <row r="532" spans="1:27">
      <c r="A532" t="s">
        <v>615</v>
      </c>
      <c r="B532">
        <v>47</v>
      </c>
      <c r="C532">
        <f>MAX(Table13[Rank])-Table13[[#This Row],[Rank]]</f>
        <v>217</v>
      </c>
      <c r="D532" t="s">
        <v>674</v>
      </c>
      <c r="E532" t="s">
        <v>360</v>
      </c>
      <c r="F532" s="1">
        <v>38065</v>
      </c>
      <c r="G532">
        <f>YEAR(Table13[[#This Row],[Date]])</f>
        <v>2004</v>
      </c>
      <c r="H532" t="s">
        <v>615</v>
      </c>
      <c r="I532">
        <f>IF(COUNTIF($E532, _xlfn.CONCAT("*",Table13[[#Headers],[Action]],"*")),1,0)</f>
        <v>0</v>
      </c>
      <c r="J532">
        <f>IF(COUNTIF($E532, _xlfn.CONCAT("*",Table13[[#Headers],[Adventure]],"*")),1,0)</f>
        <v>0</v>
      </c>
      <c r="K532">
        <f>IF(COUNTIF($E532, _xlfn.CONCAT("*",Table13[[#Headers],[Animation]],"*")),1,0)</f>
        <v>0</v>
      </c>
      <c r="L532">
        <f>IF(COUNTIF($E532, _xlfn.CONCAT("*",Table13[[#Headers],[Comedy]],"*")),1,0)</f>
        <v>0</v>
      </c>
      <c r="M532">
        <f>IF(COUNTIF($E532, _xlfn.CONCAT("*",Table13[[#Headers],[Crime]],"*")),1,0)</f>
        <v>0</v>
      </c>
      <c r="N532">
        <f>IF(COUNTIF($E532, _xlfn.CONCAT("*",Table13[[#Headers],[Documentary]],"*")),1,0)</f>
        <v>0</v>
      </c>
      <c r="O532">
        <f>IF(COUNTIF($E532, _xlfn.CONCAT("*",Table13[[#Headers],[Drama]],"*")),1,0)</f>
        <v>1</v>
      </c>
      <c r="P532">
        <f>IF(COUNTIF($E532, _xlfn.CONCAT("*",Table13[[#Headers],[Family]],"*")),1,0)</f>
        <v>0</v>
      </c>
      <c r="Q532">
        <f>IF(COUNTIF($E532, _xlfn.CONCAT("*",Table13[[#Headers],[Fantasy]],"*")),1,0)</f>
        <v>0</v>
      </c>
      <c r="R532">
        <f>IF(COUNTIF($E532, _xlfn.CONCAT("*",Table13[[#Headers],[History]],"*")),1,0)</f>
        <v>0</v>
      </c>
      <c r="S532">
        <f>IF(COUNTIF($E532, _xlfn.CONCAT("*",Table13[[#Headers],[Horror]],"*")),1,0)</f>
        <v>0</v>
      </c>
      <c r="T532">
        <f>IF(COUNTIF($E532, _xlfn.CONCAT("*",Table13[[#Headers],[Music]],"*")),1,0)</f>
        <v>0</v>
      </c>
      <c r="U532">
        <f>IF(COUNTIF($E532, _xlfn.CONCAT("*",Table13[[#Headers],[Mystery]],"*")),1,0)</f>
        <v>0</v>
      </c>
      <c r="V532">
        <f>IF(COUNTIF($E532, _xlfn.CONCAT("*",Table13[[#Headers],[Romance]],"*")),1,0)</f>
        <v>1</v>
      </c>
      <c r="W532">
        <f>IF(COUNTIF($E532, _xlfn.CONCAT("*",Table13[[#Headers],[Science Fiction]],"*")),1,0)</f>
        <v>1</v>
      </c>
      <c r="X532">
        <f>IF(COUNTIF($E532, _xlfn.CONCAT("*",Table13[[#Headers],[TV Movie]],"*")),1,0)</f>
        <v>0</v>
      </c>
      <c r="Y532">
        <f>IF(COUNTIF($E532, _xlfn.CONCAT("*",Table13[[#Headers],[Thriller]],"*")),1,0)</f>
        <v>0</v>
      </c>
      <c r="Z532">
        <f>IF(COUNTIF($E532, _xlfn.CONCAT("*",Table13[[#Headers],[War]],"*")),1,0)</f>
        <v>0</v>
      </c>
      <c r="AA532">
        <f>IF(COUNTIF($E532, _xlfn.CONCAT("*",Table13[[#Headers],[Western]],"*")),1,0)</f>
        <v>0</v>
      </c>
    </row>
    <row r="533" spans="1:27">
      <c r="A533" t="s">
        <v>701</v>
      </c>
      <c r="B533">
        <v>48</v>
      </c>
      <c r="C533">
        <f>MAX(Table13[Rank])-Table13[[#This Row],[Rank]]</f>
        <v>216</v>
      </c>
      <c r="D533" t="s">
        <v>674</v>
      </c>
      <c r="E533" t="s">
        <v>21</v>
      </c>
      <c r="F533" s="1">
        <v>36418</v>
      </c>
      <c r="G533">
        <f>YEAR(Table13[[#This Row],[Date]])</f>
        <v>1999</v>
      </c>
      <c r="H533" t="s">
        <v>701</v>
      </c>
      <c r="I533">
        <f>IF(COUNTIF($E533, _xlfn.CONCAT("*",Table13[[#Headers],[Action]],"*")),1,0)</f>
        <v>0</v>
      </c>
      <c r="J533">
        <f>IF(COUNTIF($E533, _xlfn.CONCAT("*",Table13[[#Headers],[Adventure]],"*")),1,0)</f>
        <v>0</v>
      </c>
      <c r="K533">
        <f>IF(COUNTIF($E533, _xlfn.CONCAT("*",Table13[[#Headers],[Animation]],"*")),1,0)</f>
        <v>0</v>
      </c>
      <c r="L533">
        <f>IF(COUNTIF($E533, _xlfn.CONCAT("*",Table13[[#Headers],[Comedy]],"*")),1,0)</f>
        <v>0</v>
      </c>
      <c r="M533">
        <f>IF(COUNTIF($E533, _xlfn.CONCAT("*",Table13[[#Headers],[Crime]],"*")),1,0)</f>
        <v>0</v>
      </c>
      <c r="N533">
        <f>IF(COUNTIF($E533, _xlfn.CONCAT("*",Table13[[#Headers],[Documentary]],"*")),1,0)</f>
        <v>0</v>
      </c>
      <c r="O533">
        <f>IF(COUNTIF($E533, _xlfn.CONCAT("*",Table13[[#Headers],[Drama]],"*")),1,0)</f>
        <v>1</v>
      </c>
      <c r="P533">
        <f>IF(COUNTIF($E533, _xlfn.CONCAT("*",Table13[[#Headers],[Family]],"*")),1,0)</f>
        <v>0</v>
      </c>
      <c r="Q533">
        <f>IF(COUNTIF($E533, _xlfn.CONCAT("*",Table13[[#Headers],[Fantasy]],"*")),1,0)</f>
        <v>0</v>
      </c>
      <c r="R533">
        <f>IF(COUNTIF($E533, _xlfn.CONCAT("*",Table13[[#Headers],[History]],"*")),1,0)</f>
        <v>0</v>
      </c>
      <c r="S533">
        <f>IF(COUNTIF($E533, _xlfn.CONCAT("*",Table13[[#Headers],[Horror]],"*")),1,0)</f>
        <v>0</v>
      </c>
      <c r="T533">
        <f>IF(COUNTIF($E533, _xlfn.CONCAT("*",Table13[[#Headers],[Music]],"*")),1,0)</f>
        <v>0</v>
      </c>
      <c r="U533">
        <f>IF(COUNTIF($E533, _xlfn.CONCAT("*",Table13[[#Headers],[Mystery]],"*")),1,0)</f>
        <v>0</v>
      </c>
      <c r="V533">
        <f>IF(COUNTIF($E533, _xlfn.CONCAT("*",Table13[[#Headers],[Romance]],"*")),1,0)</f>
        <v>0</v>
      </c>
      <c r="W533">
        <f>IF(COUNTIF($E533, _xlfn.CONCAT("*",Table13[[#Headers],[Science Fiction]],"*")),1,0)</f>
        <v>0</v>
      </c>
      <c r="X533">
        <f>IF(COUNTIF($E533, _xlfn.CONCAT("*",Table13[[#Headers],[TV Movie]],"*")),1,0)</f>
        <v>0</v>
      </c>
      <c r="Y533">
        <f>IF(COUNTIF($E533, _xlfn.CONCAT("*",Table13[[#Headers],[Thriller]],"*")),1,0)</f>
        <v>0</v>
      </c>
      <c r="Z533">
        <f>IF(COUNTIF($E533, _xlfn.CONCAT("*",Table13[[#Headers],[War]],"*")),1,0)</f>
        <v>0</v>
      </c>
      <c r="AA533">
        <f>IF(COUNTIF($E533, _xlfn.CONCAT("*",Table13[[#Headers],[Western]],"*")),1,0)</f>
        <v>0</v>
      </c>
    </row>
    <row r="534" spans="1:27">
      <c r="A534" t="s">
        <v>702</v>
      </c>
      <c r="B534">
        <v>49</v>
      </c>
      <c r="C534">
        <f>MAX(Table13[Rank])-Table13[[#This Row],[Rank]]</f>
        <v>215</v>
      </c>
      <c r="D534" t="s">
        <v>674</v>
      </c>
      <c r="E534" t="s">
        <v>49</v>
      </c>
      <c r="F534" s="1">
        <v>30461</v>
      </c>
      <c r="G534">
        <f>YEAR(Table13[[#This Row],[Date]])</f>
        <v>1983</v>
      </c>
      <c r="H534" t="s">
        <v>538</v>
      </c>
      <c r="I534">
        <f>IF(COUNTIF($E534, _xlfn.CONCAT("*",Table13[[#Headers],[Action]],"*")),1,0)</f>
        <v>1</v>
      </c>
      <c r="J534">
        <f>IF(COUNTIF($E534, _xlfn.CONCAT("*",Table13[[#Headers],[Adventure]],"*")),1,0)</f>
        <v>1</v>
      </c>
      <c r="K534">
        <f>IF(COUNTIF($E534, _xlfn.CONCAT("*",Table13[[#Headers],[Animation]],"*")),1,0)</f>
        <v>0</v>
      </c>
      <c r="L534">
        <f>IF(COUNTIF($E534, _xlfn.CONCAT("*",Table13[[#Headers],[Comedy]],"*")),1,0)</f>
        <v>0</v>
      </c>
      <c r="M534">
        <f>IF(COUNTIF($E534, _xlfn.CONCAT("*",Table13[[#Headers],[Crime]],"*")),1,0)</f>
        <v>0</v>
      </c>
      <c r="N534">
        <f>IF(COUNTIF($E534, _xlfn.CONCAT("*",Table13[[#Headers],[Documentary]],"*")),1,0)</f>
        <v>0</v>
      </c>
      <c r="O534">
        <f>IF(COUNTIF($E534, _xlfn.CONCAT("*",Table13[[#Headers],[Drama]],"*")),1,0)</f>
        <v>0</v>
      </c>
      <c r="P534">
        <f>IF(COUNTIF($E534, _xlfn.CONCAT("*",Table13[[#Headers],[Family]],"*")),1,0)</f>
        <v>0</v>
      </c>
      <c r="Q534">
        <f>IF(COUNTIF($E534, _xlfn.CONCAT("*",Table13[[#Headers],[Fantasy]],"*")),1,0)</f>
        <v>0</v>
      </c>
      <c r="R534">
        <f>IF(COUNTIF($E534, _xlfn.CONCAT("*",Table13[[#Headers],[History]],"*")),1,0)</f>
        <v>0</v>
      </c>
      <c r="S534">
        <f>IF(COUNTIF($E534, _xlfn.CONCAT("*",Table13[[#Headers],[Horror]],"*")),1,0)</f>
        <v>0</v>
      </c>
      <c r="T534">
        <f>IF(COUNTIF($E534, _xlfn.CONCAT("*",Table13[[#Headers],[Music]],"*")),1,0)</f>
        <v>0</v>
      </c>
      <c r="U534">
        <f>IF(COUNTIF($E534, _xlfn.CONCAT("*",Table13[[#Headers],[Mystery]],"*")),1,0)</f>
        <v>0</v>
      </c>
      <c r="V534">
        <f>IF(COUNTIF($E534, _xlfn.CONCAT("*",Table13[[#Headers],[Romance]],"*")),1,0)</f>
        <v>0</v>
      </c>
      <c r="W534">
        <f>IF(COUNTIF($E534, _xlfn.CONCAT("*",Table13[[#Headers],[Science Fiction]],"*")),1,0)</f>
        <v>1</v>
      </c>
      <c r="X534">
        <f>IF(COUNTIF($E534, _xlfn.CONCAT("*",Table13[[#Headers],[TV Movie]],"*")),1,0)</f>
        <v>0</v>
      </c>
      <c r="Y534">
        <f>IF(COUNTIF($E534, _xlfn.CONCAT("*",Table13[[#Headers],[Thriller]],"*")),1,0)</f>
        <v>0</v>
      </c>
      <c r="Z534">
        <f>IF(COUNTIF($E534, _xlfn.CONCAT("*",Table13[[#Headers],[War]],"*")),1,0)</f>
        <v>0</v>
      </c>
      <c r="AA534">
        <f>IF(COUNTIF($E534, _xlfn.CONCAT("*",Table13[[#Headers],[Western]],"*")),1,0)</f>
        <v>0</v>
      </c>
    </row>
    <row r="535" spans="1:27">
      <c r="A535" t="s">
        <v>556</v>
      </c>
      <c r="B535">
        <v>50</v>
      </c>
      <c r="C535">
        <f>MAX(Table13[Rank])-Table13[[#This Row],[Rank]]</f>
        <v>214</v>
      </c>
      <c r="D535" t="s">
        <v>674</v>
      </c>
      <c r="E535" t="s">
        <v>555</v>
      </c>
      <c r="F535" s="1">
        <v>43440</v>
      </c>
      <c r="G535">
        <f>YEAR(Table13[[#This Row],[Date]])</f>
        <v>2018</v>
      </c>
      <c r="H535" t="s">
        <v>556</v>
      </c>
      <c r="I535">
        <f>IF(COUNTIF($E535, _xlfn.CONCAT("*",Table13[[#Headers],[Action]],"*")),1,0)</f>
        <v>1</v>
      </c>
      <c r="J535">
        <f>IF(COUNTIF($E535, _xlfn.CONCAT("*",Table13[[#Headers],[Adventure]],"*")),1,0)</f>
        <v>1</v>
      </c>
      <c r="K535">
        <f>IF(COUNTIF($E535, _xlfn.CONCAT("*",Table13[[#Headers],[Animation]],"*")),1,0)</f>
        <v>1</v>
      </c>
      <c r="L535">
        <f>IF(COUNTIF($E535, _xlfn.CONCAT("*",Table13[[#Headers],[Comedy]],"*")),1,0)</f>
        <v>0</v>
      </c>
      <c r="M535">
        <f>IF(COUNTIF($E535, _xlfn.CONCAT("*",Table13[[#Headers],[Crime]],"*")),1,0)</f>
        <v>0</v>
      </c>
      <c r="N535">
        <f>IF(COUNTIF($E535, _xlfn.CONCAT("*",Table13[[#Headers],[Documentary]],"*")),1,0)</f>
        <v>0</v>
      </c>
      <c r="O535">
        <f>IF(COUNTIF($E535, _xlfn.CONCAT("*",Table13[[#Headers],[Drama]],"*")),1,0)</f>
        <v>0</v>
      </c>
      <c r="P535">
        <f>IF(COUNTIF($E535, _xlfn.CONCAT("*",Table13[[#Headers],[Family]],"*")),1,0)</f>
        <v>0</v>
      </c>
      <c r="Q535">
        <f>IF(COUNTIF($E535, _xlfn.CONCAT("*",Table13[[#Headers],[Fantasy]],"*")),1,0)</f>
        <v>0</v>
      </c>
      <c r="R535">
        <f>IF(COUNTIF($E535, _xlfn.CONCAT("*",Table13[[#Headers],[History]],"*")),1,0)</f>
        <v>0</v>
      </c>
      <c r="S535">
        <f>IF(COUNTIF($E535, _xlfn.CONCAT("*",Table13[[#Headers],[Horror]],"*")),1,0)</f>
        <v>0</v>
      </c>
      <c r="T535">
        <f>IF(COUNTIF($E535, _xlfn.CONCAT("*",Table13[[#Headers],[Music]],"*")),1,0)</f>
        <v>0</v>
      </c>
      <c r="U535">
        <f>IF(COUNTIF($E535, _xlfn.CONCAT("*",Table13[[#Headers],[Mystery]],"*")),1,0)</f>
        <v>0</v>
      </c>
      <c r="V535">
        <f>IF(COUNTIF($E535, _xlfn.CONCAT("*",Table13[[#Headers],[Romance]],"*")),1,0)</f>
        <v>0</v>
      </c>
      <c r="W535">
        <f>IF(COUNTIF($E535, _xlfn.CONCAT("*",Table13[[#Headers],[Science Fiction]],"*")),1,0)</f>
        <v>1</v>
      </c>
      <c r="X535">
        <f>IF(COUNTIF($E535, _xlfn.CONCAT("*",Table13[[#Headers],[TV Movie]],"*")),1,0)</f>
        <v>0</v>
      </c>
      <c r="Y535">
        <f>IF(COUNTIF($E535, _xlfn.CONCAT("*",Table13[[#Headers],[Thriller]],"*")),1,0)</f>
        <v>0</v>
      </c>
      <c r="Z535">
        <f>IF(COUNTIF($E535, _xlfn.CONCAT("*",Table13[[#Headers],[War]],"*")),1,0)</f>
        <v>0</v>
      </c>
      <c r="AA535">
        <f>IF(COUNTIF($E535, _xlfn.CONCAT("*",Table13[[#Headers],[Western]],"*")),1,0)</f>
        <v>0</v>
      </c>
    </row>
    <row r="536" spans="1:27">
      <c r="A536" t="s">
        <v>703</v>
      </c>
      <c r="B536">
        <v>51</v>
      </c>
      <c r="C536">
        <f>MAX(Table13[Rank])-Table13[[#This Row],[Rank]]</f>
        <v>213</v>
      </c>
      <c r="D536" t="s">
        <v>674</v>
      </c>
      <c r="E536" t="s">
        <v>610</v>
      </c>
      <c r="F536" s="1">
        <v>37771</v>
      </c>
      <c r="G536">
        <f>YEAR(Table13[[#This Row],[Date]])</f>
        <v>2003</v>
      </c>
      <c r="H536" t="s">
        <v>703</v>
      </c>
      <c r="I536">
        <f>IF(COUNTIF($E536, _xlfn.CONCAT("*",Table13[[#Headers],[Action]],"*")),1,0)</f>
        <v>0</v>
      </c>
      <c r="J536">
        <f>IF(COUNTIF($E536, _xlfn.CONCAT("*",Table13[[#Headers],[Adventure]],"*")),1,0)</f>
        <v>0</v>
      </c>
      <c r="K536">
        <f>IF(COUNTIF($E536, _xlfn.CONCAT("*",Table13[[#Headers],[Animation]],"*")),1,0)</f>
        <v>1</v>
      </c>
      <c r="L536">
        <f>IF(COUNTIF($E536, _xlfn.CONCAT("*",Table13[[#Headers],[Comedy]],"*")),1,0)</f>
        <v>0</v>
      </c>
      <c r="M536">
        <f>IF(COUNTIF($E536, _xlfn.CONCAT("*",Table13[[#Headers],[Crime]],"*")),1,0)</f>
        <v>0</v>
      </c>
      <c r="N536">
        <f>IF(COUNTIF($E536, _xlfn.CONCAT("*",Table13[[#Headers],[Documentary]],"*")),1,0)</f>
        <v>0</v>
      </c>
      <c r="O536">
        <f>IF(COUNTIF($E536, _xlfn.CONCAT("*",Table13[[#Headers],[Drama]],"*")),1,0)</f>
        <v>0</v>
      </c>
      <c r="P536">
        <f>IF(COUNTIF($E536, _xlfn.CONCAT("*",Table13[[#Headers],[Family]],"*")),1,0)</f>
        <v>1</v>
      </c>
      <c r="Q536">
        <f>IF(COUNTIF($E536, _xlfn.CONCAT("*",Table13[[#Headers],[Fantasy]],"*")),1,0)</f>
        <v>0</v>
      </c>
      <c r="R536">
        <f>IF(COUNTIF($E536, _xlfn.CONCAT("*",Table13[[#Headers],[History]],"*")),1,0)</f>
        <v>0</v>
      </c>
      <c r="S536">
        <f>IF(COUNTIF($E536, _xlfn.CONCAT("*",Table13[[#Headers],[Horror]],"*")),1,0)</f>
        <v>0</v>
      </c>
      <c r="T536">
        <f>IF(COUNTIF($E536, _xlfn.CONCAT("*",Table13[[#Headers],[Music]],"*")),1,0)</f>
        <v>0</v>
      </c>
      <c r="U536">
        <f>IF(COUNTIF($E536, _xlfn.CONCAT("*",Table13[[#Headers],[Mystery]],"*")),1,0)</f>
        <v>0</v>
      </c>
      <c r="V536">
        <f>IF(COUNTIF($E536, _xlfn.CONCAT("*",Table13[[#Headers],[Romance]],"*")),1,0)</f>
        <v>0</v>
      </c>
      <c r="W536">
        <f>IF(COUNTIF($E536, _xlfn.CONCAT("*",Table13[[#Headers],[Science Fiction]],"*")),1,0)</f>
        <v>0</v>
      </c>
      <c r="X536">
        <f>IF(COUNTIF($E536, _xlfn.CONCAT("*",Table13[[#Headers],[TV Movie]],"*")),1,0)</f>
        <v>0</v>
      </c>
      <c r="Y536">
        <f>IF(COUNTIF($E536, _xlfn.CONCAT("*",Table13[[#Headers],[Thriller]],"*")),1,0)</f>
        <v>0</v>
      </c>
      <c r="Z536">
        <f>IF(COUNTIF($E536, _xlfn.CONCAT("*",Table13[[#Headers],[War]],"*")),1,0)</f>
        <v>0</v>
      </c>
      <c r="AA536">
        <f>IF(COUNTIF($E536, _xlfn.CONCAT("*",Table13[[#Headers],[Western]],"*")),1,0)</f>
        <v>0</v>
      </c>
    </row>
    <row r="537" spans="1:27">
      <c r="A537" t="s">
        <v>704</v>
      </c>
      <c r="B537">
        <v>52</v>
      </c>
      <c r="C537">
        <f>MAX(Table13[Rank])-Table13[[#This Row],[Rank]]</f>
        <v>212</v>
      </c>
      <c r="D537" t="s">
        <v>674</v>
      </c>
      <c r="E537" t="s">
        <v>705</v>
      </c>
      <c r="F537" s="1">
        <v>41024</v>
      </c>
      <c r="G537">
        <f>YEAR(Table13[[#This Row],[Date]])</f>
        <v>2012</v>
      </c>
      <c r="H537" t="s">
        <v>704</v>
      </c>
      <c r="I537">
        <f>IF(COUNTIF($E537, _xlfn.CONCAT("*",Table13[[#Headers],[Action]],"*")),1,0)</f>
        <v>1</v>
      </c>
      <c r="J537">
        <f>IF(COUNTIF($E537, _xlfn.CONCAT("*",Table13[[#Headers],[Adventure]],"*")),1,0)</f>
        <v>1</v>
      </c>
      <c r="K537">
        <f>IF(COUNTIF($E537, _xlfn.CONCAT("*",Table13[[#Headers],[Animation]],"*")),1,0)</f>
        <v>0</v>
      </c>
      <c r="L537">
        <f>IF(COUNTIF($E537, _xlfn.CONCAT("*",Table13[[#Headers],[Comedy]],"*")),1,0)</f>
        <v>0</v>
      </c>
      <c r="M537">
        <f>IF(COUNTIF($E537, _xlfn.CONCAT("*",Table13[[#Headers],[Crime]],"*")),1,0)</f>
        <v>0</v>
      </c>
      <c r="N537">
        <f>IF(COUNTIF($E537, _xlfn.CONCAT("*",Table13[[#Headers],[Documentary]],"*")),1,0)</f>
        <v>0</v>
      </c>
      <c r="O537">
        <f>IF(COUNTIF($E537, _xlfn.CONCAT("*",Table13[[#Headers],[Drama]],"*")),1,0)</f>
        <v>0</v>
      </c>
      <c r="P537">
        <f>IF(COUNTIF($E537, _xlfn.CONCAT("*",Table13[[#Headers],[Family]],"*")),1,0)</f>
        <v>0</v>
      </c>
      <c r="Q537">
        <f>IF(COUNTIF($E537, _xlfn.CONCAT("*",Table13[[#Headers],[Fantasy]],"*")),1,0)</f>
        <v>0</v>
      </c>
      <c r="R537">
        <f>IF(COUNTIF($E537, _xlfn.CONCAT("*",Table13[[#Headers],[History]],"*")),1,0)</f>
        <v>0</v>
      </c>
      <c r="S537">
        <f>IF(COUNTIF($E537, _xlfn.CONCAT("*",Table13[[#Headers],[Horror]],"*")),1,0)</f>
        <v>0</v>
      </c>
      <c r="T537">
        <f>IF(COUNTIF($E537, _xlfn.CONCAT("*",Table13[[#Headers],[Music]],"*")),1,0)</f>
        <v>0</v>
      </c>
      <c r="U537">
        <f>IF(COUNTIF($E537, _xlfn.CONCAT("*",Table13[[#Headers],[Mystery]],"*")),1,0)</f>
        <v>0</v>
      </c>
      <c r="V537">
        <f>IF(COUNTIF($E537, _xlfn.CONCAT("*",Table13[[#Headers],[Romance]],"*")),1,0)</f>
        <v>0</v>
      </c>
      <c r="W537">
        <f>IF(COUNTIF($E537, _xlfn.CONCAT("*",Table13[[#Headers],[Science Fiction]],"*")),1,0)</f>
        <v>1</v>
      </c>
      <c r="X537">
        <f>IF(COUNTIF($E537, _xlfn.CONCAT("*",Table13[[#Headers],[TV Movie]],"*")),1,0)</f>
        <v>0</v>
      </c>
      <c r="Y537">
        <f>IF(COUNTIF($E537, _xlfn.CONCAT("*",Table13[[#Headers],[Thriller]],"*")),1,0)</f>
        <v>0</v>
      </c>
      <c r="Z537">
        <f>IF(COUNTIF($E537, _xlfn.CONCAT("*",Table13[[#Headers],[War]],"*")),1,0)</f>
        <v>0</v>
      </c>
      <c r="AA537">
        <f>IF(COUNTIF($E537, _xlfn.CONCAT("*",Table13[[#Headers],[Western]],"*")),1,0)</f>
        <v>0</v>
      </c>
    </row>
    <row r="538" spans="1:27">
      <c r="A538" t="s">
        <v>706</v>
      </c>
      <c r="B538">
        <v>53</v>
      </c>
      <c r="C538">
        <f>MAX(Table13[Rank])-Table13[[#This Row],[Rank]]</f>
        <v>211</v>
      </c>
      <c r="D538" t="s">
        <v>674</v>
      </c>
      <c r="E538" t="s">
        <v>707</v>
      </c>
      <c r="F538" s="1">
        <v>39961</v>
      </c>
      <c r="G538">
        <f>YEAR(Table13[[#This Row],[Date]])</f>
        <v>2009</v>
      </c>
      <c r="H538" t="s">
        <v>706</v>
      </c>
      <c r="I538">
        <f>IF(COUNTIF($E538, _xlfn.CONCAT("*",Table13[[#Headers],[Action]],"*")),1,0)</f>
        <v>0</v>
      </c>
      <c r="J538">
        <f>IF(COUNTIF($E538, _xlfn.CONCAT("*",Table13[[#Headers],[Adventure]],"*")),1,0)</f>
        <v>1</v>
      </c>
      <c r="K538">
        <f>IF(COUNTIF($E538, _xlfn.CONCAT("*",Table13[[#Headers],[Animation]],"*")),1,0)</f>
        <v>1</v>
      </c>
      <c r="L538">
        <f>IF(COUNTIF($E538, _xlfn.CONCAT("*",Table13[[#Headers],[Comedy]],"*")),1,0)</f>
        <v>1</v>
      </c>
      <c r="M538">
        <f>IF(COUNTIF($E538, _xlfn.CONCAT("*",Table13[[#Headers],[Crime]],"*")),1,0)</f>
        <v>0</v>
      </c>
      <c r="N538">
        <f>IF(COUNTIF($E538, _xlfn.CONCAT("*",Table13[[#Headers],[Documentary]],"*")),1,0)</f>
        <v>0</v>
      </c>
      <c r="O538">
        <f>IF(COUNTIF($E538, _xlfn.CONCAT("*",Table13[[#Headers],[Drama]],"*")),1,0)</f>
        <v>0</v>
      </c>
      <c r="P538">
        <f>IF(COUNTIF($E538, _xlfn.CONCAT("*",Table13[[#Headers],[Family]],"*")),1,0)</f>
        <v>1</v>
      </c>
      <c r="Q538">
        <f>IF(COUNTIF($E538, _xlfn.CONCAT("*",Table13[[#Headers],[Fantasy]],"*")),1,0)</f>
        <v>0</v>
      </c>
      <c r="R538">
        <f>IF(COUNTIF($E538, _xlfn.CONCAT("*",Table13[[#Headers],[History]],"*")),1,0)</f>
        <v>0</v>
      </c>
      <c r="S538">
        <f>IF(COUNTIF($E538, _xlfn.CONCAT("*",Table13[[#Headers],[Horror]],"*")),1,0)</f>
        <v>0</v>
      </c>
      <c r="T538">
        <f>IF(COUNTIF($E538, _xlfn.CONCAT("*",Table13[[#Headers],[Music]],"*")),1,0)</f>
        <v>0</v>
      </c>
      <c r="U538">
        <f>IF(COUNTIF($E538, _xlfn.CONCAT("*",Table13[[#Headers],[Mystery]],"*")),1,0)</f>
        <v>0</v>
      </c>
      <c r="V538">
        <f>IF(COUNTIF($E538, _xlfn.CONCAT("*",Table13[[#Headers],[Romance]],"*")),1,0)</f>
        <v>0</v>
      </c>
      <c r="W538">
        <f>IF(COUNTIF($E538, _xlfn.CONCAT("*",Table13[[#Headers],[Science Fiction]],"*")),1,0)</f>
        <v>0</v>
      </c>
      <c r="X538">
        <f>IF(COUNTIF($E538, _xlfn.CONCAT("*",Table13[[#Headers],[TV Movie]],"*")),1,0)</f>
        <v>0</v>
      </c>
      <c r="Y538">
        <f>IF(COUNTIF($E538, _xlfn.CONCAT("*",Table13[[#Headers],[Thriller]],"*")),1,0)</f>
        <v>0</v>
      </c>
      <c r="Z538">
        <f>IF(COUNTIF($E538, _xlfn.CONCAT("*",Table13[[#Headers],[War]],"*")),1,0)</f>
        <v>0</v>
      </c>
      <c r="AA538">
        <f>IF(COUNTIF($E538, _xlfn.CONCAT("*",Table13[[#Headers],[Western]],"*")),1,0)</f>
        <v>0</v>
      </c>
    </row>
    <row r="539" spans="1:27">
      <c r="A539" t="s">
        <v>708</v>
      </c>
      <c r="B539">
        <v>54</v>
      </c>
      <c r="C539">
        <f>MAX(Table13[Rank])-Table13[[#This Row],[Rank]]</f>
        <v>210</v>
      </c>
      <c r="D539" t="s">
        <v>674</v>
      </c>
      <c r="E539" t="s">
        <v>648</v>
      </c>
      <c r="F539" s="1">
        <v>43615</v>
      </c>
      <c r="G539">
        <f>YEAR(Table13[[#This Row],[Date]])</f>
        <v>2019</v>
      </c>
      <c r="H539" t="s">
        <v>275</v>
      </c>
      <c r="I539">
        <f>IF(COUNTIF($E539, _xlfn.CONCAT("*",Table13[[#Headers],[Action]],"*")),1,0)</f>
        <v>0</v>
      </c>
      <c r="J539">
        <f>IF(COUNTIF($E539, _xlfn.CONCAT("*",Table13[[#Headers],[Adventure]],"*")),1,0)</f>
        <v>0</v>
      </c>
      <c r="K539">
        <f>IF(COUNTIF($E539, _xlfn.CONCAT("*",Table13[[#Headers],[Animation]],"*")),1,0)</f>
        <v>0</v>
      </c>
      <c r="L539">
        <f>IF(COUNTIF($E539, _xlfn.CONCAT("*",Table13[[#Headers],[Comedy]],"*")),1,0)</f>
        <v>1</v>
      </c>
      <c r="M539">
        <f>IF(COUNTIF($E539, _xlfn.CONCAT("*",Table13[[#Headers],[Crime]],"*")),1,0)</f>
        <v>0</v>
      </c>
      <c r="N539">
        <f>IF(COUNTIF($E539, _xlfn.CONCAT("*",Table13[[#Headers],[Documentary]],"*")),1,0)</f>
        <v>0</v>
      </c>
      <c r="O539">
        <f>IF(COUNTIF($E539, _xlfn.CONCAT("*",Table13[[#Headers],[Drama]],"*")),1,0)</f>
        <v>1</v>
      </c>
      <c r="P539">
        <f>IF(COUNTIF($E539, _xlfn.CONCAT("*",Table13[[#Headers],[Family]],"*")),1,0)</f>
        <v>0</v>
      </c>
      <c r="Q539">
        <f>IF(COUNTIF($E539, _xlfn.CONCAT("*",Table13[[#Headers],[Fantasy]],"*")),1,0)</f>
        <v>0</v>
      </c>
      <c r="R539">
        <f>IF(COUNTIF($E539, _xlfn.CONCAT("*",Table13[[#Headers],[History]],"*")),1,0)</f>
        <v>0</v>
      </c>
      <c r="S539">
        <f>IF(COUNTIF($E539, _xlfn.CONCAT("*",Table13[[#Headers],[Horror]],"*")),1,0)</f>
        <v>0</v>
      </c>
      <c r="T539">
        <f>IF(COUNTIF($E539, _xlfn.CONCAT("*",Table13[[#Headers],[Music]],"*")),1,0)</f>
        <v>0</v>
      </c>
      <c r="U539">
        <f>IF(COUNTIF($E539, _xlfn.CONCAT("*",Table13[[#Headers],[Mystery]],"*")),1,0)</f>
        <v>0</v>
      </c>
      <c r="V539">
        <f>IF(COUNTIF($E539, _xlfn.CONCAT("*",Table13[[#Headers],[Romance]],"*")),1,0)</f>
        <v>0</v>
      </c>
      <c r="W539">
        <f>IF(COUNTIF($E539, _xlfn.CONCAT("*",Table13[[#Headers],[Science Fiction]],"*")),1,0)</f>
        <v>0</v>
      </c>
      <c r="X539">
        <f>IF(COUNTIF($E539, _xlfn.CONCAT("*",Table13[[#Headers],[TV Movie]],"*")),1,0)</f>
        <v>0</v>
      </c>
      <c r="Y539">
        <f>IF(COUNTIF($E539, _xlfn.CONCAT("*",Table13[[#Headers],[Thriller]],"*")),1,0)</f>
        <v>1</v>
      </c>
      <c r="Z539">
        <f>IF(COUNTIF($E539, _xlfn.CONCAT("*",Table13[[#Headers],[War]],"*")),1,0)</f>
        <v>0</v>
      </c>
      <c r="AA539">
        <f>IF(COUNTIF($E539, _xlfn.CONCAT("*",Table13[[#Headers],[Western]],"*")),1,0)</f>
        <v>0</v>
      </c>
    </row>
    <row r="540" spans="1:27">
      <c r="A540" t="s">
        <v>709</v>
      </c>
      <c r="B540">
        <v>55</v>
      </c>
      <c r="C540">
        <f>MAX(Table13[Rank])-Table13[[#This Row],[Rank]]</f>
        <v>209</v>
      </c>
      <c r="D540" t="s">
        <v>674</v>
      </c>
      <c r="E540" t="s">
        <v>512</v>
      </c>
      <c r="F540" s="1">
        <v>31611</v>
      </c>
      <c r="G540">
        <f>YEAR(Table13[[#This Row],[Date]])</f>
        <v>1986</v>
      </c>
      <c r="H540" t="s">
        <v>298</v>
      </c>
      <c r="I540">
        <f>IF(COUNTIF($E540, _xlfn.CONCAT("*",Table13[[#Headers],[Action]],"*")),1,0)</f>
        <v>1</v>
      </c>
      <c r="J540">
        <f>IF(COUNTIF($E540, _xlfn.CONCAT("*",Table13[[#Headers],[Adventure]],"*")),1,0)</f>
        <v>0</v>
      </c>
      <c r="K540">
        <f>IF(COUNTIF($E540, _xlfn.CONCAT("*",Table13[[#Headers],[Animation]],"*")),1,0)</f>
        <v>0</v>
      </c>
      <c r="L540">
        <f>IF(COUNTIF($E540, _xlfn.CONCAT("*",Table13[[#Headers],[Comedy]],"*")),1,0)</f>
        <v>0</v>
      </c>
      <c r="M540">
        <f>IF(COUNTIF($E540, _xlfn.CONCAT("*",Table13[[#Headers],[Crime]],"*")),1,0)</f>
        <v>0</v>
      </c>
      <c r="N540">
        <f>IF(COUNTIF($E540, _xlfn.CONCAT("*",Table13[[#Headers],[Documentary]],"*")),1,0)</f>
        <v>0</v>
      </c>
      <c r="O540">
        <f>IF(COUNTIF($E540, _xlfn.CONCAT("*",Table13[[#Headers],[Drama]],"*")),1,0)</f>
        <v>0</v>
      </c>
      <c r="P540">
        <f>IF(COUNTIF($E540, _xlfn.CONCAT("*",Table13[[#Headers],[Family]],"*")),1,0)</f>
        <v>0</v>
      </c>
      <c r="Q540">
        <f>IF(COUNTIF($E540, _xlfn.CONCAT("*",Table13[[#Headers],[Fantasy]],"*")),1,0)</f>
        <v>0</v>
      </c>
      <c r="R540">
        <f>IF(COUNTIF($E540, _xlfn.CONCAT("*",Table13[[#Headers],[History]],"*")),1,0)</f>
        <v>0</v>
      </c>
      <c r="S540">
        <f>IF(COUNTIF($E540, _xlfn.CONCAT("*",Table13[[#Headers],[Horror]],"*")),1,0)</f>
        <v>0</v>
      </c>
      <c r="T540">
        <f>IF(COUNTIF($E540, _xlfn.CONCAT("*",Table13[[#Headers],[Music]],"*")),1,0)</f>
        <v>0</v>
      </c>
      <c r="U540">
        <f>IF(COUNTIF($E540, _xlfn.CONCAT("*",Table13[[#Headers],[Mystery]],"*")),1,0)</f>
        <v>0</v>
      </c>
      <c r="V540">
        <f>IF(COUNTIF($E540, _xlfn.CONCAT("*",Table13[[#Headers],[Romance]],"*")),1,0)</f>
        <v>0</v>
      </c>
      <c r="W540">
        <f>IF(COUNTIF($E540, _xlfn.CONCAT("*",Table13[[#Headers],[Science Fiction]],"*")),1,0)</f>
        <v>1</v>
      </c>
      <c r="X540">
        <f>IF(COUNTIF($E540, _xlfn.CONCAT("*",Table13[[#Headers],[TV Movie]],"*")),1,0)</f>
        <v>0</v>
      </c>
      <c r="Y540">
        <f>IF(COUNTIF($E540, _xlfn.CONCAT("*",Table13[[#Headers],[Thriller]],"*")),1,0)</f>
        <v>1</v>
      </c>
      <c r="Z540">
        <f>IF(COUNTIF($E540, _xlfn.CONCAT("*",Table13[[#Headers],[War]],"*")),1,0)</f>
        <v>0</v>
      </c>
      <c r="AA540">
        <f>IF(COUNTIF($E540, _xlfn.CONCAT("*",Table13[[#Headers],[Western]],"*")),1,0)</f>
        <v>0</v>
      </c>
    </row>
    <row r="541" spans="1:27">
      <c r="A541" t="s">
        <v>710</v>
      </c>
      <c r="B541">
        <v>56</v>
      </c>
      <c r="C541">
        <f>MAX(Table13[Rank])-Table13[[#This Row],[Rank]]</f>
        <v>208</v>
      </c>
      <c r="D541" t="s">
        <v>674</v>
      </c>
      <c r="E541" t="s">
        <v>299</v>
      </c>
      <c r="F541" s="1">
        <v>37092</v>
      </c>
      <c r="G541">
        <f>YEAR(Table13[[#This Row],[Date]])</f>
        <v>2001</v>
      </c>
      <c r="H541" t="s">
        <v>709</v>
      </c>
      <c r="I541">
        <f>IF(COUNTIF($E541, _xlfn.CONCAT("*",Table13[[#Headers],[Action]],"*")),1,0)</f>
        <v>0</v>
      </c>
      <c r="J541">
        <f>IF(COUNTIF($E541, _xlfn.CONCAT("*",Table13[[#Headers],[Adventure]],"*")),1,0)</f>
        <v>0</v>
      </c>
      <c r="K541">
        <f>IF(COUNTIF($E541, _xlfn.CONCAT("*",Table13[[#Headers],[Animation]],"*")),1,0)</f>
        <v>1</v>
      </c>
      <c r="L541">
        <f>IF(COUNTIF($E541, _xlfn.CONCAT("*",Table13[[#Headers],[Comedy]],"*")),1,0)</f>
        <v>0</v>
      </c>
      <c r="M541">
        <f>IF(COUNTIF($E541, _xlfn.CONCAT("*",Table13[[#Headers],[Crime]],"*")),1,0)</f>
        <v>0</v>
      </c>
      <c r="N541">
        <f>IF(COUNTIF($E541, _xlfn.CONCAT("*",Table13[[#Headers],[Documentary]],"*")),1,0)</f>
        <v>0</v>
      </c>
      <c r="O541">
        <f>IF(COUNTIF($E541, _xlfn.CONCAT("*",Table13[[#Headers],[Drama]],"*")),1,0)</f>
        <v>0</v>
      </c>
      <c r="P541">
        <f>IF(COUNTIF($E541, _xlfn.CONCAT("*",Table13[[#Headers],[Family]],"*")),1,0)</f>
        <v>1</v>
      </c>
      <c r="Q541">
        <f>IF(COUNTIF($E541, _xlfn.CONCAT("*",Table13[[#Headers],[Fantasy]],"*")),1,0)</f>
        <v>1</v>
      </c>
      <c r="R541">
        <f>IF(COUNTIF($E541, _xlfn.CONCAT("*",Table13[[#Headers],[History]],"*")),1,0)</f>
        <v>0</v>
      </c>
      <c r="S541">
        <f>IF(COUNTIF($E541, _xlfn.CONCAT("*",Table13[[#Headers],[Horror]],"*")),1,0)</f>
        <v>0</v>
      </c>
      <c r="T541">
        <f>IF(COUNTIF($E541, _xlfn.CONCAT("*",Table13[[#Headers],[Music]],"*")),1,0)</f>
        <v>0</v>
      </c>
      <c r="U541">
        <f>IF(COUNTIF($E541, _xlfn.CONCAT("*",Table13[[#Headers],[Mystery]],"*")),1,0)</f>
        <v>0</v>
      </c>
      <c r="V541">
        <f>IF(COUNTIF($E541, _xlfn.CONCAT("*",Table13[[#Headers],[Romance]],"*")),1,0)</f>
        <v>0</v>
      </c>
      <c r="W541">
        <f>IF(COUNTIF($E541, _xlfn.CONCAT("*",Table13[[#Headers],[Science Fiction]],"*")),1,0)</f>
        <v>0</v>
      </c>
      <c r="X541">
        <f>IF(COUNTIF($E541, _xlfn.CONCAT("*",Table13[[#Headers],[TV Movie]],"*")),1,0)</f>
        <v>0</v>
      </c>
      <c r="Y541">
        <f>IF(COUNTIF($E541, _xlfn.CONCAT("*",Table13[[#Headers],[Thriller]],"*")),1,0)</f>
        <v>0</v>
      </c>
      <c r="Z541">
        <f>IF(COUNTIF($E541, _xlfn.CONCAT("*",Table13[[#Headers],[War]],"*")),1,0)</f>
        <v>0</v>
      </c>
      <c r="AA541">
        <f>IF(COUNTIF($E541, _xlfn.CONCAT("*",Table13[[#Headers],[Western]],"*")),1,0)</f>
        <v>0</v>
      </c>
    </row>
    <row r="542" spans="1:27">
      <c r="A542" t="s">
        <v>395</v>
      </c>
      <c r="B542">
        <v>57</v>
      </c>
      <c r="C542">
        <f>MAX(Table13[Rank])-Table13[[#This Row],[Rank]]</f>
        <v>207</v>
      </c>
      <c r="D542" t="s">
        <v>674</v>
      </c>
      <c r="E542" t="s">
        <v>152</v>
      </c>
      <c r="F542" s="1">
        <v>15083</v>
      </c>
      <c r="G542">
        <f>YEAR(Table13[[#This Row],[Date]])</f>
        <v>1941</v>
      </c>
      <c r="H542" t="s">
        <v>395</v>
      </c>
      <c r="I542">
        <f>IF(COUNTIF($E542, _xlfn.CONCAT("*",Table13[[#Headers],[Action]],"*")),1,0)</f>
        <v>0</v>
      </c>
      <c r="J542">
        <f>IF(COUNTIF($E542, _xlfn.CONCAT("*",Table13[[#Headers],[Adventure]],"*")),1,0)</f>
        <v>0</v>
      </c>
      <c r="K542">
        <f>IF(COUNTIF($E542, _xlfn.CONCAT("*",Table13[[#Headers],[Animation]],"*")),1,0)</f>
        <v>0</v>
      </c>
      <c r="L542">
        <f>IF(COUNTIF($E542, _xlfn.CONCAT("*",Table13[[#Headers],[Comedy]],"*")),1,0)</f>
        <v>0</v>
      </c>
      <c r="M542">
        <f>IF(COUNTIF($E542, _xlfn.CONCAT("*",Table13[[#Headers],[Crime]],"*")),1,0)</f>
        <v>0</v>
      </c>
      <c r="N542">
        <f>IF(COUNTIF($E542, _xlfn.CONCAT("*",Table13[[#Headers],[Documentary]],"*")),1,0)</f>
        <v>0</v>
      </c>
      <c r="O542">
        <f>IF(COUNTIF($E542, _xlfn.CONCAT("*",Table13[[#Headers],[Drama]],"*")),1,0)</f>
        <v>1</v>
      </c>
      <c r="P542">
        <f>IF(COUNTIF($E542, _xlfn.CONCAT("*",Table13[[#Headers],[Family]],"*")),1,0)</f>
        <v>0</v>
      </c>
      <c r="Q542">
        <f>IF(COUNTIF($E542, _xlfn.CONCAT("*",Table13[[#Headers],[Fantasy]],"*")),1,0)</f>
        <v>0</v>
      </c>
      <c r="R542">
        <f>IF(COUNTIF($E542, _xlfn.CONCAT("*",Table13[[#Headers],[History]],"*")),1,0)</f>
        <v>0</v>
      </c>
      <c r="S542">
        <f>IF(COUNTIF($E542, _xlfn.CONCAT("*",Table13[[#Headers],[Horror]],"*")),1,0)</f>
        <v>0</v>
      </c>
      <c r="T542">
        <f>IF(COUNTIF($E542, _xlfn.CONCAT("*",Table13[[#Headers],[Music]],"*")),1,0)</f>
        <v>0</v>
      </c>
      <c r="U542">
        <f>IF(COUNTIF($E542, _xlfn.CONCAT("*",Table13[[#Headers],[Mystery]],"*")),1,0)</f>
        <v>1</v>
      </c>
      <c r="V542">
        <f>IF(COUNTIF($E542, _xlfn.CONCAT("*",Table13[[#Headers],[Romance]],"*")),1,0)</f>
        <v>0</v>
      </c>
      <c r="W542">
        <f>IF(COUNTIF($E542, _xlfn.CONCAT("*",Table13[[#Headers],[Science Fiction]],"*")),1,0)</f>
        <v>0</v>
      </c>
      <c r="X542">
        <f>IF(COUNTIF($E542, _xlfn.CONCAT("*",Table13[[#Headers],[TV Movie]],"*")),1,0)</f>
        <v>0</v>
      </c>
      <c r="Y542">
        <f>IF(COUNTIF($E542, _xlfn.CONCAT("*",Table13[[#Headers],[Thriller]],"*")),1,0)</f>
        <v>0</v>
      </c>
      <c r="Z542">
        <f>IF(COUNTIF($E542, _xlfn.CONCAT("*",Table13[[#Headers],[War]],"*")),1,0)</f>
        <v>0</v>
      </c>
      <c r="AA542">
        <f>IF(COUNTIF($E542, _xlfn.CONCAT("*",Table13[[#Headers],[Western]],"*")),1,0)</f>
        <v>0</v>
      </c>
    </row>
    <row r="543" spans="1:27">
      <c r="A543" t="s">
        <v>253</v>
      </c>
      <c r="B543">
        <v>58</v>
      </c>
      <c r="C543">
        <f>MAX(Table13[Rank])-Table13[[#This Row],[Rank]]</f>
        <v>206</v>
      </c>
      <c r="D543" t="s">
        <v>674</v>
      </c>
      <c r="E543" t="s">
        <v>254</v>
      </c>
      <c r="F543" s="1">
        <v>14472</v>
      </c>
      <c r="G543">
        <f>YEAR(Table13[[#This Row],[Date]])</f>
        <v>1939</v>
      </c>
      <c r="H543" t="s">
        <v>253</v>
      </c>
      <c r="I543">
        <f>IF(COUNTIF($E543, _xlfn.CONCAT("*",Table13[[#Headers],[Action]],"*")),1,0)</f>
        <v>0</v>
      </c>
      <c r="J543">
        <f>IF(COUNTIF($E543, _xlfn.CONCAT("*",Table13[[#Headers],[Adventure]],"*")),1,0)</f>
        <v>1</v>
      </c>
      <c r="K543">
        <f>IF(COUNTIF($E543, _xlfn.CONCAT("*",Table13[[#Headers],[Animation]],"*")),1,0)</f>
        <v>0</v>
      </c>
      <c r="L543">
        <f>IF(COUNTIF($E543, _xlfn.CONCAT("*",Table13[[#Headers],[Comedy]],"*")),1,0)</f>
        <v>0</v>
      </c>
      <c r="M543">
        <f>IF(COUNTIF($E543, _xlfn.CONCAT("*",Table13[[#Headers],[Crime]],"*")),1,0)</f>
        <v>0</v>
      </c>
      <c r="N543">
        <f>IF(COUNTIF($E543, _xlfn.CONCAT("*",Table13[[#Headers],[Documentary]],"*")),1,0)</f>
        <v>0</v>
      </c>
      <c r="O543">
        <f>IF(COUNTIF($E543, _xlfn.CONCAT("*",Table13[[#Headers],[Drama]],"*")),1,0)</f>
        <v>0</v>
      </c>
      <c r="P543">
        <f>IF(COUNTIF($E543, _xlfn.CONCAT("*",Table13[[#Headers],[Family]],"*")),1,0)</f>
        <v>1</v>
      </c>
      <c r="Q543">
        <f>IF(COUNTIF($E543, _xlfn.CONCAT("*",Table13[[#Headers],[Fantasy]],"*")),1,0)</f>
        <v>1</v>
      </c>
      <c r="R543">
        <f>IF(COUNTIF($E543, _xlfn.CONCAT("*",Table13[[#Headers],[History]],"*")),1,0)</f>
        <v>0</v>
      </c>
      <c r="S543">
        <f>IF(COUNTIF($E543, _xlfn.CONCAT("*",Table13[[#Headers],[Horror]],"*")),1,0)</f>
        <v>0</v>
      </c>
      <c r="T543">
        <f>IF(COUNTIF($E543, _xlfn.CONCAT("*",Table13[[#Headers],[Music]],"*")),1,0)</f>
        <v>0</v>
      </c>
      <c r="U543">
        <f>IF(COUNTIF($E543, _xlfn.CONCAT("*",Table13[[#Headers],[Mystery]],"*")),1,0)</f>
        <v>0</v>
      </c>
      <c r="V543">
        <f>IF(COUNTIF($E543, _xlfn.CONCAT("*",Table13[[#Headers],[Romance]],"*")),1,0)</f>
        <v>0</v>
      </c>
      <c r="W543">
        <f>IF(COUNTIF($E543, _xlfn.CONCAT("*",Table13[[#Headers],[Science Fiction]],"*")),1,0)</f>
        <v>0</v>
      </c>
      <c r="X543">
        <f>IF(COUNTIF($E543, _xlfn.CONCAT("*",Table13[[#Headers],[TV Movie]],"*")),1,0)</f>
        <v>0</v>
      </c>
      <c r="Y543">
        <f>IF(COUNTIF($E543, _xlfn.CONCAT("*",Table13[[#Headers],[Thriller]],"*")),1,0)</f>
        <v>0</v>
      </c>
      <c r="Z543">
        <f>IF(COUNTIF($E543, _xlfn.CONCAT("*",Table13[[#Headers],[War]],"*")),1,0)</f>
        <v>0</v>
      </c>
      <c r="AA543">
        <f>IF(COUNTIF($E543, _xlfn.CONCAT("*",Table13[[#Headers],[Western]],"*")),1,0)</f>
        <v>0</v>
      </c>
    </row>
    <row r="544" spans="1:27">
      <c r="A544" t="s">
        <v>711</v>
      </c>
      <c r="B544">
        <v>59</v>
      </c>
      <c r="C544">
        <f>MAX(Table13[Rank])-Table13[[#This Row],[Rank]]</f>
        <v>205</v>
      </c>
      <c r="D544" t="s">
        <v>674</v>
      </c>
      <c r="E544" t="s">
        <v>712</v>
      </c>
      <c r="F544" s="1">
        <v>32045</v>
      </c>
      <c r="G544">
        <f>YEAR(Table13[[#This Row],[Date]])</f>
        <v>1987</v>
      </c>
      <c r="H544" t="s">
        <v>711</v>
      </c>
      <c r="I544">
        <f>IF(COUNTIF($E544, _xlfn.CONCAT("*",Table13[[#Headers],[Action]],"*")),1,0)</f>
        <v>0</v>
      </c>
      <c r="J544">
        <f>IF(COUNTIF($E544, _xlfn.CONCAT("*",Table13[[#Headers],[Adventure]],"*")),1,0)</f>
        <v>1</v>
      </c>
      <c r="K544">
        <f>IF(COUNTIF($E544, _xlfn.CONCAT("*",Table13[[#Headers],[Animation]],"*")),1,0)</f>
        <v>0</v>
      </c>
      <c r="L544">
        <f>IF(COUNTIF($E544, _xlfn.CONCAT("*",Table13[[#Headers],[Comedy]],"*")),1,0)</f>
        <v>1</v>
      </c>
      <c r="M544">
        <f>IF(COUNTIF($E544, _xlfn.CONCAT("*",Table13[[#Headers],[Crime]],"*")),1,0)</f>
        <v>0</v>
      </c>
      <c r="N544">
        <f>IF(COUNTIF($E544, _xlfn.CONCAT("*",Table13[[#Headers],[Documentary]],"*")),1,0)</f>
        <v>0</v>
      </c>
      <c r="O544">
        <f>IF(COUNTIF($E544, _xlfn.CONCAT("*",Table13[[#Headers],[Drama]],"*")),1,0)</f>
        <v>0</v>
      </c>
      <c r="P544">
        <f>IF(COUNTIF($E544, _xlfn.CONCAT("*",Table13[[#Headers],[Family]],"*")),1,0)</f>
        <v>1</v>
      </c>
      <c r="Q544">
        <f>IF(COUNTIF($E544, _xlfn.CONCAT("*",Table13[[#Headers],[Fantasy]],"*")),1,0)</f>
        <v>1</v>
      </c>
      <c r="R544">
        <f>IF(COUNTIF($E544, _xlfn.CONCAT("*",Table13[[#Headers],[History]],"*")),1,0)</f>
        <v>0</v>
      </c>
      <c r="S544">
        <f>IF(COUNTIF($E544, _xlfn.CONCAT("*",Table13[[#Headers],[Horror]],"*")),1,0)</f>
        <v>0</v>
      </c>
      <c r="T544">
        <f>IF(COUNTIF($E544, _xlfn.CONCAT("*",Table13[[#Headers],[Music]],"*")),1,0)</f>
        <v>0</v>
      </c>
      <c r="U544">
        <f>IF(COUNTIF($E544, _xlfn.CONCAT("*",Table13[[#Headers],[Mystery]],"*")),1,0)</f>
        <v>0</v>
      </c>
      <c r="V544">
        <f>IF(COUNTIF($E544, _xlfn.CONCAT("*",Table13[[#Headers],[Romance]],"*")),1,0)</f>
        <v>1</v>
      </c>
      <c r="W544">
        <f>IF(COUNTIF($E544, _xlfn.CONCAT("*",Table13[[#Headers],[Science Fiction]],"*")),1,0)</f>
        <v>0</v>
      </c>
      <c r="X544">
        <f>IF(COUNTIF($E544, _xlfn.CONCAT("*",Table13[[#Headers],[TV Movie]],"*")),1,0)</f>
        <v>0</v>
      </c>
      <c r="Y544">
        <f>IF(COUNTIF($E544, _xlfn.CONCAT("*",Table13[[#Headers],[Thriller]],"*")),1,0)</f>
        <v>0</v>
      </c>
      <c r="Z544">
        <f>IF(COUNTIF($E544, _xlfn.CONCAT("*",Table13[[#Headers],[War]],"*")),1,0)</f>
        <v>0</v>
      </c>
      <c r="AA544">
        <f>IF(COUNTIF($E544, _xlfn.CONCAT("*",Table13[[#Headers],[Western]],"*")),1,0)</f>
        <v>0</v>
      </c>
    </row>
    <row r="545" spans="1:27">
      <c r="A545" t="s">
        <v>713</v>
      </c>
      <c r="B545">
        <v>60</v>
      </c>
      <c r="C545">
        <f>MAX(Table13[Rank])-Table13[[#This Row],[Rank]]</f>
        <v>204</v>
      </c>
      <c r="D545" t="s">
        <v>674</v>
      </c>
      <c r="E545" t="s">
        <v>81</v>
      </c>
      <c r="F545" s="1">
        <v>31954</v>
      </c>
      <c r="G545">
        <f>YEAR(Table13[[#This Row],[Date]])</f>
        <v>1987</v>
      </c>
      <c r="H545" t="s">
        <v>713</v>
      </c>
      <c r="I545">
        <f>IF(COUNTIF($E545, _xlfn.CONCAT("*",Table13[[#Headers],[Action]],"*")),1,0)</f>
        <v>0</v>
      </c>
      <c r="J545">
        <f>IF(COUNTIF($E545, _xlfn.CONCAT("*",Table13[[#Headers],[Adventure]],"*")),1,0)</f>
        <v>0</v>
      </c>
      <c r="K545">
        <f>IF(COUNTIF($E545, _xlfn.CONCAT("*",Table13[[#Headers],[Animation]],"*")),1,0)</f>
        <v>0</v>
      </c>
      <c r="L545">
        <f>IF(COUNTIF($E545, _xlfn.CONCAT("*",Table13[[#Headers],[Comedy]],"*")),1,0)</f>
        <v>0</v>
      </c>
      <c r="M545">
        <f>IF(COUNTIF($E545, _xlfn.CONCAT("*",Table13[[#Headers],[Crime]],"*")),1,0)</f>
        <v>0</v>
      </c>
      <c r="N545">
        <f>IF(COUNTIF($E545, _xlfn.CONCAT("*",Table13[[#Headers],[Documentary]],"*")),1,0)</f>
        <v>0</v>
      </c>
      <c r="O545">
        <f>IF(COUNTIF($E545, _xlfn.CONCAT("*",Table13[[#Headers],[Drama]],"*")),1,0)</f>
        <v>1</v>
      </c>
      <c r="P545">
        <f>IF(COUNTIF($E545, _xlfn.CONCAT("*",Table13[[#Headers],[Family]],"*")),1,0)</f>
        <v>0</v>
      </c>
      <c r="Q545">
        <f>IF(COUNTIF($E545, _xlfn.CONCAT("*",Table13[[#Headers],[Fantasy]],"*")),1,0)</f>
        <v>0</v>
      </c>
      <c r="R545">
        <f>IF(COUNTIF($E545, _xlfn.CONCAT("*",Table13[[#Headers],[History]],"*")),1,0)</f>
        <v>0</v>
      </c>
      <c r="S545">
        <f>IF(COUNTIF($E545, _xlfn.CONCAT("*",Table13[[#Headers],[Horror]],"*")),1,0)</f>
        <v>0</v>
      </c>
      <c r="T545">
        <f>IF(COUNTIF($E545, _xlfn.CONCAT("*",Table13[[#Headers],[Music]],"*")),1,0)</f>
        <v>0</v>
      </c>
      <c r="U545">
        <f>IF(COUNTIF($E545, _xlfn.CONCAT("*",Table13[[#Headers],[Mystery]],"*")),1,0)</f>
        <v>0</v>
      </c>
      <c r="V545">
        <f>IF(COUNTIF($E545, _xlfn.CONCAT("*",Table13[[#Headers],[Romance]],"*")),1,0)</f>
        <v>0</v>
      </c>
      <c r="W545">
        <f>IF(COUNTIF($E545, _xlfn.CONCAT("*",Table13[[#Headers],[Science Fiction]],"*")),1,0)</f>
        <v>0</v>
      </c>
      <c r="X545">
        <f>IF(COUNTIF($E545, _xlfn.CONCAT("*",Table13[[#Headers],[TV Movie]],"*")),1,0)</f>
        <v>0</v>
      </c>
      <c r="Y545">
        <f>IF(COUNTIF($E545, _xlfn.CONCAT("*",Table13[[#Headers],[Thriller]],"*")),1,0)</f>
        <v>0</v>
      </c>
      <c r="Z545">
        <f>IF(COUNTIF($E545, _xlfn.CONCAT("*",Table13[[#Headers],[War]],"*")),1,0)</f>
        <v>1</v>
      </c>
      <c r="AA545">
        <f>IF(COUNTIF($E545, _xlfn.CONCAT("*",Table13[[#Headers],[Western]],"*")),1,0)</f>
        <v>0</v>
      </c>
    </row>
    <row r="546" spans="1:27">
      <c r="A546" t="s">
        <v>714</v>
      </c>
      <c r="B546">
        <v>61</v>
      </c>
      <c r="C546">
        <f>MAX(Table13[Rank])-Table13[[#This Row],[Rank]]</f>
        <v>203</v>
      </c>
      <c r="D546" t="s">
        <v>674</v>
      </c>
      <c r="E546" t="s">
        <v>35</v>
      </c>
      <c r="F546" s="1">
        <v>24875</v>
      </c>
      <c r="G546">
        <f>YEAR(Table13[[#This Row],[Date]])</f>
        <v>1968</v>
      </c>
      <c r="H546" t="s">
        <v>1299</v>
      </c>
      <c r="I546">
        <f>IF(COUNTIF($E546, _xlfn.CONCAT("*",Table13[[#Headers],[Action]],"*")),1,0)</f>
        <v>0</v>
      </c>
      <c r="J546">
        <f>IF(COUNTIF($E546, _xlfn.CONCAT("*",Table13[[#Headers],[Adventure]],"*")),1,0)</f>
        <v>0</v>
      </c>
      <c r="K546">
        <f>IF(COUNTIF($E546, _xlfn.CONCAT("*",Table13[[#Headers],[Animation]],"*")),1,0)</f>
        <v>0</v>
      </c>
      <c r="L546">
        <f>IF(COUNTIF($E546, _xlfn.CONCAT("*",Table13[[#Headers],[Comedy]],"*")),1,0)</f>
        <v>0</v>
      </c>
      <c r="M546">
        <f>IF(COUNTIF($E546, _xlfn.CONCAT("*",Table13[[#Headers],[Crime]],"*")),1,0)</f>
        <v>0</v>
      </c>
      <c r="N546">
        <f>IF(COUNTIF($E546, _xlfn.CONCAT("*",Table13[[#Headers],[Documentary]],"*")),1,0)</f>
        <v>0</v>
      </c>
      <c r="O546">
        <f>IF(COUNTIF($E546, _xlfn.CONCAT("*",Table13[[#Headers],[Drama]],"*")),1,0)</f>
        <v>1</v>
      </c>
      <c r="P546">
        <f>IF(COUNTIF($E546, _xlfn.CONCAT("*",Table13[[#Headers],[Family]],"*")),1,0)</f>
        <v>0</v>
      </c>
      <c r="Q546">
        <f>IF(COUNTIF($E546, _xlfn.CONCAT("*",Table13[[#Headers],[Fantasy]],"*")),1,0)</f>
        <v>0</v>
      </c>
      <c r="R546">
        <f>IF(COUNTIF($E546, _xlfn.CONCAT("*",Table13[[#Headers],[History]],"*")),1,0)</f>
        <v>0</v>
      </c>
      <c r="S546">
        <f>IF(COUNTIF($E546, _xlfn.CONCAT("*",Table13[[#Headers],[Horror]],"*")),1,0)</f>
        <v>0</v>
      </c>
      <c r="T546">
        <f>IF(COUNTIF($E546, _xlfn.CONCAT("*",Table13[[#Headers],[Music]],"*")),1,0)</f>
        <v>0</v>
      </c>
      <c r="U546">
        <f>IF(COUNTIF($E546, _xlfn.CONCAT("*",Table13[[#Headers],[Mystery]],"*")),1,0)</f>
        <v>0</v>
      </c>
      <c r="V546">
        <f>IF(COUNTIF($E546, _xlfn.CONCAT("*",Table13[[#Headers],[Romance]],"*")),1,0)</f>
        <v>1</v>
      </c>
      <c r="W546">
        <f>IF(COUNTIF($E546, _xlfn.CONCAT("*",Table13[[#Headers],[Science Fiction]],"*")),1,0)</f>
        <v>0</v>
      </c>
      <c r="X546">
        <f>IF(COUNTIF($E546, _xlfn.CONCAT("*",Table13[[#Headers],[TV Movie]],"*")),1,0)</f>
        <v>0</v>
      </c>
      <c r="Y546">
        <f>IF(COUNTIF($E546, _xlfn.CONCAT("*",Table13[[#Headers],[Thriller]],"*")),1,0)</f>
        <v>0</v>
      </c>
      <c r="Z546">
        <f>IF(COUNTIF($E546, _xlfn.CONCAT("*",Table13[[#Headers],[War]],"*")),1,0)</f>
        <v>0</v>
      </c>
      <c r="AA546">
        <f>IF(COUNTIF($E546, _xlfn.CONCAT("*",Table13[[#Headers],[Western]],"*")),1,0)</f>
        <v>0</v>
      </c>
    </row>
    <row r="547" spans="1:27">
      <c r="A547" t="s">
        <v>715</v>
      </c>
      <c r="B547">
        <v>62</v>
      </c>
      <c r="C547">
        <f>MAX(Table13[Rank])-Table13[[#This Row],[Rank]]</f>
        <v>202</v>
      </c>
      <c r="D547" t="s">
        <v>674</v>
      </c>
      <c r="E547" t="s">
        <v>141</v>
      </c>
      <c r="F547" s="1">
        <v>33823</v>
      </c>
      <c r="G547">
        <f>YEAR(Table13[[#This Row],[Date]])</f>
        <v>1992</v>
      </c>
      <c r="H547" t="s">
        <v>715</v>
      </c>
      <c r="I547">
        <f>IF(COUNTIF($E547, _xlfn.CONCAT("*",Table13[[#Headers],[Action]],"*")),1,0)</f>
        <v>0</v>
      </c>
      <c r="J547">
        <f>IF(COUNTIF($E547, _xlfn.CONCAT("*",Table13[[#Headers],[Adventure]],"*")),1,0)</f>
        <v>0</v>
      </c>
      <c r="K547">
        <f>IF(COUNTIF($E547, _xlfn.CONCAT("*",Table13[[#Headers],[Animation]],"*")),1,0)</f>
        <v>0</v>
      </c>
      <c r="L547">
        <f>IF(COUNTIF($E547, _xlfn.CONCAT("*",Table13[[#Headers],[Comedy]],"*")),1,0)</f>
        <v>0</v>
      </c>
      <c r="M547">
        <f>IF(COUNTIF($E547, _xlfn.CONCAT("*",Table13[[#Headers],[Crime]],"*")),1,0)</f>
        <v>0</v>
      </c>
      <c r="N547">
        <f>IF(COUNTIF($E547, _xlfn.CONCAT("*",Table13[[#Headers],[Documentary]],"*")),1,0)</f>
        <v>0</v>
      </c>
      <c r="O547">
        <f>IF(COUNTIF($E547, _xlfn.CONCAT("*",Table13[[#Headers],[Drama]],"*")),1,0)</f>
        <v>0</v>
      </c>
      <c r="P547">
        <f>IF(COUNTIF($E547, _xlfn.CONCAT("*",Table13[[#Headers],[Family]],"*")),1,0)</f>
        <v>0</v>
      </c>
      <c r="Q547">
        <f>IF(COUNTIF($E547, _xlfn.CONCAT("*",Table13[[#Headers],[Fantasy]],"*")),1,0)</f>
        <v>0</v>
      </c>
      <c r="R547">
        <f>IF(COUNTIF($E547, _xlfn.CONCAT("*",Table13[[#Headers],[History]],"*")),1,0)</f>
        <v>0</v>
      </c>
      <c r="S547">
        <f>IF(COUNTIF($E547, _xlfn.CONCAT("*",Table13[[#Headers],[Horror]],"*")),1,0)</f>
        <v>0</v>
      </c>
      <c r="T547">
        <f>IF(COUNTIF($E547, _xlfn.CONCAT("*",Table13[[#Headers],[Music]],"*")),1,0)</f>
        <v>0</v>
      </c>
      <c r="U547">
        <f>IF(COUNTIF($E547, _xlfn.CONCAT("*",Table13[[#Headers],[Mystery]],"*")),1,0)</f>
        <v>0</v>
      </c>
      <c r="V547">
        <f>IF(COUNTIF($E547, _xlfn.CONCAT("*",Table13[[#Headers],[Romance]],"*")),1,0)</f>
        <v>0</v>
      </c>
      <c r="W547">
        <f>IF(COUNTIF($E547, _xlfn.CONCAT("*",Table13[[#Headers],[Science Fiction]],"*")),1,0)</f>
        <v>0</v>
      </c>
      <c r="X547">
        <f>IF(COUNTIF($E547, _xlfn.CONCAT("*",Table13[[#Headers],[TV Movie]],"*")),1,0)</f>
        <v>0</v>
      </c>
      <c r="Y547">
        <f>IF(COUNTIF($E547, _xlfn.CONCAT("*",Table13[[#Headers],[Thriller]],"*")),1,0)</f>
        <v>0</v>
      </c>
      <c r="Z547">
        <f>IF(COUNTIF($E547, _xlfn.CONCAT("*",Table13[[#Headers],[War]],"*")),1,0)</f>
        <v>0</v>
      </c>
      <c r="AA547">
        <f>IF(COUNTIF($E547, _xlfn.CONCAT("*",Table13[[#Headers],[Western]],"*")),1,0)</f>
        <v>1</v>
      </c>
    </row>
    <row r="548" spans="1:27">
      <c r="A548" t="s">
        <v>258</v>
      </c>
      <c r="B548">
        <v>63</v>
      </c>
      <c r="C548">
        <f>MAX(Table13[Rank])-Table13[[#This Row],[Rank]]</f>
        <v>201</v>
      </c>
      <c r="D548" t="s">
        <v>674</v>
      </c>
      <c r="E548" t="s">
        <v>259</v>
      </c>
      <c r="F548" s="1">
        <v>27565</v>
      </c>
      <c r="G548">
        <f>YEAR(Table13[[#This Row],[Date]])</f>
        <v>1975</v>
      </c>
      <c r="H548" t="s">
        <v>258</v>
      </c>
      <c r="I548">
        <f>IF(COUNTIF($E548, _xlfn.CONCAT("*",Table13[[#Headers],[Action]],"*")),1,0)</f>
        <v>0</v>
      </c>
      <c r="J548">
        <f>IF(COUNTIF($E548, _xlfn.CONCAT("*",Table13[[#Headers],[Adventure]],"*")),1,0)</f>
        <v>1</v>
      </c>
      <c r="K548">
        <f>IF(COUNTIF($E548, _xlfn.CONCAT("*",Table13[[#Headers],[Animation]],"*")),1,0)</f>
        <v>0</v>
      </c>
      <c r="L548">
        <f>IF(COUNTIF($E548, _xlfn.CONCAT("*",Table13[[#Headers],[Comedy]],"*")),1,0)</f>
        <v>0</v>
      </c>
      <c r="M548">
        <f>IF(COUNTIF($E548, _xlfn.CONCAT("*",Table13[[#Headers],[Crime]],"*")),1,0)</f>
        <v>0</v>
      </c>
      <c r="N548">
        <f>IF(COUNTIF($E548, _xlfn.CONCAT("*",Table13[[#Headers],[Documentary]],"*")),1,0)</f>
        <v>0</v>
      </c>
      <c r="O548">
        <f>IF(COUNTIF($E548, _xlfn.CONCAT("*",Table13[[#Headers],[Drama]],"*")),1,0)</f>
        <v>0</v>
      </c>
      <c r="P548">
        <f>IF(COUNTIF($E548, _xlfn.CONCAT("*",Table13[[#Headers],[Family]],"*")),1,0)</f>
        <v>0</v>
      </c>
      <c r="Q548">
        <f>IF(COUNTIF($E548, _xlfn.CONCAT("*",Table13[[#Headers],[Fantasy]],"*")),1,0)</f>
        <v>0</v>
      </c>
      <c r="R548">
        <f>IF(COUNTIF($E548, _xlfn.CONCAT("*",Table13[[#Headers],[History]],"*")),1,0)</f>
        <v>0</v>
      </c>
      <c r="S548">
        <f>IF(COUNTIF($E548, _xlfn.CONCAT("*",Table13[[#Headers],[Horror]],"*")),1,0)</f>
        <v>1</v>
      </c>
      <c r="T548">
        <f>IF(COUNTIF($E548, _xlfn.CONCAT("*",Table13[[#Headers],[Music]],"*")),1,0)</f>
        <v>0</v>
      </c>
      <c r="U548">
        <f>IF(COUNTIF($E548, _xlfn.CONCAT("*",Table13[[#Headers],[Mystery]],"*")),1,0)</f>
        <v>0</v>
      </c>
      <c r="V548">
        <f>IF(COUNTIF($E548, _xlfn.CONCAT("*",Table13[[#Headers],[Romance]],"*")),1,0)</f>
        <v>0</v>
      </c>
      <c r="W548">
        <f>IF(COUNTIF($E548, _xlfn.CONCAT("*",Table13[[#Headers],[Science Fiction]],"*")),1,0)</f>
        <v>0</v>
      </c>
      <c r="X548">
        <f>IF(COUNTIF($E548, _xlfn.CONCAT("*",Table13[[#Headers],[TV Movie]],"*")),1,0)</f>
        <v>0</v>
      </c>
      <c r="Y548">
        <f>IF(COUNTIF($E548, _xlfn.CONCAT("*",Table13[[#Headers],[Thriller]],"*")),1,0)</f>
        <v>1</v>
      </c>
      <c r="Z548">
        <f>IF(COUNTIF($E548, _xlfn.CONCAT("*",Table13[[#Headers],[War]],"*")),1,0)</f>
        <v>0</v>
      </c>
      <c r="AA548">
        <f>IF(COUNTIF($E548, _xlfn.CONCAT("*",Table13[[#Headers],[Western]],"*")),1,0)</f>
        <v>0</v>
      </c>
    </row>
    <row r="549" spans="1:27">
      <c r="A549" t="s">
        <v>210</v>
      </c>
      <c r="B549">
        <v>64</v>
      </c>
      <c r="C549">
        <f>MAX(Table13[Rank])-Table13[[#This Row],[Rank]]</f>
        <v>200</v>
      </c>
      <c r="D549" t="s">
        <v>674</v>
      </c>
      <c r="E549" t="s">
        <v>211</v>
      </c>
      <c r="F549" s="1">
        <v>17156</v>
      </c>
      <c r="G549">
        <f>YEAR(Table13[[#This Row],[Date]])</f>
        <v>1946</v>
      </c>
      <c r="H549" t="s">
        <v>210</v>
      </c>
      <c r="I549">
        <f>IF(COUNTIF($E549, _xlfn.CONCAT("*",Table13[[#Headers],[Action]],"*")),1,0)</f>
        <v>0</v>
      </c>
      <c r="J549">
        <f>IF(COUNTIF($E549, _xlfn.CONCAT("*",Table13[[#Headers],[Adventure]],"*")),1,0)</f>
        <v>0</v>
      </c>
      <c r="K549">
        <f>IF(COUNTIF($E549, _xlfn.CONCAT("*",Table13[[#Headers],[Animation]],"*")),1,0)</f>
        <v>0</v>
      </c>
      <c r="L549">
        <f>IF(COUNTIF($E549, _xlfn.CONCAT("*",Table13[[#Headers],[Comedy]],"*")),1,0)</f>
        <v>0</v>
      </c>
      <c r="M549">
        <f>IF(COUNTIF($E549, _xlfn.CONCAT("*",Table13[[#Headers],[Crime]],"*")),1,0)</f>
        <v>0</v>
      </c>
      <c r="N549">
        <f>IF(COUNTIF($E549, _xlfn.CONCAT("*",Table13[[#Headers],[Documentary]],"*")),1,0)</f>
        <v>0</v>
      </c>
      <c r="O549">
        <f>IF(COUNTIF($E549, _xlfn.CONCAT("*",Table13[[#Headers],[Drama]],"*")),1,0)</f>
        <v>1</v>
      </c>
      <c r="P549">
        <f>IF(COUNTIF($E549, _xlfn.CONCAT("*",Table13[[#Headers],[Family]],"*")),1,0)</f>
        <v>1</v>
      </c>
      <c r="Q549">
        <f>IF(COUNTIF($E549, _xlfn.CONCAT("*",Table13[[#Headers],[Fantasy]],"*")),1,0)</f>
        <v>1</v>
      </c>
      <c r="R549">
        <f>IF(COUNTIF($E549, _xlfn.CONCAT("*",Table13[[#Headers],[History]],"*")),1,0)</f>
        <v>0</v>
      </c>
      <c r="S549">
        <f>IF(COUNTIF($E549, _xlfn.CONCAT("*",Table13[[#Headers],[Horror]],"*")),1,0)</f>
        <v>0</v>
      </c>
      <c r="T549">
        <f>IF(COUNTIF($E549, _xlfn.CONCAT("*",Table13[[#Headers],[Music]],"*")),1,0)</f>
        <v>0</v>
      </c>
      <c r="U549">
        <f>IF(COUNTIF($E549, _xlfn.CONCAT("*",Table13[[#Headers],[Mystery]],"*")),1,0)</f>
        <v>0</v>
      </c>
      <c r="V549">
        <f>IF(COUNTIF($E549, _xlfn.CONCAT("*",Table13[[#Headers],[Romance]],"*")),1,0)</f>
        <v>0</v>
      </c>
      <c r="W549">
        <f>IF(COUNTIF($E549, _xlfn.CONCAT("*",Table13[[#Headers],[Science Fiction]],"*")),1,0)</f>
        <v>0</v>
      </c>
      <c r="X549">
        <f>IF(COUNTIF($E549, _xlfn.CONCAT("*",Table13[[#Headers],[TV Movie]],"*")),1,0)</f>
        <v>0</v>
      </c>
      <c r="Y549">
        <f>IF(COUNTIF($E549, _xlfn.CONCAT("*",Table13[[#Headers],[Thriller]],"*")),1,0)</f>
        <v>0</v>
      </c>
      <c r="Z549">
        <f>IF(COUNTIF($E549, _xlfn.CONCAT("*",Table13[[#Headers],[War]],"*")),1,0)</f>
        <v>0</v>
      </c>
      <c r="AA549">
        <f>IF(COUNTIF($E549, _xlfn.CONCAT("*",Table13[[#Headers],[Western]],"*")),1,0)</f>
        <v>0</v>
      </c>
    </row>
    <row r="550" spans="1:27">
      <c r="A550" t="s">
        <v>716</v>
      </c>
      <c r="B550">
        <v>65</v>
      </c>
      <c r="C550">
        <f>MAX(Table13[Rank])-Table13[[#This Row],[Rank]]</f>
        <v>199</v>
      </c>
      <c r="D550" t="s">
        <v>674</v>
      </c>
      <c r="E550" t="s">
        <v>717</v>
      </c>
      <c r="F550" s="1">
        <v>40345</v>
      </c>
      <c r="G550">
        <f>YEAR(Table13[[#This Row],[Date]])</f>
        <v>2010</v>
      </c>
      <c r="H550" t="s">
        <v>716</v>
      </c>
      <c r="I550">
        <f>IF(COUNTIF($E550, _xlfn.CONCAT("*",Table13[[#Headers],[Action]],"*")),1,0)</f>
        <v>0</v>
      </c>
      <c r="J550">
        <f>IF(COUNTIF($E550, _xlfn.CONCAT("*",Table13[[#Headers],[Adventure]],"*")),1,0)</f>
        <v>0</v>
      </c>
      <c r="K550">
        <f>IF(COUNTIF($E550, _xlfn.CONCAT("*",Table13[[#Headers],[Animation]],"*")),1,0)</f>
        <v>1</v>
      </c>
      <c r="L550">
        <f>IF(COUNTIF($E550, _xlfn.CONCAT("*",Table13[[#Headers],[Comedy]],"*")),1,0)</f>
        <v>1</v>
      </c>
      <c r="M550">
        <f>IF(COUNTIF($E550, _xlfn.CONCAT("*",Table13[[#Headers],[Crime]],"*")),1,0)</f>
        <v>0</v>
      </c>
      <c r="N550">
        <f>IF(COUNTIF($E550, _xlfn.CONCAT("*",Table13[[#Headers],[Documentary]],"*")),1,0)</f>
        <v>0</v>
      </c>
      <c r="O550">
        <f>IF(COUNTIF($E550, _xlfn.CONCAT("*",Table13[[#Headers],[Drama]],"*")),1,0)</f>
        <v>0</v>
      </c>
      <c r="P550">
        <f>IF(COUNTIF($E550, _xlfn.CONCAT("*",Table13[[#Headers],[Family]],"*")),1,0)</f>
        <v>1</v>
      </c>
      <c r="Q550">
        <f>IF(COUNTIF($E550, _xlfn.CONCAT("*",Table13[[#Headers],[Fantasy]],"*")),1,0)</f>
        <v>0</v>
      </c>
      <c r="R550">
        <f>IF(COUNTIF($E550, _xlfn.CONCAT("*",Table13[[#Headers],[History]],"*")),1,0)</f>
        <v>0</v>
      </c>
      <c r="S550">
        <f>IF(COUNTIF($E550, _xlfn.CONCAT("*",Table13[[#Headers],[Horror]],"*")),1,0)</f>
        <v>0</v>
      </c>
      <c r="T550">
        <f>IF(COUNTIF($E550, _xlfn.CONCAT("*",Table13[[#Headers],[Music]],"*")),1,0)</f>
        <v>0</v>
      </c>
      <c r="U550">
        <f>IF(COUNTIF($E550, _xlfn.CONCAT("*",Table13[[#Headers],[Mystery]],"*")),1,0)</f>
        <v>0</v>
      </c>
      <c r="V550">
        <f>IF(COUNTIF($E550, _xlfn.CONCAT("*",Table13[[#Headers],[Romance]],"*")),1,0)</f>
        <v>0</v>
      </c>
      <c r="W550">
        <f>IF(COUNTIF($E550, _xlfn.CONCAT("*",Table13[[#Headers],[Science Fiction]],"*")),1,0)</f>
        <v>0</v>
      </c>
      <c r="X550">
        <f>IF(COUNTIF($E550, _xlfn.CONCAT("*",Table13[[#Headers],[TV Movie]],"*")),1,0)</f>
        <v>0</v>
      </c>
      <c r="Y550">
        <f>IF(COUNTIF($E550, _xlfn.CONCAT("*",Table13[[#Headers],[Thriller]],"*")),1,0)</f>
        <v>0</v>
      </c>
      <c r="Z550">
        <f>IF(COUNTIF($E550, _xlfn.CONCAT("*",Table13[[#Headers],[War]],"*")),1,0)</f>
        <v>0</v>
      </c>
      <c r="AA550">
        <f>IF(COUNTIF($E550, _xlfn.CONCAT("*",Table13[[#Headers],[Western]],"*")),1,0)</f>
        <v>0</v>
      </c>
    </row>
    <row r="551" spans="1:27">
      <c r="A551" t="s">
        <v>718</v>
      </c>
      <c r="B551">
        <v>66</v>
      </c>
      <c r="C551">
        <f>MAX(Table13[Rank])-Table13[[#This Row],[Rank]]</f>
        <v>198</v>
      </c>
      <c r="D551" t="s">
        <v>674</v>
      </c>
      <c r="E551" t="s">
        <v>21</v>
      </c>
      <c r="F551" s="1">
        <v>23000</v>
      </c>
      <c r="G551">
        <f>YEAR(Table13[[#This Row],[Date]])</f>
        <v>1962</v>
      </c>
      <c r="H551" t="s">
        <v>718</v>
      </c>
      <c r="I551">
        <f>IF(COUNTIF($E551, _xlfn.CONCAT("*",Table13[[#Headers],[Action]],"*")),1,0)</f>
        <v>0</v>
      </c>
      <c r="J551">
        <f>IF(COUNTIF($E551, _xlfn.CONCAT("*",Table13[[#Headers],[Adventure]],"*")),1,0)</f>
        <v>0</v>
      </c>
      <c r="K551">
        <f>IF(COUNTIF($E551, _xlfn.CONCAT("*",Table13[[#Headers],[Animation]],"*")),1,0)</f>
        <v>0</v>
      </c>
      <c r="L551">
        <f>IF(COUNTIF($E551, _xlfn.CONCAT("*",Table13[[#Headers],[Comedy]],"*")),1,0)</f>
        <v>0</v>
      </c>
      <c r="M551">
        <f>IF(COUNTIF($E551, _xlfn.CONCAT("*",Table13[[#Headers],[Crime]],"*")),1,0)</f>
        <v>0</v>
      </c>
      <c r="N551">
        <f>IF(COUNTIF($E551, _xlfn.CONCAT("*",Table13[[#Headers],[Documentary]],"*")),1,0)</f>
        <v>0</v>
      </c>
      <c r="O551">
        <f>IF(COUNTIF($E551, _xlfn.CONCAT("*",Table13[[#Headers],[Drama]],"*")),1,0)</f>
        <v>1</v>
      </c>
      <c r="P551">
        <f>IF(COUNTIF($E551, _xlfn.CONCAT("*",Table13[[#Headers],[Family]],"*")),1,0)</f>
        <v>0</v>
      </c>
      <c r="Q551">
        <f>IF(COUNTIF($E551, _xlfn.CONCAT("*",Table13[[#Headers],[Fantasy]],"*")),1,0)</f>
        <v>0</v>
      </c>
      <c r="R551">
        <f>IF(COUNTIF($E551, _xlfn.CONCAT("*",Table13[[#Headers],[History]],"*")),1,0)</f>
        <v>0</v>
      </c>
      <c r="S551">
        <f>IF(COUNTIF($E551, _xlfn.CONCAT("*",Table13[[#Headers],[Horror]],"*")),1,0)</f>
        <v>0</v>
      </c>
      <c r="T551">
        <f>IF(COUNTIF($E551, _xlfn.CONCAT("*",Table13[[#Headers],[Music]],"*")),1,0)</f>
        <v>0</v>
      </c>
      <c r="U551">
        <f>IF(COUNTIF($E551, _xlfn.CONCAT("*",Table13[[#Headers],[Mystery]],"*")),1,0)</f>
        <v>0</v>
      </c>
      <c r="V551">
        <f>IF(COUNTIF($E551, _xlfn.CONCAT("*",Table13[[#Headers],[Romance]],"*")),1,0)</f>
        <v>0</v>
      </c>
      <c r="W551">
        <f>IF(COUNTIF($E551, _xlfn.CONCAT("*",Table13[[#Headers],[Science Fiction]],"*")),1,0)</f>
        <v>0</v>
      </c>
      <c r="X551">
        <f>IF(COUNTIF($E551, _xlfn.CONCAT("*",Table13[[#Headers],[TV Movie]],"*")),1,0)</f>
        <v>0</v>
      </c>
      <c r="Y551">
        <f>IF(COUNTIF($E551, _xlfn.CONCAT("*",Table13[[#Headers],[Thriller]],"*")),1,0)</f>
        <v>0</v>
      </c>
      <c r="Z551">
        <f>IF(COUNTIF($E551, _xlfn.CONCAT("*",Table13[[#Headers],[War]],"*")),1,0)</f>
        <v>0</v>
      </c>
      <c r="AA551">
        <f>IF(COUNTIF($E551, _xlfn.CONCAT("*",Table13[[#Headers],[Western]],"*")),1,0)</f>
        <v>0</v>
      </c>
    </row>
    <row r="552" spans="1:27">
      <c r="A552" t="s">
        <v>627</v>
      </c>
      <c r="B552">
        <v>67</v>
      </c>
      <c r="C552">
        <f>MAX(Table13[Rank])-Table13[[#This Row],[Rank]]</f>
        <v>197</v>
      </c>
      <c r="D552" t="s">
        <v>674</v>
      </c>
      <c r="E552" t="s">
        <v>91</v>
      </c>
      <c r="F552" s="1">
        <v>32652</v>
      </c>
      <c r="G552">
        <f>YEAR(Table13[[#This Row],[Date]])</f>
        <v>1989</v>
      </c>
      <c r="H552" t="s">
        <v>627</v>
      </c>
      <c r="I552">
        <f>IF(COUNTIF($E552, _xlfn.CONCAT("*",Table13[[#Headers],[Action]],"*")),1,0)</f>
        <v>1</v>
      </c>
      <c r="J552">
        <f>IF(COUNTIF($E552, _xlfn.CONCAT("*",Table13[[#Headers],[Adventure]],"*")),1,0)</f>
        <v>1</v>
      </c>
      <c r="K552">
        <f>IF(COUNTIF($E552, _xlfn.CONCAT("*",Table13[[#Headers],[Animation]],"*")),1,0)</f>
        <v>0</v>
      </c>
      <c r="L552">
        <f>IF(COUNTIF($E552, _xlfn.CONCAT("*",Table13[[#Headers],[Comedy]],"*")),1,0)</f>
        <v>0</v>
      </c>
      <c r="M552">
        <f>IF(COUNTIF($E552, _xlfn.CONCAT("*",Table13[[#Headers],[Crime]],"*")),1,0)</f>
        <v>0</v>
      </c>
      <c r="N552">
        <f>IF(COUNTIF($E552, _xlfn.CONCAT("*",Table13[[#Headers],[Documentary]],"*")),1,0)</f>
        <v>0</v>
      </c>
      <c r="O552">
        <f>IF(COUNTIF($E552, _xlfn.CONCAT("*",Table13[[#Headers],[Drama]],"*")),1,0)</f>
        <v>0</v>
      </c>
      <c r="P552">
        <f>IF(COUNTIF($E552, _xlfn.CONCAT("*",Table13[[#Headers],[Family]],"*")),1,0)</f>
        <v>0</v>
      </c>
      <c r="Q552">
        <f>IF(COUNTIF($E552, _xlfn.CONCAT("*",Table13[[#Headers],[Fantasy]],"*")),1,0)</f>
        <v>0</v>
      </c>
      <c r="R552">
        <f>IF(COUNTIF($E552, _xlfn.CONCAT("*",Table13[[#Headers],[History]],"*")),1,0)</f>
        <v>0</v>
      </c>
      <c r="S552">
        <f>IF(COUNTIF($E552, _xlfn.CONCAT("*",Table13[[#Headers],[Horror]],"*")),1,0)</f>
        <v>0</v>
      </c>
      <c r="T552">
        <f>IF(COUNTIF($E552, _xlfn.CONCAT("*",Table13[[#Headers],[Music]],"*")),1,0)</f>
        <v>0</v>
      </c>
      <c r="U552">
        <f>IF(COUNTIF($E552, _xlfn.CONCAT("*",Table13[[#Headers],[Mystery]],"*")),1,0)</f>
        <v>0</v>
      </c>
      <c r="V552">
        <f>IF(COUNTIF($E552, _xlfn.CONCAT("*",Table13[[#Headers],[Romance]],"*")),1,0)</f>
        <v>0</v>
      </c>
      <c r="W552">
        <f>IF(COUNTIF($E552, _xlfn.CONCAT("*",Table13[[#Headers],[Science Fiction]],"*")),1,0)</f>
        <v>0</v>
      </c>
      <c r="X552">
        <f>IF(COUNTIF($E552, _xlfn.CONCAT("*",Table13[[#Headers],[TV Movie]],"*")),1,0)</f>
        <v>0</v>
      </c>
      <c r="Y552">
        <f>IF(COUNTIF($E552, _xlfn.CONCAT("*",Table13[[#Headers],[Thriller]],"*")),1,0)</f>
        <v>0</v>
      </c>
      <c r="Z552">
        <f>IF(COUNTIF($E552, _xlfn.CONCAT("*",Table13[[#Headers],[War]],"*")),1,0)</f>
        <v>0</v>
      </c>
      <c r="AA552">
        <f>IF(COUNTIF($E552, _xlfn.CONCAT("*",Table13[[#Headers],[Western]],"*")),1,0)</f>
        <v>0</v>
      </c>
    </row>
    <row r="553" spans="1:27">
      <c r="A553" t="s">
        <v>719</v>
      </c>
      <c r="B553">
        <v>68</v>
      </c>
      <c r="C553">
        <f>MAX(Table13[Rank])-Table13[[#This Row],[Rank]]</f>
        <v>196</v>
      </c>
      <c r="D553" t="s">
        <v>674</v>
      </c>
      <c r="E553" t="s">
        <v>720</v>
      </c>
      <c r="F553" s="1">
        <v>41107</v>
      </c>
      <c r="G553">
        <f>YEAR(Table13[[#This Row],[Date]])</f>
        <v>2012</v>
      </c>
      <c r="H553" t="s">
        <v>719</v>
      </c>
      <c r="I553">
        <f>IF(COUNTIF($E553, _xlfn.CONCAT("*",Table13[[#Headers],[Action]],"*")),1,0)</f>
        <v>1</v>
      </c>
      <c r="J553">
        <f>IF(COUNTIF($E553, _xlfn.CONCAT("*",Table13[[#Headers],[Adventure]],"*")),1,0)</f>
        <v>0</v>
      </c>
      <c r="K553">
        <f>IF(COUNTIF($E553, _xlfn.CONCAT("*",Table13[[#Headers],[Animation]],"*")),1,0)</f>
        <v>0</v>
      </c>
      <c r="L553">
        <f>IF(COUNTIF($E553, _xlfn.CONCAT("*",Table13[[#Headers],[Comedy]],"*")),1,0)</f>
        <v>0</v>
      </c>
      <c r="M553">
        <f>IF(COUNTIF($E553, _xlfn.CONCAT("*",Table13[[#Headers],[Crime]],"*")),1,0)</f>
        <v>1</v>
      </c>
      <c r="N553">
        <f>IF(COUNTIF($E553, _xlfn.CONCAT("*",Table13[[#Headers],[Documentary]],"*")),1,0)</f>
        <v>0</v>
      </c>
      <c r="O553">
        <f>IF(COUNTIF($E553, _xlfn.CONCAT("*",Table13[[#Headers],[Drama]],"*")),1,0)</f>
        <v>1</v>
      </c>
      <c r="P553">
        <f>IF(COUNTIF($E553, _xlfn.CONCAT("*",Table13[[#Headers],[Family]],"*")),1,0)</f>
        <v>0</v>
      </c>
      <c r="Q553">
        <f>IF(COUNTIF($E553, _xlfn.CONCAT("*",Table13[[#Headers],[Fantasy]],"*")),1,0)</f>
        <v>0</v>
      </c>
      <c r="R553">
        <f>IF(COUNTIF($E553, _xlfn.CONCAT("*",Table13[[#Headers],[History]],"*")),1,0)</f>
        <v>0</v>
      </c>
      <c r="S553">
        <f>IF(COUNTIF($E553, _xlfn.CONCAT("*",Table13[[#Headers],[Horror]],"*")),1,0)</f>
        <v>0</v>
      </c>
      <c r="T553">
        <f>IF(COUNTIF($E553, _xlfn.CONCAT("*",Table13[[#Headers],[Music]],"*")),1,0)</f>
        <v>0</v>
      </c>
      <c r="U553">
        <f>IF(COUNTIF($E553, _xlfn.CONCAT("*",Table13[[#Headers],[Mystery]],"*")),1,0)</f>
        <v>0</v>
      </c>
      <c r="V553">
        <f>IF(COUNTIF($E553, _xlfn.CONCAT("*",Table13[[#Headers],[Romance]],"*")),1,0)</f>
        <v>0</v>
      </c>
      <c r="W553">
        <f>IF(COUNTIF($E553, _xlfn.CONCAT("*",Table13[[#Headers],[Science Fiction]],"*")),1,0)</f>
        <v>0</v>
      </c>
      <c r="X553">
        <f>IF(COUNTIF($E553, _xlfn.CONCAT("*",Table13[[#Headers],[TV Movie]],"*")),1,0)</f>
        <v>0</v>
      </c>
      <c r="Y553">
        <f>IF(COUNTIF($E553, _xlfn.CONCAT("*",Table13[[#Headers],[Thriller]],"*")),1,0)</f>
        <v>1</v>
      </c>
      <c r="Z553">
        <f>IF(COUNTIF($E553, _xlfn.CONCAT("*",Table13[[#Headers],[War]],"*")),1,0)</f>
        <v>0</v>
      </c>
      <c r="AA553">
        <f>IF(COUNTIF($E553, _xlfn.CONCAT("*",Table13[[#Headers],[Western]],"*")),1,0)</f>
        <v>0</v>
      </c>
    </row>
    <row r="554" spans="1:27">
      <c r="A554" t="s">
        <v>327</v>
      </c>
      <c r="B554">
        <v>69</v>
      </c>
      <c r="C554">
        <f>MAX(Table13[Rank])-Table13[[#This Row],[Rank]]</f>
        <v>195</v>
      </c>
      <c r="D554" t="s">
        <v>674</v>
      </c>
      <c r="E554" t="s">
        <v>328</v>
      </c>
      <c r="F554" s="1">
        <v>30127</v>
      </c>
      <c r="G554">
        <f>YEAR(Table13[[#This Row],[Date]])</f>
        <v>1982</v>
      </c>
      <c r="H554" t="s">
        <v>327</v>
      </c>
      <c r="I554">
        <f>IF(COUNTIF($E554, _xlfn.CONCAT("*",Table13[[#Headers],[Action]],"*")),1,0)</f>
        <v>0</v>
      </c>
      <c r="J554">
        <f>IF(COUNTIF($E554, _xlfn.CONCAT("*",Table13[[#Headers],[Adventure]],"*")),1,0)</f>
        <v>0</v>
      </c>
      <c r="K554">
        <f>IF(COUNTIF($E554, _xlfn.CONCAT("*",Table13[[#Headers],[Animation]],"*")),1,0)</f>
        <v>0</v>
      </c>
      <c r="L554">
        <f>IF(COUNTIF($E554, _xlfn.CONCAT("*",Table13[[#Headers],[Comedy]],"*")),1,0)</f>
        <v>0</v>
      </c>
      <c r="M554">
        <f>IF(COUNTIF($E554, _xlfn.CONCAT("*",Table13[[#Headers],[Crime]],"*")),1,0)</f>
        <v>0</v>
      </c>
      <c r="N554">
        <f>IF(COUNTIF($E554, _xlfn.CONCAT("*",Table13[[#Headers],[Documentary]],"*")),1,0)</f>
        <v>0</v>
      </c>
      <c r="O554">
        <f>IF(COUNTIF($E554, _xlfn.CONCAT("*",Table13[[#Headers],[Drama]],"*")),1,0)</f>
        <v>1</v>
      </c>
      <c r="P554">
        <f>IF(COUNTIF($E554, _xlfn.CONCAT("*",Table13[[#Headers],[Family]],"*")),1,0)</f>
        <v>0</v>
      </c>
      <c r="Q554">
        <f>IF(COUNTIF($E554, _xlfn.CONCAT("*",Table13[[#Headers],[Fantasy]],"*")),1,0)</f>
        <v>0</v>
      </c>
      <c r="R554">
        <f>IF(COUNTIF($E554, _xlfn.CONCAT("*",Table13[[#Headers],[History]],"*")),1,0)</f>
        <v>0</v>
      </c>
      <c r="S554">
        <f>IF(COUNTIF($E554, _xlfn.CONCAT("*",Table13[[#Headers],[Horror]],"*")),1,0)</f>
        <v>0</v>
      </c>
      <c r="T554">
        <f>IF(COUNTIF($E554, _xlfn.CONCAT("*",Table13[[#Headers],[Music]],"*")),1,0)</f>
        <v>0</v>
      </c>
      <c r="U554">
        <f>IF(COUNTIF($E554, _xlfn.CONCAT("*",Table13[[#Headers],[Mystery]],"*")),1,0)</f>
        <v>0</v>
      </c>
      <c r="V554">
        <f>IF(COUNTIF($E554, _xlfn.CONCAT("*",Table13[[#Headers],[Romance]],"*")),1,0)</f>
        <v>0</v>
      </c>
      <c r="W554">
        <f>IF(COUNTIF($E554, _xlfn.CONCAT("*",Table13[[#Headers],[Science Fiction]],"*")),1,0)</f>
        <v>1</v>
      </c>
      <c r="X554">
        <f>IF(COUNTIF($E554, _xlfn.CONCAT("*",Table13[[#Headers],[TV Movie]],"*")),1,0)</f>
        <v>0</v>
      </c>
      <c r="Y554">
        <f>IF(COUNTIF($E554, _xlfn.CONCAT("*",Table13[[#Headers],[Thriller]],"*")),1,0)</f>
        <v>1</v>
      </c>
      <c r="Z554">
        <f>IF(COUNTIF($E554, _xlfn.CONCAT("*",Table13[[#Headers],[War]],"*")),1,0)</f>
        <v>0</v>
      </c>
      <c r="AA554">
        <f>IF(COUNTIF($E554, _xlfn.CONCAT("*",Table13[[#Headers],[Western]],"*")),1,0)</f>
        <v>0</v>
      </c>
    </row>
    <row r="555" spans="1:27">
      <c r="A555" t="s">
        <v>721</v>
      </c>
      <c r="B555">
        <v>70</v>
      </c>
      <c r="C555">
        <f>MAX(Table13[Rank])-Table13[[#This Row],[Rank]]</f>
        <v>194</v>
      </c>
      <c r="D555" t="s">
        <v>674</v>
      </c>
      <c r="E555" t="s">
        <v>506</v>
      </c>
      <c r="F555" s="1">
        <v>34591</v>
      </c>
      <c r="G555">
        <f>YEAR(Table13[[#This Row],[Date]])</f>
        <v>1994</v>
      </c>
      <c r="H555" t="s">
        <v>507</v>
      </c>
      <c r="I555">
        <f>IF(COUNTIF($E555, _xlfn.CONCAT("*",Table13[[#Headers],[Action]],"*")),1,0)</f>
        <v>1</v>
      </c>
      <c r="J555">
        <f>IF(COUNTIF($E555, _xlfn.CONCAT("*",Table13[[#Headers],[Adventure]],"*")),1,0)</f>
        <v>0</v>
      </c>
      <c r="K555">
        <f>IF(COUNTIF($E555, _xlfn.CONCAT("*",Table13[[#Headers],[Animation]],"*")),1,0)</f>
        <v>0</v>
      </c>
      <c r="L555">
        <f>IF(COUNTIF($E555, _xlfn.CONCAT("*",Table13[[#Headers],[Comedy]],"*")),1,0)</f>
        <v>0</v>
      </c>
      <c r="M555">
        <f>IF(COUNTIF($E555, _xlfn.CONCAT("*",Table13[[#Headers],[Crime]],"*")),1,0)</f>
        <v>1</v>
      </c>
      <c r="N555">
        <f>IF(COUNTIF($E555, _xlfn.CONCAT("*",Table13[[#Headers],[Documentary]],"*")),1,0)</f>
        <v>0</v>
      </c>
      <c r="O555">
        <f>IF(COUNTIF($E555, _xlfn.CONCAT("*",Table13[[#Headers],[Drama]],"*")),1,0)</f>
        <v>1</v>
      </c>
      <c r="P555">
        <f>IF(COUNTIF($E555, _xlfn.CONCAT("*",Table13[[#Headers],[Family]],"*")),1,0)</f>
        <v>0</v>
      </c>
      <c r="Q555">
        <f>IF(COUNTIF($E555, _xlfn.CONCAT("*",Table13[[#Headers],[Fantasy]],"*")),1,0)</f>
        <v>0</v>
      </c>
      <c r="R555">
        <f>IF(COUNTIF($E555, _xlfn.CONCAT("*",Table13[[#Headers],[History]],"*")),1,0)</f>
        <v>0</v>
      </c>
      <c r="S555">
        <f>IF(COUNTIF($E555, _xlfn.CONCAT("*",Table13[[#Headers],[Horror]],"*")),1,0)</f>
        <v>0</v>
      </c>
      <c r="T555">
        <f>IF(COUNTIF($E555, _xlfn.CONCAT("*",Table13[[#Headers],[Music]],"*")),1,0)</f>
        <v>0</v>
      </c>
      <c r="U555">
        <f>IF(COUNTIF($E555, _xlfn.CONCAT("*",Table13[[#Headers],[Mystery]],"*")),1,0)</f>
        <v>0</v>
      </c>
      <c r="V555">
        <f>IF(COUNTIF($E555, _xlfn.CONCAT("*",Table13[[#Headers],[Romance]],"*")),1,0)</f>
        <v>0</v>
      </c>
      <c r="W555">
        <f>IF(COUNTIF($E555, _xlfn.CONCAT("*",Table13[[#Headers],[Science Fiction]],"*")),1,0)</f>
        <v>0</v>
      </c>
      <c r="X555">
        <f>IF(COUNTIF($E555, _xlfn.CONCAT("*",Table13[[#Headers],[TV Movie]],"*")),1,0)</f>
        <v>0</v>
      </c>
      <c r="Y555">
        <f>IF(COUNTIF($E555, _xlfn.CONCAT("*",Table13[[#Headers],[Thriller]],"*")),1,0)</f>
        <v>0</v>
      </c>
      <c r="Z555">
        <f>IF(COUNTIF($E555, _xlfn.CONCAT("*",Table13[[#Headers],[War]],"*")),1,0)</f>
        <v>0</v>
      </c>
      <c r="AA555">
        <f>IF(COUNTIF($E555, _xlfn.CONCAT("*",Table13[[#Headers],[Western]],"*")),1,0)</f>
        <v>0</v>
      </c>
    </row>
    <row r="556" spans="1:27">
      <c r="A556" t="s">
        <v>515</v>
      </c>
      <c r="B556">
        <v>71</v>
      </c>
      <c r="C556">
        <f>MAX(Table13[Rank])-Table13[[#This Row],[Rank]]</f>
        <v>193</v>
      </c>
      <c r="D556" t="s">
        <v>674</v>
      </c>
      <c r="E556" t="s">
        <v>367</v>
      </c>
      <c r="F556" s="1">
        <v>39246</v>
      </c>
      <c r="G556">
        <f>YEAR(Table13[[#This Row],[Date]])</f>
        <v>2007</v>
      </c>
      <c r="H556" t="s">
        <v>515</v>
      </c>
      <c r="I556">
        <f>IF(COUNTIF($E556, _xlfn.CONCAT("*",Table13[[#Headers],[Action]],"*")),1,0)</f>
        <v>0</v>
      </c>
      <c r="J556">
        <f>IF(COUNTIF($E556, _xlfn.CONCAT("*",Table13[[#Headers],[Adventure]],"*")),1,0)</f>
        <v>0</v>
      </c>
      <c r="K556">
        <f>IF(COUNTIF($E556, _xlfn.CONCAT("*",Table13[[#Headers],[Animation]],"*")),1,0)</f>
        <v>0</v>
      </c>
      <c r="L556">
        <f>IF(COUNTIF($E556, _xlfn.CONCAT("*",Table13[[#Headers],[Comedy]],"*")),1,0)</f>
        <v>0</v>
      </c>
      <c r="M556">
        <f>IF(COUNTIF($E556, _xlfn.CONCAT("*",Table13[[#Headers],[Crime]],"*")),1,0)</f>
        <v>1</v>
      </c>
      <c r="N556">
        <f>IF(COUNTIF($E556, _xlfn.CONCAT("*",Table13[[#Headers],[Documentary]],"*")),1,0)</f>
        <v>0</v>
      </c>
      <c r="O556">
        <f>IF(COUNTIF($E556, _xlfn.CONCAT("*",Table13[[#Headers],[Drama]],"*")),1,0)</f>
        <v>1</v>
      </c>
      <c r="P556">
        <f>IF(COUNTIF($E556, _xlfn.CONCAT("*",Table13[[#Headers],[Family]],"*")),1,0)</f>
        <v>0</v>
      </c>
      <c r="Q556">
        <f>IF(COUNTIF($E556, _xlfn.CONCAT("*",Table13[[#Headers],[Fantasy]],"*")),1,0)</f>
        <v>0</v>
      </c>
      <c r="R556">
        <f>IF(COUNTIF($E556, _xlfn.CONCAT("*",Table13[[#Headers],[History]],"*")),1,0)</f>
        <v>0</v>
      </c>
      <c r="S556">
        <f>IF(COUNTIF($E556, _xlfn.CONCAT("*",Table13[[#Headers],[Horror]],"*")),1,0)</f>
        <v>0</v>
      </c>
      <c r="T556">
        <f>IF(COUNTIF($E556, _xlfn.CONCAT("*",Table13[[#Headers],[Music]],"*")),1,0)</f>
        <v>0</v>
      </c>
      <c r="U556">
        <f>IF(COUNTIF($E556, _xlfn.CONCAT("*",Table13[[#Headers],[Mystery]],"*")),1,0)</f>
        <v>0</v>
      </c>
      <c r="V556">
        <f>IF(COUNTIF($E556, _xlfn.CONCAT("*",Table13[[#Headers],[Romance]],"*")),1,0)</f>
        <v>0</v>
      </c>
      <c r="W556">
        <f>IF(COUNTIF($E556, _xlfn.CONCAT("*",Table13[[#Headers],[Science Fiction]],"*")),1,0)</f>
        <v>0</v>
      </c>
      <c r="X556">
        <f>IF(COUNTIF($E556, _xlfn.CONCAT("*",Table13[[#Headers],[TV Movie]],"*")),1,0)</f>
        <v>0</v>
      </c>
      <c r="Y556">
        <f>IF(COUNTIF($E556, _xlfn.CONCAT("*",Table13[[#Headers],[Thriller]],"*")),1,0)</f>
        <v>1</v>
      </c>
      <c r="Z556">
        <f>IF(COUNTIF($E556, _xlfn.CONCAT("*",Table13[[#Headers],[War]],"*")),1,0)</f>
        <v>0</v>
      </c>
      <c r="AA556">
        <f>IF(COUNTIF($E556, _xlfn.CONCAT("*",Table13[[#Headers],[Western]],"*")),1,0)</f>
        <v>0</v>
      </c>
    </row>
    <row r="557" spans="1:27">
      <c r="A557" t="s">
        <v>722</v>
      </c>
      <c r="B557">
        <v>72</v>
      </c>
      <c r="C557">
        <f>MAX(Table13[Rank])-Table13[[#This Row],[Rank]]</f>
        <v>192</v>
      </c>
      <c r="D557" t="s">
        <v>674</v>
      </c>
      <c r="E557" t="s">
        <v>618</v>
      </c>
      <c r="F557" s="1">
        <v>37811</v>
      </c>
      <c r="G557">
        <f>YEAR(Table13[[#This Row],[Date]])</f>
        <v>2003</v>
      </c>
      <c r="H557" t="s">
        <v>722</v>
      </c>
      <c r="I557">
        <f>IF(COUNTIF($E557, _xlfn.CONCAT("*",Table13[[#Headers],[Action]],"*")),1,0)</f>
        <v>1</v>
      </c>
      <c r="J557">
        <f>IF(COUNTIF($E557, _xlfn.CONCAT("*",Table13[[#Headers],[Adventure]],"*")),1,0)</f>
        <v>1</v>
      </c>
      <c r="K557">
        <f>IF(COUNTIF($E557, _xlfn.CONCAT("*",Table13[[#Headers],[Animation]],"*")),1,0)</f>
        <v>0</v>
      </c>
      <c r="L557">
        <f>IF(COUNTIF($E557, _xlfn.CONCAT("*",Table13[[#Headers],[Comedy]],"*")),1,0)</f>
        <v>0</v>
      </c>
      <c r="M557">
        <f>IF(COUNTIF($E557, _xlfn.CONCAT("*",Table13[[#Headers],[Crime]],"*")),1,0)</f>
        <v>0</v>
      </c>
      <c r="N557">
        <f>IF(COUNTIF($E557, _xlfn.CONCAT("*",Table13[[#Headers],[Documentary]],"*")),1,0)</f>
        <v>0</v>
      </c>
      <c r="O557">
        <f>IF(COUNTIF($E557, _xlfn.CONCAT("*",Table13[[#Headers],[Drama]],"*")),1,0)</f>
        <v>0</v>
      </c>
      <c r="P557">
        <f>IF(COUNTIF($E557, _xlfn.CONCAT("*",Table13[[#Headers],[Family]],"*")),1,0)</f>
        <v>0</v>
      </c>
      <c r="Q557">
        <f>IF(COUNTIF($E557, _xlfn.CONCAT("*",Table13[[#Headers],[Fantasy]],"*")),1,0)</f>
        <v>1</v>
      </c>
      <c r="R557">
        <f>IF(COUNTIF($E557, _xlfn.CONCAT("*",Table13[[#Headers],[History]],"*")),1,0)</f>
        <v>0</v>
      </c>
      <c r="S557">
        <f>IF(COUNTIF($E557, _xlfn.CONCAT("*",Table13[[#Headers],[Horror]],"*")),1,0)</f>
        <v>0</v>
      </c>
      <c r="T557">
        <f>IF(COUNTIF($E557, _xlfn.CONCAT("*",Table13[[#Headers],[Music]],"*")),1,0)</f>
        <v>0</v>
      </c>
      <c r="U557">
        <f>IF(COUNTIF($E557, _xlfn.CONCAT("*",Table13[[#Headers],[Mystery]],"*")),1,0)</f>
        <v>0</v>
      </c>
      <c r="V557">
        <f>IF(COUNTIF($E557, _xlfn.CONCAT("*",Table13[[#Headers],[Romance]],"*")),1,0)</f>
        <v>0</v>
      </c>
      <c r="W557">
        <f>IF(COUNTIF($E557, _xlfn.CONCAT("*",Table13[[#Headers],[Science Fiction]],"*")),1,0)</f>
        <v>0</v>
      </c>
      <c r="X557">
        <f>IF(COUNTIF($E557, _xlfn.CONCAT("*",Table13[[#Headers],[TV Movie]],"*")),1,0)</f>
        <v>0</v>
      </c>
      <c r="Y557">
        <f>IF(COUNTIF($E557, _xlfn.CONCAT("*",Table13[[#Headers],[Thriller]],"*")),1,0)</f>
        <v>0</v>
      </c>
      <c r="Z557">
        <f>IF(COUNTIF($E557, _xlfn.CONCAT("*",Table13[[#Headers],[War]],"*")),1,0)</f>
        <v>0</v>
      </c>
      <c r="AA557">
        <f>IF(COUNTIF($E557, _xlfn.CONCAT("*",Table13[[#Headers],[Western]],"*")),1,0)</f>
        <v>0</v>
      </c>
    </row>
    <row r="558" spans="1:27">
      <c r="A558" t="s">
        <v>559</v>
      </c>
      <c r="B558">
        <v>73</v>
      </c>
      <c r="C558">
        <f>MAX(Table13[Rank])-Table13[[#This Row],[Rank]]</f>
        <v>191</v>
      </c>
      <c r="D558" t="s">
        <v>674</v>
      </c>
      <c r="E558" t="s">
        <v>558</v>
      </c>
      <c r="F558" s="1">
        <v>40044</v>
      </c>
      <c r="G558">
        <f>YEAR(Table13[[#This Row],[Date]])</f>
        <v>2009</v>
      </c>
      <c r="H558" t="s">
        <v>559</v>
      </c>
      <c r="I558">
        <f>IF(COUNTIF($E558, _xlfn.CONCAT("*",Table13[[#Headers],[Action]],"*")),1,0)</f>
        <v>0</v>
      </c>
      <c r="J558">
        <f>IF(COUNTIF($E558, _xlfn.CONCAT("*",Table13[[#Headers],[Adventure]],"*")),1,0)</f>
        <v>0</v>
      </c>
      <c r="K558">
        <f>IF(COUNTIF($E558, _xlfn.CONCAT("*",Table13[[#Headers],[Animation]],"*")),1,0)</f>
        <v>0</v>
      </c>
      <c r="L558">
        <f>IF(COUNTIF($E558, _xlfn.CONCAT("*",Table13[[#Headers],[Comedy]],"*")),1,0)</f>
        <v>0</v>
      </c>
      <c r="M558">
        <f>IF(COUNTIF($E558, _xlfn.CONCAT("*",Table13[[#Headers],[Crime]],"*")),1,0)</f>
        <v>0</v>
      </c>
      <c r="N558">
        <f>IF(COUNTIF($E558, _xlfn.CONCAT("*",Table13[[#Headers],[Documentary]],"*")),1,0)</f>
        <v>0</v>
      </c>
      <c r="O558">
        <f>IF(COUNTIF($E558, _xlfn.CONCAT("*",Table13[[#Headers],[Drama]],"*")),1,0)</f>
        <v>1</v>
      </c>
      <c r="P558">
        <f>IF(COUNTIF($E558, _xlfn.CONCAT("*",Table13[[#Headers],[Family]],"*")),1,0)</f>
        <v>0</v>
      </c>
      <c r="Q558">
        <f>IF(COUNTIF($E558, _xlfn.CONCAT("*",Table13[[#Headers],[Fantasy]],"*")),1,0)</f>
        <v>0</v>
      </c>
      <c r="R558">
        <f>IF(COUNTIF($E558, _xlfn.CONCAT("*",Table13[[#Headers],[History]],"*")),1,0)</f>
        <v>0</v>
      </c>
      <c r="S558">
        <f>IF(COUNTIF($E558, _xlfn.CONCAT("*",Table13[[#Headers],[Horror]],"*")),1,0)</f>
        <v>0</v>
      </c>
      <c r="T558">
        <f>IF(COUNTIF($E558, _xlfn.CONCAT("*",Table13[[#Headers],[Music]],"*")),1,0)</f>
        <v>0</v>
      </c>
      <c r="U558">
        <f>IF(COUNTIF($E558, _xlfn.CONCAT("*",Table13[[#Headers],[Mystery]],"*")),1,0)</f>
        <v>0</v>
      </c>
      <c r="V558">
        <f>IF(COUNTIF($E558, _xlfn.CONCAT("*",Table13[[#Headers],[Romance]],"*")),1,0)</f>
        <v>0</v>
      </c>
      <c r="W558">
        <f>IF(COUNTIF($E558, _xlfn.CONCAT("*",Table13[[#Headers],[Science Fiction]],"*")),1,0)</f>
        <v>0</v>
      </c>
      <c r="X558">
        <f>IF(COUNTIF($E558, _xlfn.CONCAT("*",Table13[[#Headers],[TV Movie]],"*")),1,0)</f>
        <v>0</v>
      </c>
      <c r="Y558">
        <f>IF(COUNTIF($E558, _xlfn.CONCAT("*",Table13[[#Headers],[Thriller]],"*")),1,0)</f>
        <v>1</v>
      </c>
      <c r="Z558">
        <f>IF(COUNTIF($E558, _xlfn.CONCAT("*",Table13[[#Headers],[War]],"*")),1,0)</f>
        <v>1</v>
      </c>
      <c r="AA558">
        <f>IF(COUNTIF($E558, _xlfn.CONCAT("*",Table13[[#Headers],[Western]],"*")),1,0)</f>
        <v>0</v>
      </c>
    </row>
    <row r="559" spans="1:27">
      <c r="A559" t="s">
        <v>723</v>
      </c>
      <c r="B559">
        <v>74</v>
      </c>
      <c r="C559">
        <f>MAX(Table13[Rank])-Table13[[#This Row],[Rank]]</f>
        <v>190</v>
      </c>
      <c r="D559" t="s">
        <v>674</v>
      </c>
      <c r="E559" t="s">
        <v>438</v>
      </c>
      <c r="F559" s="1">
        <v>39000</v>
      </c>
      <c r="G559">
        <f>YEAR(Table13[[#This Row],[Date]])</f>
        <v>2006</v>
      </c>
      <c r="H559" t="s">
        <v>748</v>
      </c>
      <c r="I559">
        <f>IF(COUNTIF($E559, _xlfn.CONCAT("*",Table13[[#Headers],[Action]],"*")),1,0)</f>
        <v>0</v>
      </c>
      <c r="J559">
        <f>IF(COUNTIF($E559, _xlfn.CONCAT("*",Table13[[#Headers],[Adventure]],"*")),1,0)</f>
        <v>0</v>
      </c>
      <c r="K559">
        <f>IF(COUNTIF($E559, _xlfn.CONCAT("*",Table13[[#Headers],[Animation]],"*")),1,0)</f>
        <v>0</v>
      </c>
      <c r="L559">
        <f>IF(COUNTIF($E559, _xlfn.CONCAT("*",Table13[[#Headers],[Comedy]],"*")),1,0)</f>
        <v>0</v>
      </c>
      <c r="M559">
        <f>IF(COUNTIF($E559, _xlfn.CONCAT("*",Table13[[#Headers],[Crime]],"*")),1,0)</f>
        <v>0</v>
      </c>
      <c r="N559">
        <f>IF(COUNTIF($E559, _xlfn.CONCAT("*",Table13[[#Headers],[Documentary]],"*")),1,0)</f>
        <v>0</v>
      </c>
      <c r="O559">
        <f>IF(COUNTIF($E559, _xlfn.CONCAT("*",Table13[[#Headers],[Drama]],"*")),1,0)</f>
        <v>1</v>
      </c>
      <c r="P559">
        <f>IF(COUNTIF($E559, _xlfn.CONCAT("*",Table13[[#Headers],[Family]],"*")),1,0)</f>
        <v>0</v>
      </c>
      <c r="Q559">
        <f>IF(COUNTIF($E559, _xlfn.CONCAT("*",Table13[[#Headers],[Fantasy]],"*")),1,0)</f>
        <v>1</v>
      </c>
      <c r="R559">
        <f>IF(COUNTIF($E559, _xlfn.CONCAT("*",Table13[[#Headers],[History]],"*")),1,0)</f>
        <v>0</v>
      </c>
      <c r="S559">
        <f>IF(COUNTIF($E559, _xlfn.CONCAT("*",Table13[[#Headers],[Horror]],"*")),1,0)</f>
        <v>0</v>
      </c>
      <c r="T559">
        <f>IF(COUNTIF($E559, _xlfn.CONCAT("*",Table13[[#Headers],[Music]],"*")),1,0)</f>
        <v>0</v>
      </c>
      <c r="U559">
        <f>IF(COUNTIF($E559, _xlfn.CONCAT("*",Table13[[#Headers],[Mystery]],"*")),1,0)</f>
        <v>0</v>
      </c>
      <c r="V559">
        <f>IF(COUNTIF($E559, _xlfn.CONCAT("*",Table13[[#Headers],[Romance]],"*")),1,0)</f>
        <v>0</v>
      </c>
      <c r="W559">
        <f>IF(COUNTIF($E559, _xlfn.CONCAT("*",Table13[[#Headers],[Science Fiction]],"*")),1,0)</f>
        <v>0</v>
      </c>
      <c r="X559">
        <f>IF(COUNTIF($E559, _xlfn.CONCAT("*",Table13[[#Headers],[TV Movie]],"*")),1,0)</f>
        <v>0</v>
      </c>
      <c r="Y559">
        <f>IF(COUNTIF($E559, _xlfn.CONCAT("*",Table13[[#Headers],[Thriller]],"*")),1,0)</f>
        <v>0</v>
      </c>
      <c r="Z559">
        <f>IF(COUNTIF($E559, _xlfn.CONCAT("*",Table13[[#Headers],[War]],"*")),1,0)</f>
        <v>1</v>
      </c>
      <c r="AA559">
        <f>IF(COUNTIF($E559, _xlfn.CONCAT("*",Table13[[#Headers],[Western]],"*")),1,0)</f>
        <v>0</v>
      </c>
    </row>
    <row r="560" spans="1:27">
      <c r="A560" t="s">
        <v>724</v>
      </c>
      <c r="B560">
        <v>75</v>
      </c>
      <c r="C560">
        <f>MAX(Table13[Rank])-Table13[[#This Row],[Rank]]</f>
        <v>189</v>
      </c>
      <c r="D560" t="s">
        <v>674</v>
      </c>
      <c r="E560" t="s">
        <v>375</v>
      </c>
      <c r="F560" s="1">
        <v>19840</v>
      </c>
      <c r="G560">
        <f>YEAR(Table13[[#This Row],[Date]])</f>
        <v>1954</v>
      </c>
      <c r="H560" t="s">
        <v>374</v>
      </c>
      <c r="I560">
        <f>IF(COUNTIF($E560, _xlfn.CONCAT("*",Table13[[#Headers],[Action]],"*")),1,0)</f>
        <v>1</v>
      </c>
      <c r="J560">
        <f>IF(COUNTIF($E560, _xlfn.CONCAT("*",Table13[[#Headers],[Adventure]],"*")),1,0)</f>
        <v>0</v>
      </c>
      <c r="K560">
        <f>IF(COUNTIF($E560, _xlfn.CONCAT("*",Table13[[#Headers],[Animation]],"*")),1,0)</f>
        <v>0</v>
      </c>
      <c r="L560">
        <f>IF(COUNTIF($E560, _xlfn.CONCAT("*",Table13[[#Headers],[Comedy]],"*")),1,0)</f>
        <v>0</v>
      </c>
      <c r="M560">
        <f>IF(COUNTIF($E560, _xlfn.CONCAT("*",Table13[[#Headers],[Crime]],"*")),1,0)</f>
        <v>0</v>
      </c>
      <c r="N560">
        <f>IF(COUNTIF($E560, _xlfn.CONCAT("*",Table13[[#Headers],[Documentary]],"*")),1,0)</f>
        <v>0</v>
      </c>
      <c r="O560">
        <f>IF(COUNTIF($E560, _xlfn.CONCAT("*",Table13[[#Headers],[Drama]],"*")),1,0)</f>
        <v>1</v>
      </c>
      <c r="P560">
        <f>IF(COUNTIF($E560, _xlfn.CONCAT("*",Table13[[#Headers],[Family]],"*")),1,0)</f>
        <v>0</v>
      </c>
      <c r="Q560">
        <f>IF(COUNTIF($E560, _xlfn.CONCAT("*",Table13[[#Headers],[Fantasy]],"*")),1,0)</f>
        <v>0</v>
      </c>
      <c r="R560">
        <f>IF(COUNTIF($E560, _xlfn.CONCAT("*",Table13[[#Headers],[History]],"*")),1,0)</f>
        <v>0</v>
      </c>
      <c r="S560">
        <f>IF(COUNTIF($E560, _xlfn.CONCAT("*",Table13[[#Headers],[Horror]],"*")),1,0)</f>
        <v>0</v>
      </c>
      <c r="T560">
        <f>IF(COUNTIF($E560, _xlfn.CONCAT("*",Table13[[#Headers],[Music]],"*")),1,0)</f>
        <v>0</v>
      </c>
      <c r="U560">
        <f>IF(COUNTIF($E560, _xlfn.CONCAT("*",Table13[[#Headers],[Mystery]],"*")),1,0)</f>
        <v>0</v>
      </c>
      <c r="V560">
        <f>IF(COUNTIF($E560, _xlfn.CONCAT("*",Table13[[#Headers],[Romance]],"*")),1,0)</f>
        <v>0</v>
      </c>
      <c r="W560">
        <f>IF(COUNTIF($E560, _xlfn.CONCAT("*",Table13[[#Headers],[Science Fiction]],"*")),1,0)</f>
        <v>0</v>
      </c>
      <c r="X560">
        <f>IF(COUNTIF($E560, _xlfn.CONCAT("*",Table13[[#Headers],[TV Movie]],"*")),1,0)</f>
        <v>0</v>
      </c>
      <c r="Y560">
        <f>IF(COUNTIF($E560, _xlfn.CONCAT("*",Table13[[#Headers],[Thriller]],"*")),1,0)</f>
        <v>0</v>
      </c>
      <c r="Z560">
        <f>IF(COUNTIF($E560, _xlfn.CONCAT("*",Table13[[#Headers],[War]],"*")),1,0)</f>
        <v>0</v>
      </c>
      <c r="AA560">
        <f>IF(COUNTIF($E560, _xlfn.CONCAT("*",Table13[[#Headers],[Western]],"*")),1,0)</f>
        <v>0</v>
      </c>
    </row>
    <row r="561" spans="1:27">
      <c r="A561" t="s">
        <v>22</v>
      </c>
      <c r="B561">
        <v>76</v>
      </c>
      <c r="C561">
        <f>MAX(Table13[Rank])-Table13[[#This Row],[Rank]]</f>
        <v>188</v>
      </c>
      <c r="D561" t="s">
        <v>674</v>
      </c>
      <c r="E561" t="s">
        <v>23</v>
      </c>
      <c r="F561" s="1">
        <v>26286</v>
      </c>
      <c r="G561">
        <f>YEAR(Table13[[#This Row],[Date]])</f>
        <v>1971</v>
      </c>
      <c r="H561" t="s">
        <v>22</v>
      </c>
      <c r="I561">
        <f>IF(COUNTIF($E561, _xlfn.CONCAT("*",Table13[[#Headers],[Action]],"*")),1,0)</f>
        <v>0</v>
      </c>
      <c r="J561">
        <f>IF(COUNTIF($E561, _xlfn.CONCAT("*",Table13[[#Headers],[Adventure]],"*")),1,0)</f>
        <v>0</v>
      </c>
      <c r="K561">
        <f>IF(COUNTIF($E561, _xlfn.CONCAT("*",Table13[[#Headers],[Animation]],"*")),1,0)</f>
        <v>0</v>
      </c>
      <c r="L561">
        <f>IF(COUNTIF($E561, _xlfn.CONCAT("*",Table13[[#Headers],[Comedy]],"*")),1,0)</f>
        <v>0</v>
      </c>
      <c r="M561">
        <f>IF(COUNTIF($E561, _xlfn.CONCAT("*",Table13[[#Headers],[Crime]],"*")),1,0)</f>
        <v>1</v>
      </c>
      <c r="N561">
        <f>IF(COUNTIF($E561, _xlfn.CONCAT("*",Table13[[#Headers],[Documentary]],"*")),1,0)</f>
        <v>0</v>
      </c>
      <c r="O561">
        <f>IF(COUNTIF($E561, _xlfn.CONCAT("*",Table13[[#Headers],[Drama]],"*")),1,0)</f>
        <v>0</v>
      </c>
      <c r="P561">
        <f>IF(COUNTIF($E561, _xlfn.CONCAT("*",Table13[[#Headers],[Family]],"*")),1,0)</f>
        <v>0</v>
      </c>
      <c r="Q561">
        <f>IF(COUNTIF($E561, _xlfn.CONCAT("*",Table13[[#Headers],[Fantasy]],"*")),1,0)</f>
        <v>0</v>
      </c>
      <c r="R561">
        <f>IF(COUNTIF($E561, _xlfn.CONCAT("*",Table13[[#Headers],[History]],"*")),1,0)</f>
        <v>0</v>
      </c>
      <c r="S561">
        <f>IF(COUNTIF($E561, _xlfn.CONCAT("*",Table13[[#Headers],[Horror]],"*")),1,0)</f>
        <v>0</v>
      </c>
      <c r="T561">
        <f>IF(COUNTIF($E561, _xlfn.CONCAT("*",Table13[[#Headers],[Music]],"*")),1,0)</f>
        <v>0</v>
      </c>
      <c r="U561">
        <f>IF(COUNTIF($E561, _xlfn.CONCAT("*",Table13[[#Headers],[Mystery]],"*")),1,0)</f>
        <v>0</v>
      </c>
      <c r="V561">
        <f>IF(COUNTIF($E561, _xlfn.CONCAT("*",Table13[[#Headers],[Romance]],"*")),1,0)</f>
        <v>0</v>
      </c>
      <c r="W561">
        <f>IF(COUNTIF($E561, _xlfn.CONCAT("*",Table13[[#Headers],[Science Fiction]],"*")),1,0)</f>
        <v>1</v>
      </c>
      <c r="X561">
        <f>IF(COUNTIF($E561, _xlfn.CONCAT("*",Table13[[#Headers],[TV Movie]],"*")),1,0)</f>
        <v>0</v>
      </c>
      <c r="Y561">
        <f>IF(COUNTIF($E561, _xlfn.CONCAT("*",Table13[[#Headers],[Thriller]],"*")),1,0)</f>
        <v>0</v>
      </c>
      <c r="Z561">
        <f>IF(COUNTIF($E561, _xlfn.CONCAT("*",Table13[[#Headers],[War]],"*")),1,0)</f>
        <v>0</v>
      </c>
      <c r="AA561">
        <f>IF(COUNTIF($E561, _xlfn.CONCAT("*",Table13[[#Headers],[Western]],"*")),1,0)</f>
        <v>0</v>
      </c>
    </row>
    <row r="562" spans="1:27">
      <c r="A562" t="s">
        <v>725</v>
      </c>
      <c r="B562">
        <v>77</v>
      </c>
      <c r="C562">
        <f>MAX(Table13[Rank])-Table13[[#This Row],[Rank]]</f>
        <v>187</v>
      </c>
      <c r="D562" t="s">
        <v>674</v>
      </c>
      <c r="E562" t="s">
        <v>726</v>
      </c>
      <c r="F562" s="1">
        <v>40162</v>
      </c>
      <c r="G562">
        <f>YEAR(Table13[[#This Row],[Date]])</f>
        <v>2009</v>
      </c>
      <c r="H562" t="s">
        <v>725</v>
      </c>
      <c r="I562">
        <f>IF(COUNTIF($E562, _xlfn.CONCAT("*",Table13[[#Headers],[Action]],"*")),1,0)</f>
        <v>1</v>
      </c>
      <c r="J562">
        <f>IF(COUNTIF($E562, _xlfn.CONCAT("*",Table13[[#Headers],[Adventure]],"*")),1,0)</f>
        <v>1</v>
      </c>
      <c r="K562">
        <f>IF(COUNTIF($E562, _xlfn.CONCAT("*",Table13[[#Headers],[Animation]],"*")),1,0)</f>
        <v>0</v>
      </c>
      <c r="L562">
        <f>IF(COUNTIF($E562, _xlfn.CONCAT("*",Table13[[#Headers],[Comedy]],"*")),1,0)</f>
        <v>0</v>
      </c>
      <c r="M562">
        <f>IF(COUNTIF($E562, _xlfn.CONCAT("*",Table13[[#Headers],[Crime]],"*")),1,0)</f>
        <v>0</v>
      </c>
      <c r="N562">
        <f>IF(COUNTIF($E562, _xlfn.CONCAT("*",Table13[[#Headers],[Documentary]],"*")),1,0)</f>
        <v>0</v>
      </c>
      <c r="O562">
        <f>IF(COUNTIF($E562, _xlfn.CONCAT("*",Table13[[#Headers],[Drama]],"*")),1,0)</f>
        <v>0</v>
      </c>
      <c r="P562">
        <f>IF(COUNTIF($E562, _xlfn.CONCAT("*",Table13[[#Headers],[Family]],"*")),1,0)</f>
        <v>0</v>
      </c>
      <c r="Q562">
        <f>IF(COUNTIF($E562, _xlfn.CONCAT("*",Table13[[#Headers],[Fantasy]],"*")),1,0)</f>
        <v>1</v>
      </c>
      <c r="R562">
        <f>IF(COUNTIF($E562, _xlfn.CONCAT("*",Table13[[#Headers],[History]],"*")),1,0)</f>
        <v>0</v>
      </c>
      <c r="S562">
        <f>IF(COUNTIF($E562, _xlfn.CONCAT("*",Table13[[#Headers],[Horror]],"*")),1,0)</f>
        <v>0</v>
      </c>
      <c r="T562">
        <f>IF(COUNTIF($E562, _xlfn.CONCAT("*",Table13[[#Headers],[Music]],"*")),1,0)</f>
        <v>0</v>
      </c>
      <c r="U562">
        <f>IF(COUNTIF($E562, _xlfn.CONCAT("*",Table13[[#Headers],[Mystery]],"*")),1,0)</f>
        <v>0</v>
      </c>
      <c r="V562">
        <f>IF(COUNTIF($E562, _xlfn.CONCAT("*",Table13[[#Headers],[Romance]],"*")),1,0)</f>
        <v>0</v>
      </c>
      <c r="W562">
        <f>IF(COUNTIF($E562, _xlfn.CONCAT("*",Table13[[#Headers],[Science Fiction]],"*")),1,0)</f>
        <v>1</v>
      </c>
      <c r="X562">
        <f>IF(COUNTIF($E562, _xlfn.CONCAT("*",Table13[[#Headers],[TV Movie]],"*")),1,0)</f>
        <v>0</v>
      </c>
      <c r="Y562">
        <f>IF(COUNTIF($E562, _xlfn.CONCAT("*",Table13[[#Headers],[Thriller]],"*")),1,0)</f>
        <v>0</v>
      </c>
      <c r="Z562">
        <f>IF(COUNTIF($E562, _xlfn.CONCAT("*",Table13[[#Headers],[War]],"*")),1,0)</f>
        <v>0</v>
      </c>
      <c r="AA562">
        <f>IF(COUNTIF($E562, _xlfn.CONCAT("*",Table13[[#Headers],[Western]],"*")),1,0)</f>
        <v>0</v>
      </c>
    </row>
    <row r="563" spans="1:27">
      <c r="A563" t="s">
        <v>603</v>
      </c>
      <c r="B563">
        <v>78</v>
      </c>
      <c r="C563">
        <f>MAX(Table13[Rank])-Table13[[#This Row],[Rank]]</f>
        <v>186</v>
      </c>
      <c r="D563" t="s">
        <v>674</v>
      </c>
      <c r="E563" t="s">
        <v>602</v>
      </c>
      <c r="F563" s="1">
        <v>35860</v>
      </c>
      <c r="G563">
        <f>YEAR(Table13[[#This Row],[Date]])</f>
        <v>1998</v>
      </c>
      <c r="H563" t="s">
        <v>603</v>
      </c>
      <c r="I563">
        <f>IF(COUNTIF($E563, _xlfn.CONCAT("*",Table13[[#Headers],[Action]],"*")),1,0)</f>
        <v>0</v>
      </c>
      <c r="J563">
        <f>IF(COUNTIF($E563, _xlfn.CONCAT("*",Table13[[#Headers],[Adventure]],"*")),1,0)</f>
        <v>0</v>
      </c>
      <c r="K563">
        <f>IF(COUNTIF($E563, _xlfn.CONCAT("*",Table13[[#Headers],[Animation]],"*")),1,0)</f>
        <v>0</v>
      </c>
      <c r="L563">
        <f>IF(COUNTIF($E563, _xlfn.CONCAT("*",Table13[[#Headers],[Comedy]],"*")),1,0)</f>
        <v>1</v>
      </c>
      <c r="M563">
        <f>IF(COUNTIF($E563, _xlfn.CONCAT("*",Table13[[#Headers],[Crime]],"*")),1,0)</f>
        <v>1</v>
      </c>
      <c r="N563">
        <f>IF(COUNTIF($E563, _xlfn.CONCAT("*",Table13[[#Headers],[Documentary]],"*")),1,0)</f>
        <v>0</v>
      </c>
      <c r="O563">
        <f>IF(COUNTIF($E563, _xlfn.CONCAT("*",Table13[[#Headers],[Drama]],"*")),1,0)</f>
        <v>0</v>
      </c>
      <c r="P563">
        <f>IF(COUNTIF($E563, _xlfn.CONCAT("*",Table13[[#Headers],[Family]],"*")),1,0)</f>
        <v>0</v>
      </c>
      <c r="Q563">
        <f>IF(COUNTIF($E563, _xlfn.CONCAT("*",Table13[[#Headers],[Fantasy]],"*")),1,0)</f>
        <v>0</v>
      </c>
      <c r="R563">
        <f>IF(COUNTIF($E563, _xlfn.CONCAT("*",Table13[[#Headers],[History]],"*")),1,0)</f>
        <v>0</v>
      </c>
      <c r="S563">
        <f>IF(COUNTIF($E563, _xlfn.CONCAT("*",Table13[[#Headers],[Horror]],"*")),1,0)</f>
        <v>0</v>
      </c>
      <c r="T563">
        <f>IF(COUNTIF($E563, _xlfn.CONCAT("*",Table13[[#Headers],[Music]],"*")),1,0)</f>
        <v>0</v>
      </c>
      <c r="U563">
        <f>IF(COUNTIF($E563, _xlfn.CONCAT("*",Table13[[#Headers],[Mystery]],"*")),1,0)</f>
        <v>0</v>
      </c>
      <c r="V563">
        <f>IF(COUNTIF($E563, _xlfn.CONCAT("*",Table13[[#Headers],[Romance]],"*")),1,0)</f>
        <v>0</v>
      </c>
      <c r="W563">
        <f>IF(COUNTIF($E563, _xlfn.CONCAT("*",Table13[[#Headers],[Science Fiction]],"*")),1,0)</f>
        <v>0</v>
      </c>
      <c r="X563">
        <f>IF(COUNTIF($E563, _xlfn.CONCAT("*",Table13[[#Headers],[TV Movie]],"*")),1,0)</f>
        <v>0</v>
      </c>
      <c r="Y563">
        <f>IF(COUNTIF($E563, _xlfn.CONCAT("*",Table13[[#Headers],[Thriller]],"*")),1,0)</f>
        <v>0</v>
      </c>
      <c r="Z563">
        <f>IF(COUNTIF($E563, _xlfn.CONCAT("*",Table13[[#Headers],[War]],"*")),1,0)</f>
        <v>0</v>
      </c>
      <c r="AA563">
        <f>IF(COUNTIF($E563, _xlfn.CONCAT("*",Table13[[#Headers],[Western]],"*")),1,0)</f>
        <v>0</v>
      </c>
    </row>
    <row r="564" spans="1:27">
      <c r="A564" t="s">
        <v>218</v>
      </c>
      <c r="B564">
        <v>79</v>
      </c>
      <c r="C564">
        <f>MAX(Table13[Rank])-Table13[[#This Row],[Rank]]</f>
        <v>185</v>
      </c>
      <c r="D564" t="s">
        <v>674</v>
      </c>
      <c r="E564" t="s">
        <v>21</v>
      </c>
      <c r="F564" s="1">
        <v>29539</v>
      </c>
      <c r="G564">
        <f>YEAR(Table13[[#This Row],[Date]])</f>
        <v>1980</v>
      </c>
      <c r="H564" t="s">
        <v>218</v>
      </c>
      <c r="I564">
        <f>IF(COUNTIF($E564, _xlfn.CONCAT("*",Table13[[#Headers],[Action]],"*")),1,0)</f>
        <v>0</v>
      </c>
      <c r="J564">
        <f>IF(COUNTIF($E564, _xlfn.CONCAT("*",Table13[[#Headers],[Adventure]],"*")),1,0)</f>
        <v>0</v>
      </c>
      <c r="K564">
        <f>IF(COUNTIF($E564, _xlfn.CONCAT("*",Table13[[#Headers],[Animation]],"*")),1,0)</f>
        <v>0</v>
      </c>
      <c r="L564">
        <f>IF(COUNTIF($E564, _xlfn.CONCAT("*",Table13[[#Headers],[Comedy]],"*")),1,0)</f>
        <v>0</v>
      </c>
      <c r="M564">
        <f>IF(COUNTIF($E564, _xlfn.CONCAT("*",Table13[[#Headers],[Crime]],"*")),1,0)</f>
        <v>0</v>
      </c>
      <c r="N564">
        <f>IF(COUNTIF($E564, _xlfn.CONCAT("*",Table13[[#Headers],[Documentary]],"*")),1,0)</f>
        <v>0</v>
      </c>
      <c r="O564">
        <f>IF(COUNTIF($E564, _xlfn.CONCAT("*",Table13[[#Headers],[Drama]],"*")),1,0)</f>
        <v>1</v>
      </c>
      <c r="P564">
        <f>IF(COUNTIF($E564, _xlfn.CONCAT("*",Table13[[#Headers],[Family]],"*")),1,0)</f>
        <v>0</v>
      </c>
      <c r="Q564">
        <f>IF(COUNTIF($E564, _xlfn.CONCAT("*",Table13[[#Headers],[Fantasy]],"*")),1,0)</f>
        <v>0</v>
      </c>
      <c r="R564">
        <f>IF(COUNTIF($E564, _xlfn.CONCAT("*",Table13[[#Headers],[History]],"*")),1,0)</f>
        <v>0</v>
      </c>
      <c r="S564">
        <f>IF(COUNTIF($E564, _xlfn.CONCAT("*",Table13[[#Headers],[Horror]],"*")),1,0)</f>
        <v>0</v>
      </c>
      <c r="T564">
        <f>IF(COUNTIF($E564, _xlfn.CONCAT("*",Table13[[#Headers],[Music]],"*")),1,0)</f>
        <v>0</v>
      </c>
      <c r="U564">
        <f>IF(COUNTIF($E564, _xlfn.CONCAT("*",Table13[[#Headers],[Mystery]],"*")),1,0)</f>
        <v>0</v>
      </c>
      <c r="V564">
        <f>IF(COUNTIF($E564, _xlfn.CONCAT("*",Table13[[#Headers],[Romance]],"*")),1,0)</f>
        <v>0</v>
      </c>
      <c r="W564">
        <f>IF(COUNTIF($E564, _xlfn.CONCAT("*",Table13[[#Headers],[Science Fiction]],"*")),1,0)</f>
        <v>0</v>
      </c>
      <c r="X564">
        <f>IF(COUNTIF($E564, _xlfn.CONCAT("*",Table13[[#Headers],[TV Movie]],"*")),1,0)</f>
        <v>0</v>
      </c>
      <c r="Y564">
        <f>IF(COUNTIF($E564, _xlfn.CONCAT("*",Table13[[#Headers],[Thriller]],"*")),1,0)</f>
        <v>0</v>
      </c>
      <c r="Z564">
        <f>IF(COUNTIF($E564, _xlfn.CONCAT("*",Table13[[#Headers],[War]],"*")),1,0)</f>
        <v>0</v>
      </c>
      <c r="AA564">
        <f>IF(COUNTIF($E564, _xlfn.CONCAT("*",Table13[[#Headers],[Western]],"*")),1,0)</f>
        <v>0</v>
      </c>
    </row>
    <row r="565" spans="1:27">
      <c r="A565" t="s">
        <v>472</v>
      </c>
      <c r="B565">
        <v>80</v>
      </c>
      <c r="C565">
        <f>MAX(Table13[Rank])-Table13[[#This Row],[Rank]]</f>
        <v>184</v>
      </c>
      <c r="D565" t="s">
        <v>674</v>
      </c>
      <c r="E565" t="s">
        <v>367</v>
      </c>
      <c r="F565" s="1">
        <v>35132</v>
      </c>
      <c r="G565">
        <f>YEAR(Table13[[#This Row],[Date]])</f>
        <v>1996</v>
      </c>
      <c r="H565" t="s">
        <v>472</v>
      </c>
      <c r="I565">
        <f>IF(COUNTIF($E565, _xlfn.CONCAT("*",Table13[[#Headers],[Action]],"*")),1,0)</f>
        <v>0</v>
      </c>
      <c r="J565">
        <f>IF(COUNTIF($E565, _xlfn.CONCAT("*",Table13[[#Headers],[Adventure]],"*")),1,0)</f>
        <v>0</v>
      </c>
      <c r="K565">
        <f>IF(COUNTIF($E565, _xlfn.CONCAT("*",Table13[[#Headers],[Animation]],"*")),1,0)</f>
        <v>0</v>
      </c>
      <c r="L565">
        <f>IF(COUNTIF($E565, _xlfn.CONCAT("*",Table13[[#Headers],[Comedy]],"*")),1,0)</f>
        <v>0</v>
      </c>
      <c r="M565">
        <f>IF(COUNTIF($E565, _xlfn.CONCAT("*",Table13[[#Headers],[Crime]],"*")),1,0)</f>
        <v>1</v>
      </c>
      <c r="N565">
        <f>IF(COUNTIF($E565, _xlfn.CONCAT("*",Table13[[#Headers],[Documentary]],"*")),1,0)</f>
        <v>0</v>
      </c>
      <c r="O565">
        <f>IF(COUNTIF($E565, _xlfn.CONCAT("*",Table13[[#Headers],[Drama]],"*")),1,0)</f>
        <v>1</v>
      </c>
      <c r="P565">
        <f>IF(COUNTIF($E565, _xlfn.CONCAT("*",Table13[[#Headers],[Family]],"*")),1,0)</f>
        <v>0</v>
      </c>
      <c r="Q565">
        <f>IF(COUNTIF($E565, _xlfn.CONCAT("*",Table13[[#Headers],[Fantasy]],"*")),1,0)</f>
        <v>0</v>
      </c>
      <c r="R565">
        <f>IF(COUNTIF($E565, _xlfn.CONCAT("*",Table13[[#Headers],[History]],"*")),1,0)</f>
        <v>0</v>
      </c>
      <c r="S565">
        <f>IF(COUNTIF($E565, _xlfn.CONCAT("*",Table13[[#Headers],[Horror]],"*")),1,0)</f>
        <v>0</v>
      </c>
      <c r="T565">
        <f>IF(COUNTIF($E565, _xlfn.CONCAT("*",Table13[[#Headers],[Music]],"*")),1,0)</f>
        <v>0</v>
      </c>
      <c r="U565">
        <f>IF(COUNTIF($E565, _xlfn.CONCAT("*",Table13[[#Headers],[Mystery]],"*")),1,0)</f>
        <v>0</v>
      </c>
      <c r="V565">
        <f>IF(COUNTIF($E565, _xlfn.CONCAT("*",Table13[[#Headers],[Romance]],"*")),1,0)</f>
        <v>0</v>
      </c>
      <c r="W565">
        <f>IF(COUNTIF($E565, _xlfn.CONCAT("*",Table13[[#Headers],[Science Fiction]],"*")),1,0)</f>
        <v>0</v>
      </c>
      <c r="X565">
        <f>IF(COUNTIF($E565, _xlfn.CONCAT("*",Table13[[#Headers],[TV Movie]],"*")),1,0)</f>
        <v>0</v>
      </c>
      <c r="Y565">
        <f>IF(COUNTIF($E565, _xlfn.CONCAT("*",Table13[[#Headers],[Thriller]],"*")),1,0)</f>
        <v>1</v>
      </c>
      <c r="Z565">
        <f>IF(COUNTIF($E565, _xlfn.CONCAT("*",Table13[[#Headers],[War]],"*")),1,0)</f>
        <v>0</v>
      </c>
      <c r="AA565">
        <f>IF(COUNTIF($E565, _xlfn.CONCAT("*",Table13[[#Headers],[Western]],"*")),1,0)</f>
        <v>0</v>
      </c>
    </row>
    <row r="566" spans="1:27">
      <c r="A566" t="s">
        <v>727</v>
      </c>
      <c r="B566">
        <v>81</v>
      </c>
      <c r="C566">
        <f>MAX(Table13[Rank])-Table13[[#This Row],[Rank]]</f>
        <v>183</v>
      </c>
      <c r="D566" t="s">
        <v>674</v>
      </c>
      <c r="E566" t="s">
        <v>645</v>
      </c>
      <c r="F566" s="1">
        <v>39568</v>
      </c>
      <c r="G566">
        <f>YEAR(Table13[[#This Row],[Date]])</f>
        <v>2008</v>
      </c>
      <c r="H566" t="s">
        <v>727</v>
      </c>
      <c r="I566">
        <f>IF(COUNTIF($E566, _xlfn.CONCAT("*",Table13[[#Headers],[Action]],"*")),1,0)</f>
        <v>1</v>
      </c>
      <c r="J566">
        <f>IF(COUNTIF($E566, _xlfn.CONCAT("*",Table13[[#Headers],[Adventure]],"*")),1,0)</f>
        <v>1</v>
      </c>
      <c r="K566">
        <f>IF(COUNTIF($E566, _xlfn.CONCAT("*",Table13[[#Headers],[Animation]],"*")),1,0)</f>
        <v>0</v>
      </c>
      <c r="L566">
        <f>IF(COUNTIF($E566, _xlfn.CONCAT("*",Table13[[#Headers],[Comedy]],"*")),1,0)</f>
        <v>0</v>
      </c>
      <c r="M566">
        <f>IF(COUNTIF($E566, _xlfn.CONCAT("*",Table13[[#Headers],[Crime]],"*")),1,0)</f>
        <v>0</v>
      </c>
      <c r="N566">
        <f>IF(COUNTIF($E566, _xlfn.CONCAT("*",Table13[[#Headers],[Documentary]],"*")),1,0)</f>
        <v>0</v>
      </c>
      <c r="O566">
        <f>IF(COUNTIF($E566, _xlfn.CONCAT("*",Table13[[#Headers],[Drama]],"*")),1,0)</f>
        <v>0</v>
      </c>
      <c r="P566">
        <f>IF(COUNTIF($E566, _xlfn.CONCAT("*",Table13[[#Headers],[Family]],"*")),1,0)</f>
        <v>0</v>
      </c>
      <c r="Q566">
        <f>IF(COUNTIF($E566, _xlfn.CONCAT("*",Table13[[#Headers],[Fantasy]],"*")),1,0)</f>
        <v>0</v>
      </c>
      <c r="R566">
        <f>IF(COUNTIF($E566, _xlfn.CONCAT("*",Table13[[#Headers],[History]],"*")),1,0)</f>
        <v>0</v>
      </c>
      <c r="S566">
        <f>IF(COUNTIF($E566, _xlfn.CONCAT("*",Table13[[#Headers],[Horror]],"*")),1,0)</f>
        <v>0</v>
      </c>
      <c r="T566">
        <f>IF(COUNTIF($E566, _xlfn.CONCAT("*",Table13[[#Headers],[Music]],"*")),1,0)</f>
        <v>0</v>
      </c>
      <c r="U566">
        <f>IF(COUNTIF($E566, _xlfn.CONCAT("*",Table13[[#Headers],[Mystery]],"*")),1,0)</f>
        <v>0</v>
      </c>
      <c r="V566">
        <f>IF(COUNTIF($E566, _xlfn.CONCAT("*",Table13[[#Headers],[Romance]],"*")),1,0)</f>
        <v>0</v>
      </c>
      <c r="W566">
        <f>IF(COUNTIF($E566, _xlfn.CONCAT("*",Table13[[#Headers],[Science Fiction]],"*")),1,0)</f>
        <v>1</v>
      </c>
      <c r="X566">
        <f>IF(COUNTIF($E566, _xlfn.CONCAT("*",Table13[[#Headers],[TV Movie]],"*")),1,0)</f>
        <v>0</v>
      </c>
      <c r="Y566">
        <f>IF(COUNTIF($E566, _xlfn.CONCAT("*",Table13[[#Headers],[Thriller]],"*")),1,0)</f>
        <v>0</v>
      </c>
      <c r="Z566">
        <f>IF(COUNTIF($E566, _xlfn.CONCAT("*",Table13[[#Headers],[War]],"*")),1,0)</f>
        <v>0</v>
      </c>
      <c r="AA566">
        <f>IF(COUNTIF($E566, _xlfn.CONCAT("*",Table13[[#Headers],[Western]],"*")),1,0)</f>
        <v>0</v>
      </c>
    </row>
    <row r="567" spans="1:27">
      <c r="A567" t="s">
        <v>728</v>
      </c>
      <c r="B567">
        <v>82</v>
      </c>
      <c r="C567">
        <f>MAX(Table13[Rank])-Table13[[#This Row],[Rank]]</f>
        <v>182</v>
      </c>
      <c r="D567" t="s">
        <v>674</v>
      </c>
      <c r="E567" t="s">
        <v>729</v>
      </c>
      <c r="F567" s="1">
        <v>37421</v>
      </c>
      <c r="G567">
        <f>YEAR(Table13[[#This Row],[Date]])</f>
        <v>2002</v>
      </c>
      <c r="H567" t="s">
        <v>1300</v>
      </c>
      <c r="I567">
        <f>IF(COUNTIF($E567, _xlfn.CONCAT("*",Table13[[#Headers],[Action]],"*")),1,0)</f>
        <v>1</v>
      </c>
      <c r="J567">
        <f>IF(COUNTIF($E567, _xlfn.CONCAT("*",Table13[[#Headers],[Adventure]],"*")),1,0)</f>
        <v>0</v>
      </c>
      <c r="K567">
        <f>IF(COUNTIF($E567, _xlfn.CONCAT("*",Table13[[#Headers],[Animation]],"*")),1,0)</f>
        <v>0</v>
      </c>
      <c r="L567">
        <f>IF(COUNTIF($E567, _xlfn.CONCAT("*",Table13[[#Headers],[Comedy]],"*")),1,0)</f>
        <v>0</v>
      </c>
      <c r="M567">
        <f>IF(COUNTIF($E567, _xlfn.CONCAT("*",Table13[[#Headers],[Crime]],"*")),1,0)</f>
        <v>0</v>
      </c>
      <c r="N567">
        <f>IF(COUNTIF($E567, _xlfn.CONCAT("*",Table13[[#Headers],[Documentary]],"*")),1,0)</f>
        <v>0</v>
      </c>
      <c r="O567">
        <f>IF(COUNTIF($E567, _xlfn.CONCAT("*",Table13[[#Headers],[Drama]],"*")),1,0)</f>
        <v>1</v>
      </c>
      <c r="P567">
        <f>IF(COUNTIF($E567, _xlfn.CONCAT("*",Table13[[#Headers],[Family]],"*")),1,0)</f>
        <v>0</v>
      </c>
      <c r="Q567">
        <f>IF(COUNTIF($E567, _xlfn.CONCAT("*",Table13[[#Headers],[Fantasy]],"*")),1,0)</f>
        <v>0</v>
      </c>
      <c r="R567">
        <f>IF(COUNTIF($E567, _xlfn.CONCAT("*",Table13[[#Headers],[History]],"*")),1,0)</f>
        <v>0</v>
      </c>
      <c r="S567">
        <f>IF(COUNTIF($E567, _xlfn.CONCAT("*",Table13[[#Headers],[Horror]],"*")),1,0)</f>
        <v>0</v>
      </c>
      <c r="T567">
        <f>IF(COUNTIF($E567, _xlfn.CONCAT("*",Table13[[#Headers],[Music]],"*")),1,0)</f>
        <v>0</v>
      </c>
      <c r="U567">
        <f>IF(COUNTIF($E567, _xlfn.CONCAT("*",Table13[[#Headers],[Mystery]],"*")),1,0)</f>
        <v>1</v>
      </c>
      <c r="V567">
        <f>IF(COUNTIF($E567, _xlfn.CONCAT("*",Table13[[#Headers],[Romance]],"*")),1,0)</f>
        <v>0</v>
      </c>
      <c r="W567">
        <f>IF(COUNTIF($E567, _xlfn.CONCAT("*",Table13[[#Headers],[Science Fiction]],"*")),1,0)</f>
        <v>0</v>
      </c>
      <c r="X567">
        <f>IF(COUNTIF($E567, _xlfn.CONCAT("*",Table13[[#Headers],[TV Movie]],"*")),1,0)</f>
        <v>0</v>
      </c>
      <c r="Y567">
        <f>IF(COUNTIF($E567, _xlfn.CONCAT("*",Table13[[#Headers],[Thriller]],"*")),1,0)</f>
        <v>1</v>
      </c>
      <c r="Z567">
        <f>IF(COUNTIF($E567, _xlfn.CONCAT("*",Table13[[#Headers],[War]],"*")),1,0)</f>
        <v>0</v>
      </c>
      <c r="AA567">
        <f>IF(COUNTIF($E567, _xlfn.CONCAT("*",Table13[[#Headers],[Western]],"*")),1,0)</f>
        <v>0</v>
      </c>
    </row>
    <row r="568" spans="1:27">
      <c r="A568" t="s">
        <v>730</v>
      </c>
      <c r="B568">
        <v>83</v>
      </c>
      <c r="C568">
        <f>MAX(Table13[Rank])-Table13[[#This Row],[Rank]]</f>
        <v>181</v>
      </c>
      <c r="D568" t="s">
        <v>674</v>
      </c>
      <c r="E568" t="s">
        <v>731</v>
      </c>
      <c r="F568" s="1">
        <v>41859</v>
      </c>
      <c r="G568">
        <f>YEAR(Table13[[#This Row],[Date]])</f>
        <v>2014</v>
      </c>
      <c r="H568" t="s">
        <v>728</v>
      </c>
      <c r="I568">
        <f>IF(COUNTIF($E568, _xlfn.CONCAT("*",Table13[[#Headers],[Action]],"*")),1,0)</f>
        <v>0</v>
      </c>
      <c r="J568">
        <f>IF(COUNTIF($E568, _xlfn.CONCAT("*",Table13[[#Headers],[Adventure]],"*")),1,0)</f>
        <v>0</v>
      </c>
      <c r="K568">
        <f>IF(COUNTIF($E568, _xlfn.CONCAT("*",Table13[[#Headers],[Animation]],"*")),1,0)</f>
        <v>1</v>
      </c>
      <c r="L568">
        <f>IF(COUNTIF($E568, _xlfn.CONCAT("*",Table13[[#Headers],[Comedy]],"*")),1,0)</f>
        <v>0</v>
      </c>
      <c r="M568">
        <f>IF(COUNTIF($E568, _xlfn.CONCAT("*",Table13[[#Headers],[Crime]],"*")),1,0)</f>
        <v>0</v>
      </c>
      <c r="N568">
        <f>IF(COUNTIF($E568, _xlfn.CONCAT("*",Table13[[#Headers],[Documentary]],"*")),1,0)</f>
        <v>0</v>
      </c>
      <c r="O568">
        <f>IF(COUNTIF($E568, _xlfn.CONCAT("*",Table13[[#Headers],[Drama]],"*")),1,0)</f>
        <v>0</v>
      </c>
      <c r="P568">
        <f>IF(COUNTIF($E568, _xlfn.CONCAT("*",Table13[[#Headers],[Family]],"*")),1,0)</f>
        <v>1</v>
      </c>
      <c r="Q568">
        <f>IF(COUNTIF($E568, _xlfn.CONCAT("*",Table13[[#Headers],[Fantasy]],"*")),1,0)</f>
        <v>1</v>
      </c>
      <c r="R568">
        <f>IF(COUNTIF($E568, _xlfn.CONCAT("*",Table13[[#Headers],[History]],"*")),1,0)</f>
        <v>0</v>
      </c>
      <c r="S568">
        <f>IF(COUNTIF($E568, _xlfn.CONCAT("*",Table13[[#Headers],[Horror]],"*")),1,0)</f>
        <v>0</v>
      </c>
      <c r="T568">
        <f>IF(COUNTIF($E568, _xlfn.CONCAT("*",Table13[[#Headers],[Music]],"*")),1,0)</f>
        <v>0</v>
      </c>
      <c r="U568">
        <f>IF(COUNTIF($E568, _xlfn.CONCAT("*",Table13[[#Headers],[Mystery]],"*")),1,0)</f>
        <v>0</v>
      </c>
      <c r="V568">
        <f>IF(COUNTIF($E568, _xlfn.CONCAT("*",Table13[[#Headers],[Romance]],"*")),1,0)</f>
        <v>0</v>
      </c>
      <c r="W568">
        <f>IF(COUNTIF($E568, _xlfn.CONCAT("*",Table13[[#Headers],[Science Fiction]],"*")),1,0)</f>
        <v>1</v>
      </c>
      <c r="X568">
        <f>IF(COUNTIF($E568, _xlfn.CONCAT("*",Table13[[#Headers],[TV Movie]],"*")),1,0)</f>
        <v>0</v>
      </c>
      <c r="Y568">
        <f>IF(COUNTIF($E568, _xlfn.CONCAT("*",Table13[[#Headers],[Thriller]],"*")),1,0)</f>
        <v>0</v>
      </c>
      <c r="Z568">
        <f>IF(COUNTIF($E568, _xlfn.CONCAT("*",Table13[[#Headers],[War]],"*")),1,0)</f>
        <v>0</v>
      </c>
      <c r="AA568">
        <f>IF(COUNTIF($E568, _xlfn.CONCAT("*",Table13[[#Headers],[Western]],"*")),1,0)</f>
        <v>0</v>
      </c>
    </row>
    <row r="569" spans="1:27">
      <c r="A569" t="s">
        <v>732</v>
      </c>
      <c r="B569">
        <v>84</v>
      </c>
      <c r="C569">
        <f>MAX(Table13[Rank])-Table13[[#This Row],[Rank]]</f>
        <v>180</v>
      </c>
      <c r="D569" t="s">
        <v>674</v>
      </c>
      <c r="E569" t="s">
        <v>733</v>
      </c>
      <c r="F569" s="1">
        <v>27539</v>
      </c>
      <c r="G569">
        <f>YEAR(Table13[[#This Row],[Date]])</f>
        <v>1975</v>
      </c>
      <c r="H569" t="s">
        <v>732</v>
      </c>
      <c r="I569">
        <f>IF(COUNTIF($E569, _xlfn.CONCAT("*",Table13[[#Headers],[Action]],"*")),1,0)</f>
        <v>0</v>
      </c>
      <c r="J569">
        <f>IF(COUNTIF($E569, _xlfn.CONCAT("*",Table13[[#Headers],[Adventure]],"*")),1,0)</f>
        <v>1</v>
      </c>
      <c r="K569">
        <f>IF(COUNTIF($E569, _xlfn.CONCAT("*",Table13[[#Headers],[Animation]],"*")),1,0)</f>
        <v>0</v>
      </c>
      <c r="L569">
        <f>IF(COUNTIF($E569, _xlfn.CONCAT("*",Table13[[#Headers],[Comedy]],"*")),1,0)</f>
        <v>1</v>
      </c>
      <c r="M569">
        <f>IF(COUNTIF($E569, _xlfn.CONCAT("*",Table13[[#Headers],[Crime]],"*")),1,0)</f>
        <v>0</v>
      </c>
      <c r="N569">
        <f>IF(COUNTIF($E569, _xlfn.CONCAT("*",Table13[[#Headers],[Documentary]],"*")),1,0)</f>
        <v>0</v>
      </c>
      <c r="O569">
        <f>IF(COUNTIF($E569, _xlfn.CONCAT("*",Table13[[#Headers],[Drama]],"*")),1,0)</f>
        <v>0</v>
      </c>
      <c r="P569">
        <f>IF(COUNTIF($E569, _xlfn.CONCAT("*",Table13[[#Headers],[Family]],"*")),1,0)</f>
        <v>0</v>
      </c>
      <c r="Q569">
        <f>IF(COUNTIF($E569, _xlfn.CONCAT("*",Table13[[#Headers],[Fantasy]],"*")),1,0)</f>
        <v>1</v>
      </c>
      <c r="R569">
        <f>IF(COUNTIF($E569, _xlfn.CONCAT("*",Table13[[#Headers],[History]],"*")),1,0)</f>
        <v>0</v>
      </c>
      <c r="S569">
        <f>IF(COUNTIF($E569, _xlfn.CONCAT("*",Table13[[#Headers],[Horror]],"*")),1,0)</f>
        <v>0</v>
      </c>
      <c r="T569">
        <f>IF(COUNTIF($E569, _xlfn.CONCAT("*",Table13[[#Headers],[Music]],"*")),1,0)</f>
        <v>0</v>
      </c>
      <c r="U569">
        <f>IF(COUNTIF($E569, _xlfn.CONCAT("*",Table13[[#Headers],[Mystery]],"*")),1,0)</f>
        <v>0</v>
      </c>
      <c r="V569">
        <f>IF(COUNTIF($E569, _xlfn.CONCAT("*",Table13[[#Headers],[Romance]],"*")),1,0)</f>
        <v>0</v>
      </c>
      <c r="W569">
        <f>IF(COUNTIF($E569, _xlfn.CONCAT("*",Table13[[#Headers],[Science Fiction]],"*")),1,0)</f>
        <v>0</v>
      </c>
      <c r="X569">
        <f>IF(COUNTIF($E569, _xlfn.CONCAT("*",Table13[[#Headers],[TV Movie]],"*")),1,0)</f>
        <v>0</v>
      </c>
      <c r="Y569">
        <f>IF(COUNTIF($E569, _xlfn.CONCAT("*",Table13[[#Headers],[Thriller]],"*")),1,0)</f>
        <v>0</v>
      </c>
      <c r="Z569">
        <f>IF(COUNTIF($E569, _xlfn.CONCAT("*",Table13[[#Headers],[War]],"*")),1,0)</f>
        <v>0</v>
      </c>
      <c r="AA569">
        <f>IF(COUNTIF($E569, _xlfn.CONCAT("*",Table13[[#Headers],[Western]],"*")),1,0)</f>
        <v>0</v>
      </c>
    </row>
    <row r="570" spans="1:27">
      <c r="A570" t="s">
        <v>592</v>
      </c>
      <c r="B570">
        <v>85</v>
      </c>
      <c r="C570">
        <f>MAX(Table13[Rank])-Table13[[#This Row],[Rank]]</f>
        <v>179</v>
      </c>
      <c r="D570" t="s">
        <v>674</v>
      </c>
      <c r="E570" t="s">
        <v>32</v>
      </c>
      <c r="F570" s="1">
        <v>41922</v>
      </c>
      <c r="G570">
        <f>YEAR(Table13[[#This Row],[Date]])</f>
        <v>2014</v>
      </c>
      <c r="H570" t="s">
        <v>592</v>
      </c>
      <c r="I570">
        <f>IF(COUNTIF($E570, _xlfn.CONCAT("*",Table13[[#Headers],[Action]],"*")),1,0)</f>
        <v>0</v>
      </c>
      <c r="J570">
        <f>IF(COUNTIF($E570, _xlfn.CONCAT("*",Table13[[#Headers],[Adventure]],"*")),1,0)</f>
        <v>0</v>
      </c>
      <c r="K570">
        <f>IF(COUNTIF($E570, _xlfn.CONCAT("*",Table13[[#Headers],[Animation]],"*")),1,0)</f>
        <v>0</v>
      </c>
      <c r="L570">
        <f>IF(COUNTIF($E570, _xlfn.CONCAT("*",Table13[[#Headers],[Comedy]],"*")),1,0)</f>
        <v>0</v>
      </c>
      <c r="M570">
        <f>IF(COUNTIF($E570, _xlfn.CONCAT("*",Table13[[#Headers],[Crime]],"*")),1,0)</f>
        <v>0</v>
      </c>
      <c r="N570">
        <f>IF(COUNTIF($E570, _xlfn.CONCAT("*",Table13[[#Headers],[Documentary]],"*")),1,0)</f>
        <v>0</v>
      </c>
      <c r="O570">
        <f>IF(COUNTIF($E570, _xlfn.CONCAT("*",Table13[[#Headers],[Drama]],"*")),1,0)</f>
        <v>1</v>
      </c>
      <c r="P570">
        <f>IF(COUNTIF($E570, _xlfn.CONCAT("*",Table13[[#Headers],[Family]],"*")),1,0)</f>
        <v>0</v>
      </c>
      <c r="Q570">
        <f>IF(COUNTIF($E570, _xlfn.CONCAT("*",Table13[[#Headers],[Fantasy]],"*")),1,0)</f>
        <v>0</v>
      </c>
      <c r="R570">
        <f>IF(COUNTIF($E570, _xlfn.CONCAT("*",Table13[[#Headers],[History]],"*")),1,0)</f>
        <v>0</v>
      </c>
      <c r="S570">
        <f>IF(COUNTIF($E570, _xlfn.CONCAT("*",Table13[[#Headers],[Horror]],"*")),1,0)</f>
        <v>0</v>
      </c>
      <c r="T570">
        <f>IF(COUNTIF($E570, _xlfn.CONCAT("*",Table13[[#Headers],[Music]],"*")),1,0)</f>
        <v>1</v>
      </c>
      <c r="U570">
        <f>IF(COUNTIF($E570, _xlfn.CONCAT("*",Table13[[#Headers],[Mystery]],"*")),1,0)</f>
        <v>0</v>
      </c>
      <c r="V570">
        <f>IF(COUNTIF($E570, _xlfn.CONCAT("*",Table13[[#Headers],[Romance]],"*")),1,0)</f>
        <v>0</v>
      </c>
      <c r="W570">
        <f>IF(COUNTIF($E570, _xlfn.CONCAT("*",Table13[[#Headers],[Science Fiction]],"*")),1,0)</f>
        <v>0</v>
      </c>
      <c r="X570">
        <f>IF(COUNTIF($E570, _xlfn.CONCAT("*",Table13[[#Headers],[TV Movie]],"*")),1,0)</f>
        <v>0</v>
      </c>
      <c r="Y570">
        <f>IF(COUNTIF($E570, _xlfn.CONCAT("*",Table13[[#Headers],[Thriller]],"*")),1,0)</f>
        <v>0</v>
      </c>
      <c r="Z570">
        <f>IF(COUNTIF($E570, _xlfn.CONCAT("*",Table13[[#Headers],[War]],"*")),1,0)</f>
        <v>0</v>
      </c>
      <c r="AA570">
        <f>IF(COUNTIF($E570, _xlfn.CONCAT("*",Table13[[#Headers],[Western]],"*")),1,0)</f>
        <v>0</v>
      </c>
    </row>
    <row r="571" spans="1:27">
      <c r="A571" t="s">
        <v>396</v>
      </c>
      <c r="B571">
        <v>86</v>
      </c>
      <c r="C571">
        <f>MAX(Table13[Rank])-Table13[[#This Row],[Rank]]</f>
        <v>178</v>
      </c>
      <c r="D571" t="s">
        <v>674</v>
      </c>
      <c r="E571" t="s">
        <v>397</v>
      </c>
      <c r="F571" s="1">
        <v>21333</v>
      </c>
      <c r="G571">
        <f>YEAR(Table13[[#This Row],[Date]])</f>
        <v>1958</v>
      </c>
      <c r="H571" t="s">
        <v>396</v>
      </c>
      <c r="I571">
        <f>IF(COUNTIF($E571, _xlfn.CONCAT("*",Table13[[#Headers],[Action]],"*")),1,0)</f>
        <v>0</v>
      </c>
      <c r="J571">
        <f>IF(COUNTIF($E571, _xlfn.CONCAT("*",Table13[[#Headers],[Adventure]],"*")),1,0)</f>
        <v>0</v>
      </c>
      <c r="K571">
        <f>IF(COUNTIF($E571, _xlfn.CONCAT("*",Table13[[#Headers],[Animation]],"*")),1,0)</f>
        <v>0</v>
      </c>
      <c r="L571">
        <f>IF(COUNTIF($E571, _xlfn.CONCAT("*",Table13[[#Headers],[Comedy]],"*")),1,0)</f>
        <v>0</v>
      </c>
      <c r="M571">
        <f>IF(COUNTIF($E571, _xlfn.CONCAT("*",Table13[[#Headers],[Crime]],"*")),1,0)</f>
        <v>0</v>
      </c>
      <c r="N571">
        <f>IF(COUNTIF($E571, _xlfn.CONCAT("*",Table13[[#Headers],[Documentary]],"*")),1,0)</f>
        <v>0</v>
      </c>
      <c r="O571">
        <f>IF(COUNTIF($E571, _xlfn.CONCAT("*",Table13[[#Headers],[Drama]],"*")),1,0)</f>
        <v>0</v>
      </c>
      <c r="P571">
        <f>IF(COUNTIF($E571, _xlfn.CONCAT("*",Table13[[#Headers],[Family]],"*")),1,0)</f>
        <v>0</v>
      </c>
      <c r="Q571">
        <f>IF(COUNTIF($E571, _xlfn.CONCAT("*",Table13[[#Headers],[Fantasy]],"*")),1,0)</f>
        <v>0</v>
      </c>
      <c r="R571">
        <f>IF(COUNTIF($E571, _xlfn.CONCAT("*",Table13[[#Headers],[History]],"*")),1,0)</f>
        <v>0</v>
      </c>
      <c r="S571">
        <f>IF(COUNTIF($E571, _xlfn.CONCAT("*",Table13[[#Headers],[Horror]],"*")),1,0)</f>
        <v>0</v>
      </c>
      <c r="T571">
        <f>IF(COUNTIF($E571, _xlfn.CONCAT("*",Table13[[#Headers],[Music]],"*")),1,0)</f>
        <v>0</v>
      </c>
      <c r="U571">
        <f>IF(COUNTIF($E571, _xlfn.CONCAT("*",Table13[[#Headers],[Mystery]],"*")),1,0)</f>
        <v>1</v>
      </c>
      <c r="V571">
        <f>IF(COUNTIF($E571, _xlfn.CONCAT("*",Table13[[#Headers],[Romance]],"*")),1,0)</f>
        <v>1</v>
      </c>
      <c r="W571">
        <f>IF(COUNTIF($E571, _xlfn.CONCAT("*",Table13[[#Headers],[Science Fiction]],"*")),1,0)</f>
        <v>0</v>
      </c>
      <c r="X571">
        <f>IF(COUNTIF($E571, _xlfn.CONCAT("*",Table13[[#Headers],[TV Movie]],"*")),1,0)</f>
        <v>0</v>
      </c>
      <c r="Y571">
        <f>IF(COUNTIF($E571, _xlfn.CONCAT("*",Table13[[#Headers],[Thriller]],"*")),1,0)</f>
        <v>1</v>
      </c>
      <c r="Z571">
        <f>IF(COUNTIF($E571, _xlfn.CONCAT("*",Table13[[#Headers],[War]],"*")),1,0)</f>
        <v>0</v>
      </c>
      <c r="AA571">
        <f>IF(COUNTIF($E571, _xlfn.CONCAT("*",Table13[[#Headers],[Western]],"*")),1,0)</f>
        <v>0</v>
      </c>
    </row>
    <row r="572" spans="1:27">
      <c r="A572" t="s">
        <v>482</v>
      </c>
      <c r="B572">
        <v>87</v>
      </c>
      <c r="C572">
        <f>MAX(Table13[Rank])-Table13[[#This Row],[Rank]]</f>
        <v>177</v>
      </c>
      <c r="D572" t="s">
        <v>674</v>
      </c>
      <c r="E572" t="s">
        <v>481</v>
      </c>
      <c r="F572" s="1">
        <v>14594</v>
      </c>
      <c r="G572">
        <f>YEAR(Table13[[#This Row],[Date]])</f>
        <v>1939</v>
      </c>
      <c r="H572" t="s">
        <v>482</v>
      </c>
      <c r="I572">
        <f>IF(COUNTIF($E572, _xlfn.CONCAT("*",Table13[[#Headers],[Action]],"*")),1,0)</f>
        <v>0</v>
      </c>
      <c r="J572">
        <f>IF(COUNTIF($E572, _xlfn.CONCAT("*",Table13[[#Headers],[Adventure]],"*")),1,0)</f>
        <v>0</v>
      </c>
      <c r="K572">
        <f>IF(COUNTIF($E572, _xlfn.CONCAT("*",Table13[[#Headers],[Animation]],"*")),1,0)</f>
        <v>0</v>
      </c>
      <c r="L572">
        <f>IF(COUNTIF($E572, _xlfn.CONCAT("*",Table13[[#Headers],[Comedy]],"*")),1,0)</f>
        <v>0</v>
      </c>
      <c r="M572">
        <f>IF(COUNTIF($E572, _xlfn.CONCAT("*",Table13[[#Headers],[Crime]],"*")),1,0)</f>
        <v>0</v>
      </c>
      <c r="N572">
        <f>IF(COUNTIF($E572, _xlfn.CONCAT("*",Table13[[#Headers],[Documentary]],"*")),1,0)</f>
        <v>0</v>
      </c>
      <c r="O572">
        <f>IF(COUNTIF($E572, _xlfn.CONCAT("*",Table13[[#Headers],[Drama]],"*")),1,0)</f>
        <v>1</v>
      </c>
      <c r="P572">
        <f>IF(COUNTIF($E572, _xlfn.CONCAT("*",Table13[[#Headers],[Family]],"*")),1,0)</f>
        <v>0</v>
      </c>
      <c r="Q572">
        <f>IF(COUNTIF($E572, _xlfn.CONCAT("*",Table13[[#Headers],[Fantasy]],"*")),1,0)</f>
        <v>0</v>
      </c>
      <c r="R572">
        <f>IF(COUNTIF($E572, _xlfn.CONCAT("*",Table13[[#Headers],[History]],"*")),1,0)</f>
        <v>0</v>
      </c>
      <c r="S572">
        <f>IF(COUNTIF($E572, _xlfn.CONCAT("*",Table13[[#Headers],[Horror]],"*")),1,0)</f>
        <v>0</v>
      </c>
      <c r="T572">
        <f>IF(COUNTIF($E572, _xlfn.CONCAT("*",Table13[[#Headers],[Music]],"*")),1,0)</f>
        <v>0</v>
      </c>
      <c r="U572">
        <f>IF(COUNTIF($E572, _xlfn.CONCAT("*",Table13[[#Headers],[Mystery]],"*")),1,0)</f>
        <v>0</v>
      </c>
      <c r="V572">
        <f>IF(COUNTIF($E572, _xlfn.CONCAT("*",Table13[[#Headers],[Romance]],"*")),1,0)</f>
        <v>1</v>
      </c>
      <c r="W572">
        <f>IF(COUNTIF($E572, _xlfn.CONCAT("*",Table13[[#Headers],[Science Fiction]],"*")),1,0)</f>
        <v>0</v>
      </c>
      <c r="X572">
        <f>IF(COUNTIF($E572, _xlfn.CONCAT("*",Table13[[#Headers],[TV Movie]],"*")),1,0)</f>
        <v>0</v>
      </c>
      <c r="Y572">
        <f>IF(COUNTIF($E572, _xlfn.CONCAT("*",Table13[[#Headers],[Thriller]],"*")),1,0)</f>
        <v>0</v>
      </c>
      <c r="Z572">
        <f>IF(COUNTIF($E572, _xlfn.CONCAT("*",Table13[[#Headers],[War]],"*")),1,0)</f>
        <v>1</v>
      </c>
      <c r="AA572">
        <f>IF(COUNTIF($E572, _xlfn.CONCAT("*",Table13[[#Headers],[Western]],"*")),1,0)</f>
        <v>0</v>
      </c>
    </row>
    <row r="573" spans="1:27">
      <c r="A573" t="s">
        <v>734</v>
      </c>
      <c r="B573">
        <v>88</v>
      </c>
      <c r="C573">
        <f>MAX(Table13[Rank])-Table13[[#This Row],[Rank]]</f>
        <v>176</v>
      </c>
      <c r="D573" t="s">
        <v>674</v>
      </c>
      <c r="E573" t="s">
        <v>164</v>
      </c>
      <c r="F573" s="1">
        <v>31093</v>
      </c>
      <c r="G573">
        <f>YEAR(Table13[[#This Row],[Date]])</f>
        <v>1985</v>
      </c>
      <c r="H573" t="s">
        <v>734</v>
      </c>
      <c r="I573">
        <f>IF(COUNTIF($E573, _xlfn.CONCAT("*",Table13[[#Headers],[Action]],"*")),1,0)</f>
        <v>0</v>
      </c>
      <c r="J573">
        <f>IF(COUNTIF($E573, _xlfn.CONCAT("*",Table13[[#Headers],[Adventure]],"*")),1,0)</f>
        <v>0</v>
      </c>
      <c r="K573">
        <f>IF(COUNTIF($E573, _xlfn.CONCAT("*",Table13[[#Headers],[Animation]],"*")),1,0)</f>
        <v>0</v>
      </c>
      <c r="L573">
        <f>IF(COUNTIF($E573, _xlfn.CONCAT("*",Table13[[#Headers],[Comedy]],"*")),1,0)</f>
        <v>1</v>
      </c>
      <c r="M573">
        <f>IF(COUNTIF($E573, _xlfn.CONCAT("*",Table13[[#Headers],[Crime]],"*")),1,0)</f>
        <v>0</v>
      </c>
      <c r="N573">
        <f>IF(COUNTIF($E573, _xlfn.CONCAT("*",Table13[[#Headers],[Documentary]],"*")),1,0)</f>
        <v>0</v>
      </c>
      <c r="O573">
        <f>IF(COUNTIF($E573, _xlfn.CONCAT("*",Table13[[#Headers],[Drama]],"*")),1,0)</f>
        <v>1</v>
      </c>
      <c r="P573">
        <f>IF(COUNTIF($E573, _xlfn.CONCAT("*",Table13[[#Headers],[Family]],"*")),1,0)</f>
        <v>0</v>
      </c>
      <c r="Q573">
        <f>IF(COUNTIF($E573, _xlfn.CONCAT("*",Table13[[#Headers],[Fantasy]],"*")),1,0)</f>
        <v>0</v>
      </c>
      <c r="R573">
        <f>IF(COUNTIF($E573, _xlfn.CONCAT("*",Table13[[#Headers],[History]],"*")),1,0)</f>
        <v>0</v>
      </c>
      <c r="S573">
        <f>IF(COUNTIF($E573, _xlfn.CONCAT("*",Table13[[#Headers],[Horror]],"*")),1,0)</f>
        <v>0</v>
      </c>
      <c r="T573">
        <f>IF(COUNTIF($E573, _xlfn.CONCAT("*",Table13[[#Headers],[Music]],"*")),1,0)</f>
        <v>0</v>
      </c>
      <c r="U573">
        <f>IF(COUNTIF($E573, _xlfn.CONCAT("*",Table13[[#Headers],[Mystery]],"*")),1,0)</f>
        <v>0</v>
      </c>
      <c r="V573">
        <f>IF(COUNTIF($E573, _xlfn.CONCAT("*",Table13[[#Headers],[Romance]],"*")),1,0)</f>
        <v>0</v>
      </c>
      <c r="W573">
        <f>IF(COUNTIF($E573, _xlfn.CONCAT("*",Table13[[#Headers],[Science Fiction]],"*")),1,0)</f>
        <v>0</v>
      </c>
      <c r="X573">
        <f>IF(COUNTIF($E573, _xlfn.CONCAT("*",Table13[[#Headers],[TV Movie]],"*")),1,0)</f>
        <v>0</v>
      </c>
      <c r="Y573">
        <f>IF(COUNTIF($E573, _xlfn.CONCAT("*",Table13[[#Headers],[Thriller]],"*")),1,0)</f>
        <v>0</v>
      </c>
      <c r="Z573">
        <f>IF(COUNTIF($E573, _xlfn.CONCAT("*",Table13[[#Headers],[War]],"*")),1,0)</f>
        <v>0</v>
      </c>
      <c r="AA573">
        <f>IF(COUNTIF($E573, _xlfn.CONCAT("*",Table13[[#Headers],[Western]],"*")),1,0)</f>
        <v>0</v>
      </c>
    </row>
    <row r="574" spans="1:27">
      <c r="A574" t="s">
        <v>735</v>
      </c>
      <c r="B574">
        <v>89</v>
      </c>
      <c r="C574">
        <f>MAX(Table13[Rank])-Table13[[#This Row],[Rank]]</f>
        <v>175</v>
      </c>
      <c r="D574" t="s">
        <v>674</v>
      </c>
      <c r="E574" t="s">
        <v>729</v>
      </c>
      <c r="F574" s="1">
        <v>39297</v>
      </c>
      <c r="G574">
        <f>YEAR(Table13[[#This Row],[Date]])</f>
        <v>2007</v>
      </c>
      <c r="H574" t="s">
        <v>735</v>
      </c>
      <c r="I574">
        <f>IF(COUNTIF($E574, _xlfn.CONCAT("*",Table13[[#Headers],[Action]],"*")),1,0)</f>
        <v>1</v>
      </c>
      <c r="J574">
        <f>IF(COUNTIF($E574, _xlfn.CONCAT("*",Table13[[#Headers],[Adventure]],"*")),1,0)</f>
        <v>0</v>
      </c>
      <c r="K574">
        <f>IF(COUNTIF($E574, _xlfn.CONCAT("*",Table13[[#Headers],[Animation]],"*")),1,0)</f>
        <v>0</v>
      </c>
      <c r="L574">
        <f>IF(COUNTIF($E574, _xlfn.CONCAT("*",Table13[[#Headers],[Comedy]],"*")),1,0)</f>
        <v>0</v>
      </c>
      <c r="M574">
        <f>IF(COUNTIF($E574, _xlfn.CONCAT("*",Table13[[#Headers],[Crime]],"*")),1,0)</f>
        <v>0</v>
      </c>
      <c r="N574">
        <f>IF(COUNTIF($E574, _xlfn.CONCAT("*",Table13[[#Headers],[Documentary]],"*")),1,0)</f>
        <v>0</v>
      </c>
      <c r="O574">
        <f>IF(COUNTIF($E574, _xlfn.CONCAT("*",Table13[[#Headers],[Drama]],"*")),1,0)</f>
        <v>1</v>
      </c>
      <c r="P574">
        <f>IF(COUNTIF($E574, _xlfn.CONCAT("*",Table13[[#Headers],[Family]],"*")),1,0)</f>
        <v>0</v>
      </c>
      <c r="Q574">
        <f>IF(COUNTIF($E574, _xlfn.CONCAT("*",Table13[[#Headers],[Fantasy]],"*")),1,0)</f>
        <v>0</v>
      </c>
      <c r="R574">
        <f>IF(COUNTIF($E574, _xlfn.CONCAT("*",Table13[[#Headers],[History]],"*")),1,0)</f>
        <v>0</v>
      </c>
      <c r="S574">
        <f>IF(COUNTIF($E574, _xlfn.CONCAT("*",Table13[[#Headers],[Horror]],"*")),1,0)</f>
        <v>0</v>
      </c>
      <c r="T574">
        <f>IF(COUNTIF($E574, _xlfn.CONCAT("*",Table13[[#Headers],[Music]],"*")),1,0)</f>
        <v>0</v>
      </c>
      <c r="U574">
        <f>IF(COUNTIF($E574, _xlfn.CONCAT("*",Table13[[#Headers],[Mystery]],"*")),1,0)</f>
        <v>1</v>
      </c>
      <c r="V574">
        <f>IF(COUNTIF($E574, _xlfn.CONCAT("*",Table13[[#Headers],[Romance]],"*")),1,0)</f>
        <v>0</v>
      </c>
      <c r="W574">
        <f>IF(COUNTIF($E574, _xlfn.CONCAT("*",Table13[[#Headers],[Science Fiction]],"*")),1,0)</f>
        <v>0</v>
      </c>
      <c r="X574">
        <f>IF(COUNTIF($E574, _xlfn.CONCAT("*",Table13[[#Headers],[TV Movie]],"*")),1,0)</f>
        <v>0</v>
      </c>
      <c r="Y574">
        <f>IF(COUNTIF($E574, _xlfn.CONCAT("*",Table13[[#Headers],[Thriller]],"*")),1,0)</f>
        <v>1</v>
      </c>
      <c r="Z574">
        <f>IF(COUNTIF($E574, _xlfn.CONCAT("*",Table13[[#Headers],[War]],"*")),1,0)</f>
        <v>0</v>
      </c>
      <c r="AA574">
        <f>IF(COUNTIF($E574, _xlfn.CONCAT("*",Table13[[#Headers],[Western]],"*")),1,0)</f>
        <v>0</v>
      </c>
    </row>
    <row r="575" spans="1:27">
      <c r="A575" t="s">
        <v>337</v>
      </c>
      <c r="B575">
        <v>90</v>
      </c>
      <c r="C575">
        <f>MAX(Table13[Rank])-Table13[[#This Row],[Rank]]</f>
        <v>174</v>
      </c>
      <c r="D575" t="s">
        <v>674</v>
      </c>
      <c r="E575" t="s">
        <v>338</v>
      </c>
      <c r="F575" s="1">
        <v>21739</v>
      </c>
      <c r="G575">
        <f>YEAR(Table13[[#This Row],[Date]])</f>
        <v>1959</v>
      </c>
      <c r="H575" t="s">
        <v>337</v>
      </c>
      <c r="I575">
        <f>IF(COUNTIF($E575, _xlfn.CONCAT("*",Table13[[#Headers],[Action]],"*")),1,0)</f>
        <v>0</v>
      </c>
      <c r="J575">
        <f>IF(COUNTIF($E575, _xlfn.CONCAT("*",Table13[[#Headers],[Adventure]],"*")),1,0)</f>
        <v>1</v>
      </c>
      <c r="K575">
        <f>IF(COUNTIF($E575, _xlfn.CONCAT("*",Table13[[#Headers],[Animation]],"*")),1,0)</f>
        <v>0</v>
      </c>
      <c r="L575">
        <f>IF(COUNTIF($E575, _xlfn.CONCAT("*",Table13[[#Headers],[Comedy]],"*")),1,0)</f>
        <v>0</v>
      </c>
      <c r="M575">
        <f>IF(COUNTIF($E575, _xlfn.CONCAT("*",Table13[[#Headers],[Crime]],"*")),1,0)</f>
        <v>0</v>
      </c>
      <c r="N575">
        <f>IF(COUNTIF($E575, _xlfn.CONCAT("*",Table13[[#Headers],[Documentary]],"*")),1,0)</f>
        <v>0</v>
      </c>
      <c r="O575">
        <f>IF(COUNTIF($E575, _xlfn.CONCAT("*",Table13[[#Headers],[Drama]],"*")),1,0)</f>
        <v>0</v>
      </c>
      <c r="P575">
        <f>IF(COUNTIF($E575, _xlfn.CONCAT("*",Table13[[#Headers],[Family]],"*")),1,0)</f>
        <v>0</v>
      </c>
      <c r="Q575">
        <f>IF(COUNTIF($E575, _xlfn.CONCAT("*",Table13[[#Headers],[Fantasy]],"*")),1,0)</f>
        <v>0</v>
      </c>
      <c r="R575">
        <f>IF(COUNTIF($E575, _xlfn.CONCAT("*",Table13[[#Headers],[History]],"*")),1,0)</f>
        <v>0</v>
      </c>
      <c r="S575">
        <f>IF(COUNTIF($E575, _xlfn.CONCAT("*",Table13[[#Headers],[Horror]],"*")),1,0)</f>
        <v>0</v>
      </c>
      <c r="T575">
        <f>IF(COUNTIF($E575, _xlfn.CONCAT("*",Table13[[#Headers],[Music]],"*")),1,0)</f>
        <v>0</v>
      </c>
      <c r="U575">
        <f>IF(COUNTIF($E575, _xlfn.CONCAT("*",Table13[[#Headers],[Mystery]],"*")),1,0)</f>
        <v>1</v>
      </c>
      <c r="V575">
        <f>IF(COUNTIF($E575, _xlfn.CONCAT("*",Table13[[#Headers],[Romance]],"*")),1,0)</f>
        <v>0</v>
      </c>
      <c r="W575">
        <f>IF(COUNTIF($E575, _xlfn.CONCAT("*",Table13[[#Headers],[Science Fiction]],"*")),1,0)</f>
        <v>0</v>
      </c>
      <c r="X575">
        <f>IF(COUNTIF($E575, _xlfn.CONCAT("*",Table13[[#Headers],[TV Movie]],"*")),1,0)</f>
        <v>0</v>
      </c>
      <c r="Y575">
        <f>IF(COUNTIF($E575, _xlfn.CONCAT("*",Table13[[#Headers],[Thriller]],"*")),1,0)</f>
        <v>1</v>
      </c>
      <c r="Z575">
        <f>IF(COUNTIF($E575, _xlfn.CONCAT("*",Table13[[#Headers],[War]],"*")),1,0)</f>
        <v>0</v>
      </c>
      <c r="AA575">
        <f>IF(COUNTIF($E575, _xlfn.CONCAT("*",Table13[[#Headers],[Western]],"*")),1,0)</f>
        <v>0</v>
      </c>
    </row>
    <row r="576" spans="1:27">
      <c r="A576" t="s">
        <v>736</v>
      </c>
      <c r="B576">
        <v>91</v>
      </c>
      <c r="C576">
        <f>MAX(Table13[Rank])-Table13[[#This Row],[Rank]]</f>
        <v>173</v>
      </c>
      <c r="D576" t="s">
        <v>674</v>
      </c>
      <c r="E576" t="s">
        <v>35</v>
      </c>
      <c r="F576" s="1">
        <v>28085</v>
      </c>
      <c r="G576">
        <f>YEAR(Table13[[#This Row],[Date]])</f>
        <v>1976</v>
      </c>
      <c r="H576" t="s">
        <v>736</v>
      </c>
      <c r="I576">
        <f>IF(COUNTIF($E576, _xlfn.CONCAT("*",Table13[[#Headers],[Action]],"*")),1,0)</f>
        <v>0</v>
      </c>
      <c r="J576">
        <f>IF(COUNTIF($E576, _xlfn.CONCAT("*",Table13[[#Headers],[Adventure]],"*")),1,0)</f>
        <v>0</v>
      </c>
      <c r="K576">
        <f>IF(COUNTIF($E576, _xlfn.CONCAT("*",Table13[[#Headers],[Animation]],"*")),1,0)</f>
        <v>0</v>
      </c>
      <c r="L576">
        <f>IF(COUNTIF($E576, _xlfn.CONCAT("*",Table13[[#Headers],[Comedy]],"*")),1,0)</f>
        <v>0</v>
      </c>
      <c r="M576">
        <f>IF(COUNTIF($E576, _xlfn.CONCAT("*",Table13[[#Headers],[Crime]],"*")),1,0)</f>
        <v>0</v>
      </c>
      <c r="N576">
        <f>IF(COUNTIF($E576, _xlfn.CONCAT("*",Table13[[#Headers],[Documentary]],"*")),1,0)</f>
        <v>0</v>
      </c>
      <c r="O576">
        <f>IF(COUNTIF($E576, _xlfn.CONCAT("*",Table13[[#Headers],[Drama]],"*")),1,0)</f>
        <v>1</v>
      </c>
      <c r="P576">
        <f>IF(COUNTIF($E576, _xlfn.CONCAT("*",Table13[[#Headers],[Family]],"*")),1,0)</f>
        <v>0</v>
      </c>
      <c r="Q576">
        <f>IF(COUNTIF($E576, _xlfn.CONCAT("*",Table13[[#Headers],[Fantasy]],"*")),1,0)</f>
        <v>0</v>
      </c>
      <c r="R576">
        <f>IF(COUNTIF($E576, _xlfn.CONCAT("*",Table13[[#Headers],[History]],"*")),1,0)</f>
        <v>0</v>
      </c>
      <c r="S576">
        <f>IF(COUNTIF($E576, _xlfn.CONCAT("*",Table13[[#Headers],[Horror]],"*")),1,0)</f>
        <v>0</v>
      </c>
      <c r="T576">
        <f>IF(COUNTIF($E576, _xlfn.CONCAT("*",Table13[[#Headers],[Music]],"*")),1,0)</f>
        <v>0</v>
      </c>
      <c r="U576">
        <f>IF(COUNTIF($E576, _xlfn.CONCAT("*",Table13[[#Headers],[Mystery]],"*")),1,0)</f>
        <v>0</v>
      </c>
      <c r="V576">
        <f>IF(COUNTIF($E576, _xlfn.CONCAT("*",Table13[[#Headers],[Romance]],"*")),1,0)</f>
        <v>1</v>
      </c>
      <c r="W576">
        <f>IF(COUNTIF($E576, _xlfn.CONCAT("*",Table13[[#Headers],[Science Fiction]],"*")),1,0)</f>
        <v>0</v>
      </c>
      <c r="X576">
        <f>IF(COUNTIF($E576, _xlfn.CONCAT("*",Table13[[#Headers],[TV Movie]],"*")),1,0)</f>
        <v>0</v>
      </c>
      <c r="Y576">
        <f>IF(COUNTIF($E576, _xlfn.CONCAT("*",Table13[[#Headers],[Thriller]],"*")),1,0)</f>
        <v>0</v>
      </c>
      <c r="Z576">
        <f>IF(COUNTIF($E576, _xlfn.CONCAT("*",Table13[[#Headers],[War]],"*")),1,0)</f>
        <v>0</v>
      </c>
      <c r="AA576">
        <f>IF(COUNTIF($E576, _xlfn.CONCAT("*",Table13[[#Headers],[Western]],"*")),1,0)</f>
        <v>0</v>
      </c>
    </row>
    <row r="577" spans="1:27">
      <c r="A577" t="s">
        <v>737</v>
      </c>
      <c r="B577">
        <v>92</v>
      </c>
      <c r="C577">
        <f>MAX(Table13[Rank])-Table13[[#This Row],[Rank]]</f>
        <v>172</v>
      </c>
      <c r="D577" t="s">
        <v>674</v>
      </c>
      <c r="E577" t="s">
        <v>166</v>
      </c>
      <c r="F577" s="1">
        <v>37498</v>
      </c>
      <c r="G577">
        <f>YEAR(Table13[[#This Row],[Date]])</f>
        <v>2002</v>
      </c>
      <c r="H577" t="s">
        <v>783</v>
      </c>
      <c r="I577">
        <f>IF(COUNTIF($E577, _xlfn.CONCAT("*",Table13[[#Headers],[Action]],"*")),1,0)</f>
        <v>0</v>
      </c>
      <c r="J577">
        <f>IF(COUNTIF($E577, _xlfn.CONCAT("*",Table13[[#Headers],[Adventure]],"*")),1,0)</f>
        <v>0</v>
      </c>
      <c r="K577">
        <f>IF(COUNTIF($E577, _xlfn.CONCAT("*",Table13[[#Headers],[Animation]],"*")),1,0)</f>
        <v>0</v>
      </c>
      <c r="L577">
        <f>IF(COUNTIF($E577, _xlfn.CONCAT("*",Table13[[#Headers],[Comedy]],"*")),1,0)</f>
        <v>0</v>
      </c>
      <c r="M577">
        <f>IF(COUNTIF($E577, _xlfn.CONCAT("*",Table13[[#Headers],[Crime]],"*")),1,0)</f>
        <v>1</v>
      </c>
      <c r="N577">
        <f>IF(COUNTIF($E577, _xlfn.CONCAT("*",Table13[[#Headers],[Documentary]],"*")),1,0)</f>
        <v>0</v>
      </c>
      <c r="O577">
        <f>IF(COUNTIF($E577, _xlfn.CONCAT("*",Table13[[#Headers],[Drama]],"*")),1,0)</f>
        <v>1</v>
      </c>
      <c r="P577">
        <f>IF(COUNTIF($E577, _xlfn.CONCAT("*",Table13[[#Headers],[Family]],"*")),1,0)</f>
        <v>0</v>
      </c>
      <c r="Q577">
        <f>IF(COUNTIF($E577, _xlfn.CONCAT("*",Table13[[#Headers],[Fantasy]],"*")),1,0)</f>
        <v>0</v>
      </c>
      <c r="R577">
        <f>IF(COUNTIF($E577, _xlfn.CONCAT("*",Table13[[#Headers],[History]],"*")),1,0)</f>
        <v>0</v>
      </c>
      <c r="S577">
        <f>IF(COUNTIF($E577, _xlfn.CONCAT("*",Table13[[#Headers],[Horror]],"*")),1,0)</f>
        <v>0</v>
      </c>
      <c r="T577">
        <f>IF(COUNTIF($E577, _xlfn.CONCAT("*",Table13[[#Headers],[Music]],"*")),1,0)</f>
        <v>0</v>
      </c>
      <c r="U577">
        <f>IF(COUNTIF($E577, _xlfn.CONCAT("*",Table13[[#Headers],[Mystery]],"*")),1,0)</f>
        <v>0</v>
      </c>
      <c r="V577">
        <f>IF(COUNTIF($E577, _xlfn.CONCAT("*",Table13[[#Headers],[Romance]],"*")),1,0)</f>
        <v>0</v>
      </c>
      <c r="W577">
        <f>IF(COUNTIF($E577, _xlfn.CONCAT("*",Table13[[#Headers],[Science Fiction]],"*")),1,0)</f>
        <v>0</v>
      </c>
      <c r="X577">
        <f>IF(COUNTIF($E577, _xlfn.CONCAT("*",Table13[[#Headers],[TV Movie]],"*")),1,0)</f>
        <v>0</v>
      </c>
      <c r="Y577">
        <f>IF(COUNTIF($E577, _xlfn.CONCAT("*",Table13[[#Headers],[Thriller]],"*")),1,0)</f>
        <v>0</v>
      </c>
      <c r="Z577">
        <f>IF(COUNTIF($E577, _xlfn.CONCAT("*",Table13[[#Headers],[War]],"*")),1,0)</f>
        <v>0</v>
      </c>
      <c r="AA577">
        <f>IF(COUNTIF($E577, _xlfn.CONCAT("*",Table13[[#Headers],[Western]],"*")),1,0)</f>
        <v>0</v>
      </c>
    </row>
    <row r="578" spans="1:27">
      <c r="A578" t="s">
        <v>738</v>
      </c>
      <c r="B578">
        <v>93</v>
      </c>
      <c r="C578">
        <f>MAX(Table13[Rank])-Table13[[#This Row],[Rank]]</f>
        <v>171</v>
      </c>
      <c r="D578" t="s">
        <v>674</v>
      </c>
      <c r="E578" t="s">
        <v>21</v>
      </c>
      <c r="F578" s="1">
        <v>39794</v>
      </c>
      <c r="G578">
        <f>YEAR(Table13[[#This Row],[Date]])</f>
        <v>2008</v>
      </c>
      <c r="H578" t="s">
        <v>738</v>
      </c>
      <c r="I578">
        <f>IF(COUNTIF($E578, _xlfn.CONCAT("*",Table13[[#Headers],[Action]],"*")),1,0)</f>
        <v>0</v>
      </c>
      <c r="J578">
        <f>IF(COUNTIF($E578, _xlfn.CONCAT("*",Table13[[#Headers],[Adventure]],"*")),1,0)</f>
        <v>0</v>
      </c>
      <c r="K578">
        <f>IF(COUNTIF($E578, _xlfn.CONCAT("*",Table13[[#Headers],[Animation]],"*")),1,0)</f>
        <v>0</v>
      </c>
      <c r="L578">
        <f>IF(COUNTIF($E578, _xlfn.CONCAT("*",Table13[[#Headers],[Comedy]],"*")),1,0)</f>
        <v>0</v>
      </c>
      <c r="M578">
        <f>IF(COUNTIF($E578, _xlfn.CONCAT("*",Table13[[#Headers],[Crime]],"*")),1,0)</f>
        <v>0</v>
      </c>
      <c r="N578">
        <f>IF(COUNTIF($E578, _xlfn.CONCAT("*",Table13[[#Headers],[Documentary]],"*")),1,0)</f>
        <v>0</v>
      </c>
      <c r="O578">
        <f>IF(COUNTIF($E578, _xlfn.CONCAT("*",Table13[[#Headers],[Drama]],"*")),1,0)</f>
        <v>1</v>
      </c>
      <c r="P578">
        <f>IF(COUNTIF($E578, _xlfn.CONCAT("*",Table13[[#Headers],[Family]],"*")),1,0)</f>
        <v>0</v>
      </c>
      <c r="Q578">
        <f>IF(COUNTIF($E578, _xlfn.CONCAT("*",Table13[[#Headers],[Fantasy]],"*")),1,0)</f>
        <v>0</v>
      </c>
      <c r="R578">
        <f>IF(COUNTIF($E578, _xlfn.CONCAT("*",Table13[[#Headers],[History]],"*")),1,0)</f>
        <v>0</v>
      </c>
      <c r="S578">
        <f>IF(COUNTIF($E578, _xlfn.CONCAT("*",Table13[[#Headers],[Horror]],"*")),1,0)</f>
        <v>0</v>
      </c>
      <c r="T578">
        <f>IF(COUNTIF($E578, _xlfn.CONCAT("*",Table13[[#Headers],[Music]],"*")),1,0)</f>
        <v>0</v>
      </c>
      <c r="U578">
        <f>IF(COUNTIF($E578, _xlfn.CONCAT("*",Table13[[#Headers],[Mystery]],"*")),1,0)</f>
        <v>0</v>
      </c>
      <c r="V578">
        <f>IF(COUNTIF($E578, _xlfn.CONCAT("*",Table13[[#Headers],[Romance]],"*")),1,0)</f>
        <v>0</v>
      </c>
      <c r="W578">
        <f>IF(COUNTIF($E578, _xlfn.CONCAT("*",Table13[[#Headers],[Science Fiction]],"*")),1,0)</f>
        <v>0</v>
      </c>
      <c r="X578">
        <f>IF(COUNTIF($E578, _xlfn.CONCAT("*",Table13[[#Headers],[TV Movie]],"*")),1,0)</f>
        <v>0</v>
      </c>
      <c r="Y578">
        <f>IF(COUNTIF($E578, _xlfn.CONCAT("*",Table13[[#Headers],[Thriller]],"*")),1,0)</f>
        <v>0</v>
      </c>
      <c r="Z578">
        <f>IF(COUNTIF($E578, _xlfn.CONCAT("*",Table13[[#Headers],[War]],"*")),1,0)</f>
        <v>0</v>
      </c>
      <c r="AA578">
        <f>IF(COUNTIF($E578, _xlfn.CONCAT("*",Table13[[#Headers],[Western]],"*")),1,0)</f>
        <v>0</v>
      </c>
    </row>
    <row r="579" spans="1:27">
      <c r="A579" t="s">
        <v>739</v>
      </c>
      <c r="B579">
        <v>94</v>
      </c>
      <c r="C579">
        <f>MAX(Table13[Rank])-Table13[[#This Row],[Rank]]</f>
        <v>170</v>
      </c>
      <c r="D579" t="s">
        <v>674</v>
      </c>
      <c r="E579" t="s">
        <v>740</v>
      </c>
      <c r="F579" s="1">
        <v>37904</v>
      </c>
      <c r="G579">
        <f>YEAR(Table13[[#This Row],[Date]])</f>
        <v>2003</v>
      </c>
      <c r="H579" t="s">
        <v>741</v>
      </c>
      <c r="I579">
        <f>IF(COUNTIF($E579, _xlfn.CONCAT("*",Table13[[#Headers],[Action]],"*")),1,0)</f>
        <v>1</v>
      </c>
      <c r="J579">
        <f>IF(COUNTIF($E579, _xlfn.CONCAT("*",Table13[[#Headers],[Adventure]],"*")),1,0)</f>
        <v>0</v>
      </c>
      <c r="K579">
        <f>IF(COUNTIF($E579, _xlfn.CONCAT("*",Table13[[#Headers],[Animation]],"*")),1,0)</f>
        <v>0</v>
      </c>
      <c r="L579">
        <f>IF(COUNTIF($E579, _xlfn.CONCAT("*",Table13[[#Headers],[Comedy]],"*")),1,0)</f>
        <v>0</v>
      </c>
      <c r="M579">
        <f>IF(COUNTIF($E579, _xlfn.CONCAT("*",Table13[[#Headers],[Crime]],"*")),1,0)</f>
        <v>1</v>
      </c>
      <c r="N579">
        <f>IF(COUNTIF($E579, _xlfn.CONCAT("*",Table13[[#Headers],[Documentary]],"*")),1,0)</f>
        <v>0</v>
      </c>
      <c r="O579">
        <f>IF(COUNTIF($E579, _xlfn.CONCAT("*",Table13[[#Headers],[Drama]],"*")),1,0)</f>
        <v>0</v>
      </c>
      <c r="P579">
        <f>IF(COUNTIF($E579, _xlfn.CONCAT("*",Table13[[#Headers],[Family]],"*")),1,0)</f>
        <v>0</v>
      </c>
      <c r="Q579">
        <f>IF(COUNTIF($E579, _xlfn.CONCAT("*",Table13[[#Headers],[Fantasy]],"*")),1,0)</f>
        <v>0</v>
      </c>
      <c r="R579">
        <f>IF(COUNTIF($E579, _xlfn.CONCAT("*",Table13[[#Headers],[History]],"*")),1,0)</f>
        <v>0</v>
      </c>
      <c r="S579">
        <f>IF(COUNTIF($E579, _xlfn.CONCAT("*",Table13[[#Headers],[Horror]],"*")),1,0)</f>
        <v>0</v>
      </c>
      <c r="T579">
        <f>IF(COUNTIF($E579, _xlfn.CONCAT("*",Table13[[#Headers],[Music]],"*")),1,0)</f>
        <v>0</v>
      </c>
      <c r="U579">
        <f>IF(COUNTIF($E579, _xlfn.CONCAT("*",Table13[[#Headers],[Mystery]],"*")),1,0)</f>
        <v>0</v>
      </c>
      <c r="V579">
        <f>IF(COUNTIF($E579, _xlfn.CONCAT("*",Table13[[#Headers],[Romance]],"*")),1,0)</f>
        <v>0</v>
      </c>
      <c r="W579">
        <f>IF(COUNTIF($E579, _xlfn.CONCAT("*",Table13[[#Headers],[Science Fiction]],"*")),1,0)</f>
        <v>0</v>
      </c>
      <c r="X579">
        <f>IF(COUNTIF($E579, _xlfn.CONCAT("*",Table13[[#Headers],[TV Movie]],"*")),1,0)</f>
        <v>0</v>
      </c>
      <c r="Y579">
        <f>IF(COUNTIF($E579, _xlfn.CONCAT("*",Table13[[#Headers],[Thriller]],"*")),1,0)</f>
        <v>0</v>
      </c>
      <c r="Z579">
        <f>IF(COUNTIF($E579, _xlfn.CONCAT("*",Table13[[#Headers],[War]],"*")),1,0)</f>
        <v>0</v>
      </c>
      <c r="AA579">
        <f>IF(COUNTIF($E579, _xlfn.CONCAT("*",Table13[[#Headers],[Western]],"*")),1,0)</f>
        <v>0</v>
      </c>
    </row>
    <row r="580" spans="1:27">
      <c r="A580" t="s">
        <v>742</v>
      </c>
      <c r="B580">
        <v>95</v>
      </c>
      <c r="C580">
        <f>MAX(Table13[Rank])-Table13[[#This Row],[Rank]]</f>
        <v>169</v>
      </c>
      <c r="D580" t="s">
        <v>674</v>
      </c>
      <c r="E580" t="s">
        <v>266</v>
      </c>
      <c r="F580" s="1">
        <v>41268</v>
      </c>
      <c r="G580">
        <f>YEAR(Table13[[#This Row],[Date]])</f>
        <v>2012</v>
      </c>
      <c r="H580" t="s">
        <v>742</v>
      </c>
      <c r="I580">
        <f>IF(COUNTIF($E580, _xlfn.CONCAT("*",Table13[[#Headers],[Action]],"*")),1,0)</f>
        <v>0</v>
      </c>
      <c r="J580">
        <f>IF(COUNTIF($E580, _xlfn.CONCAT("*",Table13[[#Headers],[Adventure]],"*")),1,0)</f>
        <v>0</v>
      </c>
      <c r="K580">
        <f>IF(COUNTIF($E580, _xlfn.CONCAT("*",Table13[[#Headers],[Animation]],"*")),1,0)</f>
        <v>0</v>
      </c>
      <c r="L580">
        <f>IF(COUNTIF($E580, _xlfn.CONCAT("*",Table13[[#Headers],[Comedy]],"*")),1,0)</f>
        <v>0</v>
      </c>
      <c r="M580">
        <f>IF(COUNTIF($E580, _xlfn.CONCAT("*",Table13[[#Headers],[Crime]],"*")),1,0)</f>
        <v>0</v>
      </c>
      <c r="N580">
        <f>IF(COUNTIF($E580, _xlfn.CONCAT("*",Table13[[#Headers],[Documentary]],"*")),1,0)</f>
        <v>0</v>
      </c>
      <c r="O580">
        <f>IF(COUNTIF($E580, _xlfn.CONCAT("*",Table13[[#Headers],[Drama]],"*")),1,0)</f>
        <v>1</v>
      </c>
      <c r="P580">
        <f>IF(COUNTIF($E580, _xlfn.CONCAT("*",Table13[[#Headers],[Family]],"*")),1,0)</f>
        <v>0</v>
      </c>
      <c r="Q580">
        <f>IF(COUNTIF($E580, _xlfn.CONCAT("*",Table13[[#Headers],[Fantasy]],"*")),1,0)</f>
        <v>0</v>
      </c>
      <c r="R580">
        <f>IF(COUNTIF($E580, _xlfn.CONCAT("*",Table13[[#Headers],[History]],"*")),1,0)</f>
        <v>0</v>
      </c>
      <c r="S580">
        <f>IF(COUNTIF($E580, _xlfn.CONCAT("*",Table13[[#Headers],[Horror]],"*")),1,0)</f>
        <v>0</v>
      </c>
      <c r="T580">
        <f>IF(COUNTIF($E580, _xlfn.CONCAT("*",Table13[[#Headers],[Music]],"*")),1,0)</f>
        <v>0</v>
      </c>
      <c r="U580">
        <f>IF(COUNTIF($E580, _xlfn.CONCAT("*",Table13[[#Headers],[Mystery]],"*")),1,0)</f>
        <v>0</v>
      </c>
      <c r="V580">
        <f>IF(COUNTIF($E580, _xlfn.CONCAT("*",Table13[[#Headers],[Romance]],"*")),1,0)</f>
        <v>0</v>
      </c>
      <c r="W580">
        <f>IF(COUNTIF($E580, _xlfn.CONCAT("*",Table13[[#Headers],[Science Fiction]],"*")),1,0)</f>
        <v>0</v>
      </c>
      <c r="X580">
        <f>IF(COUNTIF($E580, _xlfn.CONCAT("*",Table13[[#Headers],[TV Movie]],"*")),1,0)</f>
        <v>0</v>
      </c>
      <c r="Y580">
        <f>IF(COUNTIF($E580, _xlfn.CONCAT("*",Table13[[#Headers],[Thriller]],"*")),1,0)</f>
        <v>0</v>
      </c>
      <c r="Z580">
        <f>IF(COUNTIF($E580, _xlfn.CONCAT("*",Table13[[#Headers],[War]],"*")),1,0)</f>
        <v>0</v>
      </c>
      <c r="AA580">
        <f>IF(COUNTIF($E580, _xlfn.CONCAT("*",Table13[[#Headers],[Western]],"*")),1,0)</f>
        <v>1</v>
      </c>
    </row>
    <row r="581" spans="1:27">
      <c r="A581" t="s">
        <v>405</v>
      </c>
      <c r="B581">
        <v>96</v>
      </c>
      <c r="C581">
        <f>MAX(Table13[Rank])-Table13[[#This Row],[Rank]]</f>
        <v>168</v>
      </c>
      <c r="D581" t="s">
        <v>674</v>
      </c>
      <c r="E581" t="s">
        <v>406</v>
      </c>
      <c r="F581" s="1">
        <v>43035</v>
      </c>
      <c r="G581">
        <f>YEAR(Table13[[#This Row],[Date]])</f>
        <v>2017</v>
      </c>
      <c r="H581" t="s">
        <v>405</v>
      </c>
      <c r="I581">
        <f>IF(COUNTIF($E581, _xlfn.CONCAT("*",Table13[[#Headers],[Action]],"*")),1,0)</f>
        <v>0</v>
      </c>
      <c r="J581">
        <f>IF(COUNTIF($E581, _xlfn.CONCAT("*",Table13[[#Headers],[Adventure]],"*")),1,0)</f>
        <v>1</v>
      </c>
      <c r="K581">
        <f>IF(COUNTIF($E581, _xlfn.CONCAT("*",Table13[[#Headers],[Animation]],"*")),1,0)</f>
        <v>1</v>
      </c>
      <c r="L581">
        <f>IF(COUNTIF($E581, _xlfn.CONCAT("*",Table13[[#Headers],[Comedy]],"*")),1,0)</f>
        <v>1</v>
      </c>
      <c r="M581">
        <f>IF(COUNTIF($E581, _xlfn.CONCAT("*",Table13[[#Headers],[Crime]],"*")),1,0)</f>
        <v>0</v>
      </c>
      <c r="N581">
        <f>IF(COUNTIF($E581, _xlfn.CONCAT("*",Table13[[#Headers],[Documentary]],"*")),1,0)</f>
        <v>0</v>
      </c>
      <c r="O581">
        <f>IF(COUNTIF($E581, _xlfn.CONCAT("*",Table13[[#Headers],[Drama]],"*")),1,0)</f>
        <v>0</v>
      </c>
      <c r="P581">
        <f>IF(COUNTIF($E581, _xlfn.CONCAT("*",Table13[[#Headers],[Family]],"*")),1,0)</f>
        <v>1</v>
      </c>
      <c r="Q581">
        <f>IF(COUNTIF($E581, _xlfn.CONCAT("*",Table13[[#Headers],[Fantasy]],"*")),1,0)</f>
        <v>1</v>
      </c>
      <c r="R581">
        <f>IF(COUNTIF($E581, _xlfn.CONCAT("*",Table13[[#Headers],[History]],"*")),1,0)</f>
        <v>0</v>
      </c>
      <c r="S581">
        <f>IF(COUNTIF($E581, _xlfn.CONCAT("*",Table13[[#Headers],[Horror]],"*")),1,0)</f>
        <v>0</v>
      </c>
      <c r="T581">
        <f>IF(COUNTIF($E581, _xlfn.CONCAT("*",Table13[[#Headers],[Music]],"*")),1,0)</f>
        <v>1</v>
      </c>
      <c r="U581">
        <f>IF(COUNTIF($E581, _xlfn.CONCAT("*",Table13[[#Headers],[Mystery]],"*")),1,0)</f>
        <v>0</v>
      </c>
      <c r="V581">
        <f>IF(COUNTIF($E581, _xlfn.CONCAT("*",Table13[[#Headers],[Romance]],"*")),1,0)</f>
        <v>0</v>
      </c>
      <c r="W581">
        <f>IF(COUNTIF($E581, _xlfn.CONCAT("*",Table13[[#Headers],[Science Fiction]],"*")),1,0)</f>
        <v>0</v>
      </c>
      <c r="X581">
        <f>IF(COUNTIF($E581, _xlfn.CONCAT("*",Table13[[#Headers],[TV Movie]],"*")),1,0)</f>
        <v>0</v>
      </c>
      <c r="Y581">
        <f>IF(COUNTIF($E581, _xlfn.CONCAT("*",Table13[[#Headers],[Thriller]],"*")),1,0)</f>
        <v>0</v>
      </c>
      <c r="Z581">
        <f>IF(COUNTIF($E581, _xlfn.CONCAT("*",Table13[[#Headers],[War]],"*")),1,0)</f>
        <v>0</v>
      </c>
      <c r="AA581">
        <f>IF(COUNTIF($E581, _xlfn.CONCAT("*",Table13[[#Headers],[Western]],"*")),1,0)</f>
        <v>0</v>
      </c>
    </row>
    <row r="582" spans="1:27">
      <c r="A582" t="s">
        <v>743</v>
      </c>
      <c r="B582">
        <v>97</v>
      </c>
      <c r="C582">
        <f>MAX(Table13[Rank])-Table13[[#This Row],[Rank]]</f>
        <v>167</v>
      </c>
      <c r="D582" t="s">
        <v>674</v>
      </c>
      <c r="E582" t="s">
        <v>81</v>
      </c>
      <c r="F582" s="1">
        <v>37516</v>
      </c>
      <c r="G582">
        <f>YEAR(Table13[[#This Row],[Date]])</f>
        <v>2002</v>
      </c>
      <c r="H582" t="s">
        <v>743</v>
      </c>
      <c r="I582">
        <f>IF(COUNTIF($E582, _xlfn.CONCAT("*",Table13[[#Headers],[Action]],"*")),1,0)</f>
        <v>0</v>
      </c>
      <c r="J582">
        <f>IF(COUNTIF($E582, _xlfn.CONCAT("*",Table13[[#Headers],[Adventure]],"*")),1,0)</f>
        <v>0</v>
      </c>
      <c r="K582">
        <f>IF(COUNTIF($E582, _xlfn.CONCAT("*",Table13[[#Headers],[Animation]],"*")),1,0)</f>
        <v>0</v>
      </c>
      <c r="L582">
        <f>IF(COUNTIF($E582, _xlfn.CONCAT("*",Table13[[#Headers],[Comedy]],"*")),1,0)</f>
        <v>0</v>
      </c>
      <c r="M582">
        <f>IF(COUNTIF($E582, _xlfn.CONCAT("*",Table13[[#Headers],[Crime]],"*")),1,0)</f>
        <v>0</v>
      </c>
      <c r="N582">
        <f>IF(COUNTIF($E582, _xlfn.CONCAT("*",Table13[[#Headers],[Documentary]],"*")),1,0)</f>
        <v>0</v>
      </c>
      <c r="O582">
        <f>IF(COUNTIF($E582, _xlfn.CONCAT("*",Table13[[#Headers],[Drama]],"*")),1,0)</f>
        <v>1</v>
      </c>
      <c r="P582">
        <f>IF(COUNTIF($E582, _xlfn.CONCAT("*",Table13[[#Headers],[Family]],"*")),1,0)</f>
        <v>0</v>
      </c>
      <c r="Q582">
        <f>IF(COUNTIF($E582, _xlfn.CONCAT("*",Table13[[#Headers],[Fantasy]],"*")),1,0)</f>
        <v>0</v>
      </c>
      <c r="R582">
        <f>IF(COUNTIF($E582, _xlfn.CONCAT("*",Table13[[#Headers],[History]],"*")),1,0)</f>
        <v>0</v>
      </c>
      <c r="S582">
        <f>IF(COUNTIF($E582, _xlfn.CONCAT("*",Table13[[#Headers],[Horror]],"*")),1,0)</f>
        <v>0</v>
      </c>
      <c r="T582">
        <f>IF(COUNTIF($E582, _xlfn.CONCAT("*",Table13[[#Headers],[Music]],"*")),1,0)</f>
        <v>0</v>
      </c>
      <c r="U582">
        <f>IF(COUNTIF($E582, _xlfn.CONCAT("*",Table13[[#Headers],[Mystery]],"*")),1,0)</f>
        <v>0</v>
      </c>
      <c r="V582">
        <f>IF(COUNTIF($E582, _xlfn.CONCAT("*",Table13[[#Headers],[Romance]],"*")),1,0)</f>
        <v>0</v>
      </c>
      <c r="W582">
        <f>IF(COUNTIF($E582, _xlfn.CONCAT("*",Table13[[#Headers],[Science Fiction]],"*")),1,0)</f>
        <v>0</v>
      </c>
      <c r="X582">
        <f>IF(COUNTIF($E582, _xlfn.CONCAT("*",Table13[[#Headers],[TV Movie]],"*")),1,0)</f>
        <v>0</v>
      </c>
      <c r="Y582">
        <f>IF(COUNTIF($E582, _xlfn.CONCAT("*",Table13[[#Headers],[Thriller]],"*")),1,0)</f>
        <v>0</v>
      </c>
      <c r="Z582">
        <f>IF(COUNTIF($E582, _xlfn.CONCAT("*",Table13[[#Headers],[War]],"*")),1,0)</f>
        <v>1</v>
      </c>
      <c r="AA582">
        <f>IF(COUNTIF($E582, _xlfn.CONCAT("*",Table13[[#Headers],[Western]],"*")),1,0)</f>
        <v>0</v>
      </c>
    </row>
    <row r="583" spans="1:27">
      <c r="A583" t="s">
        <v>523</v>
      </c>
      <c r="B583">
        <v>98</v>
      </c>
      <c r="C583">
        <f>MAX(Table13[Rank])-Table13[[#This Row],[Rank]]</f>
        <v>166</v>
      </c>
      <c r="D583" t="s">
        <v>674</v>
      </c>
      <c r="E583" t="s">
        <v>522</v>
      </c>
      <c r="F583" s="1">
        <v>38086</v>
      </c>
      <c r="G583">
        <f>YEAR(Table13[[#This Row],[Date]])</f>
        <v>2004</v>
      </c>
      <c r="H583" t="s">
        <v>523</v>
      </c>
      <c r="I583">
        <f>IF(COUNTIF($E583, _xlfn.CONCAT("*",Table13[[#Headers],[Action]],"*")),1,0)</f>
        <v>0</v>
      </c>
      <c r="J583">
        <f>IF(COUNTIF($E583, _xlfn.CONCAT("*",Table13[[#Headers],[Adventure]],"*")),1,0)</f>
        <v>0</v>
      </c>
      <c r="K583">
        <f>IF(COUNTIF($E583, _xlfn.CONCAT("*",Table13[[#Headers],[Animation]],"*")),1,0)</f>
        <v>0</v>
      </c>
      <c r="L583">
        <f>IF(COUNTIF($E583, _xlfn.CONCAT("*",Table13[[#Headers],[Comedy]],"*")),1,0)</f>
        <v>1</v>
      </c>
      <c r="M583">
        <f>IF(COUNTIF($E583, _xlfn.CONCAT("*",Table13[[#Headers],[Crime]],"*")),1,0)</f>
        <v>0</v>
      </c>
      <c r="N583">
        <f>IF(COUNTIF($E583, _xlfn.CONCAT("*",Table13[[#Headers],[Documentary]],"*")),1,0)</f>
        <v>0</v>
      </c>
      <c r="O583">
        <f>IF(COUNTIF($E583, _xlfn.CONCAT("*",Table13[[#Headers],[Drama]],"*")),1,0)</f>
        <v>0</v>
      </c>
      <c r="P583">
        <f>IF(COUNTIF($E583, _xlfn.CONCAT("*",Table13[[#Headers],[Family]],"*")),1,0)</f>
        <v>0</v>
      </c>
      <c r="Q583">
        <f>IF(COUNTIF($E583, _xlfn.CONCAT("*",Table13[[#Headers],[Fantasy]],"*")),1,0)</f>
        <v>0</v>
      </c>
      <c r="R583">
        <f>IF(COUNTIF($E583, _xlfn.CONCAT("*",Table13[[#Headers],[History]],"*")),1,0)</f>
        <v>0</v>
      </c>
      <c r="S583">
        <f>IF(COUNTIF($E583, _xlfn.CONCAT("*",Table13[[#Headers],[Horror]],"*")),1,0)</f>
        <v>1</v>
      </c>
      <c r="T583">
        <f>IF(COUNTIF($E583, _xlfn.CONCAT("*",Table13[[#Headers],[Music]],"*")),1,0)</f>
        <v>0</v>
      </c>
      <c r="U583">
        <f>IF(COUNTIF($E583, _xlfn.CONCAT("*",Table13[[#Headers],[Mystery]],"*")),1,0)</f>
        <v>0</v>
      </c>
      <c r="V583">
        <f>IF(COUNTIF($E583, _xlfn.CONCAT("*",Table13[[#Headers],[Romance]],"*")),1,0)</f>
        <v>0</v>
      </c>
      <c r="W583">
        <f>IF(COUNTIF($E583, _xlfn.CONCAT("*",Table13[[#Headers],[Science Fiction]],"*")),1,0)</f>
        <v>0</v>
      </c>
      <c r="X583">
        <f>IF(COUNTIF($E583, _xlfn.CONCAT("*",Table13[[#Headers],[TV Movie]],"*")),1,0)</f>
        <v>0</v>
      </c>
      <c r="Y583">
        <f>IF(COUNTIF($E583, _xlfn.CONCAT("*",Table13[[#Headers],[Thriller]],"*")),1,0)</f>
        <v>0</v>
      </c>
      <c r="Z583">
        <f>IF(COUNTIF($E583, _xlfn.CONCAT("*",Table13[[#Headers],[War]],"*")),1,0)</f>
        <v>0</v>
      </c>
      <c r="AA583">
        <f>IF(COUNTIF($E583, _xlfn.CONCAT("*",Table13[[#Headers],[Western]],"*")),1,0)</f>
        <v>0</v>
      </c>
    </row>
    <row r="584" spans="1:27">
      <c r="A584" t="s">
        <v>500</v>
      </c>
      <c r="B584">
        <v>99</v>
      </c>
      <c r="C584">
        <f>MAX(Table13[Rank])-Table13[[#This Row],[Rank]]</f>
        <v>165</v>
      </c>
      <c r="D584" t="s">
        <v>674</v>
      </c>
      <c r="E584" t="s">
        <v>222</v>
      </c>
      <c r="F584" s="1">
        <v>37188</v>
      </c>
      <c r="G584">
        <f>YEAR(Table13[[#This Row],[Date]])</f>
        <v>2001</v>
      </c>
      <c r="H584" t="s">
        <v>500</v>
      </c>
      <c r="I584">
        <f>IF(COUNTIF($E584, _xlfn.CONCAT("*",Table13[[#Headers],[Action]],"*")),1,0)</f>
        <v>0</v>
      </c>
      <c r="J584">
        <f>IF(COUNTIF($E584, _xlfn.CONCAT("*",Table13[[#Headers],[Adventure]],"*")),1,0)</f>
        <v>0</v>
      </c>
      <c r="K584">
        <f>IF(COUNTIF($E584, _xlfn.CONCAT("*",Table13[[#Headers],[Animation]],"*")),1,0)</f>
        <v>0</v>
      </c>
      <c r="L584">
        <f>IF(COUNTIF($E584, _xlfn.CONCAT("*",Table13[[#Headers],[Comedy]],"*")),1,0)</f>
        <v>0</v>
      </c>
      <c r="M584">
        <f>IF(COUNTIF($E584, _xlfn.CONCAT("*",Table13[[#Headers],[Crime]],"*")),1,0)</f>
        <v>0</v>
      </c>
      <c r="N584">
        <f>IF(COUNTIF($E584, _xlfn.CONCAT("*",Table13[[#Headers],[Documentary]],"*")),1,0)</f>
        <v>0</v>
      </c>
      <c r="O584">
        <f>IF(COUNTIF($E584, _xlfn.CONCAT("*",Table13[[#Headers],[Drama]],"*")),1,0)</f>
        <v>1</v>
      </c>
      <c r="P584">
        <f>IF(COUNTIF($E584, _xlfn.CONCAT("*",Table13[[#Headers],[Family]],"*")),1,0)</f>
        <v>0</v>
      </c>
      <c r="Q584">
        <f>IF(COUNTIF($E584, _xlfn.CONCAT("*",Table13[[#Headers],[Fantasy]],"*")),1,0)</f>
        <v>1</v>
      </c>
      <c r="R584">
        <f>IF(COUNTIF($E584, _xlfn.CONCAT("*",Table13[[#Headers],[History]],"*")),1,0)</f>
        <v>0</v>
      </c>
      <c r="S584">
        <f>IF(COUNTIF($E584, _xlfn.CONCAT("*",Table13[[#Headers],[Horror]],"*")),1,0)</f>
        <v>0</v>
      </c>
      <c r="T584">
        <f>IF(COUNTIF($E584, _xlfn.CONCAT("*",Table13[[#Headers],[Music]],"*")),1,0)</f>
        <v>0</v>
      </c>
      <c r="U584">
        <f>IF(COUNTIF($E584, _xlfn.CONCAT("*",Table13[[#Headers],[Mystery]],"*")),1,0)</f>
        <v>1</v>
      </c>
      <c r="V584">
        <f>IF(COUNTIF($E584, _xlfn.CONCAT("*",Table13[[#Headers],[Romance]],"*")),1,0)</f>
        <v>0</v>
      </c>
      <c r="W584">
        <f>IF(COUNTIF($E584, _xlfn.CONCAT("*",Table13[[#Headers],[Science Fiction]],"*")),1,0)</f>
        <v>0</v>
      </c>
      <c r="X584">
        <f>IF(COUNTIF($E584, _xlfn.CONCAT("*",Table13[[#Headers],[TV Movie]],"*")),1,0)</f>
        <v>0</v>
      </c>
      <c r="Y584">
        <f>IF(COUNTIF($E584, _xlfn.CONCAT("*",Table13[[#Headers],[Thriller]],"*")),1,0)</f>
        <v>0</v>
      </c>
      <c r="Z584">
        <f>IF(COUNTIF($E584, _xlfn.CONCAT("*",Table13[[#Headers],[War]],"*")),1,0)</f>
        <v>0</v>
      </c>
      <c r="AA584">
        <f>IF(COUNTIF($E584, _xlfn.CONCAT("*",Table13[[#Headers],[Western]],"*")),1,0)</f>
        <v>0</v>
      </c>
    </row>
    <row r="585" spans="1:27">
      <c r="A585" t="s">
        <v>744</v>
      </c>
      <c r="B585">
        <v>100</v>
      </c>
      <c r="C585">
        <f>MAX(Table13[Rank])-Table13[[#This Row],[Rank]]</f>
        <v>164</v>
      </c>
      <c r="D585" t="s">
        <v>674</v>
      </c>
      <c r="E585" t="s">
        <v>44</v>
      </c>
      <c r="F585" s="1">
        <v>31574</v>
      </c>
      <c r="G585">
        <f>YEAR(Table13[[#This Row],[Date]])</f>
        <v>1986</v>
      </c>
      <c r="H585" t="s">
        <v>744</v>
      </c>
      <c r="I585">
        <f>IF(COUNTIF($E585, _xlfn.CONCAT("*",Table13[[#Headers],[Action]],"*")),1,0)</f>
        <v>0</v>
      </c>
      <c r="J585">
        <f>IF(COUNTIF($E585, _xlfn.CONCAT("*",Table13[[#Headers],[Adventure]],"*")),1,0)</f>
        <v>0</v>
      </c>
      <c r="K585">
        <f>IF(COUNTIF($E585, _xlfn.CONCAT("*",Table13[[#Headers],[Animation]],"*")),1,0)</f>
        <v>0</v>
      </c>
      <c r="L585">
        <f>IF(COUNTIF($E585, _xlfn.CONCAT("*",Table13[[#Headers],[Comedy]],"*")),1,0)</f>
        <v>1</v>
      </c>
      <c r="M585">
        <f>IF(COUNTIF($E585, _xlfn.CONCAT("*",Table13[[#Headers],[Crime]],"*")),1,0)</f>
        <v>0</v>
      </c>
      <c r="N585">
        <f>IF(COUNTIF($E585, _xlfn.CONCAT("*",Table13[[#Headers],[Documentary]],"*")),1,0)</f>
        <v>0</v>
      </c>
      <c r="O585">
        <f>IF(COUNTIF($E585, _xlfn.CONCAT("*",Table13[[#Headers],[Drama]],"*")),1,0)</f>
        <v>0</v>
      </c>
      <c r="P585">
        <f>IF(COUNTIF($E585, _xlfn.CONCAT("*",Table13[[#Headers],[Family]],"*")),1,0)</f>
        <v>0</v>
      </c>
      <c r="Q585">
        <f>IF(COUNTIF($E585, _xlfn.CONCAT("*",Table13[[#Headers],[Fantasy]],"*")),1,0)</f>
        <v>0</v>
      </c>
      <c r="R585">
        <f>IF(COUNTIF($E585, _xlfn.CONCAT("*",Table13[[#Headers],[History]],"*")),1,0)</f>
        <v>0</v>
      </c>
      <c r="S585">
        <f>IF(COUNTIF($E585, _xlfn.CONCAT("*",Table13[[#Headers],[Horror]],"*")),1,0)</f>
        <v>0</v>
      </c>
      <c r="T585">
        <f>IF(COUNTIF($E585, _xlfn.CONCAT("*",Table13[[#Headers],[Music]],"*")),1,0)</f>
        <v>0</v>
      </c>
      <c r="U585">
        <f>IF(COUNTIF($E585, _xlfn.CONCAT("*",Table13[[#Headers],[Mystery]],"*")),1,0)</f>
        <v>0</v>
      </c>
      <c r="V585">
        <f>IF(COUNTIF($E585, _xlfn.CONCAT("*",Table13[[#Headers],[Romance]],"*")),1,0)</f>
        <v>0</v>
      </c>
      <c r="W585">
        <f>IF(COUNTIF($E585, _xlfn.CONCAT("*",Table13[[#Headers],[Science Fiction]],"*")),1,0)</f>
        <v>0</v>
      </c>
      <c r="X585">
        <f>IF(COUNTIF($E585, _xlfn.CONCAT("*",Table13[[#Headers],[TV Movie]],"*")),1,0)</f>
        <v>0</v>
      </c>
      <c r="Y585">
        <f>IF(COUNTIF($E585, _xlfn.CONCAT("*",Table13[[#Headers],[Thriller]],"*")),1,0)</f>
        <v>0</v>
      </c>
      <c r="Z585">
        <f>IF(COUNTIF($E585, _xlfn.CONCAT("*",Table13[[#Headers],[War]],"*")),1,0)</f>
        <v>0</v>
      </c>
      <c r="AA585">
        <f>IF(COUNTIF($E585, _xlfn.CONCAT("*",Table13[[#Headers],[Western]],"*")),1,0)</f>
        <v>0</v>
      </c>
    </row>
    <row r="586" spans="1:27">
      <c r="A586" t="s">
        <v>745</v>
      </c>
      <c r="B586">
        <v>100</v>
      </c>
      <c r="C586">
        <f>MAX(Table13[Rank])-Table13[[#This Row],[Rank]]</f>
        <v>164</v>
      </c>
      <c r="D586" t="s">
        <v>746</v>
      </c>
      <c r="E586" t="s">
        <v>375</v>
      </c>
      <c r="F586" s="1">
        <v>19840</v>
      </c>
      <c r="G586">
        <f>YEAR(Table13[[#This Row],[Date]])</f>
        <v>1954</v>
      </c>
      <c r="H586" t="s">
        <v>374</v>
      </c>
      <c r="I586">
        <f>IF(COUNTIF($E586, _xlfn.CONCAT("*",Table13[[#Headers],[Action]],"*")),1,0)</f>
        <v>1</v>
      </c>
      <c r="J586">
        <f>IF(COUNTIF($E586, _xlfn.CONCAT("*",Table13[[#Headers],[Adventure]],"*")),1,0)</f>
        <v>0</v>
      </c>
      <c r="K586">
        <f>IF(COUNTIF($E586, _xlfn.CONCAT("*",Table13[[#Headers],[Animation]],"*")),1,0)</f>
        <v>0</v>
      </c>
      <c r="L586">
        <f>IF(COUNTIF($E586, _xlfn.CONCAT("*",Table13[[#Headers],[Comedy]],"*")),1,0)</f>
        <v>0</v>
      </c>
      <c r="M586">
        <f>IF(COUNTIF($E586, _xlfn.CONCAT("*",Table13[[#Headers],[Crime]],"*")),1,0)</f>
        <v>0</v>
      </c>
      <c r="N586">
        <f>IF(COUNTIF($E586, _xlfn.CONCAT("*",Table13[[#Headers],[Documentary]],"*")),1,0)</f>
        <v>0</v>
      </c>
      <c r="O586">
        <f>IF(COUNTIF($E586, _xlfn.CONCAT("*",Table13[[#Headers],[Drama]],"*")),1,0)</f>
        <v>1</v>
      </c>
      <c r="P586">
        <f>IF(COUNTIF($E586, _xlfn.CONCAT("*",Table13[[#Headers],[Family]],"*")),1,0)</f>
        <v>0</v>
      </c>
      <c r="Q586">
        <f>IF(COUNTIF($E586, _xlfn.CONCAT("*",Table13[[#Headers],[Fantasy]],"*")),1,0)</f>
        <v>0</v>
      </c>
      <c r="R586">
        <f>IF(COUNTIF($E586, _xlfn.CONCAT("*",Table13[[#Headers],[History]],"*")),1,0)</f>
        <v>0</v>
      </c>
      <c r="S586">
        <f>IF(COUNTIF($E586, _xlfn.CONCAT("*",Table13[[#Headers],[Horror]],"*")),1,0)</f>
        <v>0</v>
      </c>
      <c r="T586">
        <f>IF(COUNTIF($E586, _xlfn.CONCAT("*",Table13[[#Headers],[Music]],"*")),1,0)</f>
        <v>0</v>
      </c>
      <c r="U586">
        <f>IF(COUNTIF($E586, _xlfn.CONCAT("*",Table13[[#Headers],[Mystery]],"*")),1,0)</f>
        <v>0</v>
      </c>
      <c r="V586">
        <f>IF(COUNTIF($E586, _xlfn.CONCAT("*",Table13[[#Headers],[Romance]],"*")),1,0)</f>
        <v>0</v>
      </c>
      <c r="W586">
        <f>IF(COUNTIF($E586, _xlfn.CONCAT("*",Table13[[#Headers],[Science Fiction]],"*")),1,0)</f>
        <v>0</v>
      </c>
      <c r="X586">
        <f>IF(COUNTIF($E586, _xlfn.CONCAT("*",Table13[[#Headers],[TV Movie]],"*")),1,0)</f>
        <v>0</v>
      </c>
      <c r="Y586">
        <f>IF(COUNTIF($E586, _xlfn.CONCAT("*",Table13[[#Headers],[Thriller]],"*")),1,0)</f>
        <v>0</v>
      </c>
      <c r="Z586">
        <f>IF(COUNTIF($E586, _xlfn.CONCAT("*",Table13[[#Headers],[War]],"*")),1,0)</f>
        <v>0</v>
      </c>
      <c r="AA586">
        <f>IF(COUNTIF($E586, _xlfn.CONCAT("*",Table13[[#Headers],[Western]],"*")),1,0)</f>
        <v>0</v>
      </c>
    </row>
    <row r="587" spans="1:27">
      <c r="A587" t="s">
        <v>479</v>
      </c>
      <c r="B587">
        <v>99</v>
      </c>
      <c r="C587">
        <f>MAX(Table13[Rank])-Table13[[#This Row],[Rank]]</f>
        <v>165</v>
      </c>
      <c r="D587" t="s">
        <v>746</v>
      </c>
      <c r="E587" t="s">
        <v>156</v>
      </c>
      <c r="F587" s="1">
        <v>24698</v>
      </c>
      <c r="G587">
        <f>YEAR(Table13[[#This Row],[Date]])</f>
        <v>1967</v>
      </c>
      <c r="H587" t="s">
        <v>479</v>
      </c>
      <c r="I587">
        <f>IF(COUNTIF($E587, _xlfn.CONCAT("*",Table13[[#Headers],[Action]],"*")),1,0)</f>
        <v>0</v>
      </c>
      <c r="J587">
        <f>IF(COUNTIF($E587, _xlfn.CONCAT("*",Table13[[#Headers],[Adventure]],"*")),1,0)</f>
        <v>0</v>
      </c>
      <c r="K587">
        <f>IF(COUNTIF($E587, _xlfn.CONCAT("*",Table13[[#Headers],[Animation]],"*")),1,0)</f>
        <v>0</v>
      </c>
      <c r="L587">
        <f>IF(COUNTIF($E587, _xlfn.CONCAT("*",Table13[[#Headers],[Comedy]],"*")),1,0)</f>
        <v>0</v>
      </c>
      <c r="M587">
        <f>IF(COUNTIF($E587, _xlfn.CONCAT("*",Table13[[#Headers],[Crime]],"*")),1,0)</f>
        <v>1</v>
      </c>
      <c r="N587">
        <f>IF(COUNTIF($E587, _xlfn.CONCAT("*",Table13[[#Headers],[Documentary]],"*")),1,0)</f>
        <v>0</v>
      </c>
      <c r="O587">
        <f>IF(COUNTIF($E587, _xlfn.CONCAT("*",Table13[[#Headers],[Drama]],"*")),1,0)</f>
        <v>1</v>
      </c>
      <c r="P587">
        <f>IF(COUNTIF($E587, _xlfn.CONCAT("*",Table13[[#Headers],[Family]],"*")),1,0)</f>
        <v>0</v>
      </c>
      <c r="Q587">
        <f>IF(COUNTIF($E587, _xlfn.CONCAT("*",Table13[[#Headers],[Fantasy]],"*")),1,0)</f>
        <v>0</v>
      </c>
      <c r="R587">
        <f>IF(COUNTIF($E587, _xlfn.CONCAT("*",Table13[[#Headers],[History]],"*")),1,0)</f>
        <v>0</v>
      </c>
      <c r="S587">
        <f>IF(COUNTIF($E587, _xlfn.CONCAT("*",Table13[[#Headers],[Horror]],"*")),1,0)</f>
        <v>0</v>
      </c>
      <c r="T587">
        <f>IF(COUNTIF($E587, _xlfn.CONCAT("*",Table13[[#Headers],[Music]],"*")),1,0)</f>
        <v>0</v>
      </c>
      <c r="U587">
        <f>IF(COUNTIF($E587, _xlfn.CONCAT("*",Table13[[#Headers],[Mystery]],"*")),1,0)</f>
        <v>0</v>
      </c>
      <c r="V587">
        <f>IF(COUNTIF($E587, _xlfn.CONCAT("*",Table13[[#Headers],[Romance]],"*")),1,0)</f>
        <v>0</v>
      </c>
      <c r="W587">
        <f>IF(COUNTIF($E587, _xlfn.CONCAT("*",Table13[[#Headers],[Science Fiction]],"*")),1,0)</f>
        <v>0</v>
      </c>
      <c r="X587">
        <f>IF(COUNTIF($E587, _xlfn.CONCAT("*",Table13[[#Headers],[TV Movie]],"*")),1,0)</f>
        <v>0</v>
      </c>
      <c r="Y587">
        <f>IF(COUNTIF($E587, _xlfn.CONCAT("*",Table13[[#Headers],[Thriller]],"*")),1,0)</f>
        <v>0</v>
      </c>
      <c r="Z587">
        <f>IF(COUNTIF($E587, _xlfn.CONCAT("*",Table13[[#Headers],[War]],"*")),1,0)</f>
        <v>0</v>
      </c>
      <c r="AA587">
        <f>IF(COUNTIF($E587, _xlfn.CONCAT("*",Table13[[#Headers],[Western]],"*")),1,0)</f>
        <v>0</v>
      </c>
    </row>
    <row r="588" spans="1:27">
      <c r="A588" t="s">
        <v>490</v>
      </c>
      <c r="B588">
        <v>98</v>
      </c>
      <c r="C588">
        <f>MAX(Table13[Rank])-Table13[[#This Row],[Rank]]</f>
        <v>166</v>
      </c>
      <c r="D588" t="s">
        <v>746</v>
      </c>
      <c r="E588" t="s">
        <v>102</v>
      </c>
      <c r="F588" s="1">
        <v>33849</v>
      </c>
      <c r="G588">
        <f>YEAR(Table13[[#This Row],[Date]])</f>
        <v>1992</v>
      </c>
      <c r="H588" t="s">
        <v>490</v>
      </c>
      <c r="I588">
        <f>IF(COUNTIF($E588, _xlfn.CONCAT("*",Table13[[#Headers],[Action]],"*")),1,0)</f>
        <v>0</v>
      </c>
      <c r="J588">
        <f>IF(COUNTIF($E588, _xlfn.CONCAT("*",Table13[[#Headers],[Adventure]],"*")),1,0)</f>
        <v>0</v>
      </c>
      <c r="K588">
        <f>IF(COUNTIF($E588, _xlfn.CONCAT("*",Table13[[#Headers],[Animation]],"*")),1,0)</f>
        <v>0</v>
      </c>
      <c r="L588">
        <f>IF(COUNTIF($E588, _xlfn.CONCAT("*",Table13[[#Headers],[Comedy]],"*")),1,0)</f>
        <v>0</v>
      </c>
      <c r="M588">
        <f>IF(COUNTIF($E588, _xlfn.CONCAT("*",Table13[[#Headers],[Crime]],"*")),1,0)</f>
        <v>1</v>
      </c>
      <c r="N588">
        <f>IF(COUNTIF($E588, _xlfn.CONCAT("*",Table13[[#Headers],[Documentary]],"*")),1,0)</f>
        <v>0</v>
      </c>
      <c r="O588">
        <f>IF(COUNTIF($E588, _xlfn.CONCAT("*",Table13[[#Headers],[Drama]],"*")),1,0)</f>
        <v>0</v>
      </c>
      <c r="P588">
        <f>IF(COUNTIF($E588, _xlfn.CONCAT("*",Table13[[#Headers],[Family]],"*")),1,0)</f>
        <v>0</v>
      </c>
      <c r="Q588">
        <f>IF(COUNTIF($E588, _xlfn.CONCAT("*",Table13[[#Headers],[Fantasy]],"*")),1,0)</f>
        <v>0</v>
      </c>
      <c r="R588">
        <f>IF(COUNTIF($E588, _xlfn.CONCAT("*",Table13[[#Headers],[History]],"*")),1,0)</f>
        <v>0</v>
      </c>
      <c r="S588">
        <f>IF(COUNTIF($E588, _xlfn.CONCAT("*",Table13[[#Headers],[Horror]],"*")),1,0)</f>
        <v>0</v>
      </c>
      <c r="T588">
        <f>IF(COUNTIF($E588, _xlfn.CONCAT("*",Table13[[#Headers],[Music]],"*")),1,0)</f>
        <v>0</v>
      </c>
      <c r="U588">
        <f>IF(COUNTIF($E588, _xlfn.CONCAT("*",Table13[[#Headers],[Mystery]],"*")),1,0)</f>
        <v>0</v>
      </c>
      <c r="V588">
        <f>IF(COUNTIF($E588, _xlfn.CONCAT("*",Table13[[#Headers],[Romance]],"*")),1,0)</f>
        <v>0</v>
      </c>
      <c r="W588">
        <f>IF(COUNTIF($E588, _xlfn.CONCAT("*",Table13[[#Headers],[Science Fiction]],"*")),1,0)</f>
        <v>0</v>
      </c>
      <c r="X588">
        <f>IF(COUNTIF($E588, _xlfn.CONCAT("*",Table13[[#Headers],[TV Movie]],"*")),1,0)</f>
        <v>0</v>
      </c>
      <c r="Y588">
        <f>IF(COUNTIF($E588, _xlfn.CONCAT("*",Table13[[#Headers],[Thriller]],"*")),1,0)</f>
        <v>1</v>
      </c>
      <c r="Z588">
        <f>IF(COUNTIF($E588, _xlfn.CONCAT("*",Table13[[#Headers],[War]],"*")),1,0)</f>
        <v>0</v>
      </c>
      <c r="AA588">
        <f>IF(COUNTIF($E588, _xlfn.CONCAT("*",Table13[[#Headers],[Western]],"*")),1,0)</f>
        <v>0</v>
      </c>
    </row>
    <row r="589" spans="1:27">
      <c r="A589" t="s">
        <v>747</v>
      </c>
      <c r="B589">
        <v>97</v>
      </c>
      <c r="C589">
        <f>MAX(Table13[Rank])-Table13[[#This Row],[Rank]]</f>
        <v>167</v>
      </c>
      <c r="D589" t="s">
        <v>746</v>
      </c>
      <c r="E589" t="s">
        <v>44</v>
      </c>
      <c r="F589" s="1">
        <v>29404</v>
      </c>
      <c r="G589">
        <f>YEAR(Table13[[#This Row],[Date]])</f>
        <v>1980</v>
      </c>
      <c r="H589" t="s">
        <v>747</v>
      </c>
      <c r="I589">
        <f>IF(COUNTIF($E589, _xlfn.CONCAT("*",Table13[[#Headers],[Action]],"*")),1,0)</f>
        <v>0</v>
      </c>
      <c r="J589">
        <f>IF(COUNTIF($E589, _xlfn.CONCAT("*",Table13[[#Headers],[Adventure]],"*")),1,0)</f>
        <v>0</v>
      </c>
      <c r="K589">
        <f>IF(COUNTIF($E589, _xlfn.CONCAT("*",Table13[[#Headers],[Animation]],"*")),1,0)</f>
        <v>0</v>
      </c>
      <c r="L589">
        <f>IF(COUNTIF($E589, _xlfn.CONCAT("*",Table13[[#Headers],[Comedy]],"*")),1,0)</f>
        <v>1</v>
      </c>
      <c r="M589">
        <f>IF(COUNTIF($E589, _xlfn.CONCAT("*",Table13[[#Headers],[Crime]],"*")),1,0)</f>
        <v>0</v>
      </c>
      <c r="N589">
        <f>IF(COUNTIF($E589, _xlfn.CONCAT("*",Table13[[#Headers],[Documentary]],"*")),1,0)</f>
        <v>0</v>
      </c>
      <c r="O589">
        <f>IF(COUNTIF($E589, _xlfn.CONCAT("*",Table13[[#Headers],[Drama]],"*")),1,0)</f>
        <v>0</v>
      </c>
      <c r="P589">
        <f>IF(COUNTIF($E589, _xlfn.CONCAT("*",Table13[[#Headers],[Family]],"*")),1,0)</f>
        <v>0</v>
      </c>
      <c r="Q589">
        <f>IF(COUNTIF($E589, _xlfn.CONCAT("*",Table13[[#Headers],[Fantasy]],"*")),1,0)</f>
        <v>0</v>
      </c>
      <c r="R589">
        <f>IF(COUNTIF($E589, _xlfn.CONCAT("*",Table13[[#Headers],[History]],"*")),1,0)</f>
        <v>0</v>
      </c>
      <c r="S589">
        <f>IF(COUNTIF($E589, _xlfn.CONCAT("*",Table13[[#Headers],[Horror]],"*")),1,0)</f>
        <v>0</v>
      </c>
      <c r="T589">
        <f>IF(COUNTIF($E589, _xlfn.CONCAT("*",Table13[[#Headers],[Music]],"*")),1,0)</f>
        <v>0</v>
      </c>
      <c r="U589">
        <f>IF(COUNTIF($E589, _xlfn.CONCAT("*",Table13[[#Headers],[Mystery]],"*")),1,0)</f>
        <v>0</v>
      </c>
      <c r="V589">
        <f>IF(COUNTIF($E589, _xlfn.CONCAT("*",Table13[[#Headers],[Romance]],"*")),1,0)</f>
        <v>0</v>
      </c>
      <c r="W589">
        <f>IF(COUNTIF($E589, _xlfn.CONCAT("*",Table13[[#Headers],[Science Fiction]],"*")),1,0)</f>
        <v>0</v>
      </c>
      <c r="X589">
        <f>IF(COUNTIF($E589, _xlfn.CONCAT("*",Table13[[#Headers],[TV Movie]],"*")),1,0)</f>
        <v>0</v>
      </c>
      <c r="Y589">
        <f>IF(COUNTIF($E589, _xlfn.CONCAT("*",Table13[[#Headers],[Thriller]],"*")),1,0)</f>
        <v>0</v>
      </c>
      <c r="Z589">
        <f>IF(COUNTIF($E589, _xlfn.CONCAT("*",Table13[[#Headers],[War]],"*")),1,0)</f>
        <v>0</v>
      </c>
      <c r="AA589">
        <f>IF(COUNTIF($E589, _xlfn.CONCAT("*",Table13[[#Headers],[Western]],"*")),1,0)</f>
        <v>0</v>
      </c>
    </row>
    <row r="590" spans="1:27">
      <c r="A590" t="s">
        <v>748</v>
      </c>
      <c r="B590">
        <v>96</v>
      </c>
      <c r="C590">
        <f>MAX(Table13[Rank])-Table13[[#This Row],[Rank]]</f>
        <v>168</v>
      </c>
      <c r="D590" t="s">
        <v>746</v>
      </c>
      <c r="E590" t="s">
        <v>438</v>
      </c>
      <c r="F590" s="1">
        <v>39000</v>
      </c>
      <c r="G590">
        <f>YEAR(Table13[[#This Row],[Date]])</f>
        <v>2006</v>
      </c>
      <c r="H590" t="s">
        <v>748</v>
      </c>
      <c r="I590">
        <f>IF(COUNTIF($E590, _xlfn.CONCAT("*",Table13[[#Headers],[Action]],"*")),1,0)</f>
        <v>0</v>
      </c>
      <c r="J590">
        <f>IF(COUNTIF($E590, _xlfn.CONCAT("*",Table13[[#Headers],[Adventure]],"*")),1,0)</f>
        <v>0</v>
      </c>
      <c r="K590">
        <f>IF(COUNTIF($E590, _xlfn.CONCAT("*",Table13[[#Headers],[Animation]],"*")),1,0)</f>
        <v>0</v>
      </c>
      <c r="L590">
        <f>IF(COUNTIF($E590, _xlfn.CONCAT("*",Table13[[#Headers],[Comedy]],"*")),1,0)</f>
        <v>0</v>
      </c>
      <c r="M590">
        <f>IF(COUNTIF($E590, _xlfn.CONCAT("*",Table13[[#Headers],[Crime]],"*")),1,0)</f>
        <v>0</v>
      </c>
      <c r="N590">
        <f>IF(COUNTIF($E590, _xlfn.CONCAT("*",Table13[[#Headers],[Documentary]],"*")),1,0)</f>
        <v>0</v>
      </c>
      <c r="O590">
        <f>IF(COUNTIF($E590, _xlfn.CONCAT("*",Table13[[#Headers],[Drama]],"*")),1,0)</f>
        <v>1</v>
      </c>
      <c r="P590">
        <f>IF(COUNTIF($E590, _xlfn.CONCAT("*",Table13[[#Headers],[Family]],"*")),1,0)</f>
        <v>0</v>
      </c>
      <c r="Q590">
        <f>IF(COUNTIF($E590, _xlfn.CONCAT("*",Table13[[#Headers],[Fantasy]],"*")),1,0)</f>
        <v>1</v>
      </c>
      <c r="R590">
        <f>IF(COUNTIF($E590, _xlfn.CONCAT("*",Table13[[#Headers],[History]],"*")),1,0)</f>
        <v>0</v>
      </c>
      <c r="S590">
        <f>IF(COUNTIF($E590, _xlfn.CONCAT("*",Table13[[#Headers],[Horror]],"*")),1,0)</f>
        <v>0</v>
      </c>
      <c r="T590">
        <f>IF(COUNTIF($E590, _xlfn.CONCAT("*",Table13[[#Headers],[Music]],"*")),1,0)</f>
        <v>0</v>
      </c>
      <c r="U590">
        <f>IF(COUNTIF($E590, _xlfn.CONCAT("*",Table13[[#Headers],[Mystery]],"*")),1,0)</f>
        <v>0</v>
      </c>
      <c r="V590">
        <f>IF(COUNTIF($E590, _xlfn.CONCAT("*",Table13[[#Headers],[Romance]],"*")),1,0)</f>
        <v>0</v>
      </c>
      <c r="W590">
        <f>IF(COUNTIF($E590, _xlfn.CONCAT("*",Table13[[#Headers],[Science Fiction]],"*")),1,0)</f>
        <v>0</v>
      </c>
      <c r="X590">
        <f>IF(COUNTIF($E590, _xlfn.CONCAT("*",Table13[[#Headers],[TV Movie]],"*")),1,0)</f>
        <v>0</v>
      </c>
      <c r="Y590">
        <f>IF(COUNTIF($E590, _xlfn.CONCAT("*",Table13[[#Headers],[Thriller]],"*")),1,0)</f>
        <v>0</v>
      </c>
      <c r="Z590">
        <f>IF(COUNTIF($E590, _xlfn.CONCAT("*",Table13[[#Headers],[War]],"*")),1,0)</f>
        <v>1</v>
      </c>
      <c r="AA590">
        <f>IF(COUNTIF($E590, _xlfn.CONCAT("*",Table13[[#Headers],[Western]],"*")),1,0)</f>
        <v>0</v>
      </c>
    </row>
    <row r="591" spans="1:27">
      <c r="A591" t="s">
        <v>749</v>
      </c>
      <c r="B591">
        <v>95</v>
      </c>
      <c r="C591">
        <f>MAX(Table13[Rank])-Table13[[#This Row],[Rank]]</f>
        <v>169</v>
      </c>
      <c r="D591" t="s">
        <v>746</v>
      </c>
      <c r="E591" t="s">
        <v>336</v>
      </c>
      <c r="F591" s="1">
        <v>24098</v>
      </c>
      <c r="G591">
        <f>YEAR(Table13[[#This Row],[Date]])</f>
        <v>1965</v>
      </c>
      <c r="H591" t="s">
        <v>749</v>
      </c>
      <c r="I591">
        <f>IF(COUNTIF($E591, _xlfn.CONCAT("*",Table13[[#Headers],[Action]],"*")),1,0)</f>
        <v>0</v>
      </c>
      <c r="J591">
        <f>IF(COUNTIF($E591, _xlfn.CONCAT("*",Table13[[#Headers],[Adventure]],"*")),1,0)</f>
        <v>0</v>
      </c>
      <c r="K591">
        <f>IF(COUNTIF($E591, _xlfn.CONCAT("*",Table13[[#Headers],[Animation]],"*")),1,0)</f>
        <v>0</v>
      </c>
      <c r="L591">
        <f>IF(COUNTIF($E591, _xlfn.CONCAT("*",Table13[[#Headers],[Comedy]],"*")),1,0)</f>
        <v>0</v>
      </c>
      <c r="M591">
        <f>IF(COUNTIF($E591, _xlfn.CONCAT("*",Table13[[#Headers],[Crime]],"*")),1,0)</f>
        <v>0</v>
      </c>
      <c r="N591">
        <f>IF(COUNTIF($E591, _xlfn.CONCAT("*",Table13[[#Headers],[Documentary]],"*")),1,0)</f>
        <v>0</v>
      </c>
      <c r="O591">
        <f>IF(COUNTIF($E591, _xlfn.CONCAT("*",Table13[[#Headers],[Drama]],"*")),1,0)</f>
        <v>1</v>
      </c>
      <c r="P591">
        <f>IF(COUNTIF($E591, _xlfn.CONCAT("*",Table13[[#Headers],[Family]],"*")),1,0)</f>
        <v>0</v>
      </c>
      <c r="Q591">
        <f>IF(COUNTIF($E591, _xlfn.CONCAT("*",Table13[[#Headers],[Fantasy]],"*")),1,0)</f>
        <v>0</v>
      </c>
      <c r="R591">
        <f>IF(COUNTIF($E591, _xlfn.CONCAT("*",Table13[[#Headers],[History]],"*")),1,0)</f>
        <v>0</v>
      </c>
      <c r="S591">
        <f>IF(COUNTIF($E591, _xlfn.CONCAT("*",Table13[[#Headers],[Horror]],"*")),1,0)</f>
        <v>0</v>
      </c>
      <c r="T591">
        <f>IF(COUNTIF($E591, _xlfn.CONCAT("*",Table13[[#Headers],[Music]],"*")),1,0)</f>
        <v>0</v>
      </c>
      <c r="U591">
        <f>IF(COUNTIF($E591, _xlfn.CONCAT("*",Table13[[#Headers],[Mystery]],"*")),1,0)</f>
        <v>0</v>
      </c>
      <c r="V591">
        <f>IF(COUNTIF($E591, _xlfn.CONCAT("*",Table13[[#Headers],[Romance]],"*")),1,0)</f>
        <v>1</v>
      </c>
      <c r="W591">
        <f>IF(COUNTIF($E591, _xlfn.CONCAT("*",Table13[[#Headers],[Science Fiction]],"*")),1,0)</f>
        <v>0</v>
      </c>
      <c r="X591">
        <f>IF(COUNTIF($E591, _xlfn.CONCAT("*",Table13[[#Headers],[TV Movie]],"*")),1,0)</f>
        <v>0</v>
      </c>
      <c r="Y591">
        <f>IF(COUNTIF($E591, _xlfn.CONCAT("*",Table13[[#Headers],[Thriller]],"*")),1,0)</f>
        <v>0</v>
      </c>
      <c r="Z591">
        <f>IF(COUNTIF($E591, _xlfn.CONCAT("*",Table13[[#Headers],[War]],"*")),1,0)</f>
        <v>1</v>
      </c>
      <c r="AA591">
        <f>IF(COUNTIF($E591, _xlfn.CONCAT("*",Table13[[#Headers],[Western]],"*")),1,0)</f>
        <v>0</v>
      </c>
    </row>
    <row r="592" spans="1:27">
      <c r="A592" t="s">
        <v>80</v>
      </c>
      <c r="B592">
        <v>94</v>
      </c>
      <c r="C592">
        <f>MAX(Table13[Rank])-Table13[[#This Row],[Rank]]</f>
        <v>170</v>
      </c>
      <c r="D592" t="s">
        <v>746</v>
      </c>
      <c r="E592" t="s">
        <v>81</v>
      </c>
      <c r="F592" s="1">
        <v>28832</v>
      </c>
      <c r="G592">
        <f>YEAR(Table13[[#This Row],[Date]])</f>
        <v>1978</v>
      </c>
      <c r="H592" t="s">
        <v>80</v>
      </c>
      <c r="I592">
        <f>IF(COUNTIF($E592, _xlfn.CONCAT("*",Table13[[#Headers],[Action]],"*")),1,0)</f>
        <v>0</v>
      </c>
      <c r="J592">
        <f>IF(COUNTIF($E592, _xlfn.CONCAT("*",Table13[[#Headers],[Adventure]],"*")),1,0)</f>
        <v>0</v>
      </c>
      <c r="K592">
        <f>IF(COUNTIF($E592, _xlfn.CONCAT("*",Table13[[#Headers],[Animation]],"*")),1,0)</f>
        <v>0</v>
      </c>
      <c r="L592">
        <f>IF(COUNTIF($E592, _xlfn.CONCAT("*",Table13[[#Headers],[Comedy]],"*")),1,0)</f>
        <v>0</v>
      </c>
      <c r="M592">
        <f>IF(COUNTIF($E592, _xlfn.CONCAT("*",Table13[[#Headers],[Crime]],"*")),1,0)</f>
        <v>0</v>
      </c>
      <c r="N592">
        <f>IF(COUNTIF($E592, _xlfn.CONCAT("*",Table13[[#Headers],[Documentary]],"*")),1,0)</f>
        <v>0</v>
      </c>
      <c r="O592">
        <f>IF(COUNTIF($E592, _xlfn.CONCAT("*",Table13[[#Headers],[Drama]],"*")),1,0)</f>
        <v>1</v>
      </c>
      <c r="P592">
        <f>IF(COUNTIF($E592, _xlfn.CONCAT("*",Table13[[#Headers],[Family]],"*")),1,0)</f>
        <v>0</v>
      </c>
      <c r="Q592">
        <f>IF(COUNTIF($E592, _xlfn.CONCAT("*",Table13[[#Headers],[Fantasy]],"*")),1,0)</f>
        <v>0</v>
      </c>
      <c r="R592">
        <f>IF(COUNTIF($E592, _xlfn.CONCAT("*",Table13[[#Headers],[History]],"*")),1,0)</f>
        <v>0</v>
      </c>
      <c r="S592">
        <f>IF(COUNTIF($E592, _xlfn.CONCAT("*",Table13[[#Headers],[Horror]],"*")),1,0)</f>
        <v>0</v>
      </c>
      <c r="T592">
        <f>IF(COUNTIF($E592, _xlfn.CONCAT("*",Table13[[#Headers],[Music]],"*")),1,0)</f>
        <v>0</v>
      </c>
      <c r="U592">
        <f>IF(COUNTIF($E592, _xlfn.CONCAT("*",Table13[[#Headers],[Mystery]],"*")),1,0)</f>
        <v>0</v>
      </c>
      <c r="V592">
        <f>IF(COUNTIF($E592, _xlfn.CONCAT("*",Table13[[#Headers],[Romance]],"*")),1,0)</f>
        <v>0</v>
      </c>
      <c r="W592">
        <f>IF(COUNTIF($E592, _xlfn.CONCAT("*",Table13[[#Headers],[Science Fiction]],"*")),1,0)</f>
        <v>0</v>
      </c>
      <c r="X592">
        <f>IF(COUNTIF($E592, _xlfn.CONCAT("*",Table13[[#Headers],[TV Movie]],"*")),1,0)</f>
        <v>0</v>
      </c>
      <c r="Y592">
        <f>IF(COUNTIF($E592, _xlfn.CONCAT("*",Table13[[#Headers],[Thriller]],"*")),1,0)</f>
        <v>0</v>
      </c>
      <c r="Z592">
        <f>IF(COUNTIF($E592, _xlfn.CONCAT("*",Table13[[#Headers],[War]],"*")),1,0)</f>
        <v>1</v>
      </c>
      <c r="AA592">
        <f>IF(COUNTIF($E592, _xlfn.CONCAT("*",Table13[[#Headers],[Western]],"*")),1,0)</f>
        <v>0</v>
      </c>
    </row>
    <row r="593" spans="1:27">
      <c r="A593" t="s">
        <v>750</v>
      </c>
      <c r="B593">
        <v>93</v>
      </c>
      <c r="C593">
        <f>MAX(Table13[Rank])-Table13[[#This Row],[Rank]]</f>
        <v>171</v>
      </c>
      <c r="D593" t="s">
        <v>746</v>
      </c>
      <c r="E593" t="s">
        <v>579</v>
      </c>
      <c r="F593" s="1">
        <v>28447</v>
      </c>
      <c r="G593">
        <f>YEAR(Table13[[#This Row],[Date]])</f>
        <v>1977</v>
      </c>
      <c r="H593" t="s">
        <v>750</v>
      </c>
      <c r="I593">
        <f>IF(COUNTIF($E593, _xlfn.CONCAT("*",Table13[[#Headers],[Action]],"*")),1,0)</f>
        <v>0</v>
      </c>
      <c r="J593">
        <f>IF(COUNTIF($E593, _xlfn.CONCAT("*",Table13[[#Headers],[Adventure]],"*")),1,0)</f>
        <v>0</v>
      </c>
      <c r="K593">
        <f>IF(COUNTIF($E593, _xlfn.CONCAT("*",Table13[[#Headers],[Animation]],"*")),1,0)</f>
        <v>0</v>
      </c>
      <c r="L593">
        <f>IF(COUNTIF($E593, _xlfn.CONCAT("*",Table13[[#Headers],[Comedy]],"*")),1,0)</f>
        <v>0</v>
      </c>
      <c r="M593">
        <f>IF(COUNTIF($E593, _xlfn.CONCAT("*",Table13[[#Headers],[Crime]],"*")),1,0)</f>
        <v>0</v>
      </c>
      <c r="N593">
        <f>IF(COUNTIF($E593, _xlfn.CONCAT("*",Table13[[#Headers],[Documentary]],"*")),1,0)</f>
        <v>0</v>
      </c>
      <c r="O593">
        <f>IF(COUNTIF($E593, _xlfn.CONCAT("*",Table13[[#Headers],[Drama]],"*")),1,0)</f>
        <v>1</v>
      </c>
      <c r="P593">
        <f>IF(COUNTIF($E593, _xlfn.CONCAT("*",Table13[[#Headers],[Family]],"*")),1,0)</f>
        <v>0</v>
      </c>
      <c r="Q593">
        <f>IF(COUNTIF($E593, _xlfn.CONCAT("*",Table13[[#Headers],[Fantasy]],"*")),1,0)</f>
        <v>0</v>
      </c>
      <c r="R593">
        <f>IF(COUNTIF($E593, _xlfn.CONCAT("*",Table13[[#Headers],[History]],"*")),1,0)</f>
        <v>0</v>
      </c>
      <c r="S593">
        <f>IF(COUNTIF($E593, _xlfn.CONCAT("*",Table13[[#Headers],[Horror]],"*")),1,0)</f>
        <v>0</v>
      </c>
      <c r="T593">
        <f>IF(COUNTIF($E593, _xlfn.CONCAT("*",Table13[[#Headers],[Music]],"*")),1,0)</f>
        <v>0</v>
      </c>
      <c r="U593">
        <f>IF(COUNTIF($E593, _xlfn.CONCAT("*",Table13[[#Headers],[Mystery]],"*")),1,0)</f>
        <v>0</v>
      </c>
      <c r="V593">
        <f>IF(COUNTIF($E593, _xlfn.CONCAT("*",Table13[[#Headers],[Romance]],"*")),1,0)</f>
        <v>0</v>
      </c>
      <c r="W593">
        <f>IF(COUNTIF($E593, _xlfn.CONCAT("*",Table13[[#Headers],[Science Fiction]],"*")),1,0)</f>
        <v>1</v>
      </c>
      <c r="X593">
        <f>IF(COUNTIF($E593, _xlfn.CONCAT("*",Table13[[#Headers],[TV Movie]],"*")),1,0)</f>
        <v>0</v>
      </c>
      <c r="Y593">
        <f>IF(COUNTIF($E593, _xlfn.CONCAT("*",Table13[[#Headers],[Thriller]],"*")),1,0)</f>
        <v>0</v>
      </c>
      <c r="Z593">
        <f>IF(COUNTIF($E593, _xlfn.CONCAT("*",Table13[[#Headers],[War]],"*")),1,0)</f>
        <v>0</v>
      </c>
      <c r="AA593">
        <f>IF(COUNTIF($E593, _xlfn.CONCAT("*",Table13[[#Headers],[Western]],"*")),1,0)</f>
        <v>0</v>
      </c>
    </row>
    <row r="594" spans="1:27">
      <c r="A594" t="s">
        <v>706</v>
      </c>
      <c r="B594">
        <v>92</v>
      </c>
      <c r="C594">
        <f>MAX(Table13[Rank])-Table13[[#This Row],[Rank]]</f>
        <v>172</v>
      </c>
      <c r="D594" t="s">
        <v>746</v>
      </c>
      <c r="E594" t="s">
        <v>707</v>
      </c>
      <c r="F594" s="1">
        <v>39961</v>
      </c>
      <c r="G594">
        <f>YEAR(Table13[[#This Row],[Date]])</f>
        <v>2009</v>
      </c>
      <c r="H594" t="s">
        <v>706</v>
      </c>
      <c r="I594">
        <f>IF(COUNTIF($E594, _xlfn.CONCAT("*",Table13[[#Headers],[Action]],"*")),1,0)</f>
        <v>0</v>
      </c>
      <c r="J594">
        <f>IF(COUNTIF($E594, _xlfn.CONCAT("*",Table13[[#Headers],[Adventure]],"*")),1,0)</f>
        <v>1</v>
      </c>
      <c r="K594">
        <f>IF(COUNTIF($E594, _xlfn.CONCAT("*",Table13[[#Headers],[Animation]],"*")),1,0)</f>
        <v>1</v>
      </c>
      <c r="L594">
        <f>IF(COUNTIF($E594, _xlfn.CONCAT("*",Table13[[#Headers],[Comedy]],"*")),1,0)</f>
        <v>1</v>
      </c>
      <c r="M594">
        <f>IF(COUNTIF($E594, _xlfn.CONCAT("*",Table13[[#Headers],[Crime]],"*")),1,0)</f>
        <v>0</v>
      </c>
      <c r="N594">
        <f>IF(COUNTIF($E594, _xlfn.CONCAT("*",Table13[[#Headers],[Documentary]],"*")),1,0)</f>
        <v>0</v>
      </c>
      <c r="O594">
        <f>IF(COUNTIF($E594, _xlfn.CONCAT("*",Table13[[#Headers],[Drama]],"*")),1,0)</f>
        <v>0</v>
      </c>
      <c r="P594">
        <f>IF(COUNTIF($E594, _xlfn.CONCAT("*",Table13[[#Headers],[Family]],"*")),1,0)</f>
        <v>1</v>
      </c>
      <c r="Q594">
        <f>IF(COUNTIF($E594, _xlfn.CONCAT("*",Table13[[#Headers],[Fantasy]],"*")),1,0)</f>
        <v>0</v>
      </c>
      <c r="R594">
        <f>IF(COUNTIF($E594, _xlfn.CONCAT("*",Table13[[#Headers],[History]],"*")),1,0)</f>
        <v>0</v>
      </c>
      <c r="S594">
        <f>IF(COUNTIF($E594, _xlfn.CONCAT("*",Table13[[#Headers],[Horror]],"*")),1,0)</f>
        <v>0</v>
      </c>
      <c r="T594">
        <f>IF(COUNTIF($E594, _xlfn.CONCAT("*",Table13[[#Headers],[Music]],"*")),1,0)</f>
        <v>0</v>
      </c>
      <c r="U594">
        <f>IF(COUNTIF($E594, _xlfn.CONCAT("*",Table13[[#Headers],[Mystery]],"*")),1,0)</f>
        <v>0</v>
      </c>
      <c r="V594">
        <f>IF(COUNTIF($E594, _xlfn.CONCAT("*",Table13[[#Headers],[Romance]],"*")),1,0)</f>
        <v>0</v>
      </c>
      <c r="W594">
        <f>IF(COUNTIF($E594, _xlfn.CONCAT("*",Table13[[#Headers],[Science Fiction]],"*")),1,0)</f>
        <v>0</v>
      </c>
      <c r="X594">
        <f>IF(COUNTIF($E594, _xlfn.CONCAT("*",Table13[[#Headers],[TV Movie]],"*")),1,0)</f>
        <v>0</v>
      </c>
      <c r="Y594">
        <f>IF(COUNTIF($E594, _xlfn.CONCAT("*",Table13[[#Headers],[Thriller]],"*")),1,0)</f>
        <v>0</v>
      </c>
      <c r="Z594">
        <f>IF(COUNTIF($E594, _xlfn.CONCAT("*",Table13[[#Headers],[War]],"*")),1,0)</f>
        <v>0</v>
      </c>
      <c r="AA594">
        <f>IF(COUNTIF($E594, _xlfn.CONCAT("*",Table13[[#Headers],[Western]],"*")),1,0)</f>
        <v>0</v>
      </c>
    </row>
    <row r="595" spans="1:27">
      <c r="A595" t="s">
        <v>736</v>
      </c>
      <c r="B595">
        <v>91</v>
      </c>
      <c r="C595">
        <f>MAX(Table13[Rank])-Table13[[#This Row],[Rank]]</f>
        <v>173</v>
      </c>
      <c r="D595" t="s">
        <v>746</v>
      </c>
      <c r="E595" t="s">
        <v>35</v>
      </c>
      <c r="F595" s="1">
        <v>28085</v>
      </c>
      <c r="G595">
        <f>YEAR(Table13[[#This Row],[Date]])</f>
        <v>1976</v>
      </c>
      <c r="H595" t="s">
        <v>736</v>
      </c>
      <c r="I595">
        <f>IF(COUNTIF($E595, _xlfn.CONCAT("*",Table13[[#Headers],[Action]],"*")),1,0)</f>
        <v>0</v>
      </c>
      <c r="J595">
        <f>IF(COUNTIF($E595, _xlfn.CONCAT("*",Table13[[#Headers],[Adventure]],"*")),1,0)</f>
        <v>0</v>
      </c>
      <c r="K595">
        <f>IF(COUNTIF($E595, _xlfn.CONCAT("*",Table13[[#Headers],[Animation]],"*")),1,0)</f>
        <v>0</v>
      </c>
      <c r="L595">
        <f>IF(COUNTIF($E595, _xlfn.CONCAT("*",Table13[[#Headers],[Comedy]],"*")),1,0)</f>
        <v>0</v>
      </c>
      <c r="M595">
        <f>IF(COUNTIF($E595, _xlfn.CONCAT("*",Table13[[#Headers],[Crime]],"*")),1,0)</f>
        <v>0</v>
      </c>
      <c r="N595">
        <f>IF(COUNTIF($E595, _xlfn.CONCAT("*",Table13[[#Headers],[Documentary]],"*")),1,0)</f>
        <v>0</v>
      </c>
      <c r="O595">
        <f>IF(COUNTIF($E595, _xlfn.CONCAT("*",Table13[[#Headers],[Drama]],"*")),1,0)</f>
        <v>1</v>
      </c>
      <c r="P595">
        <f>IF(COUNTIF($E595, _xlfn.CONCAT("*",Table13[[#Headers],[Family]],"*")),1,0)</f>
        <v>0</v>
      </c>
      <c r="Q595">
        <f>IF(COUNTIF($E595, _xlfn.CONCAT("*",Table13[[#Headers],[Fantasy]],"*")),1,0)</f>
        <v>0</v>
      </c>
      <c r="R595">
        <f>IF(COUNTIF($E595, _xlfn.CONCAT("*",Table13[[#Headers],[History]],"*")),1,0)</f>
        <v>0</v>
      </c>
      <c r="S595">
        <f>IF(COUNTIF($E595, _xlfn.CONCAT("*",Table13[[#Headers],[Horror]],"*")),1,0)</f>
        <v>0</v>
      </c>
      <c r="T595">
        <f>IF(COUNTIF($E595, _xlfn.CONCAT("*",Table13[[#Headers],[Music]],"*")),1,0)</f>
        <v>0</v>
      </c>
      <c r="U595">
        <f>IF(COUNTIF($E595, _xlfn.CONCAT("*",Table13[[#Headers],[Mystery]],"*")),1,0)</f>
        <v>0</v>
      </c>
      <c r="V595">
        <f>IF(COUNTIF($E595, _xlfn.CONCAT("*",Table13[[#Headers],[Romance]],"*")),1,0)</f>
        <v>1</v>
      </c>
      <c r="W595">
        <f>IF(COUNTIF($E595, _xlfn.CONCAT("*",Table13[[#Headers],[Science Fiction]],"*")),1,0)</f>
        <v>0</v>
      </c>
      <c r="X595">
        <f>IF(COUNTIF($E595, _xlfn.CONCAT("*",Table13[[#Headers],[TV Movie]],"*")),1,0)</f>
        <v>0</v>
      </c>
      <c r="Y595">
        <f>IF(COUNTIF($E595, _xlfn.CONCAT("*",Table13[[#Headers],[Thriller]],"*")),1,0)</f>
        <v>0</v>
      </c>
      <c r="Z595">
        <f>IF(COUNTIF($E595, _xlfn.CONCAT("*",Table13[[#Headers],[War]],"*")),1,0)</f>
        <v>0</v>
      </c>
      <c r="AA595">
        <f>IF(COUNTIF($E595, _xlfn.CONCAT("*",Table13[[#Headers],[Western]],"*")),1,0)</f>
        <v>0</v>
      </c>
    </row>
    <row r="596" spans="1:27">
      <c r="A596" t="s">
        <v>692</v>
      </c>
      <c r="B596">
        <v>90</v>
      </c>
      <c r="C596">
        <f>MAX(Table13[Rank])-Table13[[#This Row],[Rank]]</f>
        <v>174</v>
      </c>
      <c r="D596" t="s">
        <v>746</v>
      </c>
      <c r="E596" t="s">
        <v>693</v>
      </c>
      <c r="F596" s="1">
        <v>36810</v>
      </c>
      <c r="G596">
        <f>YEAR(Table13[[#This Row],[Date]])</f>
        <v>2000</v>
      </c>
      <c r="H596" t="s">
        <v>692</v>
      </c>
      <c r="I596">
        <f>IF(COUNTIF($E596, _xlfn.CONCAT("*",Table13[[#Headers],[Action]],"*")),1,0)</f>
        <v>0</v>
      </c>
      <c r="J596">
        <f>IF(COUNTIF($E596, _xlfn.CONCAT("*",Table13[[#Headers],[Adventure]],"*")),1,0)</f>
        <v>0</v>
      </c>
      <c r="K596">
        <f>IF(COUNTIF($E596, _xlfn.CONCAT("*",Table13[[#Headers],[Animation]],"*")),1,0)</f>
        <v>0</v>
      </c>
      <c r="L596">
        <f>IF(COUNTIF($E596, _xlfn.CONCAT("*",Table13[[#Headers],[Comedy]],"*")),1,0)</f>
        <v>0</v>
      </c>
      <c r="M596">
        <f>IF(COUNTIF($E596, _xlfn.CONCAT("*",Table13[[#Headers],[Crime]],"*")),1,0)</f>
        <v>0</v>
      </c>
      <c r="N596">
        <f>IF(COUNTIF($E596, _xlfn.CONCAT("*",Table13[[#Headers],[Documentary]],"*")),1,0)</f>
        <v>0</v>
      </c>
      <c r="O596">
        <f>IF(COUNTIF($E596, _xlfn.CONCAT("*",Table13[[#Headers],[Drama]],"*")),1,0)</f>
        <v>0</v>
      </c>
      <c r="P596">
        <f>IF(COUNTIF($E596, _xlfn.CONCAT("*",Table13[[#Headers],[Family]],"*")),1,0)</f>
        <v>0</v>
      </c>
      <c r="Q596">
        <f>IF(COUNTIF($E596, _xlfn.CONCAT("*",Table13[[#Headers],[Fantasy]],"*")),1,0)</f>
        <v>0</v>
      </c>
      <c r="R596">
        <f>IF(COUNTIF($E596, _xlfn.CONCAT("*",Table13[[#Headers],[History]],"*")),1,0)</f>
        <v>0</v>
      </c>
      <c r="S596">
        <f>IF(COUNTIF($E596, _xlfn.CONCAT("*",Table13[[#Headers],[Horror]],"*")),1,0)</f>
        <v>0</v>
      </c>
      <c r="T596">
        <f>IF(COUNTIF($E596, _xlfn.CONCAT("*",Table13[[#Headers],[Music]],"*")),1,0)</f>
        <v>0</v>
      </c>
      <c r="U596">
        <f>IF(COUNTIF($E596, _xlfn.CONCAT("*",Table13[[#Headers],[Mystery]],"*")),1,0)</f>
        <v>1</v>
      </c>
      <c r="V596">
        <f>IF(COUNTIF($E596, _xlfn.CONCAT("*",Table13[[#Headers],[Romance]],"*")),1,0)</f>
        <v>0</v>
      </c>
      <c r="W596">
        <f>IF(COUNTIF($E596, _xlfn.CONCAT("*",Table13[[#Headers],[Science Fiction]],"*")),1,0)</f>
        <v>0</v>
      </c>
      <c r="X596">
        <f>IF(COUNTIF($E596, _xlfn.CONCAT("*",Table13[[#Headers],[TV Movie]],"*")),1,0)</f>
        <v>0</v>
      </c>
      <c r="Y596">
        <f>IF(COUNTIF($E596, _xlfn.CONCAT("*",Table13[[#Headers],[Thriller]],"*")),1,0)</f>
        <v>1</v>
      </c>
      <c r="Z596">
        <f>IF(COUNTIF($E596, _xlfn.CONCAT("*",Table13[[#Headers],[War]],"*")),1,0)</f>
        <v>0</v>
      </c>
      <c r="AA596">
        <f>IF(COUNTIF($E596, _xlfn.CONCAT("*",Table13[[#Headers],[Western]],"*")),1,0)</f>
        <v>0</v>
      </c>
    </row>
    <row r="597" spans="1:27">
      <c r="A597" t="s">
        <v>683</v>
      </c>
      <c r="B597">
        <v>89</v>
      </c>
      <c r="C597">
        <f>MAX(Table13[Rank])-Table13[[#This Row],[Rank]]</f>
        <v>175</v>
      </c>
      <c r="D597" t="s">
        <v>746</v>
      </c>
      <c r="E597" t="s">
        <v>684</v>
      </c>
      <c r="F597" s="1">
        <v>34843</v>
      </c>
      <c r="G597">
        <f>YEAR(Table13[[#This Row],[Date]])</f>
        <v>1995</v>
      </c>
      <c r="H597" t="s">
        <v>683</v>
      </c>
      <c r="I597">
        <f>IF(COUNTIF($E597, _xlfn.CONCAT("*",Table13[[#Headers],[Action]],"*")),1,0)</f>
        <v>1</v>
      </c>
      <c r="J597">
        <f>IF(COUNTIF($E597, _xlfn.CONCAT("*",Table13[[#Headers],[Adventure]],"*")),1,0)</f>
        <v>0</v>
      </c>
      <c r="K597">
        <f>IF(COUNTIF($E597, _xlfn.CONCAT("*",Table13[[#Headers],[Animation]],"*")),1,0)</f>
        <v>0</v>
      </c>
      <c r="L597">
        <f>IF(COUNTIF($E597, _xlfn.CONCAT("*",Table13[[#Headers],[Comedy]],"*")),1,0)</f>
        <v>0</v>
      </c>
      <c r="M597">
        <f>IF(COUNTIF($E597, _xlfn.CONCAT("*",Table13[[#Headers],[Crime]],"*")),1,0)</f>
        <v>0</v>
      </c>
      <c r="N597">
        <f>IF(COUNTIF($E597, _xlfn.CONCAT("*",Table13[[#Headers],[Documentary]],"*")),1,0)</f>
        <v>0</v>
      </c>
      <c r="O597">
        <f>IF(COUNTIF($E597, _xlfn.CONCAT("*",Table13[[#Headers],[Drama]],"*")),1,0)</f>
        <v>1</v>
      </c>
      <c r="P597">
        <f>IF(COUNTIF($E597, _xlfn.CONCAT("*",Table13[[#Headers],[Family]],"*")),1,0)</f>
        <v>0</v>
      </c>
      <c r="Q597">
        <f>IF(COUNTIF($E597, _xlfn.CONCAT("*",Table13[[#Headers],[Fantasy]],"*")),1,0)</f>
        <v>0</v>
      </c>
      <c r="R597">
        <f>IF(COUNTIF($E597, _xlfn.CONCAT("*",Table13[[#Headers],[History]],"*")),1,0)</f>
        <v>1</v>
      </c>
      <c r="S597">
        <f>IF(COUNTIF($E597, _xlfn.CONCAT("*",Table13[[#Headers],[Horror]],"*")),1,0)</f>
        <v>0</v>
      </c>
      <c r="T597">
        <f>IF(COUNTIF($E597, _xlfn.CONCAT("*",Table13[[#Headers],[Music]],"*")),1,0)</f>
        <v>0</v>
      </c>
      <c r="U597">
        <f>IF(COUNTIF($E597, _xlfn.CONCAT("*",Table13[[#Headers],[Mystery]],"*")),1,0)</f>
        <v>0</v>
      </c>
      <c r="V597">
        <f>IF(COUNTIF($E597, _xlfn.CONCAT("*",Table13[[#Headers],[Romance]],"*")),1,0)</f>
        <v>0</v>
      </c>
      <c r="W597">
        <f>IF(COUNTIF($E597, _xlfn.CONCAT("*",Table13[[#Headers],[Science Fiction]],"*")),1,0)</f>
        <v>0</v>
      </c>
      <c r="X597">
        <f>IF(COUNTIF($E597, _xlfn.CONCAT("*",Table13[[#Headers],[TV Movie]],"*")),1,0)</f>
        <v>0</v>
      </c>
      <c r="Y597">
        <f>IF(COUNTIF($E597, _xlfn.CONCAT("*",Table13[[#Headers],[Thriller]],"*")),1,0)</f>
        <v>0</v>
      </c>
      <c r="Z597">
        <f>IF(COUNTIF($E597, _xlfn.CONCAT("*",Table13[[#Headers],[War]],"*")),1,0)</f>
        <v>1</v>
      </c>
      <c r="AA597">
        <f>IF(COUNTIF($E597, _xlfn.CONCAT("*",Table13[[#Headers],[Western]],"*")),1,0)</f>
        <v>0</v>
      </c>
    </row>
    <row r="598" spans="1:27">
      <c r="A598" t="s">
        <v>751</v>
      </c>
      <c r="B598">
        <v>88</v>
      </c>
      <c r="C598">
        <f>MAX(Table13[Rank])-Table13[[#This Row],[Rank]]</f>
        <v>176</v>
      </c>
      <c r="D598" t="s">
        <v>746</v>
      </c>
      <c r="E598" t="s">
        <v>35</v>
      </c>
      <c r="F598" s="1">
        <v>39764</v>
      </c>
      <c r="G598">
        <f>YEAR(Table13[[#This Row],[Date]])</f>
        <v>2008</v>
      </c>
      <c r="H598" t="s">
        <v>751</v>
      </c>
      <c r="I598">
        <f>IF(COUNTIF($E598, _xlfn.CONCAT("*",Table13[[#Headers],[Action]],"*")),1,0)</f>
        <v>0</v>
      </c>
      <c r="J598">
        <f>IF(COUNTIF($E598, _xlfn.CONCAT("*",Table13[[#Headers],[Adventure]],"*")),1,0)</f>
        <v>0</v>
      </c>
      <c r="K598">
        <f>IF(COUNTIF($E598, _xlfn.CONCAT("*",Table13[[#Headers],[Animation]],"*")),1,0)</f>
        <v>0</v>
      </c>
      <c r="L598">
        <f>IF(COUNTIF($E598, _xlfn.CONCAT("*",Table13[[#Headers],[Comedy]],"*")),1,0)</f>
        <v>0</v>
      </c>
      <c r="M598">
        <f>IF(COUNTIF($E598, _xlfn.CONCAT("*",Table13[[#Headers],[Crime]],"*")),1,0)</f>
        <v>0</v>
      </c>
      <c r="N598">
        <f>IF(COUNTIF($E598, _xlfn.CONCAT("*",Table13[[#Headers],[Documentary]],"*")),1,0)</f>
        <v>0</v>
      </c>
      <c r="O598">
        <f>IF(COUNTIF($E598, _xlfn.CONCAT("*",Table13[[#Headers],[Drama]],"*")),1,0)</f>
        <v>1</v>
      </c>
      <c r="P598">
        <f>IF(COUNTIF($E598, _xlfn.CONCAT("*",Table13[[#Headers],[Family]],"*")),1,0)</f>
        <v>0</v>
      </c>
      <c r="Q598">
        <f>IF(COUNTIF($E598, _xlfn.CONCAT("*",Table13[[#Headers],[Fantasy]],"*")),1,0)</f>
        <v>0</v>
      </c>
      <c r="R598">
        <f>IF(COUNTIF($E598, _xlfn.CONCAT("*",Table13[[#Headers],[History]],"*")),1,0)</f>
        <v>0</v>
      </c>
      <c r="S598">
        <f>IF(COUNTIF($E598, _xlfn.CONCAT("*",Table13[[#Headers],[Horror]],"*")),1,0)</f>
        <v>0</v>
      </c>
      <c r="T598">
        <f>IF(COUNTIF($E598, _xlfn.CONCAT("*",Table13[[#Headers],[Music]],"*")),1,0)</f>
        <v>0</v>
      </c>
      <c r="U598">
        <f>IF(COUNTIF($E598, _xlfn.CONCAT("*",Table13[[#Headers],[Mystery]],"*")),1,0)</f>
        <v>0</v>
      </c>
      <c r="V598">
        <f>IF(COUNTIF($E598, _xlfn.CONCAT("*",Table13[[#Headers],[Romance]],"*")),1,0)</f>
        <v>1</v>
      </c>
      <c r="W598">
        <f>IF(COUNTIF($E598, _xlfn.CONCAT("*",Table13[[#Headers],[Science Fiction]],"*")),1,0)</f>
        <v>0</v>
      </c>
      <c r="X598">
        <f>IF(COUNTIF($E598, _xlfn.CONCAT("*",Table13[[#Headers],[TV Movie]],"*")),1,0)</f>
        <v>0</v>
      </c>
      <c r="Y598">
        <f>IF(COUNTIF($E598, _xlfn.CONCAT("*",Table13[[#Headers],[Thriller]],"*")),1,0)</f>
        <v>0</v>
      </c>
      <c r="Z598">
        <f>IF(COUNTIF($E598, _xlfn.CONCAT("*",Table13[[#Headers],[War]],"*")),1,0)</f>
        <v>0</v>
      </c>
      <c r="AA598">
        <f>IF(COUNTIF($E598, _xlfn.CONCAT("*",Table13[[#Headers],[Western]],"*")),1,0)</f>
        <v>0</v>
      </c>
    </row>
    <row r="599" spans="1:27">
      <c r="A599" t="s">
        <v>629</v>
      </c>
      <c r="B599">
        <v>87</v>
      </c>
      <c r="C599">
        <f>MAX(Table13[Rank])-Table13[[#This Row],[Rank]]</f>
        <v>177</v>
      </c>
      <c r="D599" t="s">
        <v>746</v>
      </c>
      <c r="E599" t="s">
        <v>618</v>
      </c>
      <c r="F599" s="1">
        <v>37956</v>
      </c>
      <c r="G599">
        <f>YEAR(Table13[[#This Row],[Date]])</f>
        <v>2003</v>
      </c>
      <c r="H599" t="s">
        <v>629</v>
      </c>
      <c r="I599">
        <f>IF(COUNTIF($E599, _xlfn.CONCAT("*",Table13[[#Headers],[Action]],"*")),1,0)</f>
        <v>1</v>
      </c>
      <c r="J599">
        <f>IF(COUNTIF($E599, _xlfn.CONCAT("*",Table13[[#Headers],[Adventure]],"*")),1,0)</f>
        <v>1</v>
      </c>
      <c r="K599">
        <f>IF(COUNTIF($E599, _xlfn.CONCAT("*",Table13[[#Headers],[Animation]],"*")),1,0)</f>
        <v>0</v>
      </c>
      <c r="L599">
        <f>IF(COUNTIF($E599, _xlfn.CONCAT("*",Table13[[#Headers],[Comedy]],"*")),1,0)</f>
        <v>0</v>
      </c>
      <c r="M599">
        <f>IF(COUNTIF($E599, _xlfn.CONCAT("*",Table13[[#Headers],[Crime]],"*")),1,0)</f>
        <v>0</v>
      </c>
      <c r="N599">
        <f>IF(COUNTIF($E599, _xlfn.CONCAT("*",Table13[[#Headers],[Documentary]],"*")),1,0)</f>
        <v>0</v>
      </c>
      <c r="O599">
        <f>IF(COUNTIF($E599, _xlfn.CONCAT("*",Table13[[#Headers],[Drama]],"*")),1,0)</f>
        <v>0</v>
      </c>
      <c r="P599">
        <f>IF(COUNTIF($E599, _xlfn.CONCAT("*",Table13[[#Headers],[Family]],"*")),1,0)</f>
        <v>0</v>
      </c>
      <c r="Q599">
        <f>IF(COUNTIF($E599, _xlfn.CONCAT("*",Table13[[#Headers],[Fantasy]],"*")),1,0)</f>
        <v>1</v>
      </c>
      <c r="R599">
        <f>IF(COUNTIF($E599, _xlfn.CONCAT("*",Table13[[#Headers],[History]],"*")),1,0)</f>
        <v>0</v>
      </c>
      <c r="S599">
        <f>IF(COUNTIF($E599, _xlfn.CONCAT("*",Table13[[#Headers],[Horror]],"*")),1,0)</f>
        <v>0</v>
      </c>
      <c r="T599">
        <f>IF(COUNTIF($E599, _xlfn.CONCAT("*",Table13[[#Headers],[Music]],"*")),1,0)</f>
        <v>0</v>
      </c>
      <c r="U599">
        <f>IF(COUNTIF($E599, _xlfn.CONCAT("*",Table13[[#Headers],[Mystery]],"*")),1,0)</f>
        <v>0</v>
      </c>
      <c r="V599">
        <f>IF(COUNTIF($E599, _xlfn.CONCAT("*",Table13[[#Headers],[Romance]],"*")),1,0)</f>
        <v>0</v>
      </c>
      <c r="W599">
        <f>IF(COUNTIF($E599, _xlfn.CONCAT("*",Table13[[#Headers],[Science Fiction]],"*")),1,0)</f>
        <v>0</v>
      </c>
      <c r="X599">
        <f>IF(COUNTIF($E599, _xlfn.CONCAT("*",Table13[[#Headers],[TV Movie]],"*")),1,0)</f>
        <v>0</v>
      </c>
      <c r="Y599">
        <f>IF(COUNTIF($E599, _xlfn.CONCAT("*",Table13[[#Headers],[Thriller]],"*")),1,0)</f>
        <v>0</v>
      </c>
      <c r="Z599">
        <f>IF(COUNTIF($E599, _xlfn.CONCAT("*",Table13[[#Headers],[War]],"*")),1,0)</f>
        <v>0</v>
      </c>
      <c r="AA599">
        <f>IF(COUNTIF($E599, _xlfn.CONCAT("*",Table13[[#Headers],[Western]],"*")),1,0)</f>
        <v>0</v>
      </c>
    </row>
    <row r="600" spans="1:27">
      <c r="A600" t="s">
        <v>752</v>
      </c>
      <c r="B600">
        <v>86</v>
      </c>
      <c r="C600">
        <f>MAX(Table13[Rank])-Table13[[#This Row],[Rank]]</f>
        <v>178</v>
      </c>
      <c r="D600" t="s">
        <v>746</v>
      </c>
      <c r="E600" t="s">
        <v>753</v>
      </c>
      <c r="F600" s="1">
        <v>33533</v>
      </c>
      <c r="G600">
        <f>YEAR(Table13[[#This Row],[Date]])</f>
        <v>1991</v>
      </c>
      <c r="H600" t="s">
        <v>752</v>
      </c>
      <c r="I600">
        <f>IF(COUNTIF($E600, _xlfn.CONCAT("*",Table13[[#Headers],[Action]],"*")),1,0)</f>
        <v>0</v>
      </c>
      <c r="J600">
        <f>IF(COUNTIF($E600, _xlfn.CONCAT("*",Table13[[#Headers],[Adventure]],"*")),1,0)</f>
        <v>0</v>
      </c>
      <c r="K600">
        <f>IF(COUNTIF($E600, _xlfn.CONCAT("*",Table13[[#Headers],[Animation]],"*")),1,0)</f>
        <v>1</v>
      </c>
      <c r="L600">
        <f>IF(COUNTIF($E600, _xlfn.CONCAT("*",Table13[[#Headers],[Comedy]],"*")),1,0)</f>
        <v>0</v>
      </c>
      <c r="M600">
        <f>IF(COUNTIF($E600, _xlfn.CONCAT("*",Table13[[#Headers],[Crime]],"*")),1,0)</f>
        <v>0</v>
      </c>
      <c r="N600">
        <f>IF(COUNTIF($E600, _xlfn.CONCAT("*",Table13[[#Headers],[Documentary]],"*")),1,0)</f>
        <v>0</v>
      </c>
      <c r="O600">
        <f>IF(COUNTIF($E600, _xlfn.CONCAT("*",Table13[[#Headers],[Drama]],"*")),1,0)</f>
        <v>0</v>
      </c>
      <c r="P600">
        <f>IF(COUNTIF($E600, _xlfn.CONCAT("*",Table13[[#Headers],[Family]],"*")),1,0)</f>
        <v>1</v>
      </c>
      <c r="Q600">
        <f>IF(COUNTIF($E600, _xlfn.CONCAT("*",Table13[[#Headers],[Fantasy]],"*")),1,0)</f>
        <v>1</v>
      </c>
      <c r="R600">
        <f>IF(COUNTIF($E600, _xlfn.CONCAT("*",Table13[[#Headers],[History]],"*")),1,0)</f>
        <v>0</v>
      </c>
      <c r="S600">
        <f>IF(COUNTIF($E600, _xlfn.CONCAT("*",Table13[[#Headers],[Horror]],"*")),1,0)</f>
        <v>0</v>
      </c>
      <c r="T600">
        <f>IF(COUNTIF($E600, _xlfn.CONCAT("*",Table13[[#Headers],[Music]],"*")),1,0)</f>
        <v>0</v>
      </c>
      <c r="U600">
        <f>IF(COUNTIF($E600, _xlfn.CONCAT("*",Table13[[#Headers],[Mystery]],"*")),1,0)</f>
        <v>0</v>
      </c>
      <c r="V600">
        <f>IF(COUNTIF($E600, _xlfn.CONCAT("*",Table13[[#Headers],[Romance]],"*")),1,0)</f>
        <v>1</v>
      </c>
      <c r="W600">
        <f>IF(COUNTIF($E600, _xlfn.CONCAT("*",Table13[[#Headers],[Science Fiction]],"*")),1,0)</f>
        <v>0</v>
      </c>
      <c r="X600">
        <f>IF(COUNTIF($E600, _xlfn.CONCAT("*",Table13[[#Headers],[TV Movie]],"*")),1,0)</f>
        <v>0</v>
      </c>
      <c r="Y600">
        <f>IF(COUNTIF($E600, _xlfn.CONCAT("*",Table13[[#Headers],[Thriller]],"*")),1,0)</f>
        <v>0</v>
      </c>
      <c r="Z600">
        <f>IF(COUNTIF($E600, _xlfn.CONCAT("*",Table13[[#Headers],[War]],"*")),1,0)</f>
        <v>0</v>
      </c>
      <c r="AA600">
        <f>IF(COUNTIF($E600, _xlfn.CONCAT("*",Table13[[#Headers],[Western]],"*")),1,0)</f>
        <v>0</v>
      </c>
    </row>
    <row r="601" spans="1:27">
      <c r="A601" t="s">
        <v>754</v>
      </c>
      <c r="B601">
        <v>85</v>
      </c>
      <c r="C601">
        <f>MAX(Table13[Rank])-Table13[[#This Row],[Rank]]</f>
        <v>179</v>
      </c>
      <c r="D601" t="s">
        <v>746</v>
      </c>
      <c r="E601" t="s">
        <v>755</v>
      </c>
      <c r="F601" s="1">
        <v>45146</v>
      </c>
      <c r="G601">
        <f>YEAR(Table13[[#This Row],[Date]])</f>
        <v>2023</v>
      </c>
      <c r="H601" t="s">
        <v>1301</v>
      </c>
      <c r="I601">
        <f>IF(COUNTIF($E601, _xlfn.CONCAT("*",Table13[[#Headers],[Action]],"*")),1,0)</f>
        <v>1</v>
      </c>
      <c r="J601">
        <f>IF(COUNTIF($E601, _xlfn.CONCAT("*",Table13[[#Headers],[Adventure]],"*")),1,0)</f>
        <v>1</v>
      </c>
      <c r="K601">
        <f>IF(COUNTIF($E601, _xlfn.CONCAT("*",Table13[[#Headers],[Animation]],"*")),1,0)</f>
        <v>1</v>
      </c>
      <c r="L601">
        <f>IF(COUNTIF($E601, _xlfn.CONCAT("*",Table13[[#Headers],[Comedy]],"*")),1,0)</f>
        <v>0</v>
      </c>
      <c r="M601">
        <f>IF(COUNTIF($E601, _xlfn.CONCAT("*",Table13[[#Headers],[Crime]],"*")),1,0)</f>
        <v>0</v>
      </c>
      <c r="N601">
        <f>IF(COUNTIF($E601, _xlfn.CONCAT("*",Table13[[#Headers],[Documentary]],"*")),1,0)</f>
        <v>0</v>
      </c>
      <c r="O601">
        <f>IF(COUNTIF($E601, _xlfn.CONCAT("*",Table13[[#Headers],[Drama]],"*")),1,0)</f>
        <v>0</v>
      </c>
      <c r="P601">
        <f>IF(COUNTIF($E601, _xlfn.CONCAT("*",Table13[[#Headers],[Family]],"*")),1,0)</f>
        <v>0</v>
      </c>
      <c r="Q601">
        <f>IF(COUNTIF($E601, _xlfn.CONCAT("*",Table13[[#Headers],[Fantasy]],"*")),1,0)</f>
        <v>1</v>
      </c>
      <c r="R601">
        <f>IF(COUNTIF($E601, _xlfn.CONCAT("*",Table13[[#Headers],[History]],"*")),1,0)</f>
        <v>0</v>
      </c>
      <c r="S601">
        <f>IF(COUNTIF($E601, _xlfn.CONCAT("*",Table13[[#Headers],[Horror]],"*")),1,0)</f>
        <v>0</v>
      </c>
      <c r="T601">
        <f>IF(COUNTIF($E601, _xlfn.CONCAT("*",Table13[[#Headers],[Music]],"*")),1,0)</f>
        <v>0</v>
      </c>
      <c r="U601">
        <f>IF(COUNTIF($E601, _xlfn.CONCAT("*",Table13[[#Headers],[Mystery]],"*")),1,0)</f>
        <v>0</v>
      </c>
      <c r="V601">
        <f>IF(COUNTIF($E601, _xlfn.CONCAT("*",Table13[[#Headers],[Romance]],"*")),1,0)</f>
        <v>0</v>
      </c>
      <c r="W601">
        <f>IF(COUNTIF($E601, _xlfn.CONCAT("*",Table13[[#Headers],[Science Fiction]],"*")),1,0)</f>
        <v>0</v>
      </c>
      <c r="X601">
        <f>IF(COUNTIF($E601, _xlfn.CONCAT("*",Table13[[#Headers],[TV Movie]],"*")),1,0)</f>
        <v>0</v>
      </c>
      <c r="Y601">
        <f>IF(COUNTIF($E601, _xlfn.CONCAT("*",Table13[[#Headers],[Thriller]],"*")),1,0)</f>
        <v>0</v>
      </c>
      <c r="Z601">
        <f>IF(COUNTIF($E601, _xlfn.CONCAT("*",Table13[[#Headers],[War]],"*")),1,0)</f>
        <v>0</v>
      </c>
      <c r="AA601">
        <f>IF(COUNTIF($E601, _xlfn.CONCAT("*",Table13[[#Headers],[Western]],"*")),1,0)</f>
        <v>0</v>
      </c>
    </row>
    <row r="602" spans="1:27">
      <c r="A602" t="s">
        <v>646</v>
      </c>
      <c r="B602">
        <v>84</v>
      </c>
      <c r="C602">
        <f>MAX(Table13[Rank])-Table13[[#This Row],[Rank]]</f>
        <v>180</v>
      </c>
      <c r="D602" t="s">
        <v>746</v>
      </c>
      <c r="E602" t="s">
        <v>645</v>
      </c>
      <c r="F602" s="1">
        <v>40374</v>
      </c>
      <c r="G602">
        <f>YEAR(Table13[[#This Row],[Date]])</f>
        <v>2010</v>
      </c>
      <c r="H602" t="s">
        <v>646</v>
      </c>
      <c r="I602">
        <f>IF(COUNTIF($E602, _xlfn.CONCAT("*",Table13[[#Headers],[Action]],"*")),1,0)</f>
        <v>1</v>
      </c>
      <c r="J602">
        <f>IF(COUNTIF($E602, _xlfn.CONCAT("*",Table13[[#Headers],[Adventure]],"*")),1,0)</f>
        <v>1</v>
      </c>
      <c r="K602">
        <f>IF(COUNTIF($E602, _xlfn.CONCAT("*",Table13[[#Headers],[Animation]],"*")),1,0)</f>
        <v>0</v>
      </c>
      <c r="L602">
        <f>IF(COUNTIF($E602, _xlfn.CONCAT("*",Table13[[#Headers],[Comedy]],"*")),1,0)</f>
        <v>0</v>
      </c>
      <c r="M602">
        <f>IF(COUNTIF($E602, _xlfn.CONCAT("*",Table13[[#Headers],[Crime]],"*")),1,0)</f>
        <v>0</v>
      </c>
      <c r="N602">
        <f>IF(COUNTIF($E602, _xlfn.CONCAT("*",Table13[[#Headers],[Documentary]],"*")),1,0)</f>
        <v>0</v>
      </c>
      <c r="O602">
        <f>IF(COUNTIF($E602, _xlfn.CONCAT("*",Table13[[#Headers],[Drama]],"*")),1,0)</f>
        <v>0</v>
      </c>
      <c r="P602">
        <f>IF(COUNTIF($E602, _xlfn.CONCAT("*",Table13[[#Headers],[Family]],"*")),1,0)</f>
        <v>0</v>
      </c>
      <c r="Q602">
        <f>IF(COUNTIF($E602, _xlfn.CONCAT("*",Table13[[#Headers],[Fantasy]],"*")),1,0)</f>
        <v>0</v>
      </c>
      <c r="R602">
        <f>IF(COUNTIF($E602, _xlfn.CONCAT("*",Table13[[#Headers],[History]],"*")),1,0)</f>
        <v>0</v>
      </c>
      <c r="S602">
        <f>IF(COUNTIF($E602, _xlfn.CONCAT("*",Table13[[#Headers],[Horror]],"*")),1,0)</f>
        <v>0</v>
      </c>
      <c r="T602">
        <f>IF(COUNTIF($E602, _xlfn.CONCAT("*",Table13[[#Headers],[Music]],"*")),1,0)</f>
        <v>0</v>
      </c>
      <c r="U602">
        <f>IF(COUNTIF($E602, _xlfn.CONCAT("*",Table13[[#Headers],[Mystery]],"*")),1,0)</f>
        <v>0</v>
      </c>
      <c r="V602">
        <f>IF(COUNTIF($E602, _xlfn.CONCAT("*",Table13[[#Headers],[Romance]],"*")),1,0)</f>
        <v>0</v>
      </c>
      <c r="W602">
        <f>IF(COUNTIF($E602, _xlfn.CONCAT("*",Table13[[#Headers],[Science Fiction]],"*")),1,0)</f>
        <v>1</v>
      </c>
      <c r="X602">
        <f>IF(COUNTIF($E602, _xlfn.CONCAT("*",Table13[[#Headers],[TV Movie]],"*")),1,0)</f>
        <v>0</v>
      </c>
      <c r="Y602">
        <f>IF(COUNTIF($E602, _xlfn.CONCAT("*",Table13[[#Headers],[Thriller]],"*")),1,0)</f>
        <v>0</v>
      </c>
      <c r="Z602">
        <f>IF(COUNTIF($E602, _xlfn.CONCAT("*",Table13[[#Headers],[War]],"*")),1,0)</f>
        <v>0</v>
      </c>
      <c r="AA602">
        <f>IF(COUNTIF($E602, _xlfn.CONCAT("*",Table13[[#Headers],[Western]],"*")),1,0)</f>
        <v>0</v>
      </c>
    </row>
    <row r="603" spans="1:27">
      <c r="A603" t="s">
        <v>685</v>
      </c>
      <c r="B603">
        <v>83</v>
      </c>
      <c r="C603">
        <f>MAX(Table13[Rank])-Table13[[#This Row],[Rank]]</f>
        <v>181</v>
      </c>
      <c r="D603" t="s">
        <v>746</v>
      </c>
      <c r="E603" t="s">
        <v>631</v>
      </c>
      <c r="F603" s="1">
        <v>32339</v>
      </c>
      <c r="G603">
        <f>YEAR(Table13[[#This Row],[Date]])</f>
        <v>1988</v>
      </c>
      <c r="H603" t="s">
        <v>685</v>
      </c>
      <c r="I603">
        <f>IF(COUNTIF($E603, _xlfn.CONCAT("*",Table13[[#Headers],[Action]],"*")),1,0)</f>
        <v>1</v>
      </c>
      <c r="J603">
        <f>IF(COUNTIF($E603, _xlfn.CONCAT("*",Table13[[#Headers],[Adventure]],"*")),1,0)</f>
        <v>0</v>
      </c>
      <c r="K603">
        <f>IF(COUNTIF($E603, _xlfn.CONCAT("*",Table13[[#Headers],[Animation]],"*")),1,0)</f>
        <v>0</v>
      </c>
      <c r="L603">
        <f>IF(COUNTIF($E603, _xlfn.CONCAT("*",Table13[[#Headers],[Comedy]],"*")),1,0)</f>
        <v>0</v>
      </c>
      <c r="M603">
        <f>IF(COUNTIF($E603, _xlfn.CONCAT("*",Table13[[#Headers],[Crime]],"*")),1,0)</f>
        <v>0</v>
      </c>
      <c r="N603">
        <f>IF(COUNTIF($E603, _xlfn.CONCAT("*",Table13[[#Headers],[Documentary]],"*")),1,0)</f>
        <v>0</v>
      </c>
      <c r="O603">
        <f>IF(COUNTIF($E603, _xlfn.CONCAT("*",Table13[[#Headers],[Drama]],"*")),1,0)</f>
        <v>0</v>
      </c>
      <c r="P603">
        <f>IF(COUNTIF($E603, _xlfn.CONCAT("*",Table13[[#Headers],[Family]],"*")),1,0)</f>
        <v>0</v>
      </c>
      <c r="Q603">
        <f>IF(COUNTIF($E603, _xlfn.CONCAT("*",Table13[[#Headers],[Fantasy]],"*")),1,0)</f>
        <v>0</v>
      </c>
      <c r="R603">
        <f>IF(COUNTIF($E603, _xlfn.CONCAT("*",Table13[[#Headers],[History]],"*")),1,0)</f>
        <v>0</v>
      </c>
      <c r="S603">
        <f>IF(COUNTIF($E603, _xlfn.CONCAT("*",Table13[[#Headers],[Horror]],"*")),1,0)</f>
        <v>0</v>
      </c>
      <c r="T603">
        <f>IF(COUNTIF($E603, _xlfn.CONCAT("*",Table13[[#Headers],[Music]],"*")),1,0)</f>
        <v>0</v>
      </c>
      <c r="U603">
        <f>IF(COUNTIF($E603, _xlfn.CONCAT("*",Table13[[#Headers],[Mystery]],"*")),1,0)</f>
        <v>0</v>
      </c>
      <c r="V603">
        <f>IF(COUNTIF($E603, _xlfn.CONCAT("*",Table13[[#Headers],[Romance]],"*")),1,0)</f>
        <v>0</v>
      </c>
      <c r="W603">
        <f>IF(COUNTIF($E603, _xlfn.CONCAT("*",Table13[[#Headers],[Science Fiction]],"*")),1,0)</f>
        <v>0</v>
      </c>
      <c r="X603">
        <f>IF(COUNTIF($E603, _xlfn.CONCAT("*",Table13[[#Headers],[TV Movie]],"*")),1,0)</f>
        <v>0</v>
      </c>
      <c r="Y603">
        <f>IF(COUNTIF($E603, _xlfn.CONCAT("*",Table13[[#Headers],[Thriller]],"*")),1,0)</f>
        <v>1</v>
      </c>
      <c r="Z603">
        <f>IF(COUNTIF($E603, _xlfn.CONCAT("*",Table13[[#Headers],[War]],"*")),1,0)</f>
        <v>0</v>
      </c>
      <c r="AA603">
        <f>IF(COUNTIF($E603, _xlfn.CONCAT("*",Table13[[#Headers],[Western]],"*")),1,0)</f>
        <v>0</v>
      </c>
    </row>
    <row r="604" spans="1:27">
      <c r="A604" t="s">
        <v>673</v>
      </c>
      <c r="B604">
        <v>82</v>
      </c>
      <c r="C604">
        <f>MAX(Table13[Rank])-Table13[[#This Row],[Rank]]</f>
        <v>182</v>
      </c>
      <c r="D604" t="s">
        <v>746</v>
      </c>
      <c r="E604" t="s">
        <v>618</v>
      </c>
      <c r="F604" s="1">
        <v>37243</v>
      </c>
      <c r="G604">
        <f>YEAR(Table13[[#This Row],[Date]])</f>
        <v>2001</v>
      </c>
      <c r="H604" t="s">
        <v>673</v>
      </c>
      <c r="I604">
        <f>IF(COUNTIF($E604, _xlfn.CONCAT("*",Table13[[#Headers],[Action]],"*")),1,0)</f>
        <v>1</v>
      </c>
      <c r="J604">
        <f>IF(COUNTIF($E604, _xlfn.CONCAT("*",Table13[[#Headers],[Adventure]],"*")),1,0)</f>
        <v>1</v>
      </c>
      <c r="K604">
        <f>IF(COUNTIF($E604, _xlfn.CONCAT("*",Table13[[#Headers],[Animation]],"*")),1,0)</f>
        <v>0</v>
      </c>
      <c r="L604">
        <f>IF(COUNTIF($E604, _xlfn.CONCAT("*",Table13[[#Headers],[Comedy]],"*")),1,0)</f>
        <v>0</v>
      </c>
      <c r="M604">
        <f>IF(COUNTIF($E604, _xlfn.CONCAT("*",Table13[[#Headers],[Crime]],"*")),1,0)</f>
        <v>0</v>
      </c>
      <c r="N604">
        <f>IF(COUNTIF($E604, _xlfn.CONCAT("*",Table13[[#Headers],[Documentary]],"*")),1,0)</f>
        <v>0</v>
      </c>
      <c r="O604">
        <f>IF(COUNTIF($E604, _xlfn.CONCAT("*",Table13[[#Headers],[Drama]],"*")),1,0)</f>
        <v>0</v>
      </c>
      <c r="P604">
        <f>IF(COUNTIF($E604, _xlfn.CONCAT("*",Table13[[#Headers],[Family]],"*")),1,0)</f>
        <v>0</v>
      </c>
      <c r="Q604">
        <f>IF(COUNTIF($E604, _xlfn.CONCAT("*",Table13[[#Headers],[Fantasy]],"*")),1,0)</f>
        <v>1</v>
      </c>
      <c r="R604">
        <f>IF(COUNTIF($E604, _xlfn.CONCAT("*",Table13[[#Headers],[History]],"*")),1,0)</f>
        <v>0</v>
      </c>
      <c r="S604">
        <f>IF(COUNTIF($E604, _xlfn.CONCAT("*",Table13[[#Headers],[Horror]],"*")),1,0)</f>
        <v>0</v>
      </c>
      <c r="T604">
        <f>IF(COUNTIF($E604, _xlfn.CONCAT("*",Table13[[#Headers],[Music]],"*")),1,0)</f>
        <v>0</v>
      </c>
      <c r="U604">
        <f>IF(COUNTIF($E604, _xlfn.CONCAT("*",Table13[[#Headers],[Mystery]],"*")),1,0)</f>
        <v>0</v>
      </c>
      <c r="V604">
        <f>IF(COUNTIF($E604, _xlfn.CONCAT("*",Table13[[#Headers],[Romance]],"*")),1,0)</f>
        <v>0</v>
      </c>
      <c r="W604">
        <f>IF(COUNTIF($E604, _xlfn.CONCAT("*",Table13[[#Headers],[Science Fiction]],"*")),1,0)</f>
        <v>0</v>
      </c>
      <c r="X604">
        <f>IF(COUNTIF($E604, _xlfn.CONCAT("*",Table13[[#Headers],[TV Movie]],"*")),1,0)</f>
        <v>0</v>
      </c>
      <c r="Y604">
        <f>IF(COUNTIF($E604, _xlfn.CONCAT("*",Table13[[#Headers],[Thriller]],"*")),1,0)</f>
        <v>0</v>
      </c>
      <c r="Z604">
        <f>IF(COUNTIF($E604, _xlfn.CONCAT("*",Table13[[#Headers],[War]],"*")),1,0)</f>
        <v>0</v>
      </c>
      <c r="AA604">
        <f>IF(COUNTIF($E604, _xlfn.CONCAT("*",Table13[[#Headers],[Western]],"*")),1,0)</f>
        <v>0</v>
      </c>
    </row>
    <row r="605" spans="1:27">
      <c r="A605" t="s">
        <v>756</v>
      </c>
      <c r="B605">
        <v>81</v>
      </c>
      <c r="C605">
        <f>MAX(Table13[Rank])-Table13[[#This Row],[Rank]]</f>
        <v>183</v>
      </c>
      <c r="D605" t="s">
        <v>746</v>
      </c>
      <c r="E605" t="s">
        <v>757</v>
      </c>
      <c r="F605" s="1">
        <v>30944</v>
      </c>
      <c r="G605">
        <f>YEAR(Table13[[#This Row],[Date]])</f>
        <v>1984</v>
      </c>
      <c r="H605" t="s">
        <v>756</v>
      </c>
      <c r="I605">
        <f>IF(COUNTIF($E605, _xlfn.CONCAT("*",Table13[[#Headers],[Action]],"*")),1,0)</f>
        <v>0</v>
      </c>
      <c r="J605">
        <f>IF(COUNTIF($E605, _xlfn.CONCAT("*",Table13[[#Headers],[Adventure]],"*")),1,0)</f>
        <v>0</v>
      </c>
      <c r="K605">
        <f>IF(COUNTIF($E605, _xlfn.CONCAT("*",Table13[[#Headers],[Animation]],"*")),1,0)</f>
        <v>0</v>
      </c>
      <c r="L605">
        <f>IF(COUNTIF($E605, _xlfn.CONCAT("*",Table13[[#Headers],[Comedy]],"*")),1,0)</f>
        <v>0</v>
      </c>
      <c r="M605">
        <f>IF(COUNTIF($E605, _xlfn.CONCAT("*",Table13[[#Headers],[Crime]],"*")),1,0)</f>
        <v>0</v>
      </c>
      <c r="N605">
        <f>IF(COUNTIF($E605, _xlfn.CONCAT("*",Table13[[#Headers],[Documentary]],"*")),1,0)</f>
        <v>0</v>
      </c>
      <c r="O605">
        <f>IF(COUNTIF($E605, _xlfn.CONCAT("*",Table13[[#Headers],[Drama]],"*")),1,0)</f>
        <v>1</v>
      </c>
      <c r="P605">
        <f>IF(COUNTIF($E605, _xlfn.CONCAT("*",Table13[[#Headers],[Family]],"*")),1,0)</f>
        <v>0</v>
      </c>
      <c r="Q605">
        <f>IF(COUNTIF($E605, _xlfn.CONCAT("*",Table13[[#Headers],[Fantasy]],"*")),1,0)</f>
        <v>0</v>
      </c>
      <c r="R605">
        <f>IF(COUNTIF($E605, _xlfn.CONCAT("*",Table13[[#Headers],[History]],"*")),1,0)</f>
        <v>1</v>
      </c>
      <c r="S605">
        <f>IF(COUNTIF($E605, _xlfn.CONCAT("*",Table13[[#Headers],[Horror]],"*")),1,0)</f>
        <v>0</v>
      </c>
      <c r="T605">
        <f>IF(COUNTIF($E605, _xlfn.CONCAT("*",Table13[[#Headers],[Music]],"*")),1,0)</f>
        <v>1</v>
      </c>
      <c r="U605">
        <f>IF(COUNTIF($E605, _xlfn.CONCAT("*",Table13[[#Headers],[Mystery]],"*")),1,0)</f>
        <v>0</v>
      </c>
      <c r="V605">
        <f>IF(COUNTIF($E605, _xlfn.CONCAT("*",Table13[[#Headers],[Romance]],"*")),1,0)</f>
        <v>0</v>
      </c>
      <c r="W605">
        <f>IF(COUNTIF($E605, _xlfn.CONCAT("*",Table13[[#Headers],[Science Fiction]],"*")),1,0)</f>
        <v>0</v>
      </c>
      <c r="X605">
        <f>IF(COUNTIF($E605, _xlfn.CONCAT("*",Table13[[#Headers],[TV Movie]],"*")),1,0)</f>
        <v>0</v>
      </c>
      <c r="Y605">
        <f>IF(COUNTIF($E605, _xlfn.CONCAT("*",Table13[[#Headers],[Thriller]],"*")),1,0)</f>
        <v>0</v>
      </c>
      <c r="Z605">
        <f>IF(COUNTIF($E605, _xlfn.CONCAT("*",Table13[[#Headers],[War]],"*")),1,0)</f>
        <v>0</v>
      </c>
      <c r="AA605">
        <f>IF(COUNTIF($E605, _xlfn.CONCAT("*",Table13[[#Headers],[Western]],"*")),1,0)</f>
        <v>0</v>
      </c>
    </row>
    <row r="606" spans="1:27">
      <c r="A606" t="s">
        <v>473</v>
      </c>
      <c r="B606">
        <v>80</v>
      </c>
      <c r="C606">
        <f>MAX(Table13[Rank])-Table13[[#This Row],[Rank]]</f>
        <v>184</v>
      </c>
      <c r="D606" t="s">
        <v>746</v>
      </c>
      <c r="E606" t="s">
        <v>296</v>
      </c>
      <c r="F606" s="1">
        <v>19897</v>
      </c>
      <c r="G606">
        <f>YEAR(Table13[[#This Row],[Date]])</f>
        <v>1954</v>
      </c>
      <c r="H606" t="s">
        <v>473</v>
      </c>
      <c r="I606">
        <f>IF(COUNTIF($E606, _xlfn.CONCAT("*",Table13[[#Headers],[Action]],"*")),1,0)</f>
        <v>0</v>
      </c>
      <c r="J606">
        <f>IF(COUNTIF($E606, _xlfn.CONCAT("*",Table13[[#Headers],[Adventure]],"*")),1,0)</f>
        <v>0</v>
      </c>
      <c r="K606">
        <f>IF(COUNTIF($E606, _xlfn.CONCAT("*",Table13[[#Headers],[Animation]],"*")),1,0)</f>
        <v>0</v>
      </c>
      <c r="L606">
        <f>IF(COUNTIF($E606, _xlfn.CONCAT("*",Table13[[#Headers],[Comedy]],"*")),1,0)</f>
        <v>0</v>
      </c>
      <c r="M606">
        <f>IF(COUNTIF($E606, _xlfn.CONCAT("*",Table13[[#Headers],[Crime]],"*")),1,0)</f>
        <v>1</v>
      </c>
      <c r="N606">
        <f>IF(COUNTIF($E606, _xlfn.CONCAT("*",Table13[[#Headers],[Documentary]],"*")),1,0)</f>
        <v>0</v>
      </c>
      <c r="O606">
        <f>IF(COUNTIF($E606, _xlfn.CONCAT("*",Table13[[#Headers],[Drama]],"*")),1,0)</f>
        <v>1</v>
      </c>
      <c r="P606">
        <f>IF(COUNTIF($E606, _xlfn.CONCAT("*",Table13[[#Headers],[Family]],"*")),1,0)</f>
        <v>0</v>
      </c>
      <c r="Q606">
        <f>IF(COUNTIF($E606, _xlfn.CONCAT("*",Table13[[#Headers],[Fantasy]],"*")),1,0)</f>
        <v>0</v>
      </c>
      <c r="R606">
        <f>IF(COUNTIF($E606, _xlfn.CONCAT("*",Table13[[#Headers],[History]],"*")),1,0)</f>
        <v>0</v>
      </c>
      <c r="S606">
        <f>IF(COUNTIF($E606, _xlfn.CONCAT("*",Table13[[#Headers],[Horror]],"*")),1,0)</f>
        <v>0</v>
      </c>
      <c r="T606">
        <f>IF(COUNTIF($E606, _xlfn.CONCAT("*",Table13[[#Headers],[Music]],"*")),1,0)</f>
        <v>0</v>
      </c>
      <c r="U606">
        <f>IF(COUNTIF($E606, _xlfn.CONCAT("*",Table13[[#Headers],[Mystery]],"*")),1,0)</f>
        <v>0</v>
      </c>
      <c r="V606">
        <f>IF(COUNTIF($E606, _xlfn.CONCAT("*",Table13[[#Headers],[Romance]],"*")),1,0)</f>
        <v>1</v>
      </c>
      <c r="W606">
        <f>IF(COUNTIF($E606, _xlfn.CONCAT("*",Table13[[#Headers],[Science Fiction]],"*")),1,0)</f>
        <v>0</v>
      </c>
      <c r="X606">
        <f>IF(COUNTIF($E606, _xlfn.CONCAT("*",Table13[[#Headers],[TV Movie]],"*")),1,0)</f>
        <v>0</v>
      </c>
      <c r="Y606">
        <f>IF(COUNTIF($E606, _xlfn.CONCAT("*",Table13[[#Headers],[Thriller]],"*")),1,0)</f>
        <v>0</v>
      </c>
      <c r="Z606">
        <f>IF(COUNTIF($E606, _xlfn.CONCAT("*",Table13[[#Headers],[War]],"*")),1,0)</f>
        <v>0</v>
      </c>
      <c r="AA606">
        <f>IF(COUNTIF($E606, _xlfn.CONCAT("*",Table13[[#Headers],[Western]],"*")),1,0)</f>
        <v>0</v>
      </c>
    </row>
    <row r="607" spans="1:27">
      <c r="A607" t="s">
        <v>714</v>
      </c>
      <c r="B607">
        <v>79</v>
      </c>
      <c r="C607">
        <f>MAX(Table13[Rank])-Table13[[#This Row],[Rank]]</f>
        <v>185</v>
      </c>
      <c r="D607" t="s">
        <v>746</v>
      </c>
      <c r="E607" t="s">
        <v>35</v>
      </c>
      <c r="F607" s="1">
        <v>24875</v>
      </c>
      <c r="G607">
        <f>YEAR(Table13[[#This Row],[Date]])</f>
        <v>1968</v>
      </c>
      <c r="H607" t="s">
        <v>1299</v>
      </c>
      <c r="I607">
        <f>IF(COUNTIF($E607, _xlfn.CONCAT("*",Table13[[#Headers],[Action]],"*")),1,0)</f>
        <v>0</v>
      </c>
      <c r="J607">
        <f>IF(COUNTIF($E607, _xlfn.CONCAT("*",Table13[[#Headers],[Adventure]],"*")),1,0)</f>
        <v>0</v>
      </c>
      <c r="K607">
        <f>IF(COUNTIF($E607, _xlfn.CONCAT("*",Table13[[#Headers],[Animation]],"*")),1,0)</f>
        <v>0</v>
      </c>
      <c r="L607">
        <f>IF(COUNTIF($E607, _xlfn.CONCAT("*",Table13[[#Headers],[Comedy]],"*")),1,0)</f>
        <v>0</v>
      </c>
      <c r="M607">
        <f>IF(COUNTIF($E607, _xlfn.CONCAT("*",Table13[[#Headers],[Crime]],"*")),1,0)</f>
        <v>0</v>
      </c>
      <c r="N607">
        <f>IF(COUNTIF($E607, _xlfn.CONCAT("*",Table13[[#Headers],[Documentary]],"*")),1,0)</f>
        <v>0</v>
      </c>
      <c r="O607">
        <f>IF(COUNTIF($E607, _xlfn.CONCAT("*",Table13[[#Headers],[Drama]],"*")),1,0)</f>
        <v>1</v>
      </c>
      <c r="P607">
        <f>IF(COUNTIF($E607, _xlfn.CONCAT("*",Table13[[#Headers],[Family]],"*")),1,0)</f>
        <v>0</v>
      </c>
      <c r="Q607">
        <f>IF(COUNTIF($E607, _xlfn.CONCAT("*",Table13[[#Headers],[Fantasy]],"*")),1,0)</f>
        <v>0</v>
      </c>
      <c r="R607">
        <f>IF(COUNTIF($E607, _xlfn.CONCAT("*",Table13[[#Headers],[History]],"*")),1,0)</f>
        <v>0</v>
      </c>
      <c r="S607">
        <f>IF(COUNTIF($E607, _xlfn.CONCAT("*",Table13[[#Headers],[Horror]],"*")),1,0)</f>
        <v>0</v>
      </c>
      <c r="T607">
        <f>IF(COUNTIF($E607, _xlfn.CONCAT("*",Table13[[#Headers],[Music]],"*")),1,0)</f>
        <v>0</v>
      </c>
      <c r="U607">
        <f>IF(COUNTIF($E607, _xlfn.CONCAT("*",Table13[[#Headers],[Mystery]],"*")),1,0)</f>
        <v>0</v>
      </c>
      <c r="V607">
        <f>IF(COUNTIF($E607, _xlfn.CONCAT("*",Table13[[#Headers],[Romance]],"*")),1,0)</f>
        <v>1</v>
      </c>
      <c r="W607">
        <f>IF(COUNTIF($E607, _xlfn.CONCAT("*",Table13[[#Headers],[Science Fiction]],"*")),1,0)</f>
        <v>0</v>
      </c>
      <c r="X607">
        <f>IF(COUNTIF($E607, _xlfn.CONCAT("*",Table13[[#Headers],[TV Movie]],"*")),1,0)</f>
        <v>0</v>
      </c>
      <c r="Y607">
        <f>IF(COUNTIF($E607, _xlfn.CONCAT("*",Table13[[#Headers],[Thriller]],"*")),1,0)</f>
        <v>0</v>
      </c>
      <c r="Z607">
        <f>IF(COUNTIF($E607, _xlfn.CONCAT("*",Table13[[#Headers],[War]],"*")),1,0)</f>
        <v>0</v>
      </c>
      <c r="AA607">
        <f>IF(COUNTIF($E607, _xlfn.CONCAT("*",Table13[[#Headers],[Western]],"*")),1,0)</f>
        <v>0</v>
      </c>
    </row>
    <row r="608" spans="1:27">
      <c r="A608" t="s">
        <v>420</v>
      </c>
      <c r="B608">
        <v>78</v>
      </c>
      <c r="C608">
        <f>MAX(Table13[Rank])-Table13[[#This Row],[Rank]]</f>
        <v>186</v>
      </c>
      <c r="D608" t="s">
        <v>746</v>
      </c>
      <c r="E608" t="s">
        <v>21</v>
      </c>
      <c r="F608" s="1">
        <v>20920</v>
      </c>
      <c r="G608">
        <f>YEAR(Table13[[#This Row],[Date]])</f>
        <v>1957</v>
      </c>
      <c r="H608" t="s">
        <v>420</v>
      </c>
      <c r="I608">
        <f>IF(COUNTIF($E608, _xlfn.CONCAT("*",Table13[[#Headers],[Action]],"*")),1,0)</f>
        <v>0</v>
      </c>
      <c r="J608">
        <f>IF(COUNTIF($E608, _xlfn.CONCAT("*",Table13[[#Headers],[Adventure]],"*")),1,0)</f>
        <v>0</v>
      </c>
      <c r="K608">
        <f>IF(COUNTIF($E608, _xlfn.CONCAT("*",Table13[[#Headers],[Animation]],"*")),1,0)</f>
        <v>0</v>
      </c>
      <c r="L608">
        <f>IF(COUNTIF($E608, _xlfn.CONCAT("*",Table13[[#Headers],[Comedy]],"*")),1,0)</f>
        <v>0</v>
      </c>
      <c r="M608">
        <f>IF(COUNTIF($E608, _xlfn.CONCAT("*",Table13[[#Headers],[Crime]],"*")),1,0)</f>
        <v>0</v>
      </c>
      <c r="N608">
        <f>IF(COUNTIF($E608, _xlfn.CONCAT("*",Table13[[#Headers],[Documentary]],"*")),1,0)</f>
        <v>0</v>
      </c>
      <c r="O608">
        <f>IF(COUNTIF($E608, _xlfn.CONCAT("*",Table13[[#Headers],[Drama]],"*")),1,0)</f>
        <v>1</v>
      </c>
      <c r="P608">
        <f>IF(COUNTIF($E608, _xlfn.CONCAT("*",Table13[[#Headers],[Family]],"*")),1,0)</f>
        <v>0</v>
      </c>
      <c r="Q608">
        <f>IF(COUNTIF($E608, _xlfn.CONCAT("*",Table13[[#Headers],[Fantasy]],"*")),1,0)</f>
        <v>0</v>
      </c>
      <c r="R608">
        <f>IF(COUNTIF($E608, _xlfn.CONCAT("*",Table13[[#Headers],[History]],"*")),1,0)</f>
        <v>0</v>
      </c>
      <c r="S608">
        <f>IF(COUNTIF($E608, _xlfn.CONCAT("*",Table13[[#Headers],[Horror]],"*")),1,0)</f>
        <v>0</v>
      </c>
      <c r="T608">
        <f>IF(COUNTIF($E608, _xlfn.CONCAT("*",Table13[[#Headers],[Music]],"*")),1,0)</f>
        <v>0</v>
      </c>
      <c r="U608">
        <f>IF(COUNTIF($E608, _xlfn.CONCAT("*",Table13[[#Headers],[Mystery]],"*")),1,0)</f>
        <v>0</v>
      </c>
      <c r="V608">
        <f>IF(COUNTIF($E608, _xlfn.CONCAT("*",Table13[[#Headers],[Romance]],"*")),1,0)</f>
        <v>0</v>
      </c>
      <c r="W608">
        <f>IF(COUNTIF($E608, _xlfn.CONCAT("*",Table13[[#Headers],[Science Fiction]],"*")),1,0)</f>
        <v>0</v>
      </c>
      <c r="X608">
        <f>IF(COUNTIF($E608, _xlfn.CONCAT("*",Table13[[#Headers],[TV Movie]],"*")),1,0)</f>
        <v>0</v>
      </c>
      <c r="Y608">
        <f>IF(COUNTIF($E608, _xlfn.CONCAT("*",Table13[[#Headers],[Thriller]],"*")),1,0)</f>
        <v>0</v>
      </c>
      <c r="Z608">
        <f>IF(COUNTIF($E608, _xlfn.CONCAT("*",Table13[[#Headers],[War]],"*")),1,0)</f>
        <v>0</v>
      </c>
      <c r="AA608">
        <f>IF(COUNTIF($E608, _xlfn.CONCAT("*",Table13[[#Headers],[Western]],"*")),1,0)</f>
        <v>0</v>
      </c>
    </row>
    <row r="609" spans="1:27">
      <c r="A609" t="s">
        <v>758</v>
      </c>
      <c r="B609">
        <v>77</v>
      </c>
      <c r="C609">
        <f>MAX(Table13[Rank])-Table13[[#This Row],[Rank]]</f>
        <v>187</v>
      </c>
      <c r="D609" t="s">
        <v>746</v>
      </c>
      <c r="E609" t="s">
        <v>759</v>
      </c>
      <c r="F609" s="1">
        <v>42565</v>
      </c>
      <c r="G609">
        <f>YEAR(Table13[[#This Row],[Date]])</f>
        <v>2016</v>
      </c>
      <c r="H609" t="s">
        <v>758</v>
      </c>
      <c r="I609">
        <f>IF(COUNTIF($E609, _xlfn.CONCAT("*",Table13[[#Headers],[Action]],"*")),1,0)</f>
        <v>1</v>
      </c>
      <c r="J609">
        <f>IF(COUNTIF($E609, _xlfn.CONCAT("*",Table13[[#Headers],[Adventure]],"*")),1,0)</f>
        <v>0</v>
      </c>
      <c r="K609">
        <f>IF(COUNTIF($E609, _xlfn.CONCAT("*",Table13[[#Headers],[Animation]],"*")),1,0)</f>
        <v>0</v>
      </c>
      <c r="L609">
        <f>IF(COUNTIF($E609, _xlfn.CONCAT("*",Table13[[#Headers],[Comedy]],"*")),1,0)</f>
        <v>1</v>
      </c>
      <c r="M609">
        <f>IF(COUNTIF($E609, _xlfn.CONCAT("*",Table13[[#Headers],[Crime]],"*")),1,0)</f>
        <v>0</v>
      </c>
      <c r="N609">
        <f>IF(COUNTIF($E609, _xlfn.CONCAT("*",Table13[[#Headers],[Documentary]],"*")),1,0)</f>
        <v>0</v>
      </c>
      <c r="O609">
        <f>IF(COUNTIF($E609, _xlfn.CONCAT("*",Table13[[#Headers],[Drama]],"*")),1,0)</f>
        <v>0</v>
      </c>
      <c r="P609">
        <f>IF(COUNTIF($E609, _xlfn.CONCAT("*",Table13[[#Headers],[Family]],"*")),1,0)</f>
        <v>0</v>
      </c>
      <c r="Q609">
        <f>IF(COUNTIF($E609, _xlfn.CONCAT("*",Table13[[#Headers],[Fantasy]],"*")),1,0)</f>
        <v>1</v>
      </c>
      <c r="R609">
        <f>IF(COUNTIF($E609, _xlfn.CONCAT("*",Table13[[#Headers],[History]],"*")),1,0)</f>
        <v>0</v>
      </c>
      <c r="S609">
        <f>IF(COUNTIF($E609, _xlfn.CONCAT("*",Table13[[#Headers],[Horror]],"*")),1,0)</f>
        <v>0</v>
      </c>
      <c r="T609">
        <f>IF(COUNTIF($E609, _xlfn.CONCAT("*",Table13[[#Headers],[Music]],"*")),1,0)</f>
        <v>0</v>
      </c>
      <c r="U609">
        <f>IF(COUNTIF($E609, _xlfn.CONCAT("*",Table13[[#Headers],[Mystery]],"*")),1,0)</f>
        <v>0</v>
      </c>
      <c r="V609">
        <f>IF(COUNTIF($E609, _xlfn.CONCAT("*",Table13[[#Headers],[Romance]],"*")),1,0)</f>
        <v>0</v>
      </c>
      <c r="W609">
        <f>IF(COUNTIF($E609, _xlfn.CONCAT("*",Table13[[#Headers],[Science Fiction]],"*")),1,0)</f>
        <v>0</v>
      </c>
      <c r="X609">
        <f>IF(COUNTIF($E609, _xlfn.CONCAT("*",Table13[[#Headers],[TV Movie]],"*")),1,0)</f>
        <v>0</v>
      </c>
      <c r="Y609">
        <f>IF(COUNTIF($E609, _xlfn.CONCAT("*",Table13[[#Headers],[Thriller]],"*")),1,0)</f>
        <v>0</v>
      </c>
      <c r="Z609">
        <f>IF(COUNTIF($E609, _xlfn.CONCAT("*",Table13[[#Headers],[War]],"*")),1,0)</f>
        <v>0</v>
      </c>
      <c r="AA609">
        <f>IF(COUNTIF($E609, _xlfn.CONCAT("*",Table13[[#Headers],[Western]],"*")),1,0)</f>
        <v>0</v>
      </c>
    </row>
    <row r="610" spans="1:27">
      <c r="A610" t="s">
        <v>463</v>
      </c>
      <c r="B610">
        <v>76</v>
      </c>
      <c r="C610">
        <f>MAX(Table13[Rank])-Table13[[#This Row],[Rank]]</f>
        <v>188</v>
      </c>
      <c r="D610" t="s">
        <v>746</v>
      </c>
      <c r="E610" t="s">
        <v>35</v>
      </c>
      <c r="F610" s="1">
        <v>38605</v>
      </c>
      <c r="G610">
        <f>YEAR(Table13[[#This Row],[Date]])</f>
        <v>2005</v>
      </c>
      <c r="H610" t="s">
        <v>463</v>
      </c>
      <c r="I610">
        <f>IF(COUNTIF($E610, _xlfn.CONCAT("*",Table13[[#Headers],[Action]],"*")),1,0)</f>
        <v>0</v>
      </c>
      <c r="J610">
        <f>IF(COUNTIF($E610, _xlfn.CONCAT("*",Table13[[#Headers],[Adventure]],"*")),1,0)</f>
        <v>0</v>
      </c>
      <c r="K610">
        <f>IF(COUNTIF($E610, _xlfn.CONCAT("*",Table13[[#Headers],[Animation]],"*")),1,0)</f>
        <v>0</v>
      </c>
      <c r="L610">
        <f>IF(COUNTIF($E610, _xlfn.CONCAT("*",Table13[[#Headers],[Comedy]],"*")),1,0)</f>
        <v>0</v>
      </c>
      <c r="M610">
        <f>IF(COUNTIF($E610, _xlfn.CONCAT("*",Table13[[#Headers],[Crime]],"*")),1,0)</f>
        <v>0</v>
      </c>
      <c r="N610">
        <f>IF(COUNTIF($E610, _xlfn.CONCAT("*",Table13[[#Headers],[Documentary]],"*")),1,0)</f>
        <v>0</v>
      </c>
      <c r="O610">
        <f>IF(COUNTIF($E610, _xlfn.CONCAT("*",Table13[[#Headers],[Drama]],"*")),1,0)</f>
        <v>1</v>
      </c>
      <c r="P610">
        <f>IF(COUNTIF($E610, _xlfn.CONCAT("*",Table13[[#Headers],[Family]],"*")),1,0)</f>
        <v>0</v>
      </c>
      <c r="Q610">
        <f>IF(COUNTIF($E610, _xlfn.CONCAT("*",Table13[[#Headers],[Fantasy]],"*")),1,0)</f>
        <v>0</v>
      </c>
      <c r="R610">
        <f>IF(COUNTIF($E610, _xlfn.CONCAT("*",Table13[[#Headers],[History]],"*")),1,0)</f>
        <v>0</v>
      </c>
      <c r="S610">
        <f>IF(COUNTIF($E610, _xlfn.CONCAT("*",Table13[[#Headers],[Horror]],"*")),1,0)</f>
        <v>0</v>
      </c>
      <c r="T610">
        <f>IF(COUNTIF($E610, _xlfn.CONCAT("*",Table13[[#Headers],[Music]],"*")),1,0)</f>
        <v>0</v>
      </c>
      <c r="U610">
        <f>IF(COUNTIF($E610, _xlfn.CONCAT("*",Table13[[#Headers],[Mystery]],"*")),1,0)</f>
        <v>0</v>
      </c>
      <c r="V610">
        <f>IF(COUNTIF($E610, _xlfn.CONCAT("*",Table13[[#Headers],[Romance]],"*")),1,0)</f>
        <v>1</v>
      </c>
      <c r="W610">
        <f>IF(COUNTIF($E610, _xlfn.CONCAT("*",Table13[[#Headers],[Science Fiction]],"*")),1,0)</f>
        <v>0</v>
      </c>
      <c r="X610">
        <f>IF(COUNTIF($E610, _xlfn.CONCAT("*",Table13[[#Headers],[TV Movie]],"*")),1,0)</f>
        <v>0</v>
      </c>
      <c r="Y610">
        <f>IF(COUNTIF($E610, _xlfn.CONCAT("*",Table13[[#Headers],[Thriller]],"*")),1,0)</f>
        <v>0</v>
      </c>
      <c r="Z610">
        <f>IF(COUNTIF($E610, _xlfn.CONCAT("*",Table13[[#Headers],[War]],"*")),1,0)</f>
        <v>0</v>
      </c>
      <c r="AA610">
        <f>IF(COUNTIF($E610, _xlfn.CONCAT("*",Table13[[#Headers],[Western]],"*")),1,0)</f>
        <v>0</v>
      </c>
    </row>
    <row r="611" spans="1:27">
      <c r="A611" t="s">
        <v>760</v>
      </c>
      <c r="B611">
        <v>75</v>
      </c>
      <c r="C611">
        <f>MAX(Table13[Rank])-Table13[[#This Row],[Rank]]</f>
        <v>189</v>
      </c>
      <c r="D611" t="s">
        <v>746</v>
      </c>
      <c r="E611" t="s">
        <v>186</v>
      </c>
      <c r="F611" s="1">
        <v>21104</v>
      </c>
      <c r="G611">
        <f>YEAR(Table13[[#This Row],[Date]])</f>
        <v>1957</v>
      </c>
      <c r="H611" t="s">
        <v>760</v>
      </c>
      <c r="I611">
        <f>IF(COUNTIF($E611, _xlfn.CONCAT("*",Table13[[#Headers],[Action]],"*")),1,0)</f>
        <v>0</v>
      </c>
      <c r="J611">
        <f>IF(COUNTIF($E611, _xlfn.CONCAT("*",Table13[[#Headers],[Adventure]],"*")),1,0)</f>
        <v>0</v>
      </c>
      <c r="K611">
        <f>IF(COUNTIF($E611, _xlfn.CONCAT("*",Table13[[#Headers],[Animation]],"*")),1,0)</f>
        <v>0</v>
      </c>
      <c r="L611">
        <f>IF(COUNTIF($E611, _xlfn.CONCAT("*",Table13[[#Headers],[Comedy]],"*")),1,0)</f>
        <v>0</v>
      </c>
      <c r="M611">
        <f>IF(COUNTIF($E611, _xlfn.CONCAT("*",Table13[[#Headers],[Crime]],"*")),1,0)</f>
        <v>0</v>
      </c>
      <c r="N611">
        <f>IF(COUNTIF($E611, _xlfn.CONCAT("*",Table13[[#Headers],[Documentary]],"*")),1,0)</f>
        <v>0</v>
      </c>
      <c r="O611">
        <f>IF(COUNTIF($E611, _xlfn.CONCAT("*",Table13[[#Headers],[Drama]],"*")),1,0)</f>
        <v>1</v>
      </c>
      <c r="P611">
        <f>IF(COUNTIF($E611, _xlfn.CONCAT("*",Table13[[#Headers],[Family]],"*")),1,0)</f>
        <v>0</v>
      </c>
      <c r="Q611">
        <f>IF(COUNTIF($E611, _xlfn.CONCAT("*",Table13[[#Headers],[Fantasy]],"*")),1,0)</f>
        <v>0</v>
      </c>
      <c r="R611">
        <f>IF(COUNTIF($E611, _xlfn.CONCAT("*",Table13[[#Headers],[History]],"*")),1,0)</f>
        <v>1</v>
      </c>
      <c r="S611">
        <f>IF(COUNTIF($E611, _xlfn.CONCAT("*",Table13[[#Headers],[Horror]],"*")),1,0)</f>
        <v>0</v>
      </c>
      <c r="T611">
        <f>IF(COUNTIF($E611, _xlfn.CONCAT("*",Table13[[#Headers],[Music]],"*")),1,0)</f>
        <v>0</v>
      </c>
      <c r="U611">
        <f>IF(COUNTIF($E611, _xlfn.CONCAT("*",Table13[[#Headers],[Mystery]],"*")),1,0)</f>
        <v>0</v>
      </c>
      <c r="V611">
        <f>IF(COUNTIF($E611, _xlfn.CONCAT("*",Table13[[#Headers],[Romance]],"*")),1,0)</f>
        <v>0</v>
      </c>
      <c r="W611">
        <f>IF(COUNTIF($E611, _xlfn.CONCAT("*",Table13[[#Headers],[Science Fiction]],"*")),1,0)</f>
        <v>0</v>
      </c>
      <c r="X611">
        <f>IF(COUNTIF($E611, _xlfn.CONCAT("*",Table13[[#Headers],[TV Movie]],"*")),1,0)</f>
        <v>0</v>
      </c>
      <c r="Y611">
        <f>IF(COUNTIF($E611, _xlfn.CONCAT("*",Table13[[#Headers],[Thriller]],"*")),1,0)</f>
        <v>0</v>
      </c>
      <c r="Z611">
        <f>IF(COUNTIF($E611, _xlfn.CONCAT("*",Table13[[#Headers],[War]],"*")),1,0)</f>
        <v>1</v>
      </c>
      <c r="AA611">
        <f>IF(COUNTIF($E611, _xlfn.CONCAT("*",Table13[[#Headers],[Western]],"*")),1,0)</f>
        <v>0</v>
      </c>
    </row>
    <row r="612" spans="1:27">
      <c r="A612" t="s">
        <v>761</v>
      </c>
      <c r="B612">
        <v>74</v>
      </c>
      <c r="C612">
        <f>MAX(Table13[Rank])-Table13[[#This Row],[Rank]]</f>
        <v>190</v>
      </c>
      <c r="D612" t="s">
        <v>746</v>
      </c>
      <c r="E612" t="s">
        <v>762</v>
      </c>
      <c r="F612" s="1">
        <v>27067</v>
      </c>
      <c r="G612">
        <f>YEAR(Table13[[#This Row],[Date]])</f>
        <v>1974</v>
      </c>
      <c r="H612" t="s">
        <v>761</v>
      </c>
      <c r="I612">
        <f>IF(COUNTIF($E612, _xlfn.CONCAT("*",Table13[[#Headers],[Action]],"*")),1,0)</f>
        <v>0</v>
      </c>
      <c r="J612">
        <f>IF(COUNTIF($E612, _xlfn.CONCAT("*",Table13[[#Headers],[Adventure]],"*")),1,0)</f>
        <v>0</v>
      </c>
      <c r="K612">
        <f>IF(COUNTIF($E612, _xlfn.CONCAT("*",Table13[[#Headers],[Animation]],"*")),1,0)</f>
        <v>0</v>
      </c>
      <c r="L612">
        <f>IF(COUNTIF($E612, _xlfn.CONCAT("*",Table13[[#Headers],[Comedy]],"*")),1,0)</f>
        <v>1</v>
      </c>
      <c r="M612">
        <f>IF(COUNTIF($E612, _xlfn.CONCAT("*",Table13[[#Headers],[Crime]],"*")),1,0)</f>
        <v>0</v>
      </c>
      <c r="N612">
        <f>IF(COUNTIF($E612, _xlfn.CONCAT("*",Table13[[#Headers],[Documentary]],"*")),1,0)</f>
        <v>0</v>
      </c>
      <c r="O612">
        <f>IF(COUNTIF($E612, _xlfn.CONCAT("*",Table13[[#Headers],[Drama]],"*")),1,0)</f>
        <v>0</v>
      </c>
      <c r="P612">
        <f>IF(COUNTIF($E612, _xlfn.CONCAT("*",Table13[[#Headers],[Family]],"*")),1,0)</f>
        <v>0</v>
      </c>
      <c r="Q612">
        <f>IF(COUNTIF($E612, _xlfn.CONCAT("*",Table13[[#Headers],[Fantasy]],"*")),1,0)</f>
        <v>0</v>
      </c>
      <c r="R612">
        <f>IF(COUNTIF($E612, _xlfn.CONCAT("*",Table13[[#Headers],[History]],"*")),1,0)</f>
        <v>0</v>
      </c>
      <c r="S612">
        <f>IF(COUNTIF($E612, _xlfn.CONCAT("*",Table13[[#Headers],[Horror]],"*")),1,0)</f>
        <v>0</v>
      </c>
      <c r="T612">
        <f>IF(COUNTIF($E612, _xlfn.CONCAT("*",Table13[[#Headers],[Music]],"*")),1,0)</f>
        <v>0</v>
      </c>
      <c r="U612">
        <f>IF(COUNTIF($E612, _xlfn.CONCAT("*",Table13[[#Headers],[Mystery]],"*")),1,0)</f>
        <v>0</v>
      </c>
      <c r="V612">
        <f>IF(COUNTIF($E612, _xlfn.CONCAT("*",Table13[[#Headers],[Romance]],"*")),1,0)</f>
        <v>0</v>
      </c>
      <c r="W612">
        <f>IF(COUNTIF($E612, _xlfn.CONCAT("*",Table13[[#Headers],[Science Fiction]],"*")),1,0)</f>
        <v>0</v>
      </c>
      <c r="X612">
        <f>IF(COUNTIF($E612, _xlfn.CONCAT("*",Table13[[#Headers],[TV Movie]],"*")),1,0)</f>
        <v>0</v>
      </c>
      <c r="Y612">
        <f>IF(COUNTIF($E612, _xlfn.CONCAT("*",Table13[[#Headers],[Thriller]],"*")),1,0)</f>
        <v>0</v>
      </c>
      <c r="Z612">
        <f>IF(COUNTIF($E612, _xlfn.CONCAT("*",Table13[[#Headers],[War]],"*")),1,0)</f>
        <v>0</v>
      </c>
      <c r="AA612">
        <f>IF(COUNTIF($E612, _xlfn.CONCAT("*",Table13[[#Headers],[Western]],"*")),1,0)</f>
        <v>1</v>
      </c>
    </row>
    <row r="613" spans="1:27">
      <c r="A613" t="s">
        <v>763</v>
      </c>
      <c r="B613">
        <v>73</v>
      </c>
      <c r="C613">
        <f>MAX(Table13[Rank])-Table13[[#This Row],[Rank]]</f>
        <v>191</v>
      </c>
      <c r="D613" t="s">
        <v>746</v>
      </c>
      <c r="E613" t="s">
        <v>764</v>
      </c>
      <c r="F613" s="1">
        <v>27859</v>
      </c>
      <c r="G613">
        <f>YEAR(Table13[[#This Row],[Date]])</f>
        <v>1976</v>
      </c>
      <c r="H613" t="s">
        <v>763</v>
      </c>
      <c r="I613">
        <f>IF(COUNTIF($E613, _xlfn.CONCAT("*",Table13[[#Headers],[Action]],"*")),1,0)</f>
        <v>0</v>
      </c>
      <c r="J613">
        <f>IF(COUNTIF($E613, _xlfn.CONCAT("*",Table13[[#Headers],[Adventure]],"*")),1,0)</f>
        <v>0</v>
      </c>
      <c r="K613">
        <f>IF(COUNTIF($E613, _xlfn.CONCAT("*",Table13[[#Headers],[Animation]],"*")),1,0)</f>
        <v>0</v>
      </c>
      <c r="L613">
        <f>IF(COUNTIF($E613, _xlfn.CONCAT("*",Table13[[#Headers],[Comedy]],"*")),1,0)</f>
        <v>0</v>
      </c>
      <c r="M613">
        <f>IF(COUNTIF($E613, _xlfn.CONCAT("*",Table13[[#Headers],[Crime]],"*")),1,0)</f>
        <v>0</v>
      </c>
      <c r="N613">
        <f>IF(COUNTIF($E613, _xlfn.CONCAT("*",Table13[[#Headers],[Documentary]],"*")),1,0)</f>
        <v>0</v>
      </c>
      <c r="O613">
        <f>IF(COUNTIF($E613, _xlfn.CONCAT("*",Table13[[#Headers],[Drama]],"*")),1,0)</f>
        <v>1</v>
      </c>
      <c r="P613">
        <f>IF(COUNTIF($E613, _xlfn.CONCAT("*",Table13[[#Headers],[Family]],"*")),1,0)</f>
        <v>0</v>
      </c>
      <c r="Q613">
        <f>IF(COUNTIF($E613, _xlfn.CONCAT("*",Table13[[#Headers],[Fantasy]],"*")),1,0)</f>
        <v>0</v>
      </c>
      <c r="R613">
        <f>IF(COUNTIF($E613, _xlfn.CONCAT("*",Table13[[#Headers],[History]],"*")),1,0)</f>
        <v>1</v>
      </c>
      <c r="S613">
        <f>IF(COUNTIF($E613, _xlfn.CONCAT("*",Table13[[#Headers],[Horror]],"*")),1,0)</f>
        <v>0</v>
      </c>
      <c r="T613">
        <f>IF(COUNTIF($E613, _xlfn.CONCAT("*",Table13[[#Headers],[Music]],"*")),1,0)</f>
        <v>0</v>
      </c>
      <c r="U613">
        <f>IF(COUNTIF($E613, _xlfn.CONCAT("*",Table13[[#Headers],[Mystery]],"*")),1,0)</f>
        <v>1</v>
      </c>
      <c r="V613">
        <f>IF(COUNTIF($E613, _xlfn.CONCAT("*",Table13[[#Headers],[Romance]],"*")),1,0)</f>
        <v>0</v>
      </c>
      <c r="W613">
        <f>IF(COUNTIF($E613, _xlfn.CONCAT("*",Table13[[#Headers],[Science Fiction]],"*")),1,0)</f>
        <v>0</v>
      </c>
      <c r="X613">
        <f>IF(COUNTIF($E613, _xlfn.CONCAT("*",Table13[[#Headers],[TV Movie]],"*")),1,0)</f>
        <v>0</v>
      </c>
      <c r="Y613">
        <f>IF(COUNTIF($E613, _xlfn.CONCAT("*",Table13[[#Headers],[Thriller]],"*")),1,0)</f>
        <v>1</v>
      </c>
      <c r="Z613">
        <f>IF(COUNTIF($E613, _xlfn.CONCAT("*",Table13[[#Headers],[War]],"*")),1,0)</f>
        <v>0</v>
      </c>
      <c r="AA613">
        <f>IF(COUNTIF($E613, _xlfn.CONCAT("*",Table13[[#Headers],[Western]],"*")),1,0)</f>
        <v>0</v>
      </c>
    </row>
    <row r="614" spans="1:27">
      <c r="A614" t="s">
        <v>765</v>
      </c>
      <c r="B614">
        <v>72</v>
      </c>
      <c r="C614">
        <f>MAX(Table13[Rank])-Table13[[#This Row],[Rank]]</f>
        <v>192</v>
      </c>
      <c r="D614" t="s">
        <v>746</v>
      </c>
      <c r="E614" t="s">
        <v>44</v>
      </c>
      <c r="F614" s="1">
        <v>27378</v>
      </c>
      <c r="G614">
        <f>YEAR(Table13[[#This Row],[Date]])</f>
        <v>1974</v>
      </c>
      <c r="H614" t="s">
        <v>765</v>
      </c>
      <c r="I614">
        <f>IF(COUNTIF($E614, _xlfn.CONCAT("*",Table13[[#Headers],[Action]],"*")),1,0)</f>
        <v>0</v>
      </c>
      <c r="J614">
        <f>IF(COUNTIF($E614, _xlfn.CONCAT("*",Table13[[#Headers],[Adventure]],"*")),1,0)</f>
        <v>0</v>
      </c>
      <c r="K614">
        <f>IF(COUNTIF($E614, _xlfn.CONCAT("*",Table13[[#Headers],[Animation]],"*")),1,0)</f>
        <v>0</v>
      </c>
      <c r="L614">
        <f>IF(COUNTIF($E614, _xlfn.CONCAT("*",Table13[[#Headers],[Comedy]],"*")),1,0)</f>
        <v>1</v>
      </c>
      <c r="M614">
        <f>IF(COUNTIF($E614, _xlfn.CONCAT("*",Table13[[#Headers],[Crime]],"*")),1,0)</f>
        <v>0</v>
      </c>
      <c r="N614">
        <f>IF(COUNTIF($E614, _xlfn.CONCAT("*",Table13[[#Headers],[Documentary]],"*")),1,0)</f>
        <v>0</v>
      </c>
      <c r="O614">
        <f>IF(COUNTIF($E614, _xlfn.CONCAT("*",Table13[[#Headers],[Drama]],"*")),1,0)</f>
        <v>0</v>
      </c>
      <c r="P614">
        <f>IF(COUNTIF($E614, _xlfn.CONCAT("*",Table13[[#Headers],[Family]],"*")),1,0)</f>
        <v>0</v>
      </c>
      <c r="Q614">
        <f>IF(COUNTIF($E614, _xlfn.CONCAT("*",Table13[[#Headers],[Fantasy]],"*")),1,0)</f>
        <v>0</v>
      </c>
      <c r="R614">
        <f>IF(COUNTIF($E614, _xlfn.CONCAT("*",Table13[[#Headers],[History]],"*")),1,0)</f>
        <v>0</v>
      </c>
      <c r="S614">
        <f>IF(COUNTIF($E614, _xlfn.CONCAT("*",Table13[[#Headers],[Horror]],"*")),1,0)</f>
        <v>0</v>
      </c>
      <c r="T614">
        <f>IF(COUNTIF($E614, _xlfn.CONCAT("*",Table13[[#Headers],[Music]],"*")),1,0)</f>
        <v>0</v>
      </c>
      <c r="U614">
        <f>IF(COUNTIF($E614, _xlfn.CONCAT("*",Table13[[#Headers],[Mystery]],"*")),1,0)</f>
        <v>0</v>
      </c>
      <c r="V614">
        <f>IF(COUNTIF($E614, _xlfn.CONCAT("*",Table13[[#Headers],[Romance]],"*")),1,0)</f>
        <v>0</v>
      </c>
      <c r="W614">
        <f>IF(COUNTIF($E614, _xlfn.CONCAT("*",Table13[[#Headers],[Science Fiction]],"*")),1,0)</f>
        <v>0</v>
      </c>
      <c r="X614">
        <f>IF(COUNTIF($E614, _xlfn.CONCAT("*",Table13[[#Headers],[TV Movie]],"*")),1,0)</f>
        <v>0</v>
      </c>
      <c r="Y614">
        <f>IF(COUNTIF($E614, _xlfn.CONCAT("*",Table13[[#Headers],[Thriller]],"*")),1,0)</f>
        <v>0</v>
      </c>
      <c r="Z614">
        <f>IF(COUNTIF($E614, _xlfn.CONCAT("*",Table13[[#Headers],[War]],"*")),1,0)</f>
        <v>0</v>
      </c>
      <c r="AA614">
        <f>IF(COUNTIF($E614, _xlfn.CONCAT("*",Table13[[#Headers],[Western]],"*")),1,0)</f>
        <v>0</v>
      </c>
    </row>
    <row r="615" spans="1:27">
      <c r="A615" t="s">
        <v>766</v>
      </c>
      <c r="B615">
        <v>71</v>
      </c>
      <c r="C615">
        <f>MAX(Table13[Rank])-Table13[[#This Row],[Rank]]</f>
        <v>193</v>
      </c>
      <c r="D615" t="s">
        <v>746</v>
      </c>
      <c r="E615" t="s">
        <v>32</v>
      </c>
      <c r="F615" s="1">
        <v>36784</v>
      </c>
      <c r="G615">
        <f>YEAR(Table13[[#This Row],[Date]])</f>
        <v>2000</v>
      </c>
      <c r="H615" t="s">
        <v>766</v>
      </c>
      <c r="I615">
        <f>IF(COUNTIF($E615, _xlfn.CONCAT("*",Table13[[#Headers],[Action]],"*")),1,0)</f>
        <v>0</v>
      </c>
      <c r="J615">
        <f>IF(COUNTIF($E615, _xlfn.CONCAT("*",Table13[[#Headers],[Adventure]],"*")),1,0)</f>
        <v>0</v>
      </c>
      <c r="K615">
        <f>IF(COUNTIF($E615, _xlfn.CONCAT("*",Table13[[#Headers],[Animation]],"*")),1,0)</f>
        <v>0</v>
      </c>
      <c r="L615">
        <f>IF(COUNTIF($E615, _xlfn.CONCAT("*",Table13[[#Headers],[Comedy]],"*")),1,0)</f>
        <v>0</v>
      </c>
      <c r="M615">
        <f>IF(COUNTIF($E615, _xlfn.CONCAT("*",Table13[[#Headers],[Crime]],"*")),1,0)</f>
        <v>0</v>
      </c>
      <c r="N615">
        <f>IF(COUNTIF($E615, _xlfn.CONCAT("*",Table13[[#Headers],[Documentary]],"*")),1,0)</f>
        <v>0</v>
      </c>
      <c r="O615">
        <f>IF(COUNTIF($E615, _xlfn.CONCAT("*",Table13[[#Headers],[Drama]],"*")),1,0)</f>
        <v>1</v>
      </c>
      <c r="P615">
        <f>IF(COUNTIF($E615, _xlfn.CONCAT("*",Table13[[#Headers],[Family]],"*")),1,0)</f>
        <v>0</v>
      </c>
      <c r="Q615">
        <f>IF(COUNTIF($E615, _xlfn.CONCAT("*",Table13[[#Headers],[Fantasy]],"*")),1,0)</f>
        <v>0</v>
      </c>
      <c r="R615">
        <f>IF(COUNTIF($E615, _xlfn.CONCAT("*",Table13[[#Headers],[History]],"*")),1,0)</f>
        <v>0</v>
      </c>
      <c r="S615">
        <f>IF(COUNTIF($E615, _xlfn.CONCAT("*",Table13[[#Headers],[Horror]],"*")),1,0)</f>
        <v>0</v>
      </c>
      <c r="T615">
        <f>IF(COUNTIF($E615, _xlfn.CONCAT("*",Table13[[#Headers],[Music]],"*")),1,0)</f>
        <v>1</v>
      </c>
      <c r="U615">
        <f>IF(COUNTIF($E615, _xlfn.CONCAT("*",Table13[[#Headers],[Mystery]],"*")),1,0)</f>
        <v>0</v>
      </c>
      <c r="V615">
        <f>IF(COUNTIF($E615, _xlfn.CONCAT("*",Table13[[#Headers],[Romance]],"*")),1,0)</f>
        <v>0</v>
      </c>
      <c r="W615">
        <f>IF(COUNTIF($E615, _xlfn.CONCAT("*",Table13[[#Headers],[Science Fiction]],"*")),1,0)</f>
        <v>0</v>
      </c>
      <c r="X615">
        <f>IF(COUNTIF($E615, _xlfn.CONCAT("*",Table13[[#Headers],[TV Movie]],"*")),1,0)</f>
        <v>0</v>
      </c>
      <c r="Y615">
        <f>IF(COUNTIF($E615, _xlfn.CONCAT("*",Table13[[#Headers],[Thriller]],"*")),1,0)</f>
        <v>0</v>
      </c>
      <c r="Z615">
        <f>IF(COUNTIF($E615, _xlfn.CONCAT("*",Table13[[#Headers],[War]],"*")),1,0)</f>
        <v>0</v>
      </c>
      <c r="AA615">
        <f>IF(COUNTIF($E615, _xlfn.CONCAT("*",Table13[[#Headers],[Western]],"*")),1,0)</f>
        <v>0</v>
      </c>
    </row>
    <row r="616" spans="1:27">
      <c r="A616" t="s">
        <v>396</v>
      </c>
      <c r="B616">
        <v>70</v>
      </c>
      <c r="C616">
        <f>MAX(Table13[Rank])-Table13[[#This Row],[Rank]]</f>
        <v>194</v>
      </c>
      <c r="D616" t="s">
        <v>746</v>
      </c>
      <c r="E616" t="s">
        <v>397</v>
      </c>
      <c r="F616" s="1">
        <v>21333</v>
      </c>
      <c r="G616">
        <f>YEAR(Table13[[#This Row],[Date]])</f>
        <v>1958</v>
      </c>
      <c r="H616" t="s">
        <v>396</v>
      </c>
      <c r="I616">
        <f>IF(COUNTIF($E616, _xlfn.CONCAT("*",Table13[[#Headers],[Action]],"*")),1,0)</f>
        <v>0</v>
      </c>
      <c r="J616">
        <f>IF(COUNTIF($E616, _xlfn.CONCAT("*",Table13[[#Headers],[Adventure]],"*")),1,0)</f>
        <v>0</v>
      </c>
      <c r="K616">
        <f>IF(COUNTIF($E616, _xlfn.CONCAT("*",Table13[[#Headers],[Animation]],"*")),1,0)</f>
        <v>0</v>
      </c>
      <c r="L616">
        <f>IF(COUNTIF($E616, _xlfn.CONCAT("*",Table13[[#Headers],[Comedy]],"*")),1,0)</f>
        <v>0</v>
      </c>
      <c r="M616">
        <f>IF(COUNTIF($E616, _xlfn.CONCAT("*",Table13[[#Headers],[Crime]],"*")),1,0)</f>
        <v>0</v>
      </c>
      <c r="N616">
        <f>IF(COUNTIF($E616, _xlfn.CONCAT("*",Table13[[#Headers],[Documentary]],"*")),1,0)</f>
        <v>0</v>
      </c>
      <c r="O616">
        <f>IF(COUNTIF($E616, _xlfn.CONCAT("*",Table13[[#Headers],[Drama]],"*")),1,0)</f>
        <v>0</v>
      </c>
      <c r="P616">
        <f>IF(COUNTIF($E616, _xlfn.CONCAT("*",Table13[[#Headers],[Family]],"*")),1,0)</f>
        <v>0</v>
      </c>
      <c r="Q616">
        <f>IF(COUNTIF($E616, _xlfn.CONCAT("*",Table13[[#Headers],[Fantasy]],"*")),1,0)</f>
        <v>0</v>
      </c>
      <c r="R616">
        <f>IF(COUNTIF($E616, _xlfn.CONCAT("*",Table13[[#Headers],[History]],"*")),1,0)</f>
        <v>0</v>
      </c>
      <c r="S616">
        <f>IF(COUNTIF($E616, _xlfn.CONCAT("*",Table13[[#Headers],[Horror]],"*")),1,0)</f>
        <v>0</v>
      </c>
      <c r="T616">
        <f>IF(COUNTIF($E616, _xlfn.CONCAT("*",Table13[[#Headers],[Music]],"*")),1,0)</f>
        <v>0</v>
      </c>
      <c r="U616">
        <f>IF(COUNTIF($E616, _xlfn.CONCAT("*",Table13[[#Headers],[Mystery]],"*")),1,0)</f>
        <v>1</v>
      </c>
      <c r="V616">
        <f>IF(COUNTIF($E616, _xlfn.CONCAT("*",Table13[[#Headers],[Romance]],"*")),1,0)</f>
        <v>1</v>
      </c>
      <c r="W616">
        <f>IF(COUNTIF($E616, _xlfn.CONCAT("*",Table13[[#Headers],[Science Fiction]],"*")),1,0)</f>
        <v>0</v>
      </c>
      <c r="X616">
        <f>IF(COUNTIF($E616, _xlfn.CONCAT("*",Table13[[#Headers],[TV Movie]],"*")),1,0)</f>
        <v>0</v>
      </c>
      <c r="Y616">
        <f>IF(COUNTIF($E616, _xlfn.CONCAT("*",Table13[[#Headers],[Thriller]],"*")),1,0)</f>
        <v>1</v>
      </c>
      <c r="Z616">
        <f>IF(COUNTIF($E616, _xlfn.CONCAT("*",Table13[[#Headers],[War]],"*")),1,0)</f>
        <v>0</v>
      </c>
      <c r="AA616">
        <f>IF(COUNTIF($E616, _xlfn.CONCAT("*",Table13[[#Headers],[Western]],"*")),1,0)</f>
        <v>0</v>
      </c>
    </row>
    <row r="617" spans="1:27">
      <c r="A617" t="s">
        <v>681</v>
      </c>
      <c r="B617">
        <v>69</v>
      </c>
      <c r="C617">
        <f>MAX(Table13[Rank])-Table13[[#This Row],[Rank]]</f>
        <v>195</v>
      </c>
      <c r="D617" t="s">
        <v>746</v>
      </c>
      <c r="E617" t="s">
        <v>682</v>
      </c>
      <c r="F617" s="1">
        <v>36650</v>
      </c>
      <c r="G617">
        <f>YEAR(Table13[[#This Row],[Date]])</f>
        <v>2000</v>
      </c>
      <c r="H617" t="s">
        <v>681</v>
      </c>
      <c r="I617">
        <f>IF(COUNTIF($E617, _xlfn.CONCAT("*",Table13[[#Headers],[Action]],"*")),1,0)</f>
        <v>1</v>
      </c>
      <c r="J617">
        <f>IF(COUNTIF($E617, _xlfn.CONCAT("*",Table13[[#Headers],[Adventure]],"*")),1,0)</f>
        <v>1</v>
      </c>
      <c r="K617">
        <f>IF(COUNTIF($E617, _xlfn.CONCAT("*",Table13[[#Headers],[Animation]],"*")),1,0)</f>
        <v>0</v>
      </c>
      <c r="L617">
        <f>IF(COUNTIF($E617, _xlfn.CONCAT("*",Table13[[#Headers],[Comedy]],"*")),1,0)</f>
        <v>0</v>
      </c>
      <c r="M617">
        <f>IF(COUNTIF($E617, _xlfn.CONCAT("*",Table13[[#Headers],[Crime]],"*")),1,0)</f>
        <v>0</v>
      </c>
      <c r="N617">
        <f>IF(COUNTIF($E617, _xlfn.CONCAT("*",Table13[[#Headers],[Documentary]],"*")),1,0)</f>
        <v>0</v>
      </c>
      <c r="O617">
        <f>IF(COUNTIF($E617, _xlfn.CONCAT("*",Table13[[#Headers],[Drama]],"*")),1,0)</f>
        <v>1</v>
      </c>
      <c r="P617">
        <f>IF(COUNTIF($E617, _xlfn.CONCAT("*",Table13[[#Headers],[Family]],"*")),1,0)</f>
        <v>0</v>
      </c>
      <c r="Q617">
        <f>IF(COUNTIF($E617, _xlfn.CONCAT("*",Table13[[#Headers],[Fantasy]],"*")),1,0)</f>
        <v>0</v>
      </c>
      <c r="R617">
        <f>IF(COUNTIF($E617, _xlfn.CONCAT("*",Table13[[#Headers],[History]],"*")),1,0)</f>
        <v>0</v>
      </c>
      <c r="S617">
        <f>IF(COUNTIF($E617, _xlfn.CONCAT("*",Table13[[#Headers],[Horror]],"*")),1,0)</f>
        <v>0</v>
      </c>
      <c r="T617">
        <f>IF(COUNTIF($E617, _xlfn.CONCAT("*",Table13[[#Headers],[Music]],"*")),1,0)</f>
        <v>0</v>
      </c>
      <c r="U617">
        <f>IF(COUNTIF($E617, _xlfn.CONCAT("*",Table13[[#Headers],[Mystery]],"*")),1,0)</f>
        <v>0</v>
      </c>
      <c r="V617">
        <f>IF(COUNTIF($E617, _xlfn.CONCAT("*",Table13[[#Headers],[Romance]],"*")),1,0)</f>
        <v>0</v>
      </c>
      <c r="W617">
        <f>IF(COUNTIF($E617, _xlfn.CONCAT("*",Table13[[#Headers],[Science Fiction]],"*")),1,0)</f>
        <v>0</v>
      </c>
      <c r="X617">
        <f>IF(COUNTIF($E617, _xlfn.CONCAT("*",Table13[[#Headers],[TV Movie]],"*")),1,0)</f>
        <v>0</v>
      </c>
      <c r="Y617">
        <f>IF(COUNTIF($E617, _xlfn.CONCAT("*",Table13[[#Headers],[Thriller]],"*")),1,0)</f>
        <v>0</v>
      </c>
      <c r="Z617">
        <f>IF(COUNTIF($E617, _xlfn.CONCAT("*",Table13[[#Headers],[War]],"*")),1,0)</f>
        <v>0</v>
      </c>
      <c r="AA617">
        <f>IF(COUNTIF($E617, _xlfn.CONCAT("*",Table13[[#Headers],[Western]],"*")),1,0)</f>
        <v>0</v>
      </c>
    </row>
    <row r="618" spans="1:27">
      <c r="A618" t="s">
        <v>767</v>
      </c>
      <c r="B618">
        <v>68</v>
      </c>
      <c r="C618">
        <f>MAX(Table13[Rank])-Table13[[#This Row],[Rank]]</f>
        <v>196</v>
      </c>
      <c r="D618" t="s">
        <v>746</v>
      </c>
      <c r="E618" t="s">
        <v>733</v>
      </c>
      <c r="F618" s="1">
        <v>27539</v>
      </c>
      <c r="G618">
        <f>YEAR(Table13[[#This Row],[Date]])</f>
        <v>1975</v>
      </c>
      <c r="H618" t="s">
        <v>732</v>
      </c>
      <c r="I618">
        <f>IF(COUNTIF($E618, _xlfn.CONCAT("*",Table13[[#Headers],[Action]],"*")),1,0)</f>
        <v>0</v>
      </c>
      <c r="J618">
        <f>IF(COUNTIF($E618, _xlfn.CONCAT("*",Table13[[#Headers],[Adventure]],"*")),1,0)</f>
        <v>1</v>
      </c>
      <c r="K618">
        <f>IF(COUNTIF($E618, _xlfn.CONCAT("*",Table13[[#Headers],[Animation]],"*")),1,0)</f>
        <v>0</v>
      </c>
      <c r="L618">
        <f>IF(COUNTIF($E618, _xlfn.CONCAT("*",Table13[[#Headers],[Comedy]],"*")),1,0)</f>
        <v>1</v>
      </c>
      <c r="M618">
        <f>IF(COUNTIF($E618, _xlfn.CONCAT("*",Table13[[#Headers],[Crime]],"*")),1,0)</f>
        <v>0</v>
      </c>
      <c r="N618">
        <f>IF(COUNTIF($E618, _xlfn.CONCAT("*",Table13[[#Headers],[Documentary]],"*")),1,0)</f>
        <v>0</v>
      </c>
      <c r="O618">
        <f>IF(COUNTIF($E618, _xlfn.CONCAT("*",Table13[[#Headers],[Drama]],"*")),1,0)</f>
        <v>0</v>
      </c>
      <c r="P618">
        <f>IF(COUNTIF($E618, _xlfn.CONCAT("*",Table13[[#Headers],[Family]],"*")),1,0)</f>
        <v>0</v>
      </c>
      <c r="Q618">
        <f>IF(COUNTIF($E618, _xlfn.CONCAT("*",Table13[[#Headers],[Fantasy]],"*")),1,0)</f>
        <v>1</v>
      </c>
      <c r="R618">
        <f>IF(COUNTIF($E618, _xlfn.CONCAT("*",Table13[[#Headers],[History]],"*")),1,0)</f>
        <v>0</v>
      </c>
      <c r="S618">
        <f>IF(COUNTIF($E618, _xlfn.CONCAT("*",Table13[[#Headers],[Horror]],"*")),1,0)</f>
        <v>0</v>
      </c>
      <c r="T618">
        <f>IF(COUNTIF($E618, _xlfn.CONCAT("*",Table13[[#Headers],[Music]],"*")),1,0)</f>
        <v>0</v>
      </c>
      <c r="U618">
        <f>IF(COUNTIF($E618, _xlfn.CONCAT("*",Table13[[#Headers],[Mystery]],"*")),1,0)</f>
        <v>0</v>
      </c>
      <c r="V618">
        <f>IF(COUNTIF($E618, _xlfn.CONCAT("*",Table13[[#Headers],[Romance]],"*")),1,0)</f>
        <v>0</v>
      </c>
      <c r="W618">
        <f>IF(COUNTIF($E618, _xlfn.CONCAT("*",Table13[[#Headers],[Science Fiction]],"*")),1,0)</f>
        <v>0</v>
      </c>
      <c r="X618">
        <f>IF(COUNTIF($E618, _xlfn.CONCAT("*",Table13[[#Headers],[TV Movie]],"*")),1,0)</f>
        <v>0</v>
      </c>
      <c r="Y618">
        <f>IF(COUNTIF($E618, _xlfn.CONCAT("*",Table13[[#Headers],[Thriller]],"*")),1,0)</f>
        <v>0</v>
      </c>
      <c r="Z618">
        <f>IF(COUNTIF($E618, _xlfn.CONCAT("*",Table13[[#Headers],[War]],"*")),1,0)</f>
        <v>0</v>
      </c>
      <c r="AA618">
        <f>IF(COUNTIF($E618, _xlfn.CONCAT("*",Table13[[#Headers],[Western]],"*")),1,0)</f>
        <v>0</v>
      </c>
    </row>
    <row r="619" spans="1:27">
      <c r="A619" t="s">
        <v>725</v>
      </c>
      <c r="B619">
        <v>67</v>
      </c>
      <c r="C619">
        <f>MAX(Table13[Rank])-Table13[[#This Row],[Rank]]</f>
        <v>197</v>
      </c>
      <c r="D619" t="s">
        <v>746</v>
      </c>
      <c r="E619" t="s">
        <v>726</v>
      </c>
      <c r="F619" s="1">
        <v>40162</v>
      </c>
      <c r="G619">
        <f>YEAR(Table13[[#This Row],[Date]])</f>
        <v>2009</v>
      </c>
      <c r="H619" t="s">
        <v>725</v>
      </c>
      <c r="I619">
        <f>IF(COUNTIF($E619, _xlfn.CONCAT("*",Table13[[#Headers],[Action]],"*")),1,0)</f>
        <v>1</v>
      </c>
      <c r="J619">
        <f>IF(COUNTIF($E619, _xlfn.CONCAT("*",Table13[[#Headers],[Adventure]],"*")),1,0)</f>
        <v>1</v>
      </c>
      <c r="K619">
        <f>IF(COUNTIF($E619, _xlfn.CONCAT("*",Table13[[#Headers],[Animation]],"*")),1,0)</f>
        <v>0</v>
      </c>
      <c r="L619">
        <f>IF(COUNTIF($E619, _xlfn.CONCAT("*",Table13[[#Headers],[Comedy]],"*")),1,0)</f>
        <v>0</v>
      </c>
      <c r="M619">
        <f>IF(COUNTIF($E619, _xlfn.CONCAT("*",Table13[[#Headers],[Crime]],"*")),1,0)</f>
        <v>0</v>
      </c>
      <c r="N619">
        <f>IF(COUNTIF($E619, _xlfn.CONCAT("*",Table13[[#Headers],[Documentary]],"*")),1,0)</f>
        <v>0</v>
      </c>
      <c r="O619">
        <f>IF(COUNTIF($E619, _xlfn.CONCAT("*",Table13[[#Headers],[Drama]],"*")),1,0)</f>
        <v>0</v>
      </c>
      <c r="P619">
        <f>IF(COUNTIF($E619, _xlfn.CONCAT("*",Table13[[#Headers],[Family]],"*")),1,0)</f>
        <v>0</v>
      </c>
      <c r="Q619">
        <f>IF(COUNTIF($E619, _xlfn.CONCAT("*",Table13[[#Headers],[Fantasy]],"*")),1,0)</f>
        <v>1</v>
      </c>
      <c r="R619">
        <f>IF(COUNTIF($E619, _xlfn.CONCAT("*",Table13[[#Headers],[History]],"*")),1,0)</f>
        <v>0</v>
      </c>
      <c r="S619">
        <f>IF(COUNTIF($E619, _xlfn.CONCAT("*",Table13[[#Headers],[Horror]],"*")),1,0)</f>
        <v>0</v>
      </c>
      <c r="T619">
        <f>IF(COUNTIF($E619, _xlfn.CONCAT("*",Table13[[#Headers],[Music]],"*")),1,0)</f>
        <v>0</v>
      </c>
      <c r="U619">
        <f>IF(COUNTIF($E619, _xlfn.CONCAT("*",Table13[[#Headers],[Mystery]],"*")),1,0)</f>
        <v>0</v>
      </c>
      <c r="V619">
        <f>IF(COUNTIF($E619, _xlfn.CONCAT("*",Table13[[#Headers],[Romance]],"*")),1,0)</f>
        <v>0</v>
      </c>
      <c r="W619">
        <f>IF(COUNTIF($E619, _xlfn.CONCAT("*",Table13[[#Headers],[Science Fiction]],"*")),1,0)</f>
        <v>1</v>
      </c>
      <c r="X619">
        <f>IF(COUNTIF($E619, _xlfn.CONCAT("*",Table13[[#Headers],[TV Movie]],"*")),1,0)</f>
        <v>0</v>
      </c>
      <c r="Y619">
        <f>IF(COUNTIF($E619, _xlfn.CONCAT("*",Table13[[#Headers],[Thriller]],"*")),1,0)</f>
        <v>0</v>
      </c>
      <c r="Z619">
        <f>IF(COUNTIF($E619, _xlfn.CONCAT("*",Table13[[#Headers],[War]],"*")),1,0)</f>
        <v>0</v>
      </c>
      <c r="AA619">
        <f>IF(COUNTIF($E619, _xlfn.CONCAT("*",Table13[[#Headers],[Western]],"*")),1,0)</f>
        <v>0</v>
      </c>
    </row>
    <row r="620" spans="1:27">
      <c r="A620" t="s">
        <v>688</v>
      </c>
      <c r="B620">
        <v>66</v>
      </c>
      <c r="C620">
        <f>MAX(Table13[Rank])-Table13[[#This Row],[Rank]]</f>
        <v>198</v>
      </c>
      <c r="D620" t="s">
        <v>746</v>
      </c>
      <c r="E620" t="s">
        <v>689</v>
      </c>
      <c r="F620" s="1">
        <v>43658</v>
      </c>
      <c r="G620">
        <f>YEAR(Table13[[#This Row],[Date]])</f>
        <v>2019</v>
      </c>
      <c r="H620" t="s">
        <v>688</v>
      </c>
      <c r="I620">
        <f>IF(COUNTIF($E620, _xlfn.CONCAT("*",Table13[[#Headers],[Action]],"*")),1,0)</f>
        <v>0</v>
      </c>
      <c r="J620">
        <f>IF(COUNTIF($E620, _xlfn.CONCAT("*",Table13[[#Headers],[Adventure]],"*")),1,0)</f>
        <v>1</v>
      </c>
      <c r="K620">
        <f>IF(COUNTIF($E620, _xlfn.CONCAT("*",Table13[[#Headers],[Animation]],"*")),1,0)</f>
        <v>1</v>
      </c>
      <c r="L620">
        <f>IF(COUNTIF($E620, _xlfn.CONCAT("*",Table13[[#Headers],[Comedy]],"*")),1,0)</f>
        <v>0</v>
      </c>
      <c r="M620">
        <f>IF(COUNTIF($E620, _xlfn.CONCAT("*",Table13[[#Headers],[Crime]],"*")),1,0)</f>
        <v>0</v>
      </c>
      <c r="N620">
        <f>IF(COUNTIF($E620, _xlfn.CONCAT("*",Table13[[#Headers],[Documentary]],"*")),1,0)</f>
        <v>0</v>
      </c>
      <c r="O620">
        <f>IF(COUNTIF($E620, _xlfn.CONCAT("*",Table13[[#Headers],[Drama]],"*")),1,0)</f>
        <v>1</v>
      </c>
      <c r="P620">
        <f>IF(COUNTIF($E620, _xlfn.CONCAT("*",Table13[[#Headers],[Family]],"*")),1,0)</f>
        <v>1</v>
      </c>
      <c r="Q620">
        <f>IF(COUNTIF($E620, _xlfn.CONCAT("*",Table13[[#Headers],[Fantasy]],"*")),1,0)</f>
        <v>0</v>
      </c>
      <c r="R620">
        <f>IF(COUNTIF($E620, _xlfn.CONCAT("*",Table13[[#Headers],[History]],"*")),1,0)</f>
        <v>0</v>
      </c>
      <c r="S620">
        <f>IF(COUNTIF($E620, _xlfn.CONCAT("*",Table13[[#Headers],[Horror]],"*")),1,0)</f>
        <v>0</v>
      </c>
      <c r="T620">
        <f>IF(COUNTIF($E620, _xlfn.CONCAT("*",Table13[[#Headers],[Music]],"*")),1,0)</f>
        <v>0</v>
      </c>
      <c r="U620">
        <f>IF(COUNTIF($E620, _xlfn.CONCAT("*",Table13[[#Headers],[Mystery]],"*")),1,0)</f>
        <v>0</v>
      </c>
      <c r="V620">
        <f>IF(COUNTIF($E620, _xlfn.CONCAT("*",Table13[[#Headers],[Romance]],"*")),1,0)</f>
        <v>0</v>
      </c>
      <c r="W620">
        <f>IF(COUNTIF($E620, _xlfn.CONCAT("*",Table13[[#Headers],[Science Fiction]],"*")),1,0)</f>
        <v>0</v>
      </c>
      <c r="X620">
        <f>IF(COUNTIF($E620, _xlfn.CONCAT("*",Table13[[#Headers],[TV Movie]],"*")),1,0)</f>
        <v>0</v>
      </c>
      <c r="Y620">
        <f>IF(COUNTIF($E620, _xlfn.CONCAT("*",Table13[[#Headers],[Thriller]],"*")),1,0)</f>
        <v>0</v>
      </c>
      <c r="Z620">
        <f>IF(COUNTIF($E620, _xlfn.CONCAT("*",Table13[[#Headers],[War]],"*")),1,0)</f>
        <v>0</v>
      </c>
      <c r="AA620">
        <f>IF(COUNTIF($E620, _xlfn.CONCAT("*",Table13[[#Headers],[Western]],"*")),1,0)</f>
        <v>0</v>
      </c>
    </row>
    <row r="621" spans="1:27">
      <c r="A621" t="s">
        <v>218</v>
      </c>
      <c r="B621">
        <v>65</v>
      </c>
      <c r="C621">
        <f>MAX(Table13[Rank])-Table13[[#This Row],[Rank]]</f>
        <v>199</v>
      </c>
      <c r="D621" t="s">
        <v>746</v>
      </c>
      <c r="E621" t="s">
        <v>21</v>
      </c>
      <c r="F621" s="1">
        <v>29539</v>
      </c>
      <c r="G621">
        <f>YEAR(Table13[[#This Row],[Date]])</f>
        <v>1980</v>
      </c>
      <c r="H621" t="s">
        <v>218</v>
      </c>
      <c r="I621">
        <f>IF(COUNTIF($E621, _xlfn.CONCAT("*",Table13[[#Headers],[Action]],"*")),1,0)</f>
        <v>0</v>
      </c>
      <c r="J621">
        <f>IF(COUNTIF($E621, _xlfn.CONCAT("*",Table13[[#Headers],[Adventure]],"*")),1,0)</f>
        <v>0</v>
      </c>
      <c r="K621">
        <f>IF(COUNTIF($E621, _xlfn.CONCAT("*",Table13[[#Headers],[Animation]],"*")),1,0)</f>
        <v>0</v>
      </c>
      <c r="L621">
        <f>IF(COUNTIF($E621, _xlfn.CONCAT("*",Table13[[#Headers],[Comedy]],"*")),1,0)</f>
        <v>0</v>
      </c>
      <c r="M621">
        <f>IF(COUNTIF($E621, _xlfn.CONCAT("*",Table13[[#Headers],[Crime]],"*")),1,0)</f>
        <v>0</v>
      </c>
      <c r="N621">
        <f>IF(COUNTIF($E621, _xlfn.CONCAT("*",Table13[[#Headers],[Documentary]],"*")),1,0)</f>
        <v>0</v>
      </c>
      <c r="O621">
        <f>IF(COUNTIF($E621, _xlfn.CONCAT("*",Table13[[#Headers],[Drama]],"*")),1,0)</f>
        <v>1</v>
      </c>
      <c r="P621">
        <f>IF(COUNTIF($E621, _xlfn.CONCAT("*",Table13[[#Headers],[Family]],"*")),1,0)</f>
        <v>0</v>
      </c>
      <c r="Q621">
        <f>IF(COUNTIF($E621, _xlfn.CONCAT("*",Table13[[#Headers],[Fantasy]],"*")),1,0)</f>
        <v>0</v>
      </c>
      <c r="R621">
        <f>IF(COUNTIF($E621, _xlfn.CONCAT("*",Table13[[#Headers],[History]],"*")),1,0)</f>
        <v>0</v>
      </c>
      <c r="S621">
        <f>IF(COUNTIF($E621, _xlfn.CONCAT("*",Table13[[#Headers],[Horror]],"*")),1,0)</f>
        <v>0</v>
      </c>
      <c r="T621">
        <f>IF(COUNTIF($E621, _xlfn.CONCAT("*",Table13[[#Headers],[Music]],"*")),1,0)</f>
        <v>0</v>
      </c>
      <c r="U621">
        <f>IF(COUNTIF($E621, _xlfn.CONCAT("*",Table13[[#Headers],[Mystery]],"*")),1,0)</f>
        <v>0</v>
      </c>
      <c r="V621">
        <f>IF(COUNTIF($E621, _xlfn.CONCAT("*",Table13[[#Headers],[Romance]],"*")),1,0)</f>
        <v>0</v>
      </c>
      <c r="W621">
        <f>IF(COUNTIF($E621, _xlfn.CONCAT("*",Table13[[#Headers],[Science Fiction]],"*")),1,0)</f>
        <v>0</v>
      </c>
      <c r="X621">
        <f>IF(COUNTIF($E621, _xlfn.CONCAT("*",Table13[[#Headers],[TV Movie]],"*")),1,0)</f>
        <v>0</v>
      </c>
      <c r="Y621">
        <f>IF(COUNTIF($E621, _xlfn.CONCAT("*",Table13[[#Headers],[Thriller]],"*")),1,0)</f>
        <v>0</v>
      </c>
      <c r="Z621">
        <f>IF(COUNTIF($E621, _xlfn.CONCAT("*",Table13[[#Headers],[War]],"*")),1,0)</f>
        <v>0</v>
      </c>
      <c r="AA621">
        <f>IF(COUNTIF($E621, _xlfn.CONCAT("*",Table13[[#Headers],[Western]],"*")),1,0)</f>
        <v>0</v>
      </c>
    </row>
    <row r="622" spans="1:27">
      <c r="A622" t="s">
        <v>768</v>
      </c>
      <c r="B622">
        <v>64</v>
      </c>
      <c r="C622">
        <f>MAX(Table13[Rank])-Table13[[#This Row],[Rank]]</f>
        <v>200</v>
      </c>
      <c r="D622" t="s">
        <v>746</v>
      </c>
      <c r="E622" t="s">
        <v>769</v>
      </c>
      <c r="F622" s="1">
        <v>23728</v>
      </c>
      <c r="G622">
        <f>YEAR(Table13[[#This Row],[Date]])</f>
        <v>1964</v>
      </c>
      <c r="H622" t="s">
        <v>768</v>
      </c>
      <c r="I622">
        <f>IF(COUNTIF($E622, _xlfn.CONCAT("*",Table13[[#Headers],[Action]],"*")),1,0)</f>
        <v>0</v>
      </c>
      <c r="J622">
        <f>IF(COUNTIF($E622, _xlfn.CONCAT("*",Table13[[#Headers],[Adventure]],"*")),1,0)</f>
        <v>0</v>
      </c>
      <c r="K622">
        <f>IF(COUNTIF($E622, _xlfn.CONCAT("*",Table13[[#Headers],[Animation]],"*")),1,0)</f>
        <v>0</v>
      </c>
      <c r="L622">
        <f>IF(COUNTIF($E622, _xlfn.CONCAT("*",Table13[[#Headers],[Comedy]],"*")),1,0)</f>
        <v>1</v>
      </c>
      <c r="M622">
        <f>IF(COUNTIF($E622, _xlfn.CONCAT("*",Table13[[#Headers],[Crime]],"*")),1,0)</f>
        <v>0</v>
      </c>
      <c r="N622">
        <f>IF(COUNTIF($E622, _xlfn.CONCAT("*",Table13[[#Headers],[Documentary]],"*")),1,0)</f>
        <v>0</v>
      </c>
      <c r="O622">
        <f>IF(COUNTIF($E622, _xlfn.CONCAT("*",Table13[[#Headers],[Drama]],"*")),1,0)</f>
        <v>0</v>
      </c>
      <c r="P622">
        <f>IF(COUNTIF($E622, _xlfn.CONCAT("*",Table13[[#Headers],[Family]],"*")),1,0)</f>
        <v>1</v>
      </c>
      <c r="Q622">
        <f>IF(COUNTIF($E622, _xlfn.CONCAT("*",Table13[[#Headers],[Fantasy]],"*")),1,0)</f>
        <v>1</v>
      </c>
      <c r="R622">
        <f>IF(COUNTIF($E622, _xlfn.CONCAT("*",Table13[[#Headers],[History]],"*")),1,0)</f>
        <v>0</v>
      </c>
      <c r="S622">
        <f>IF(COUNTIF($E622, _xlfn.CONCAT("*",Table13[[#Headers],[Horror]],"*")),1,0)</f>
        <v>0</v>
      </c>
      <c r="T622">
        <f>IF(COUNTIF($E622, _xlfn.CONCAT("*",Table13[[#Headers],[Music]],"*")),1,0)</f>
        <v>0</v>
      </c>
      <c r="U622">
        <f>IF(COUNTIF($E622, _xlfn.CONCAT("*",Table13[[#Headers],[Mystery]],"*")),1,0)</f>
        <v>0</v>
      </c>
      <c r="V622">
        <f>IF(COUNTIF($E622, _xlfn.CONCAT("*",Table13[[#Headers],[Romance]],"*")),1,0)</f>
        <v>0</v>
      </c>
      <c r="W622">
        <f>IF(COUNTIF($E622, _xlfn.CONCAT("*",Table13[[#Headers],[Science Fiction]],"*")),1,0)</f>
        <v>0</v>
      </c>
      <c r="X622">
        <f>IF(COUNTIF($E622, _xlfn.CONCAT("*",Table13[[#Headers],[TV Movie]],"*")),1,0)</f>
        <v>0</v>
      </c>
      <c r="Y622">
        <f>IF(COUNTIF($E622, _xlfn.CONCAT("*",Table13[[#Headers],[Thriller]],"*")),1,0)</f>
        <v>0</v>
      </c>
      <c r="Z622">
        <f>IF(COUNTIF($E622, _xlfn.CONCAT("*",Table13[[#Headers],[War]],"*")),1,0)</f>
        <v>0</v>
      </c>
      <c r="AA622">
        <f>IF(COUNTIF($E622, _xlfn.CONCAT("*",Table13[[#Headers],[Western]],"*")),1,0)</f>
        <v>0</v>
      </c>
    </row>
    <row r="623" spans="1:27">
      <c r="A623" t="s">
        <v>493</v>
      </c>
      <c r="B623">
        <v>63</v>
      </c>
      <c r="C623">
        <f>MAX(Table13[Rank])-Table13[[#This Row],[Rank]]</f>
        <v>201</v>
      </c>
      <c r="D623" t="s">
        <v>746</v>
      </c>
      <c r="E623" t="s">
        <v>492</v>
      </c>
      <c r="F623" s="1">
        <v>34011</v>
      </c>
      <c r="G623">
        <f>YEAR(Table13[[#This Row],[Date]])</f>
        <v>1993</v>
      </c>
      <c r="H623" t="s">
        <v>493</v>
      </c>
      <c r="I623">
        <f>IF(COUNTIF($E623, _xlfn.CONCAT("*",Table13[[#Headers],[Action]],"*")),1,0)</f>
        <v>0</v>
      </c>
      <c r="J623">
        <f>IF(COUNTIF($E623, _xlfn.CONCAT("*",Table13[[#Headers],[Adventure]],"*")),1,0)</f>
        <v>0</v>
      </c>
      <c r="K623">
        <f>IF(COUNTIF($E623, _xlfn.CONCAT("*",Table13[[#Headers],[Animation]],"*")),1,0)</f>
        <v>0</v>
      </c>
      <c r="L623">
        <f>IF(COUNTIF($E623, _xlfn.CONCAT("*",Table13[[#Headers],[Comedy]],"*")),1,0)</f>
        <v>1</v>
      </c>
      <c r="M623">
        <f>IF(COUNTIF($E623, _xlfn.CONCAT("*",Table13[[#Headers],[Crime]],"*")),1,0)</f>
        <v>0</v>
      </c>
      <c r="N623">
        <f>IF(COUNTIF($E623, _xlfn.CONCAT("*",Table13[[#Headers],[Documentary]],"*")),1,0)</f>
        <v>0</v>
      </c>
      <c r="O623">
        <f>IF(COUNTIF($E623, _xlfn.CONCAT("*",Table13[[#Headers],[Drama]],"*")),1,0)</f>
        <v>1</v>
      </c>
      <c r="P623">
        <f>IF(COUNTIF($E623, _xlfn.CONCAT("*",Table13[[#Headers],[Family]],"*")),1,0)</f>
        <v>0</v>
      </c>
      <c r="Q623">
        <f>IF(COUNTIF($E623, _xlfn.CONCAT("*",Table13[[#Headers],[Fantasy]],"*")),1,0)</f>
        <v>1</v>
      </c>
      <c r="R623">
        <f>IF(COUNTIF($E623, _xlfn.CONCAT("*",Table13[[#Headers],[History]],"*")),1,0)</f>
        <v>0</v>
      </c>
      <c r="S623">
        <f>IF(COUNTIF($E623, _xlfn.CONCAT("*",Table13[[#Headers],[Horror]],"*")),1,0)</f>
        <v>0</v>
      </c>
      <c r="T623">
        <f>IF(COUNTIF($E623, _xlfn.CONCAT("*",Table13[[#Headers],[Music]],"*")),1,0)</f>
        <v>0</v>
      </c>
      <c r="U623">
        <f>IF(COUNTIF($E623, _xlfn.CONCAT("*",Table13[[#Headers],[Mystery]],"*")),1,0)</f>
        <v>0</v>
      </c>
      <c r="V623">
        <f>IF(COUNTIF($E623, _xlfn.CONCAT("*",Table13[[#Headers],[Romance]],"*")),1,0)</f>
        <v>1</v>
      </c>
      <c r="W623">
        <f>IF(COUNTIF($E623, _xlfn.CONCAT("*",Table13[[#Headers],[Science Fiction]],"*")),1,0)</f>
        <v>0</v>
      </c>
      <c r="X623">
        <f>IF(COUNTIF($E623, _xlfn.CONCAT("*",Table13[[#Headers],[TV Movie]],"*")),1,0)</f>
        <v>0</v>
      </c>
      <c r="Y623">
        <f>IF(COUNTIF($E623, _xlfn.CONCAT("*",Table13[[#Headers],[Thriller]],"*")),1,0)</f>
        <v>0</v>
      </c>
      <c r="Z623">
        <f>IF(COUNTIF($E623, _xlfn.CONCAT("*",Table13[[#Headers],[War]],"*")),1,0)</f>
        <v>0</v>
      </c>
      <c r="AA623">
        <f>IF(COUNTIF($E623, _xlfn.CONCAT("*",Table13[[#Headers],[Western]],"*")),1,0)</f>
        <v>0</v>
      </c>
    </row>
    <row r="624" spans="1:27">
      <c r="A624" t="s">
        <v>337</v>
      </c>
      <c r="B624">
        <v>62</v>
      </c>
      <c r="C624">
        <f>MAX(Table13[Rank])-Table13[[#This Row],[Rank]]</f>
        <v>202</v>
      </c>
      <c r="D624" t="s">
        <v>746</v>
      </c>
      <c r="E624" t="s">
        <v>338</v>
      </c>
      <c r="F624" s="1">
        <v>21739</v>
      </c>
      <c r="G624">
        <f>YEAR(Table13[[#This Row],[Date]])</f>
        <v>1959</v>
      </c>
      <c r="H624" t="s">
        <v>337</v>
      </c>
      <c r="I624">
        <f>IF(COUNTIF($E624, _xlfn.CONCAT("*",Table13[[#Headers],[Action]],"*")),1,0)</f>
        <v>0</v>
      </c>
      <c r="J624">
        <f>IF(COUNTIF($E624, _xlfn.CONCAT("*",Table13[[#Headers],[Adventure]],"*")),1,0)</f>
        <v>1</v>
      </c>
      <c r="K624">
        <f>IF(COUNTIF($E624, _xlfn.CONCAT("*",Table13[[#Headers],[Animation]],"*")),1,0)</f>
        <v>0</v>
      </c>
      <c r="L624">
        <f>IF(COUNTIF($E624, _xlfn.CONCAT("*",Table13[[#Headers],[Comedy]],"*")),1,0)</f>
        <v>0</v>
      </c>
      <c r="M624">
        <f>IF(COUNTIF($E624, _xlfn.CONCAT("*",Table13[[#Headers],[Crime]],"*")),1,0)</f>
        <v>0</v>
      </c>
      <c r="N624">
        <f>IF(COUNTIF($E624, _xlfn.CONCAT("*",Table13[[#Headers],[Documentary]],"*")),1,0)</f>
        <v>0</v>
      </c>
      <c r="O624">
        <f>IF(COUNTIF($E624, _xlfn.CONCAT("*",Table13[[#Headers],[Drama]],"*")),1,0)</f>
        <v>0</v>
      </c>
      <c r="P624">
        <f>IF(COUNTIF($E624, _xlfn.CONCAT("*",Table13[[#Headers],[Family]],"*")),1,0)</f>
        <v>0</v>
      </c>
      <c r="Q624">
        <f>IF(COUNTIF($E624, _xlfn.CONCAT("*",Table13[[#Headers],[Fantasy]],"*")),1,0)</f>
        <v>0</v>
      </c>
      <c r="R624">
        <f>IF(COUNTIF($E624, _xlfn.CONCAT("*",Table13[[#Headers],[History]],"*")),1,0)</f>
        <v>0</v>
      </c>
      <c r="S624">
        <f>IF(COUNTIF($E624, _xlfn.CONCAT("*",Table13[[#Headers],[Horror]],"*")),1,0)</f>
        <v>0</v>
      </c>
      <c r="T624">
        <f>IF(COUNTIF($E624, _xlfn.CONCAT("*",Table13[[#Headers],[Music]],"*")),1,0)</f>
        <v>0</v>
      </c>
      <c r="U624">
        <f>IF(COUNTIF($E624, _xlfn.CONCAT("*",Table13[[#Headers],[Mystery]],"*")),1,0)</f>
        <v>1</v>
      </c>
      <c r="V624">
        <f>IF(COUNTIF($E624, _xlfn.CONCAT("*",Table13[[#Headers],[Romance]],"*")),1,0)</f>
        <v>0</v>
      </c>
      <c r="W624">
        <f>IF(COUNTIF($E624, _xlfn.CONCAT("*",Table13[[#Headers],[Science Fiction]],"*")),1,0)</f>
        <v>0</v>
      </c>
      <c r="X624">
        <f>IF(COUNTIF($E624, _xlfn.CONCAT("*",Table13[[#Headers],[TV Movie]],"*")),1,0)</f>
        <v>0</v>
      </c>
      <c r="Y624">
        <f>IF(COUNTIF($E624, _xlfn.CONCAT("*",Table13[[#Headers],[Thriller]],"*")),1,0)</f>
        <v>1</v>
      </c>
      <c r="Z624">
        <f>IF(COUNTIF($E624, _xlfn.CONCAT("*",Table13[[#Headers],[War]],"*")),1,0)</f>
        <v>0</v>
      </c>
      <c r="AA624">
        <f>IF(COUNTIF($E624, _xlfn.CONCAT("*",Table13[[#Headers],[Western]],"*")),1,0)</f>
        <v>0</v>
      </c>
    </row>
    <row r="625" spans="1:27">
      <c r="A625" t="s">
        <v>770</v>
      </c>
      <c r="B625">
        <v>61</v>
      </c>
      <c r="C625">
        <f>MAX(Table13[Rank])-Table13[[#This Row],[Rank]]</f>
        <v>203</v>
      </c>
      <c r="D625" t="s">
        <v>746</v>
      </c>
      <c r="E625" t="s">
        <v>296</v>
      </c>
      <c r="F625" s="1">
        <v>22628</v>
      </c>
      <c r="G625">
        <f>YEAR(Table13[[#This Row],[Date]])</f>
        <v>1961</v>
      </c>
      <c r="H625" t="s">
        <v>770</v>
      </c>
      <c r="I625">
        <f>IF(COUNTIF($E625, _xlfn.CONCAT("*",Table13[[#Headers],[Action]],"*")),1,0)</f>
        <v>0</v>
      </c>
      <c r="J625">
        <f>IF(COUNTIF($E625, _xlfn.CONCAT("*",Table13[[#Headers],[Adventure]],"*")),1,0)</f>
        <v>0</v>
      </c>
      <c r="K625">
        <f>IF(COUNTIF($E625, _xlfn.CONCAT("*",Table13[[#Headers],[Animation]],"*")),1,0)</f>
        <v>0</v>
      </c>
      <c r="L625">
        <f>IF(COUNTIF($E625, _xlfn.CONCAT("*",Table13[[#Headers],[Comedy]],"*")),1,0)</f>
        <v>0</v>
      </c>
      <c r="M625">
        <f>IF(COUNTIF($E625, _xlfn.CONCAT("*",Table13[[#Headers],[Crime]],"*")),1,0)</f>
        <v>1</v>
      </c>
      <c r="N625">
        <f>IF(COUNTIF($E625, _xlfn.CONCAT("*",Table13[[#Headers],[Documentary]],"*")),1,0)</f>
        <v>0</v>
      </c>
      <c r="O625">
        <f>IF(COUNTIF($E625, _xlfn.CONCAT("*",Table13[[#Headers],[Drama]],"*")),1,0)</f>
        <v>1</v>
      </c>
      <c r="P625">
        <f>IF(COUNTIF($E625, _xlfn.CONCAT("*",Table13[[#Headers],[Family]],"*")),1,0)</f>
        <v>0</v>
      </c>
      <c r="Q625">
        <f>IF(COUNTIF($E625, _xlfn.CONCAT("*",Table13[[#Headers],[Fantasy]],"*")),1,0)</f>
        <v>0</v>
      </c>
      <c r="R625">
        <f>IF(COUNTIF($E625, _xlfn.CONCAT("*",Table13[[#Headers],[History]],"*")),1,0)</f>
        <v>0</v>
      </c>
      <c r="S625">
        <f>IF(COUNTIF($E625, _xlfn.CONCAT("*",Table13[[#Headers],[Horror]],"*")),1,0)</f>
        <v>0</v>
      </c>
      <c r="T625">
        <f>IF(COUNTIF($E625, _xlfn.CONCAT("*",Table13[[#Headers],[Music]],"*")),1,0)</f>
        <v>0</v>
      </c>
      <c r="U625">
        <f>IF(COUNTIF($E625, _xlfn.CONCAT("*",Table13[[#Headers],[Mystery]],"*")),1,0)</f>
        <v>0</v>
      </c>
      <c r="V625">
        <f>IF(COUNTIF($E625, _xlfn.CONCAT("*",Table13[[#Headers],[Romance]],"*")),1,0)</f>
        <v>1</v>
      </c>
      <c r="W625">
        <f>IF(COUNTIF($E625, _xlfn.CONCAT("*",Table13[[#Headers],[Science Fiction]],"*")),1,0)</f>
        <v>0</v>
      </c>
      <c r="X625">
        <f>IF(COUNTIF($E625, _xlfn.CONCAT("*",Table13[[#Headers],[TV Movie]],"*")),1,0)</f>
        <v>0</v>
      </c>
      <c r="Y625">
        <f>IF(COUNTIF($E625, _xlfn.CONCAT("*",Table13[[#Headers],[Thriller]],"*")),1,0)</f>
        <v>0</v>
      </c>
      <c r="Z625">
        <f>IF(COUNTIF($E625, _xlfn.CONCAT("*",Table13[[#Headers],[War]],"*")),1,0)</f>
        <v>0</v>
      </c>
      <c r="AA625">
        <f>IF(COUNTIF($E625, _xlfn.CONCAT("*",Table13[[#Headers],[Western]],"*")),1,0)</f>
        <v>0</v>
      </c>
    </row>
    <row r="626" spans="1:27">
      <c r="A626" t="s">
        <v>771</v>
      </c>
      <c r="B626">
        <v>60</v>
      </c>
      <c r="C626">
        <f>MAX(Table13[Rank])-Table13[[#This Row],[Rank]]</f>
        <v>204</v>
      </c>
      <c r="D626" t="s">
        <v>746</v>
      </c>
      <c r="E626" t="s">
        <v>129</v>
      </c>
      <c r="F626" s="1">
        <v>44511</v>
      </c>
      <c r="G626">
        <f>YEAR(Table13[[#This Row],[Date]])</f>
        <v>2021</v>
      </c>
      <c r="H626" t="s">
        <v>771</v>
      </c>
      <c r="I626">
        <f>IF(COUNTIF($E626, _xlfn.CONCAT("*",Table13[[#Headers],[Action]],"*")),1,0)</f>
        <v>0</v>
      </c>
      <c r="J626">
        <f>IF(COUNTIF($E626, _xlfn.CONCAT("*",Table13[[#Headers],[Adventure]],"*")),1,0)</f>
        <v>0</v>
      </c>
      <c r="K626">
        <f>IF(COUNTIF($E626, _xlfn.CONCAT("*",Table13[[#Headers],[Animation]],"*")),1,0)</f>
        <v>0</v>
      </c>
      <c r="L626">
        <f>IF(COUNTIF($E626, _xlfn.CONCAT("*",Table13[[#Headers],[Comedy]],"*")),1,0)</f>
        <v>0</v>
      </c>
      <c r="M626">
        <f>IF(COUNTIF($E626, _xlfn.CONCAT("*",Table13[[#Headers],[Crime]],"*")),1,0)</f>
        <v>0</v>
      </c>
      <c r="N626">
        <f>IF(COUNTIF($E626, _xlfn.CONCAT("*",Table13[[#Headers],[Documentary]],"*")),1,0)</f>
        <v>0</v>
      </c>
      <c r="O626">
        <f>IF(COUNTIF($E626, _xlfn.CONCAT("*",Table13[[#Headers],[Drama]],"*")),1,0)</f>
        <v>0</v>
      </c>
      <c r="P626">
        <f>IF(COUNTIF($E626, _xlfn.CONCAT("*",Table13[[#Headers],[Family]],"*")),1,0)</f>
        <v>0</v>
      </c>
      <c r="Q626">
        <f>IF(COUNTIF($E626, _xlfn.CONCAT("*",Table13[[#Headers],[Fantasy]],"*")),1,0)</f>
        <v>0</v>
      </c>
      <c r="R626">
        <f>IF(COUNTIF($E626, _xlfn.CONCAT("*",Table13[[#Headers],[History]],"*")),1,0)</f>
        <v>0</v>
      </c>
      <c r="S626">
        <f>IF(COUNTIF($E626, _xlfn.CONCAT("*",Table13[[#Headers],[Horror]],"*")),1,0)</f>
        <v>0</v>
      </c>
      <c r="T626">
        <f>IF(COUNTIF($E626, _xlfn.CONCAT("*",Table13[[#Headers],[Music]],"*")),1,0)</f>
        <v>0</v>
      </c>
      <c r="U626">
        <f>IF(COUNTIF($E626, _xlfn.CONCAT("*",Table13[[#Headers],[Mystery]],"*")),1,0)</f>
        <v>0</v>
      </c>
      <c r="V626">
        <f>IF(COUNTIF($E626, _xlfn.CONCAT("*",Table13[[#Headers],[Romance]],"*")),1,0)</f>
        <v>0</v>
      </c>
      <c r="W626">
        <f>IF(COUNTIF($E626, _xlfn.CONCAT("*",Table13[[#Headers],[Science Fiction]],"*")),1,0)</f>
        <v>0</v>
      </c>
      <c r="X626">
        <f>IF(COUNTIF($E626, _xlfn.CONCAT("*",Table13[[#Headers],[TV Movie]],"*")),1,0)</f>
        <v>0</v>
      </c>
      <c r="Y626">
        <f>IF(COUNTIF($E626, _xlfn.CONCAT("*",Table13[[#Headers],[Thriller]],"*")),1,0)</f>
        <v>0</v>
      </c>
      <c r="Z626">
        <f>IF(COUNTIF($E626, _xlfn.CONCAT("*",Table13[[#Headers],[War]],"*")),1,0)</f>
        <v>0</v>
      </c>
      <c r="AA626">
        <f>IF(COUNTIF($E626, _xlfn.CONCAT("*",Table13[[#Headers],[Western]],"*")),1,0)</f>
        <v>0</v>
      </c>
    </row>
    <row r="627" spans="1:27">
      <c r="A627" t="s">
        <v>772</v>
      </c>
      <c r="B627">
        <v>59</v>
      </c>
      <c r="C627">
        <f>MAX(Table13[Rank])-Table13[[#This Row],[Rank]]</f>
        <v>205</v>
      </c>
      <c r="D627" t="s">
        <v>746</v>
      </c>
      <c r="E627" t="s">
        <v>773</v>
      </c>
      <c r="F627" s="1">
        <v>33382</v>
      </c>
      <c r="G627">
        <f>YEAR(Table13[[#This Row],[Date]])</f>
        <v>1991</v>
      </c>
      <c r="H627" t="s">
        <v>772</v>
      </c>
      <c r="I627">
        <f>IF(COUNTIF($E627, _xlfn.CONCAT("*",Table13[[#Headers],[Action]],"*")),1,0)</f>
        <v>0</v>
      </c>
      <c r="J627">
        <f>IF(COUNTIF($E627, _xlfn.CONCAT("*",Table13[[#Headers],[Adventure]],"*")),1,0)</f>
        <v>1</v>
      </c>
      <c r="K627">
        <f>IF(COUNTIF($E627, _xlfn.CONCAT("*",Table13[[#Headers],[Animation]],"*")),1,0)</f>
        <v>0</v>
      </c>
      <c r="L627">
        <f>IF(COUNTIF($E627, _xlfn.CONCAT("*",Table13[[#Headers],[Comedy]],"*")),1,0)</f>
        <v>0</v>
      </c>
      <c r="M627">
        <f>IF(COUNTIF($E627, _xlfn.CONCAT("*",Table13[[#Headers],[Crime]],"*")),1,0)</f>
        <v>1</v>
      </c>
      <c r="N627">
        <f>IF(COUNTIF($E627, _xlfn.CONCAT("*",Table13[[#Headers],[Documentary]],"*")),1,0)</f>
        <v>0</v>
      </c>
      <c r="O627">
        <f>IF(COUNTIF($E627, _xlfn.CONCAT("*",Table13[[#Headers],[Drama]],"*")),1,0)</f>
        <v>1</v>
      </c>
      <c r="P627">
        <f>IF(COUNTIF($E627, _xlfn.CONCAT("*",Table13[[#Headers],[Family]],"*")),1,0)</f>
        <v>0</v>
      </c>
      <c r="Q627">
        <f>IF(COUNTIF($E627, _xlfn.CONCAT("*",Table13[[#Headers],[Fantasy]],"*")),1,0)</f>
        <v>0</v>
      </c>
      <c r="R627">
        <f>IF(COUNTIF($E627, _xlfn.CONCAT("*",Table13[[#Headers],[History]],"*")),1,0)</f>
        <v>0</v>
      </c>
      <c r="S627">
        <f>IF(COUNTIF($E627, _xlfn.CONCAT("*",Table13[[#Headers],[Horror]],"*")),1,0)</f>
        <v>0</v>
      </c>
      <c r="T627">
        <f>IF(COUNTIF($E627, _xlfn.CONCAT("*",Table13[[#Headers],[Music]],"*")),1,0)</f>
        <v>0</v>
      </c>
      <c r="U627">
        <f>IF(COUNTIF($E627, _xlfn.CONCAT("*",Table13[[#Headers],[Mystery]],"*")),1,0)</f>
        <v>0</v>
      </c>
      <c r="V627">
        <f>IF(COUNTIF($E627, _xlfn.CONCAT("*",Table13[[#Headers],[Romance]],"*")),1,0)</f>
        <v>0</v>
      </c>
      <c r="W627">
        <f>IF(COUNTIF($E627, _xlfn.CONCAT("*",Table13[[#Headers],[Science Fiction]],"*")),1,0)</f>
        <v>0</v>
      </c>
      <c r="X627">
        <f>IF(COUNTIF($E627, _xlfn.CONCAT("*",Table13[[#Headers],[TV Movie]],"*")),1,0)</f>
        <v>0</v>
      </c>
      <c r="Y627">
        <f>IF(COUNTIF($E627, _xlfn.CONCAT("*",Table13[[#Headers],[Thriller]],"*")),1,0)</f>
        <v>1</v>
      </c>
      <c r="Z627">
        <f>IF(COUNTIF($E627, _xlfn.CONCAT("*",Table13[[#Headers],[War]],"*")),1,0)</f>
        <v>0</v>
      </c>
      <c r="AA627">
        <f>IF(COUNTIF($E627, _xlfn.CONCAT("*",Table13[[#Headers],[Western]],"*")),1,0)</f>
        <v>0</v>
      </c>
    </row>
    <row r="628" spans="1:27">
      <c r="A628" t="s">
        <v>291</v>
      </c>
      <c r="B628">
        <v>58</v>
      </c>
      <c r="C628">
        <f>MAX(Table13[Rank])-Table13[[#This Row],[Rank]]</f>
        <v>206</v>
      </c>
      <c r="D628" t="s">
        <v>746</v>
      </c>
      <c r="E628" t="s">
        <v>21</v>
      </c>
      <c r="F628" s="16">
        <v>18492</v>
      </c>
      <c r="G628">
        <f>YEAR(Table13[[#This Row],[Date]])</f>
        <v>1950</v>
      </c>
      <c r="H628" s="15" t="s">
        <v>791</v>
      </c>
      <c r="I628">
        <f>IF(COUNTIF($E628, _xlfn.CONCAT("*",Table13[[#Headers],[Action]],"*")),1,0)</f>
        <v>0</v>
      </c>
      <c r="J628">
        <f>IF(COUNTIF($E628, _xlfn.CONCAT("*",Table13[[#Headers],[Adventure]],"*")),1,0)</f>
        <v>0</v>
      </c>
      <c r="K628">
        <f>IF(COUNTIF($E628, _xlfn.CONCAT("*",Table13[[#Headers],[Animation]],"*")),1,0)</f>
        <v>0</v>
      </c>
      <c r="L628">
        <f>IF(COUNTIF($E628, _xlfn.CONCAT("*",Table13[[#Headers],[Comedy]],"*")),1,0)</f>
        <v>0</v>
      </c>
      <c r="M628">
        <f>IF(COUNTIF($E628, _xlfn.CONCAT("*",Table13[[#Headers],[Crime]],"*")),1,0)</f>
        <v>0</v>
      </c>
      <c r="N628">
        <f>IF(COUNTIF($E628, _xlfn.CONCAT("*",Table13[[#Headers],[Documentary]],"*")),1,0)</f>
        <v>0</v>
      </c>
      <c r="O628">
        <f>IF(COUNTIF($E628, _xlfn.CONCAT("*",Table13[[#Headers],[Drama]],"*")),1,0)</f>
        <v>1</v>
      </c>
      <c r="P628">
        <f>IF(COUNTIF($E628, _xlfn.CONCAT("*",Table13[[#Headers],[Family]],"*")),1,0)</f>
        <v>0</v>
      </c>
      <c r="Q628">
        <f>IF(COUNTIF($E628, _xlfn.CONCAT("*",Table13[[#Headers],[Fantasy]],"*")),1,0)</f>
        <v>0</v>
      </c>
      <c r="R628">
        <f>IF(COUNTIF($E628, _xlfn.CONCAT("*",Table13[[#Headers],[History]],"*")),1,0)</f>
        <v>0</v>
      </c>
      <c r="S628">
        <f>IF(COUNTIF($E628, _xlfn.CONCAT("*",Table13[[#Headers],[Horror]],"*")),1,0)</f>
        <v>0</v>
      </c>
      <c r="T628">
        <f>IF(COUNTIF($E628, _xlfn.CONCAT("*",Table13[[#Headers],[Music]],"*")),1,0)</f>
        <v>0</v>
      </c>
      <c r="U628">
        <f>IF(COUNTIF($E628, _xlfn.CONCAT("*",Table13[[#Headers],[Mystery]],"*")),1,0)</f>
        <v>0</v>
      </c>
      <c r="V628">
        <f>IF(COUNTIF($E628, _xlfn.CONCAT("*",Table13[[#Headers],[Romance]],"*")),1,0)</f>
        <v>0</v>
      </c>
      <c r="W628">
        <f>IF(COUNTIF($E628, _xlfn.CONCAT("*",Table13[[#Headers],[Science Fiction]],"*")),1,0)</f>
        <v>0</v>
      </c>
      <c r="X628">
        <f>IF(COUNTIF($E628, _xlfn.CONCAT("*",Table13[[#Headers],[TV Movie]],"*")),1,0)</f>
        <v>0</v>
      </c>
      <c r="Y628">
        <f>IF(COUNTIF($E628, _xlfn.CONCAT("*",Table13[[#Headers],[Thriller]],"*")),1,0)</f>
        <v>0</v>
      </c>
      <c r="Z628">
        <f>IF(COUNTIF($E628, _xlfn.CONCAT("*",Table13[[#Headers],[War]],"*")),1,0)</f>
        <v>0</v>
      </c>
      <c r="AA628">
        <f>IF(COUNTIF($E628, _xlfn.CONCAT("*",Table13[[#Headers],[Western]],"*")),1,0)</f>
        <v>0</v>
      </c>
    </row>
    <row r="629" spans="1:27">
      <c r="A629" t="s">
        <v>440</v>
      </c>
      <c r="B629">
        <v>57</v>
      </c>
      <c r="C629">
        <f>MAX(Table13[Rank])-Table13[[#This Row],[Rank]]</f>
        <v>207</v>
      </c>
      <c r="D629" t="s">
        <v>746</v>
      </c>
      <c r="E629" t="s">
        <v>441</v>
      </c>
      <c r="F629" s="1">
        <v>39645</v>
      </c>
      <c r="G629">
        <f>YEAR(Table13[[#This Row],[Date]])</f>
        <v>2008</v>
      </c>
      <c r="H629" t="s">
        <v>440</v>
      </c>
      <c r="I629">
        <f>IF(COUNTIF($E629, _xlfn.CONCAT("*",Table13[[#Headers],[Action]],"*")),1,0)</f>
        <v>1</v>
      </c>
      <c r="J629">
        <f>IF(COUNTIF($E629, _xlfn.CONCAT("*",Table13[[#Headers],[Adventure]],"*")),1,0)</f>
        <v>0</v>
      </c>
      <c r="K629">
        <f>IF(COUNTIF($E629, _xlfn.CONCAT("*",Table13[[#Headers],[Animation]],"*")),1,0)</f>
        <v>0</v>
      </c>
      <c r="L629">
        <f>IF(COUNTIF($E629, _xlfn.CONCAT("*",Table13[[#Headers],[Comedy]],"*")),1,0)</f>
        <v>0</v>
      </c>
      <c r="M629">
        <f>IF(COUNTIF($E629, _xlfn.CONCAT("*",Table13[[#Headers],[Crime]],"*")),1,0)</f>
        <v>1</v>
      </c>
      <c r="N629">
        <f>IF(COUNTIF($E629, _xlfn.CONCAT("*",Table13[[#Headers],[Documentary]],"*")),1,0)</f>
        <v>0</v>
      </c>
      <c r="O629">
        <f>IF(COUNTIF($E629, _xlfn.CONCAT("*",Table13[[#Headers],[Drama]],"*")),1,0)</f>
        <v>1</v>
      </c>
      <c r="P629">
        <f>IF(COUNTIF($E629, _xlfn.CONCAT("*",Table13[[#Headers],[Family]],"*")),1,0)</f>
        <v>0</v>
      </c>
      <c r="Q629">
        <f>IF(COUNTIF($E629, _xlfn.CONCAT("*",Table13[[#Headers],[Fantasy]],"*")),1,0)</f>
        <v>0</v>
      </c>
      <c r="R629">
        <f>IF(COUNTIF($E629, _xlfn.CONCAT("*",Table13[[#Headers],[History]],"*")),1,0)</f>
        <v>0</v>
      </c>
      <c r="S629">
        <f>IF(COUNTIF($E629, _xlfn.CONCAT("*",Table13[[#Headers],[Horror]],"*")),1,0)</f>
        <v>0</v>
      </c>
      <c r="T629">
        <f>IF(COUNTIF($E629, _xlfn.CONCAT("*",Table13[[#Headers],[Music]],"*")),1,0)</f>
        <v>0</v>
      </c>
      <c r="U629">
        <f>IF(COUNTIF($E629, _xlfn.CONCAT("*",Table13[[#Headers],[Mystery]],"*")),1,0)</f>
        <v>0</v>
      </c>
      <c r="V629">
        <f>IF(COUNTIF($E629, _xlfn.CONCAT("*",Table13[[#Headers],[Romance]],"*")),1,0)</f>
        <v>0</v>
      </c>
      <c r="W629">
        <f>IF(COUNTIF($E629, _xlfn.CONCAT("*",Table13[[#Headers],[Science Fiction]],"*")),1,0)</f>
        <v>0</v>
      </c>
      <c r="X629">
        <f>IF(COUNTIF($E629, _xlfn.CONCAT("*",Table13[[#Headers],[TV Movie]],"*")),1,0)</f>
        <v>0</v>
      </c>
      <c r="Y629">
        <f>IF(COUNTIF($E629, _xlfn.CONCAT("*",Table13[[#Headers],[Thriller]],"*")),1,0)</f>
        <v>1</v>
      </c>
      <c r="Z629">
        <f>IF(COUNTIF($E629, _xlfn.CONCAT("*",Table13[[#Headers],[War]],"*")),1,0)</f>
        <v>0</v>
      </c>
      <c r="AA629">
        <f>IF(COUNTIF($E629, _xlfn.CONCAT("*",Table13[[#Headers],[Western]],"*")),1,0)</f>
        <v>0</v>
      </c>
    </row>
    <row r="630" spans="1:27">
      <c r="A630" t="s">
        <v>615</v>
      </c>
      <c r="B630">
        <v>56</v>
      </c>
      <c r="C630">
        <f>MAX(Table13[Rank])-Table13[[#This Row],[Rank]]</f>
        <v>208</v>
      </c>
      <c r="D630" t="s">
        <v>746</v>
      </c>
      <c r="E630" t="s">
        <v>360</v>
      </c>
      <c r="F630" s="1">
        <v>38065</v>
      </c>
      <c r="G630">
        <f>YEAR(Table13[[#This Row],[Date]])</f>
        <v>2004</v>
      </c>
      <c r="H630" t="s">
        <v>615</v>
      </c>
      <c r="I630">
        <f>IF(COUNTIF($E630, _xlfn.CONCAT("*",Table13[[#Headers],[Action]],"*")),1,0)</f>
        <v>0</v>
      </c>
      <c r="J630">
        <f>IF(COUNTIF($E630, _xlfn.CONCAT("*",Table13[[#Headers],[Adventure]],"*")),1,0)</f>
        <v>0</v>
      </c>
      <c r="K630">
        <f>IF(COUNTIF($E630, _xlfn.CONCAT("*",Table13[[#Headers],[Animation]],"*")),1,0)</f>
        <v>0</v>
      </c>
      <c r="L630">
        <f>IF(COUNTIF($E630, _xlfn.CONCAT("*",Table13[[#Headers],[Comedy]],"*")),1,0)</f>
        <v>0</v>
      </c>
      <c r="M630">
        <f>IF(COUNTIF($E630, _xlfn.CONCAT("*",Table13[[#Headers],[Crime]],"*")),1,0)</f>
        <v>0</v>
      </c>
      <c r="N630">
        <f>IF(COUNTIF($E630, _xlfn.CONCAT("*",Table13[[#Headers],[Documentary]],"*")),1,0)</f>
        <v>0</v>
      </c>
      <c r="O630">
        <f>IF(COUNTIF($E630, _xlfn.CONCAT("*",Table13[[#Headers],[Drama]],"*")),1,0)</f>
        <v>1</v>
      </c>
      <c r="P630">
        <f>IF(COUNTIF($E630, _xlfn.CONCAT("*",Table13[[#Headers],[Family]],"*")),1,0)</f>
        <v>0</v>
      </c>
      <c r="Q630">
        <f>IF(COUNTIF($E630, _xlfn.CONCAT("*",Table13[[#Headers],[Fantasy]],"*")),1,0)</f>
        <v>0</v>
      </c>
      <c r="R630">
        <f>IF(COUNTIF($E630, _xlfn.CONCAT("*",Table13[[#Headers],[History]],"*")),1,0)</f>
        <v>0</v>
      </c>
      <c r="S630">
        <f>IF(COUNTIF($E630, _xlfn.CONCAT("*",Table13[[#Headers],[Horror]],"*")),1,0)</f>
        <v>0</v>
      </c>
      <c r="T630">
        <f>IF(COUNTIF($E630, _xlfn.CONCAT("*",Table13[[#Headers],[Music]],"*")),1,0)</f>
        <v>0</v>
      </c>
      <c r="U630">
        <f>IF(COUNTIF($E630, _xlfn.CONCAT("*",Table13[[#Headers],[Mystery]],"*")),1,0)</f>
        <v>0</v>
      </c>
      <c r="V630">
        <f>IF(COUNTIF($E630, _xlfn.CONCAT("*",Table13[[#Headers],[Romance]],"*")),1,0)</f>
        <v>1</v>
      </c>
      <c r="W630">
        <f>IF(COUNTIF($E630, _xlfn.CONCAT("*",Table13[[#Headers],[Science Fiction]],"*")),1,0)</f>
        <v>1</v>
      </c>
      <c r="X630">
        <f>IF(COUNTIF($E630, _xlfn.CONCAT("*",Table13[[#Headers],[TV Movie]],"*")),1,0)</f>
        <v>0</v>
      </c>
      <c r="Y630">
        <f>IF(COUNTIF($E630, _xlfn.CONCAT("*",Table13[[#Headers],[Thriller]],"*")),1,0)</f>
        <v>0</v>
      </c>
      <c r="Z630">
        <f>IF(COUNTIF($E630, _xlfn.CONCAT("*",Table13[[#Headers],[War]],"*")),1,0)</f>
        <v>0</v>
      </c>
      <c r="AA630">
        <f>IF(COUNTIF($E630, _xlfn.CONCAT("*",Table13[[#Headers],[Western]],"*")),1,0)</f>
        <v>0</v>
      </c>
    </row>
    <row r="631" spans="1:27">
      <c r="A631" t="s">
        <v>362</v>
      </c>
      <c r="B631">
        <v>55</v>
      </c>
      <c r="C631">
        <f>MAX(Table13[Rank])-Table13[[#This Row],[Rank]]</f>
        <v>209</v>
      </c>
      <c r="D631" t="s">
        <v>746</v>
      </c>
      <c r="E631" t="s">
        <v>156</v>
      </c>
      <c r="F631" s="1">
        <v>27799</v>
      </c>
      <c r="G631">
        <f>YEAR(Table13[[#This Row],[Date]])</f>
        <v>1976</v>
      </c>
      <c r="H631" t="s">
        <v>362</v>
      </c>
      <c r="I631">
        <f>IF(COUNTIF($E631, _xlfn.CONCAT("*",Table13[[#Headers],[Action]],"*")),1,0)</f>
        <v>0</v>
      </c>
      <c r="J631">
        <f>IF(COUNTIF($E631, _xlfn.CONCAT("*",Table13[[#Headers],[Adventure]],"*")),1,0)</f>
        <v>0</v>
      </c>
      <c r="K631">
        <f>IF(COUNTIF($E631, _xlfn.CONCAT("*",Table13[[#Headers],[Animation]],"*")),1,0)</f>
        <v>0</v>
      </c>
      <c r="L631">
        <f>IF(COUNTIF($E631, _xlfn.CONCAT("*",Table13[[#Headers],[Comedy]],"*")),1,0)</f>
        <v>0</v>
      </c>
      <c r="M631">
        <f>IF(COUNTIF($E631, _xlfn.CONCAT("*",Table13[[#Headers],[Crime]],"*")),1,0)</f>
        <v>1</v>
      </c>
      <c r="N631">
        <f>IF(COUNTIF($E631, _xlfn.CONCAT("*",Table13[[#Headers],[Documentary]],"*")),1,0)</f>
        <v>0</v>
      </c>
      <c r="O631">
        <f>IF(COUNTIF($E631, _xlfn.CONCAT("*",Table13[[#Headers],[Drama]],"*")),1,0)</f>
        <v>1</v>
      </c>
      <c r="P631">
        <f>IF(COUNTIF($E631, _xlfn.CONCAT("*",Table13[[#Headers],[Family]],"*")),1,0)</f>
        <v>0</v>
      </c>
      <c r="Q631">
        <f>IF(COUNTIF($E631, _xlfn.CONCAT("*",Table13[[#Headers],[Fantasy]],"*")),1,0)</f>
        <v>0</v>
      </c>
      <c r="R631">
        <f>IF(COUNTIF($E631, _xlfn.CONCAT("*",Table13[[#Headers],[History]],"*")),1,0)</f>
        <v>0</v>
      </c>
      <c r="S631">
        <f>IF(COUNTIF($E631, _xlfn.CONCAT("*",Table13[[#Headers],[Horror]],"*")),1,0)</f>
        <v>0</v>
      </c>
      <c r="T631">
        <f>IF(COUNTIF($E631, _xlfn.CONCAT("*",Table13[[#Headers],[Music]],"*")),1,0)</f>
        <v>0</v>
      </c>
      <c r="U631">
        <f>IF(COUNTIF($E631, _xlfn.CONCAT("*",Table13[[#Headers],[Mystery]],"*")),1,0)</f>
        <v>0</v>
      </c>
      <c r="V631">
        <f>IF(COUNTIF($E631, _xlfn.CONCAT("*",Table13[[#Headers],[Romance]],"*")),1,0)</f>
        <v>0</v>
      </c>
      <c r="W631">
        <f>IF(COUNTIF($E631, _xlfn.CONCAT("*",Table13[[#Headers],[Science Fiction]],"*")),1,0)</f>
        <v>0</v>
      </c>
      <c r="X631">
        <f>IF(COUNTIF($E631, _xlfn.CONCAT("*",Table13[[#Headers],[TV Movie]],"*")),1,0)</f>
        <v>0</v>
      </c>
      <c r="Y631">
        <f>IF(COUNTIF($E631, _xlfn.CONCAT("*",Table13[[#Headers],[Thriller]],"*")),1,0)</f>
        <v>0</v>
      </c>
      <c r="Z631">
        <f>IF(COUNTIF($E631, _xlfn.CONCAT("*",Table13[[#Headers],[War]],"*")),1,0)</f>
        <v>0</v>
      </c>
      <c r="AA631">
        <f>IF(COUNTIF($E631, _xlfn.CONCAT("*",Table13[[#Headers],[Western]],"*")),1,0)</f>
        <v>0</v>
      </c>
    </row>
    <row r="632" spans="1:27">
      <c r="A632" t="s">
        <v>774</v>
      </c>
      <c r="B632">
        <v>54</v>
      </c>
      <c r="C632">
        <f>MAX(Table13[Rank])-Table13[[#This Row],[Rank]]</f>
        <v>210</v>
      </c>
      <c r="D632" t="s">
        <v>746</v>
      </c>
      <c r="E632" t="s">
        <v>141</v>
      </c>
      <c r="F632" s="1">
        <v>25218</v>
      </c>
      <c r="G632">
        <f>YEAR(Table13[[#This Row],[Date]])</f>
        <v>1969</v>
      </c>
      <c r="H632" t="s">
        <v>774</v>
      </c>
      <c r="I632">
        <f>IF(COUNTIF($E632, _xlfn.CONCAT("*",Table13[[#Headers],[Action]],"*")),1,0)</f>
        <v>0</v>
      </c>
      <c r="J632">
        <f>IF(COUNTIF($E632, _xlfn.CONCAT("*",Table13[[#Headers],[Adventure]],"*")),1,0)</f>
        <v>0</v>
      </c>
      <c r="K632">
        <f>IF(COUNTIF($E632, _xlfn.CONCAT("*",Table13[[#Headers],[Animation]],"*")),1,0)</f>
        <v>0</v>
      </c>
      <c r="L632">
        <f>IF(COUNTIF($E632, _xlfn.CONCAT("*",Table13[[#Headers],[Comedy]],"*")),1,0)</f>
        <v>0</v>
      </c>
      <c r="M632">
        <f>IF(COUNTIF($E632, _xlfn.CONCAT("*",Table13[[#Headers],[Crime]],"*")),1,0)</f>
        <v>0</v>
      </c>
      <c r="N632">
        <f>IF(COUNTIF($E632, _xlfn.CONCAT("*",Table13[[#Headers],[Documentary]],"*")),1,0)</f>
        <v>0</v>
      </c>
      <c r="O632">
        <f>IF(COUNTIF($E632, _xlfn.CONCAT("*",Table13[[#Headers],[Drama]],"*")),1,0)</f>
        <v>0</v>
      </c>
      <c r="P632">
        <f>IF(COUNTIF($E632, _xlfn.CONCAT("*",Table13[[#Headers],[Family]],"*")),1,0)</f>
        <v>0</v>
      </c>
      <c r="Q632">
        <f>IF(COUNTIF($E632, _xlfn.CONCAT("*",Table13[[#Headers],[Fantasy]],"*")),1,0)</f>
        <v>0</v>
      </c>
      <c r="R632">
        <f>IF(COUNTIF($E632, _xlfn.CONCAT("*",Table13[[#Headers],[History]],"*")),1,0)</f>
        <v>0</v>
      </c>
      <c r="S632">
        <f>IF(COUNTIF($E632, _xlfn.CONCAT("*",Table13[[#Headers],[Horror]],"*")),1,0)</f>
        <v>0</v>
      </c>
      <c r="T632">
        <f>IF(COUNTIF($E632, _xlfn.CONCAT("*",Table13[[#Headers],[Music]],"*")),1,0)</f>
        <v>0</v>
      </c>
      <c r="U632">
        <f>IF(COUNTIF($E632, _xlfn.CONCAT("*",Table13[[#Headers],[Mystery]],"*")),1,0)</f>
        <v>0</v>
      </c>
      <c r="V632">
        <f>IF(COUNTIF($E632, _xlfn.CONCAT("*",Table13[[#Headers],[Romance]],"*")),1,0)</f>
        <v>0</v>
      </c>
      <c r="W632">
        <f>IF(COUNTIF($E632, _xlfn.CONCAT("*",Table13[[#Headers],[Science Fiction]],"*")),1,0)</f>
        <v>0</v>
      </c>
      <c r="X632">
        <f>IF(COUNTIF($E632, _xlfn.CONCAT("*",Table13[[#Headers],[TV Movie]],"*")),1,0)</f>
        <v>0</v>
      </c>
      <c r="Y632">
        <f>IF(COUNTIF($E632, _xlfn.CONCAT("*",Table13[[#Headers],[Thriller]],"*")),1,0)</f>
        <v>0</v>
      </c>
      <c r="Z632">
        <f>IF(COUNTIF($E632, _xlfn.CONCAT("*",Table13[[#Headers],[War]],"*")),1,0)</f>
        <v>0</v>
      </c>
      <c r="AA632">
        <f>IF(COUNTIF($E632, _xlfn.CONCAT("*",Table13[[#Headers],[Western]],"*")),1,0)</f>
        <v>1</v>
      </c>
    </row>
    <row r="633" spans="1:27">
      <c r="A633" t="s">
        <v>775</v>
      </c>
      <c r="B633">
        <v>53</v>
      </c>
      <c r="C633">
        <f>MAX(Table13[Rank])-Table13[[#This Row],[Rank]]</f>
        <v>211</v>
      </c>
      <c r="D633" t="s">
        <v>746</v>
      </c>
      <c r="E633" t="s">
        <v>21</v>
      </c>
      <c r="F633" s="1">
        <v>35769</v>
      </c>
      <c r="G633">
        <f>YEAR(Table13[[#This Row],[Date]])</f>
        <v>1997</v>
      </c>
      <c r="H633" t="s">
        <v>775</v>
      </c>
      <c r="I633">
        <f>IF(COUNTIF($E633, _xlfn.CONCAT("*",Table13[[#Headers],[Action]],"*")),1,0)</f>
        <v>0</v>
      </c>
      <c r="J633">
        <f>IF(COUNTIF($E633, _xlfn.CONCAT("*",Table13[[#Headers],[Adventure]],"*")),1,0)</f>
        <v>0</v>
      </c>
      <c r="K633">
        <f>IF(COUNTIF($E633, _xlfn.CONCAT("*",Table13[[#Headers],[Animation]],"*")),1,0)</f>
        <v>0</v>
      </c>
      <c r="L633">
        <f>IF(COUNTIF($E633, _xlfn.CONCAT("*",Table13[[#Headers],[Comedy]],"*")),1,0)</f>
        <v>0</v>
      </c>
      <c r="M633">
        <f>IF(COUNTIF($E633, _xlfn.CONCAT("*",Table13[[#Headers],[Crime]],"*")),1,0)</f>
        <v>0</v>
      </c>
      <c r="N633">
        <f>IF(COUNTIF($E633, _xlfn.CONCAT("*",Table13[[#Headers],[Documentary]],"*")),1,0)</f>
        <v>0</v>
      </c>
      <c r="O633">
        <f>IF(COUNTIF($E633, _xlfn.CONCAT("*",Table13[[#Headers],[Drama]],"*")),1,0)</f>
        <v>1</v>
      </c>
      <c r="P633">
        <f>IF(COUNTIF($E633, _xlfn.CONCAT("*",Table13[[#Headers],[Family]],"*")),1,0)</f>
        <v>0</v>
      </c>
      <c r="Q633">
        <f>IF(COUNTIF($E633, _xlfn.CONCAT("*",Table13[[#Headers],[Fantasy]],"*")),1,0)</f>
        <v>0</v>
      </c>
      <c r="R633">
        <f>IF(COUNTIF($E633, _xlfn.CONCAT("*",Table13[[#Headers],[History]],"*")),1,0)</f>
        <v>0</v>
      </c>
      <c r="S633">
        <f>IF(COUNTIF($E633, _xlfn.CONCAT("*",Table13[[#Headers],[Horror]],"*")),1,0)</f>
        <v>0</v>
      </c>
      <c r="T633">
        <f>IF(COUNTIF($E633, _xlfn.CONCAT("*",Table13[[#Headers],[Music]],"*")),1,0)</f>
        <v>0</v>
      </c>
      <c r="U633">
        <f>IF(COUNTIF($E633, _xlfn.CONCAT("*",Table13[[#Headers],[Mystery]],"*")),1,0)</f>
        <v>0</v>
      </c>
      <c r="V633">
        <f>IF(COUNTIF($E633, _xlfn.CONCAT("*",Table13[[#Headers],[Romance]],"*")),1,0)</f>
        <v>0</v>
      </c>
      <c r="W633">
        <f>IF(COUNTIF($E633, _xlfn.CONCAT("*",Table13[[#Headers],[Science Fiction]],"*")),1,0)</f>
        <v>0</v>
      </c>
      <c r="X633">
        <f>IF(COUNTIF($E633, _xlfn.CONCAT("*",Table13[[#Headers],[TV Movie]],"*")),1,0)</f>
        <v>0</v>
      </c>
      <c r="Y633">
        <f>IF(COUNTIF($E633, _xlfn.CONCAT("*",Table13[[#Headers],[Thriller]],"*")),1,0)</f>
        <v>0</v>
      </c>
      <c r="Z633">
        <f>IF(COUNTIF($E633, _xlfn.CONCAT("*",Table13[[#Headers],[War]],"*")),1,0)</f>
        <v>0</v>
      </c>
      <c r="AA633">
        <f>IF(COUNTIF($E633, _xlfn.CONCAT("*",Table13[[#Headers],[Western]],"*")),1,0)</f>
        <v>0</v>
      </c>
    </row>
    <row r="634" spans="1:27">
      <c r="A634" t="s">
        <v>75</v>
      </c>
      <c r="B634">
        <v>52</v>
      </c>
      <c r="C634">
        <f>MAX(Table13[Rank])-Table13[[#This Row],[Rank]]</f>
        <v>212</v>
      </c>
      <c r="D634" t="s">
        <v>746</v>
      </c>
      <c r="E634" t="s">
        <v>21</v>
      </c>
      <c r="F634" s="1">
        <v>18576</v>
      </c>
      <c r="G634">
        <f>YEAR(Table13[[#This Row],[Date]])</f>
        <v>1950</v>
      </c>
      <c r="H634" t="s">
        <v>75</v>
      </c>
      <c r="I634">
        <f>IF(COUNTIF($E634, _xlfn.CONCAT("*",Table13[[#Headers],[Action]],"*")),1,0)</f>
        <v>0</v>
      </c>
      <c r="J634">
        <f>IF(COUNTIF($E634, _xlfn.CONCAT("*",Table13[[#Headers],[Adventure]],"*")),1,0)</f>
        <v>0</v>
      </c>
      <c r="K634">
        <f>IF(COUNTIF($E634, _xlfn.CONCAT("*",Table13[[#Headers],[Animation]],"*")),1,0)</f>
        <v>0</v>
      </c>
      <c r="L634">
        <f>IF(COUNTIF($E634, _xlfn.CONCAT("*",Table13[[#Headers],[Comedy]],"*")),1,0)</f>
        <v>0</v>
      </c>
      <c r="M634">
        <f>IF(COUNTIF($E634, _xlfn.CONCAT("*",Table13[[#Headers],[Crime]],"*")),1,0)</f>
        <v>0</v>
      </c>
      <c r="N634">
        <f>IF(COUNTIF($E634, _xlfn.CONCAT("*",Table13[[#Headers],[Documentary]],"*")),1,0)</f>
        <v>0</v>
      </c>
      <c r="O634">
        <f>IF(COUNTIF($E634, _xlfn.CONCAT("*",Table13[[#Headers],[Drama]],"*")),1,0)</f>
        <v>1</v>
      </c>
      <c r="P634">
        <f>IF(COUNTIF($E634, _xlfn.CONCAT("*",Table13[[#Headers],[Family]],"*")),1,0)</f>
        <v>0</v>
      </c>
      <c r="Q634">
        <f>IF(COUNTIF($E634, _xlfn.CONCAT("*",Table13[[#Headers],[Fantasy]],"*")),1,0)</f>
        <v>0</v>
      </c>
      <c r="R634">
        <f>IF(COUNTIF($E634, _xlfn.CONCAT("*",Table13[[#Headers],[History]],"*")),1,0)</f>
        <v>0</v>
      </c>
      <c r="S634">
        <f>IF(COUNTIF($E634, _xlfn.CONCAT("*",Table13[[#Headers],[Horror]],"*")),1,0)</f>
        <v>0</v>
      </c>
      <c r="T634">
        <f>IF(COUNTIF($E634, _xlfn.CONCAT("*",Table13[[#Headers],[Music]],"*")),1,0)</f>
        <v>0</v>
      </c>
      <c r="U634">
        <f>IF(COUNTIF($E634, _xlfn.CONCAT("*",Table13[[#Headers],[Mystery]],"*")),1,0)</f>
        <v>0</v>
      </c>
      <c r="V634">
        <f>IF(COUNTIF($E634, _xlfn.CONCAT("*",Table13[[#Headers],[Romance]],"*")),1,0)</f>
        <v>0</v>
      </c>
      <c r="W634">
        <f>IF(COUNTIF($E634, _xlfn.CONCAT("*",Table13[[#Headers],[Science Fiction]],"*")),1,0)</f>
        <v>0</v>
      </c>
      <c r="X634">
        <f>IF(COUNTIF($E634, _xlfn.CONCAT("*",Table13[[#Headers],[TV Movie]],"*")),1,0)</f>
        <v>0</v>
      </c>
      <c r="Y634">
        <f>IF(COUNTIF($E634, _xlfn.CONCAT("*",Table13[[#Headers],[Thriller]],"*")),1,0)</f>
        <v>0</v>
      </c>
      <c r="Z634">
        <f>IF(COUNTIF($E634, _xlfn.CONCAT("*",Table13[[#Headers],[War]],"*")),1,0)</f>
        <v>0</v>
      </c>
      <c r="AA634">
        <f>IF(COUNTIF($E634, _xlfn.CONCAT("*",Table13[[#Headers],[Western]],"*")),1,0)</f>
        <v>0</v>
      </c>
    </row>
    <row r="635" spans="1:27">
      <c r="A635" t="s">
        <v>603</v>
      </c>
      <c r="B635">
        <v>51</v>
      </c>
      <c r="C635">
        <f>MAX(Table13[Rank])-Table13[[#This Row],[Rank]]</f>
        <v>213</v>
      </c>
      <c r="D635" t="s">
        <v>746</v>
      </c>
      <c r="E635" t="s">
        <v>602</v>
      </c>
      <c r="F635" s="1">
        <v>35860</v>
      </c>
      <c r="G635">
        <f>YEAR(Table13[[#This Row],[Date]])</f>
        <v>1998</v>
      </c>
      <c r="H635" t="s">
        <v>603</v>
      </c>
      <c r="I635">
        <f>IF(COUNTIF($E635, _xlfn.CONCAT("*",Table13[[#Headers],[Action]],"*")),1,0)</f>
        <v>0</v>
      </c>
      <c r="J635">
        <f>IF(COUNTIF($E635, _xlfn.CONCAT("*",Table13[[#Headers],[Adventure]],"*")),1,0)</f>
        <v>0</v>
      </c>
      <c r="K635">
        <f>IF(COUNTIF($E635, _xlfn.CONCAT("*",Table13[[#Headers],[Animation]],"*")),1,0)</f>
        <v>0</v>
      </c>
      <c r="L635">
        <f>IF(COUNTIF($E635, _xlfn.CONCAT("*",Table13[[#Headers],[Comedy]],"*")),1,0)</f>
        <v>1</v>
      </c>
      <c r="M635">
        <f>IF(COUNTIF($E635, _xlfn.CONCAT("*",Table13[[#Headers],[Crime]],"*")),1,0)</f>
        <v>1</v>
      </c>
      <c r="N635">
        <f>IF(COUNTIF($E635, _xlfn.CONCAT("*",Table13[[#Headers],[Documentary]],"*")),1,0)</f>
        <v>0</v>
      </c>
      <c r="O635">
        <f>IF(COUNTIF($E635, _xlfn.CONCAT("*",Table13[[#Headers],[Drama]],"*")),1,0)</f>
        <v>0</v>
      </c>
      <c r="P635">
        <f>IF(COUNTIF($E635, _xlfn.CONCAT("*",Table13[[#Headers],[Family]],"*")),1,0)</f>
        <v>0</v>
      </c>
      <c r="Q635">
        <f>IF(COUNTIF($E635, _xlfn.CONCAT("*",Table13[[#Headers],[Fantasy]],"*")),1,0)</f>
        <v>0</v>
      </c>
      <c r="R635">
        <f>IF(COUNTIF($E635, _xlfn.CONCAT("*",Table13[[#Headers],[History]],"*")),1,0)</f>
        <v>0</v>
      </c>
      <c r="S635">
        <f>IF(COUNTIF($E635, _xlfn.CONCAT("*",Table13[[#Headers],[Horror]],"*")),1,0)</f>
        <v>0</v>
      </c>
      <c r="T635">
        <f>IF(COUNTIF($E635, _xlfn.CONCAT("*",Table13[[#Headers],[Music]],"*")),1,0)</f>
        <v>0</v>
      </c>
      <c r="U635">
        <f>IF(COUNTIF($E635, _xlfn.CONCAT("*",Table13[[#Headers],[Mystery]],"*")),1,0)</f>
        <v>0</v>
      </c>
      <c r="V635">
        <f>IF(COUNTIF($E635, _xlfn.CONCAT("*",Table13[[#Headers],[Romance]],"*")),1,0)</f>
        <v>0</v>
      </c>
      <c r="W635">
        <f>IF(COUNTIF($E635, _xlfn.CONCAT("*",Table13[[#Headers],[Science Fiction]],"*")),1,0)</f>
        <v>0</v>
      </c>
      <c r="X635">
        <f>IF(COUNTIF($E635, _xlfn.CONCAT("*",Table13[[#Headers],[TV Movie]],"*")),1,0)</f>
        <v>0</v>
      </c>
      <c r="Y635">
        <f>IF(COUNTIF($E635, _xlfn.CONCAT("*",Table13[[#Headers],[Thriller]],"*")),1,0)</f>
        <v>0</v>
      </c>
      <c r="Z635">
        <f>IF(COUNTIF($E635, _xlfn.CONCAT("*",Table13[[#Headers],[War]],"*")),1,0)</f>
        <v>0</v>
      </c>
      <c r="AA635">
        <f>IF(COUNTIF($E635, _xlfn.CONCAT("*",Table13[[#Headers],[Western]],"*")),1,0)</f>
        <v>0</v>
      </c>
    </row>
    <row r="636" spans="1:27">
      <c r="A636" t="s">
        <v>653</v>
      </c>
      <c r="B636">
        <v>50</v>
      </c>
      <c r="C636">
        <f>MAX(Table13[Rank])-Table13[[#This Row],[Rank]]</f>
        <v>214</v>
      </c>
      <c r="D636" t="s">
        <v>746</v>
      </c>
      <c r="E636" t="s">
        <v>652</v>
      </c>
      <c r="F636" s="1">
        <v>34131</v>
      </c>
      <c r="G636">
        <f>YEAR(Table13[[#This Row],[Date]])</f>
        <v>1993</v>
      </c>
      <c r="H636" t="s">
        <v>653</v>
      </c>
      <c r="I636">
        <f>IF(COUNTIF($E636, _xlfn.CONCAT("*",Table13[[#Headers],[Action]],"*")),1,0)</f>
        <v>0</v>
      </c>
      <c r="J636">
        <f>IF(COUNTIF($E636, _xlfn.CONCAT("*",Table13[[#Headers],[Adventure]],"*")),1,0)</f>
        <v>1</v>
      </c>
      <c r="K636">
        <f>IF(COUNTIF($E636, _xlfn.CONCAT("*",Table13[[#Headers],[Animation]],"*")),1,0)</f>
        <v>0</v>
      </c>
      <c r="L636">
        <f>IF(COUNTIF($E636, _xlfn.CONCAT("*",Table13[[#Headers],[Comedy]],"*")),1,0)</f>
        <v>0</v>
      </c>
      <c r="M636">
        <f>IF(COUNTIF($E636, _xlfn.CONCAT("*",Table13[[#Headers],[Crime]],"*")),1,0)</f>
        <v>0</v>
      </c>
      <c r="N636">
        <f>IF(COUNTIF($E636, _xlfn.CONCAT("*",Table13[[#Headers],[Documentary]],"*")),1,0)</f>
        <v>0</v>
      </c>
      <c r="O636">
        <f>IF(COUNTIF($E636, _xlfn.CONCAT("*",Table13[[#Headers],[Drama]],"*")),1,0)</f>
        <v>0</v>
      </c>
      <c r="P636">
        <f>IF(COUNTIF($E636, _xlfn.CONCAT("*",Table13[[#Headers],[Family]],"*")),1,0)</f>
        <v>0</v>
      </c>
      <c r="Q636">
        <f>IF(COUNTIF($E636, _xlfn.CONCAT("*",Table13[[#Headers],[Fantasy]],"*")),1,0)</f>
        <v>0</v>
      </c>
      <c r="R636">
        <f>IF(COUNTIF($E636, _xlfn.CONCAT("*",Table13[[#Headers],[History]],"*")),1,0)</f>
        <v>0</v>
      </c>
      <c r="S636">
        <f>IF(COUNTIF($E636, _xlfn.CONCAT("*",Table13[[#Headers],[Horror]],"*")),1,0)</f>
        <v>0</v>
      </c>
      <c r="T636">
        <f>IF(COUNTIF($E636, _xlfn.CONCAT("*",Table13[[#Headers],[Music]],"*")),1,0)</f>
        <v>0</v>
      </c>
      <c r="U636">
        <f>IF(COUNTIF($E636, _xlfn.CONCAT("*",Table13[[#Headers],[Mystery]],"*")),1,0)</f>
        <v>0</v>
      </c>
      <c r="V636">
        <f>IF(COUNTIF($E636, _xlfn.CONCAT("*",Table13[[#Headers],[Romance]],"*")),1,0)</f>
        <v>0</v>
      </c>
      <c r="W636">
        <f>IF(COUNTIF($E636, _xlfn.CONCAT("*",Table13[[#Headers],[Science Fiction]],"*")),1,0)</f>
        <v>1</v>
      </c>
      <c r="X636">
        <f>IF(COUNTIF($E636, _xlfn.CONCAT("*",Table13[[#Headers],[TV Movie]],"*")),1,0)</f>
        <v>0</v>
      </c>
      <c r="Y636">
        <f>IF(COUNTIF($E636, _xlfn.CONCAT("*",Table13[[#Headers],[Thriller]],"*")),1,0)</f>
        <v>0</v>
      </c>
      <c r="Z636">
        <f>IF(COUNTIF($E636, _xlfn.CONCAT("*",Table13[[#Headers],[War]],"*")),1,0)</f>
        <v>0</v>
      </c>
      <c r="AA636">
        <f>IF(COUNTIF($E636, _xlfn.CONCAT("*",Table13[[#Headers],[Western]],"*")),1,0)</f>
        <v>0</v>
      </c>
    </row>
    <row r="637" spans="1:27">
      <c r="A637" t="s">
        <v>347</v>
      </c>
      <c r="B637">
        <v>49</v>
      </c>
      <c r="C637">
        <f>MAX(Table13[Rank])-Table13[[#This Row],[Rank]]</f>
        <v>215</v>
      </c>
      <c r="D637" t="s">
        <v>746</v>
      </c>
      <c r="E637" t="s">
        <v>315</v>
      </c>
      <c r="F637" s="1">
        <v>19937</v>
      </c>
      <c r="G637">
        <f>YEAR(Table13[[#This Row],[Date]])</f>
        <v>1954</v>
      </c>
      <c r="H637" t="s">
        <v>347</v>
      </c>
      <c r="I637">
        <f>IF(COUNTIF($E637, _xlfn.CONCAT("*",Table13[[#Headers],[Action]],"*")),1,0)</f>
        <v>0</v>
      </c>
      <c r="J637">
        <f>IF(COUNTIF($E637, _xlfn.CONCAT("*",Table13[[#Headers],[Adventure]],"*")),1,0)</f>
        <v>0</v>
      </c>
      <c r="K637">
        <f>IF(COUNTIF($E637, _xlfn.CONCAT("*",Table13[[#Headers],[Animation]],"*")),1,0)</f>
        <v>0</v>
      </c>
      <c r="L637">
        <f>IF(COUNTIF($E637, _xlfn.CONCAT("*",Table13[[#Headers],[Comedy]],"*")),1,0)</f>
        <v>0</v>
      </c>
      <c r="M637">
        <f>IF(COUNTIF($E637, _xlfn.CONCAT("*",Table13[[#Headers],[Crime]],"*")),1,0)</f>
        <v>0</v>
      </c>
      <c r="N637">
        <f>IF(COUNTIF($E637, _xlfn.CONCAT("*",Table13[[#Headers],[Documentary]],"*")),1,0)</f>
        <v>0</v>
      </c>
      <c r="O637">
        <f>IF(COUNTIF($E637, _xlfn.CONCAT("*",Table13[[#Headers],[Drama]],"*")),1,0)</f>
        <v>0</v>
      </c>
      <c r="P637">
        <f>IF(COUNTIF($E637, _xlfn.CONCAT("*",Table13[[#Headers],[Family]],"*")),1,0)</f>
        <v>0</v>
      </c>
      <c r="Q637">
        <f>IF(COUNTIF($E637, _xlfn.CONCAT("*",Table13[[#Headers],[Fantasy]],"*")),1,0)</f>
        <v>0</v>
      </c>
      <c r="R637">
        <f>IF(COUNTIF($E637, _xlfn.CONCAT("*",Table13[[#Headers],[History]],"*")),1,0)</f>
        <v>0</v>
      </c>
      <c r="S637">
        <f>IF(COUNTIF($E637, _xlfn.CONCAT("*",Table13[[#Headers],[Horror]],"*")),1,0)</f>
        <v>0</v>
      </c>
      <c r="T637">
        <f>IF(COUNTIF($E637, _xlfn.CONCAT("*",Table13[[#Headers],[Music]],"*")),1,0)</f>
        <v>0</v>
      </c>
      <c r="U637">
        <f>IF(COUNTIF($E637, _xlfn.CONCAT("*",Table13[[#Headers],[Mystery]],"*")),1,0)</f>
        <v>1</v>
      </c>
      <c r="V637">
        <f>IF(COUNTIF($E637, _xlfn.CONCAT("*",Table13[[#Headers],[Romance]],"*")),1,0)</f>
        <v>0</v>
      </c>
      <c r="W637">
        <f>IF(COUNTIF($E637, _xlfn.CONCAT("*",Table13[[#Headers],[Science Fiction]],"*")),1,0)</f>
        <v>0</v>
      </c>
      <c r="X637">
        <f>IF(COUNTIF($E637, _xlfn.CONCAT("*",Table13[[#Headers],[TV Movie]],"*")),1,0)</f>
        <v>0</v>
      </c>
      <c r="Y637">
        <f>IF(COUNTIF($E637, _xlfn.CONCAT("*",Table13[[#Headers],[Thriller]],"*")),1,0)</f>
        <v>1</v>
      </c>
      <c r="Z637">
        <f>IF(COUNTIF($E637, _xlfn.CONCAT("*",Table13[[#Headers],[War]],"*")),1,0)</f>
        <v>0</v>
      </c>
      <c r="AA637">
        <f>IF(COUNTIF($E637, _xlfn.CONCAT("*",Table13[[#Headers],[Western]],"*")),1,0)</f>
        <v>0</v>
      </c>
    </row>
    <row r="638" spans="1:27">
      <c r="A638" t="s">
        <v>530</v>
      </c>
      <c r="B638">
        <v>48</v>
      </c>
      <c r="C638">
        <f>MAX(Table13[Rank])-Table13[[#This Row],[Rank]]</f>
        <v>216</v>
      </c>
      <c r="D638" t="s">
        <v>746</v>
      </c>
      <c r="E638" t="s">
        <v>529</v>
      </c>
      <c r="F638" s="1">
        <v>34899</v>
      </c>
      <c r="G638">
        <f>YEAR(Table13[[#This Row],[Date]])</f>
        <v>1995</v>
      </c>
      <c r="H638" t="s">
        <v>530</v>
      </c>
      <c r="I638">
        <f>IF(COUNTIF($E638, _xlfn.CONCAT("*",Table13[[#Headers],[Action]],"*")),1,0)</f>
        <v>0</v>
      </c>
      <c r="J638">
        <f>IF(COUNTIF($E638, _xlfn.CONCAT("*",Table13[[#Headers],[Adventure]],"*")),1,0)</f>
        <v>0</v>
      </c>
      <c r="K638">
        <f>IF(COUNTIF($E638, _xlfn.CONCAT("*",Table13[[#Headers],[Animation]],"*")),1,0)</f>
        <v>0</v>
      </c>
      <c r="L638">
        <f>IF(COUNTIF($E638, _xlfn.CONCAT("*",Table13[[#Headers],[Comedy]],"*")),1,0)</f>
        <v>0</v>
      </c>
      <c r="M638">
        <f>IF(COUNTIF($E638, _xlfn.CONCAT("*",Table13[[#Headers],[Crime]],"*")),1,0)</f>
        <v>1</v>
      </c>
      <c r="N638">
        <f>IF(COUNTIF($E638, _xlfn.CONCAT("*",Table13[[#Headers],[Documentary]],"*")),1,0)</f>
        <v>0</v>
      </c>
      <c r="O638">
        <f>IF(COUNTIF($E638, _xlfn.CONCAT("*",Table13[[#Headers],[Drama]],"*")),1,0)</f>
        <v>1</v>
      </c>
      <c r="P638">
        <f>IF(COUNTIF($E638, _xlfn.CONCAT("*",Table13[[#Headers],[Family]],"*")),1,0)</f>
        <v>0</v>
      </c>
      <c r="Q638">
        <f>IF(COUNTIF($E638, _xlfn.CONCAT("*",Table13[[#Headers],[Fantasy]],"*")),1,0)</f>
        <v>0</v>
      </c>
      <c r="R638">
        <f>IF(COUNTIF($E638, _xlfn.CONCAT("*",Table13[[#Headers],[History]],"*")),1,0)</f>
        <v>0</v>
      </c>
      <c r="S638">
        <f>IF(COUNTIF($E638, _xlfn.CONCAT("*",Table13[[#Headers],[Horror]],"*")),1,0)</f>
        <v>0</v>
      </c>
      <c r="T638">
        <f>IF(COUNTIF($E638, _xlfn.CONCAT("*",Table13[[#Headers],[Music]],"*")),1,0)</f>
        <v>0</v>
      </c>
      <c r="U638">
        <f>IF(COUNTIF($E638, _xlfn.CONCAT("*",Table13[[#Headers],[Mystery]],"*")),1,0)</f>
        <v>0</v>
      </c>
      <c r="V638">
        <f>IF(COUNTIF($E638, _xlfn.CONCAT("*",Table13[[#Headers],[Romance]],"*")),1,0)</f>
        <v>0</v>
      </c>
      <c r="W638">
        <f>IF(COUNTIF($E638, _xlfn.CONCAT("*",Table13[[#Headers],[Science Fiction]],"*")),1,0)</f>
        <v>0</v>
      </c>
      <c r="X638">
        <f>IF(COUNTIF($E638, _xlfn.CONCAT("*",Table13[[#Headers],[TV Movie]],"*")),1,0)</f>
        <v>0</v>
      </c>
      <c r="Y638">
        <f>IF(COUNTIF($E638, _xlfn.CONCAT("*",Table13[[#Headers],[Thriller]],"*")),1,0)</f>
        <v>1</v>
      </c>
      <c r="Z638">
        <f>IF(COUNTIF($E638, _xlfn.CONCAT("*",Table13[[#Headers],[War]],"*")),1,0)</f>
        <v>0</v>
      </c>
      <c r="AA638">
        <f>IF(COUNTIF($E638, _xlfn.CONCAT("*",Table13[[#Headers],[Western]],"*")),1,0)</f>
        <v>0</v>
      </c>
    </row>
    <row r="639" spans="1:27">
      <c r="A639" t="s">
        <v>349</v>
      </c>
      <c r="B639">
        <v>47</v>
      </c>
      <c r="C639">
        <f>MAX(Table13[Rank])-Table13[[#This Row],[Rank]]</f>
        <v>217</v>
      </c>
      <c r="D639" t="s">
        <v>746</v>
      </c>
      <c r="E639" t="s">
        <v>350</v>
      </c>
      <c r="F639" s="1">
        <v>21628</v>
      </c>
      <c r="G639">
        <f>YEAR(Table13[[#This Row],[Date]])</f>
        <v>1959</v>
      </c>
      <c r="H639" t="s">
        <v>349</v>
      </c>
      <c r="I639">
        <f>IF(COUNTIF($E639, _xlfn.CONCAT("*",Table13[[#Headers],[Action]],"*")),1,0)</f>
        <v>0</v>
      </c>
      <c r="J639">
        <f>IF(COUNTIF($E639, _xlfn.CONCAT("*",Table13[[#Headers],[Adventure]],"*")),1,0)</f>
        <v>0</v>
      </c>
      <c r="K639">
        <f>IF(COUNTIF($E639, _xlfn.CONCAT("*",Table13[[#Headers],[Animation]],"*")),1,0)</f>
        <v>0</v>
      </c>
      <c r="L639">
        <f>IF(COUNTIF($E639, _xlfn.CONCAT("*",Table13[[#Headers],[Comedy]],"*")),1,0)</f>
        <v>1</v>
      </c>
      <c r="M639">
        <f>IF(COUNTIF($E639, _xlfn.CONCAT("*",Table13[[#Headers],[Crime]],"*")),1,0)</f>
        <v>1</v>
      </c>
      <c r="N639">
        <f>IF(COUNTIF($E639, _xlfn.CONCAT("*",Table13[[#Headers],[Documentary]],"*")),1,0)</f>
        <v>0</v>
      </c>
      <c r="O639">
        <f>IF(COUNTIF($E639, _xlfn.CONCAT("*",Table13[[#Headers],[Drama]],"*")),1,0)</f>
        <v>0</v>
      </c>
      <c r="P639">
        <f>IF(COUNTIF($E639, _xlfn.CONCAT("*",Table13[[#Headers],[Family]],"*")),1,0)</f>
        <v>0</v>
      </c>
      <c r="Q639">
        <f>IF(COUNTIF($E639, _xlfn.CONCAT("*",Table13[[#Headers],[Fantasy]],"*")),1,0)</f>
        <v>0</v>
      </c>
      <c r="R639">
        <f>IF(COUNTIF($E639, _xlfn.CONCAT("*",Table13[[#Headers],[History]],"*")),1,0)</f>
        <v>0</v>
      </c>
      <c r="S639">
        <f>IF(COUNTIF($E639, _xlfn.CONCAT("*",Table13[[#Headers],[Horror]],"*")),1,0)</f>
        <v>0</v>
      </c>
      <c r="T639">
        <f>IF(COUNTIF($E639, _xlfn.CONCAT("*",Table13[[#Headers],[Music]],"*")),1,0)</f>
        <v>0</v>
      </c>
      <c r="U639">
        <f>IF(COUNTIF($E639, _xlfn.CONCAT("*",Table13[[#Headers],[Mystery]],"*")),1,0)</f>
        <v>0</v>
      </c>
      <c r="V639">
        <f>IF(COUNTIF($E639, _xlfn.CONCAT("*",Table13[[#Headers],[Romance]],"*")),1,0)</f>
        <v>1</v>
      </c>
      <c r="W639">
        <f>IF(COUNTIF($E639, _xlfn.CONCAT("*",Table13[[#Headers],[Science Fiction]],"*")),1,0)</f>
        <v>0</v>
      </c>
      <c r="X639">
        <f>IF(COUNTIF($E639, _xlfn.CONCAT("*",Table13[[#Headers],[TV Movie]],"*")),1,0)</f>
        <v>0</v>
      </c>
      <c r="Y639">
        <f>IF(COUNTIF($E639, _xlfn.CONCAT("*",Table13[[#Headers],[Thriller]],"*")),1,0)</f>
        <v>0</v>
      </c>
      <c r="Z639">
        <f>IF(COUNTIF($E639, _xlfn.CONCAT("*",Table13[[#Headers],[War]],"*")),1,0)</f>
        <v>0</v>
      </c>
      <c r="AA639">
        <f>IF(COUNTIF($E639, _xlfn.CONCAT("*",Table13[[#Headers],[Western]],"*")),1,0)</f>
        <v>0</v>
      </c>
    </row>
    <row r="640" spans="1:27">
      <c r="A640" t="s">
        <v>486</v>
      </c>
      <c r="B640">
        <v>46</v>
      </c>
      <c r="C640">
        <f>MAX(Table13[Rank])-Table13[[#This Row],[Rank]]</f>
        <v>218</v>
      </c>
      <c r="D640" t="s">
        <v>746</v>
      </c>
      <c r="E640" t="s">
        <v>186</v>
      </c>
      <c r="F640" s="1">
        <v>36000</v>
      </c>
      <c r="G640">
        <f>YEAR(Table13[[#This Row],[Date]])</f>
        <v>1998</v>
      </c>
      <c r="H640" t="s">
        <v>486</v>
      </c>
      <c r="I640">
        <f>IF(COUNTIF($E640, _xlfn.CONCAT("*",Table13[[#Headers],[Action]],"*")),1,0)</f>
        <v>0</v>
      </c>
      <c r="J640">
        <f>IF(COUNTIF($E640, _xlfn.CONCAT("*",Table13[[#Headers],[Adventure]],"*")),1,0)</f>
        <v>0</v>
      </c>
      <c r="K640">
        <f>IF(COUNTIF($E640, _xlfn.CONCAT("*",Table13[[#Headers],[Animation]],"*")),1,0)</f>
        <v>0</v>
      </c>
      <c r="L640">
        <f>IF(COUNTIF($E640, _xlfn.CONCAT("*",Table13[[#Headers],[Comedy]],"*")),1,0)</f>
        <v>0</v>
      </c>
      <c r="M640">
        <f>IF(COUNTIF($E640, _xlfn.CONCAT("*",Table13[[#Headers],[Crime]],"*")),1,0)</f>
        <v>0</v>
      </c>
      <c r="N640">
        <f>IF(COUNTIF($E640, _xlfn.CONCAT("*",Table13[[#Headers],[Documentary]],"*")),1,0)</f>
        <v>0</v>
      </c>
      <c r="O640">
        <f>IF(COUNTIF($E640, _xlfn.CONCAT("*",Table13[[#Headers],[Drama]],"*")),1,0)</f>
        <v>1</v>
      </c>
      <c r="P640">
        <f>IF(COUNTIF($E640, _xlfn.CONCAT("*",Table13[[#Headers],[Family]],"*")),1,0)</f>
        <v>0</v>
      </c>
      <c r="Q640">
        <f>IF(COUNTIF($E640, _xlfn.CONCAT("*",Table13[[#Headers],[Fantasy]],"*")),1,0)</f>
        <v>0</v>
      </c>
      <c r="R640">
        <f>IF(COUNTIF($E640, _xlfn.CONCAT("*",Table13[[#Headers],[History]],"*")),1,0)</f>
        <v>1</v>
      </c>
      <c r="S640">
        <f>IF(COUNTIF($E640, _xlfn.CONCAT("*",Table13[[#Headers],[Horror]],"*")),1,0)</f>
        <v>0</v>
      </c>
      <c r="T640">
        <f>IF(COUNTIF($E640, _xlfn.CONCAT("*",Table13[[#Headers],[Music]],"*")),1,0)</f>
        <v>0</v>
      </c>
      <c r="U640">
        <f>IF(COUNTIF($E640, _xlfn.CONCAT("*",Table13[[#Headers],[Mystery]],"*")),1,0)</f>
        <v>0</v>
      </c>
      <c r="V640">
        <f>IF(COUNTIF($E640, _xlfn.CONCAT("*",Table13[[#Headers],[Romance]],"*")),1,0)</f>
        <v>0</v>
      </c>
      <c r="W640">
        <f>IF(COUNTIF($E640, _xlfn.CONCAT("*",Table13[[#Headers],[Science Fiction]],"*")),1,0)</f>
        <v>0</v>
      </c>
      <c r="X640">
        <f>IF(COUNTIF($E640, _xlfn.CONCAT("*",Table13[[#Headers],[TV Movie]],"*")),1,0)</f>
        <v>0</v>
      </c>
      <c r="Y640">
        <f>IF(COUNTIF($E640, _xlfn.CONCAT("*",Table13[[#Headers],[Thriller]],"*")),1,0)</f>
        <v>0</v>
      </c>
      <c r="Z640">
        <f>IF(COUNTIF($E640, _xlfn.CONCAT("*",Table13[[#Headers],[War]],"*")),1,0)</f>
        <v>1</v>
      </c>
      <c r="AA640">
        <f>IF(COUNTIF($E640, _xlfn.CONCAT("*",Table13[[#Headers],[Western]],"*")),1,0)</f>
        <v>0</v>
      </c>
    </row>
    <row r="641" spans="1:27">
      <c r="A641" t="s">
        <v>470</v>
      </c>
      <c r="B641">
        <v>45</v>
      </c>
      <c r="C641">
        <f>MAX(Table13[Rank])-Table13[[#This Row],[Rank]]</f>
        <v>219</v>
      </c>
      <c r="D641" t="s">
        <v>746</v>
      </c>
      <c r="E641" t="s">
        <v>35</v>
      </c>
      <c r="F641" s="1">
        <v>35752</v>
      </c>
      <c r="G641">
        <f>YEAR(Table13[[#This Row],[Date]])</f>
        <v>1997</v>
      </c>
      <c r="H641" t="s">
        <v>470</v>
      </c>
      <c r="I641">
        <f>IF(COUNTIF($E641, _xlfn.CONCAT("*",Table13[[#Headers],[Action]],"*")),1,0)</f>
        <v>0</v>
      </c>
      <c r="J641">
        <f>IF(COUNTIF($E641, _xlfn.CONCAT("*",Table13[[#Headers],[Adventure]],"*")),1,0)</f>
        <v>0</v>
      </c>
      <c r="K641">
        <f>IF(COUNTIF($E641, _xlfn.CONCAT("*",Table13[[#Headers],[Animation]],"*")),1,0)</f>
        <v>0</v>
      </c>
      <c r="L641">
        <f>IF(COUNTIF($E641, _xlfn.CONCAT("*",Table13[[#Headers],[Comedy]],"*")),1,0)</f>
        <v>0</v>
      </c>
      <c r="M641">
        <f>IF(COUNTIF($E641, _xlfn.CONCAT("*",Table13[[#Headers],[Crime]],"*")),1,0)</f>
        <v>0</v>
      </c>
      <c r="N641">
        <f>IF(COUNTIF($E641, _xlfn.CONCAT("*",Table13[[#Headers],[Documentary]],"*")),1,0)</f>
        <v>0</v>
      </c>
      <c r="O641">
        <f>IF(COUNTIF($E641, _xlfn.CONCAT("*",Table13[[#Headers],[Drama]],"*")),1,0)</f>
        <v>1</v>
      </c>
      <c r="P641">
        <f>IF(COUNTIF($E641, _xlfn.CONCAT("*",Table13[[#Headers],[Family]],"*")),1,0)</f>
        <v>0</v>
      </c>
      <c r="Q641">
        <f>IF(COUNTIF($E641, _xlfn.CONCAT("*",Table13[[#Headers],[Fantasy]],"*")),1,0)</f>
        <v>0</v>
      </c>
      <c r="R641">
        <f>IF(COUNTIF($E641, _xlfn.CONCAT("*",Table13[[#Headers],[History]],"*")),1,0)</f>
        <v>0</v>
      </c>
      <c r="S641">
        <f>IF(COUNTIF($E641, _xlfn.CONCAT("*",Table13[[#Headers],[Horror]],"*")),1,0)</f>
        <v>0</v>
      </c>
      <c r="T641">
        <f>IF(COUNTIF($E641, _xlfn.CONCAT("*",Table13[[#Headers],[Music]],"*")),1,0)</f>
        <v>0</v>
      </c>
      <c r="U641">
        <f>IF(COUNTIF($E641, _xlfn.CONCAT("*",Table13[[#Headers],[Mystery]],"*")),1,0)</f>
        <v>0</v>
      </c>
      <c r="V641">
        <f>IF(COUNTIF($E641, _xlfn.CONCAT("*",Table13[[#Headers],[Romance]],"*")),1,0)</f>
        <v>1</v>
      </c>
      <c r="W641">
        <f>IF(COUNTIF($E641, _xlfn.CONCAT("*",Table13[[#Headers],[Science Fiction]],"*")),1,0)</f>
        <v>0</v>
      </c>
      <c r="X641">
        <f>IF(COUNTIF($E641, _xlfn.CONCAT("*",Table13[[#Headers],[TV Movie]],"*")),1,0)</f>
        <v>0</v>
      </c>
      <c r="Y641">
        <f>IF(COUNTIF($E641, _xlfn.CONCAT("*",Table13[[#Headers],[Thriller]],"*")),1,0)</f>
        <v>0</v>
      </c>
      <c r="Z641">
        <f>IF(COUNTIF($E641, _xlfn.CONCAT("*",Table13[[#Headers],[War]],"*")),1,0)</f>
        <v>0</v>
      </c>
      <c r="AA641">
        <f>IF(COUNTIF($E641, _xlfn.CONCAT("*",Table13[[#Headers],[Western]],"*")),1,0)</f>
        <v>0</v>
      </c>
    </row>
    <row r="642" spans="1:27">
      <c r="A642" t="s">
        <v>232</v>
      </c>
      <c r="B642">
        <v>44</v>
      </c>
      <c r="C642">
        <f>MAX(Table13[Rank])-Table13[[#This Row],[Rank]]</f>
        <v>220</v>
      </c>
      <c r="D642" t="s">
        <v>746</v>
      </c>
      <c r="E642" t="s">
        <v>233</v>
      </c>
      <c r="F642" s="1">
        <v>36249</v>
      </c>
      <c r="G642">
        <f>YEAR(Table13[[#This Row],[Date]])</f>
        <v>1999</v>
      </c>
      <c r="H642" t="s">
        <v>232</v>
      </c>
      <c r="I642">
        <f>IF(COUNTIF($E642, _xlfn.CONCAT("*",Table13[[#Headers],[Action]],"*")),1,0)</f>
        <v>1</v>
      </c>
      <c r="J642">
        <f>IF(COUNTIF($E642, _xlfn.CONCAT("*",Table13[[#Headers],[Adventure]],"*")),1,0)</f>
        <v>0</v>
      </c>
      <c r="K642">
        <f>IF(COUNTIF($E642, _xlfn.CONCAT("*",Table13[[#Headers],[Animation]],"*")),1,0)</f>
        <v>0</v>
      </c>
      <c r="L642">
        <f>IF(COUNTIF($E642, _xlfn.CONCAT("*",Table13[[#Headers],[Comedy]],"*")),1,0)</f>
        <v>0</v>
      </c>
      <c r="M642">
        <f>IF(COUNTIF($E642, _xlfn.CONCAT("*",Table13[[#Headers],[Crime]],"*")),1,0)</f>
        <v>0</v>
      </c>
      <c r="N642">
        <f>IF(COUNTIF($E642, _xlfn.CONCAT("*",Table13[[#Headers],[Documentary]],"*")),1,0)</f>
        <v>0</v>
      </c>
      <c r="O642">
        <f>IF(COUNTIF($E642, _xlfn.CONCAT("*",Table13[[#Headers],[Drama]],"*")),1,0)</f>
        <v>0</v>
      </c>
      <c r="P642">
        <f>IF(COUNTIF($E642, _xlfn.CONCAT("*",Table13[[#Headers],[Family]],"*")),1,0)</f>
        <v>0</v>
      </c>
      <c r="Q642">
        <f>IF(COUNTIF($E642, _xlfn.CONCAT("*",Table13[[#Headers],[Fantasy]],"*")),1,0)</f>
        <v>0</v>
      </c>
      <c r="R642">
        <f>IF(COUNTIF($E642, _xlfn.CONCAT("*",Table13[[#Headers],[History]],"*")),1,0)</f>
        <v>0</v>
      </c>
      <c r="S642">
        <f>IF(COUNTIF($E642, _xlfn.CONCAT("*",Table13[[#Headers],[Horror]],"*")),1,0)</f>
        <v>0</v>
      </c>
      <c r="T642">
        <f>IF(COUNTIF($E642, _xlfn.CONCAT("*",Table13[[#Headers],[Music]],"*")),1,0)</f>
        <v>0</v>
      </c>
      <c r="U642">
        <f>IF(COUNTIF($E642, _xlfn.CONCAT("*",Table13[[#Headers],[Mystery]],"*")),1,0)</f>
        <v>0</v>
      </c>
      <c r="V642">
        <f>IF(COUNTIF($E642, _xlfn.CONCAT("*",Table13[[#Headers],[Romance]],"*")),1,0)</f>
        <v>0</v>
      </c>
      <c r="W642">
        <f>IF(COUNTIF($E642, _xlfn.CONCAT("*",Table13[[#Headers],[Science Fiction]],"*")),1,0)</f>
        <v>1</v>
      </c>
      <c r="X642">
        <f>IF(COUNTIF($E642, _xlfn.CONCAT("*",Table13[[#Headers],[TV Movie]],"*")),1,0)</f>
        <v>0</v>
      </c>
      <c r="Y642">
        <f>IF(COUNTIF($E642, _xlfn.CONCAT("*",Table13[[#Headers],[Thriller]],"*")),1,0)</f>
        <v>0</v>
      </c>
      <c r="Z642">
        <f>IF(COUNTIF($E642, _xlfn.CONCAT("*",Table13[[#Headers],[War]],"*")),1,0)</f>
        <v>0</v>
      </c>
      <c r="AA642">
        <f>IF(COUNTIF($E642, _xlfn.CONCAT("*",Table13[[#Headers],[Western]],"*")),1,0)</f>
        <v>0</v>
      </c>
    </row>
    <row r="643" spans="1:27">
      <c r="A643" t="s">
        <v>425</v>
      </c>
      <c r="B643">
        <v>43</v>
      </c>
      <c r="C643">
        <f>MAX(Table13[Rank])-Table13[[#This Row],[Rank]]</f>
        <v>221</v>
      </c>
      <c r="D643" t="s">
        <v>746</v>
      </c>
      <c r="E643" t="s">
        <v>426</v>
      </c>
      <c r="F643" s="1">
        <v>35002</v>
      </c>
      <c r="G643">
        <f>YEAR(Table13[[#This Row],[Date]])</f>
        <v>1995</v>
      </c>
      <c r="H643" t="s">
        <v>425</v>
      </c>
      <c r="I643">
        <f>IF(COUNTIF($E643, _xlfn.CONCAT("*",Table13[[#Headers],[Action]],"*")),1,0)</f>
        <v>0</v>
      </c>
      <c r="J643">
        <f>IF(COUNTIF($E643, _xlfn.CONCAT("*",Table13[[#Headers],[Adventure]],"*")),1,0)</f>
        <v>1</v>
      </c>
      <c r="K643">
        <f>IF(COUNTIF($E643, _xlfn.CONCAT("*",Table13[[#Headers],[Animation]],"*")),1,0)</f>
        <v>1</v>
      </c>
      <c r="L643">
        <f>IF(COUNTIF($E643, _xlfn.CONCAT("*",Table13[[#Headers],[Comedy]],"*")),1,0)</f>
        <v>1</v>
      </c>
      <c r="M643">
        <f>IF(COUNTIF($E643, _xlfn.CONCAT("*",Table13[[#Headers],[Crime]],"*")),1,0)</f>
        <v>0</v>
      </c>
      <c r="N643">
        <f>IF(COUNTIF($E643, _xlfn.CONCAT("*",Table13[[#Headers],[Documentary]],"*")),1,0)</f>
        <v>0</v>
      </c>
      <c r="O643">
        <f>IF(COUNTIF($E643, _xlfn.CONCAT("*",Table13[[#Headers],[Drama]],"*")),1,0)</f>
        <v>0</v>
      </c>
      <c r="P643">
        <f>IF(COUNTIF($E643, _xlfn.CONCAT("*",Table13[[#Headers],[Family]],"*")),1,0)</f>
        <v>1</v>
      </c>
      <c r="Q643">
        <f>IF(COUNTIF($E643, _xlfn.CONCAT("*",Table13[[#Headers],[Fantasy]],"*")),1,0)</f>
        <v>0</v>
      </c>
      <c r="R643">
        <f>IF(COUNTIF($E643, _xlfn.CONCAT("*",Table13[[#Headers],[History]],"*")),1,0)</f>
        <v>0</v>
      </c>
      <c r="S643">
        <f>IF(COUNTIF($E643, _xlfn.CONCAT("*",Table13[[#Headers],[Horror]],"*")),1,0)</f>
        <v>0</v>
      </c>
      <c r="T643">
        <f>IF(COUNTIF($E643, _xlfn.CONCAT("*",Table13[[#Headers],[Music]],"*")),1,0)</f>
        <v>0</v>
      </c>
      <c r="U643">
        <f>IF(COUNTIF($E643, _xlfn.CONCAT("*",Table13[[#Headers],[Mystery]],"*")),1,0)</f>
        <v>0</v>
      </c>
      <c r="V643">
        <f>IF(COUNTIF($E643, _xlfn.CONCAT("*",Table13[[#Headers],[Romance]],"*")),1,0)</f>
        <v>0</v>
      </c>
      <c r="W643">
        <f>IF(COUNTIF($E643, _xlfn.CONCAT("*",Table13[[#Headers],[Science Fiction]],"*")),1,0)</f>
        <v>0</v>
      </c>
      <c r="X643">
        <f>IF(COUNTIF($E643, _xlfn.CONCAT("*",Table13[[#Headers],[TV Movie]],"*")),1,0)</f>
        <v>0</v>
      </c>
      <c r="Y643">
        <f>IF(COUNTIF($E643, _xlfn.CONCAT("*",Table13[[#Headers],[Thriller]],"*")),1,0)</f>
        <v>0</v>
      </c>
      <c r="Z643">
        <f>IF(COUNTIF($E643, _xlfn.CONCAT("*",Table13[[#Headers],[War]],"*")),1,0)</f>
        <v>0</v>
      </c>
      <c r="AA643">
        <f>IF(COUNTIF($E643, _xlfn.CONCAT("*",Table13[[#Headers],[Western]],"*")),1,0)</f>
        <v>0</v>
      </c>
    </row>
    <row r="644" spans="1:27">
      <c r="A644" t="s">
        <v>188</v>
      </c>
      <c r="B644">
        <v>42</v>
      </c>
      <c r="C644">
        <f>MAX(Table13[Rank])-Table13[[#This Row],[Rank]]</f>
        <v>222</v>
      </c>
      <c r="D644" t="s">
        <v>746</v>
      </c>
      <c r="E644" t="s">
        <v>189</v>
      </c>
      <c r="F644" s="1">
        <v>29000</v>
      </c>
      <c r="G644">
        <f>YEAR(Table13[[#This Row],[Date]])</f>
        <v>1979</v>
      </c>
      <c r="H644" t="s">
        <v>188</v>
      </c>
      <c r="I644">
        <f>IF(COUNTIF($E644, _xlfn.CONCAT("*",Table13[[#Headers],[Action]],"*")),1,0)</f>
        <v>0</v>
      </c>
      <c r="J644">
        <f>IF(COUNTIF($E644, _xlfn.CONCAT("*",Table13[[#Headers],[Adventure]],"*")),1,0)</f>
        <v>0</v>
      </c>
      <c r="K644">
        <f>IF(COUNTIF($E644, _xlfn.CONCAT("*",Table13[[#Headers],[Animation]],"*")),1,0)</f>
        <v>0</v>
      </c>
      <c r="L644">
        <f>IF(COUNTIF($E644, _xlfn.CONCAT("*",Table13[[#Headers],[Comedy]],"*")),1,0)</f>
        <v>0</v>
      </c>
      <c r="M644">
        <f>IF(COUNTIF($E644, _xlfn.CONCAT("*",Table13[[#Headers],[Crime]],"*")),1,0)</f>
        <v>0</v>
      </c>
      <c r="N644">
        <f>IF(COUNTIF($E644, _xlfn.CONCAT("*",Table13[[#Headers],[Documentary]],"*")),1,0)</f>
        <v>0</v>
      </c>
      <c r="O644">
        <f>IF(COUNTIF($E644, _xlfn.CONCAT("*",Table13[[#Headers],[Drama]],"*")),1,0)</f>
        <v>0</v>
      </c>
      <c r="P644">
        <f>IF(COUNTIF($E644, _xlfn.CONCAT("*",Table13[[#Headers],[Family]],"*")),1,0)</f>
        <v>0</v>
      </c>
      <c r="Q644">
        <f>IF(COUNTIF($E644, _xlfn.CONCAT("*",Table13[[#Headers],[Fantasy]],"*")),1,0)</f>
        <v>0</v>
      </c>
      <c r="R644">
        <f>IF(COUNTIF($E644, _xlfn.CONCAT("*",Table13[[#Headers],[History]],"*")),1,0)</f>
        <v>0</v>
      </c>
      <c r="S644">
        <f>IF(COUNTIF($E644, _xlfn.CONCAT("*",Table13[[#Headers],[Horror]],"*")),1,0)</f>
        <v>1</v>
      </c>
      <c r="T644">
        <f>IF(COUNTIF($E644, _xlfn.CONCAT("*",Table13[[#Headers],[Music]],"*")),1,0)</f>
        <v>0</v>
      </c>
      <c r="U644">
        <f>IF(COUNTIF($E644, _xlfn.CONCAT("*",Table13[[#Headers],[Mystery]],"*")),1,0)</f>
        <v>0</v>
      </c>
      <c r="V644">
        <f>IF(COUNTIF($E644, _xlfn.CONCAT("*",Table13[[#Headers],[Romance]],"*")),1,0)</f>
        <v>0</v>
      </c>
      <c r="W644">
        <f>IF(COUNTIF($E644, _xlfn.CONCAT("*",Table13[[#Headers],[Science Fiction]],"*")),1,0)</f>
        <v>1</v>
      </c>
      <c r="X644">
        <f>IF(COUNTIF($E644, _xlfn.CONCAT("*",Table13[[#Headers],[TV Movie]],"*")),1,0)</f>
        <v>0</v>
      </c>
      <c r="Y644">
        <f>IF(COUNTIF($E644, _xlfn.CONCAT("*",Table13[[#Headers],[Thriller]],"*")),1,0)</f>
        <v>0</v>
      </c>
      <c r="Z644">
        <f>IF(COUNTIF($E644, _xlfn.CONCAT("*",Table13[[#Headers],[War]],"*")),1,0)</f>
        <v>0</v>
      </c>
      <c r="AA644">
        <f>IF(COUNTIF($E644, _xlfn.CONCAT("*",Table13[[#Headers],[Western]],"*")),1,0)</f>
        <v>0</v>
      </c>
    </row>
    <row r="645" spans="1:27">
      <c r="A645" t="s">
        <v>357</v>
      </c>
      <c r="B645">
        <v>41</v>
      </c>
      <c r="C645">
        <f>MAX(Table13[Rank])-Table13[[#This Row],[Rank]]</f>
        <v>223</v>
      </c>
      <c r="D645" t="s">
        <v>746</v>
      </c>
      <c r="E645" t="s">
        <v>358</v>
      </c>
      <c r="F645" s="1">
        <v>22089</v>
      </c>
      <c r="G645">
        <f>YEAR(Table13[[#This Row],[Date]])</f>
        <v>1960</v>
      </c>
      <c r="H645" t="s">
        <v>357</v>
      </c>
      <c r="I645">
        <f>IF(COUNTIF($E645, _xlfn.CONCAT("*",Table13[[#Headers],[Action]],"*")),1,0)</f>
        <v>0</v>
      </c>
      <c r="J645">
        <f>IF(COUNTIF($E645, _xlfn.CONCAT("*",Table13[[#Headers],[Adventure]],"*")),1,0)</f>
        <v>0</v>
      </c>
      <c r="K645">
        <f>IF(COUNTIF($E645, _xlfn.CONCAT("*",Table13[[#Headers],[Animation]],"*")),1,0)</f>
        <v>0</v>
      </c>
      <c r="L645">
        <f>IF(COUNTIF($E645, _xlfn.CONCAT("*",Table13[[#Headers],[Comedy]],"*")),1,0)</f>
        <v>0</v>
      </c>
      <c r="M645">
        <f>IF(COUNTIF($E645, _xlfn.CONCAT("*",Table13[[#Headers],[Crime]],"*")),1,0)</f>
        <v>0</v>
      </c>
      <c r="N645">
        <f>IF(COUNTIF($E645, _xlfn.CONCAT("*",Table13[[#Headers],[Documentary]],"*")),1,0)</f>
        <v>0</v>
      </c>
      <c r="O645">
        <f>IF(COUNTIF($E645, _xlfn.CONCAT("*",Table13[[#Headers],[Drama]],"*")),1,0)</f>
        <v>1</v>
      </c>
      <c r="P645">
        <f>IF(COUNTIF($E645, _xlfn.CONCAT("*",Table13[[#Headers],[Family]],"*")),1,0)</f>
        <v>0</v>
      </c>
      <c r="Q645">
        <f>IF(COUNTIF($E645, _xlfn.CONCAT("*",Table13[[#Headers],[Fantasy]],"*")),1,0)</f>
        <v>0</v>
      </c>
      <c r="R645">
        <f>IF(COUNTIF($E645, _xlfn.CONCAT("*",Table13[[#Headers],[History]],"*")),1,0)</f>
        <v>0</v>
      </c>
      <c r="S645">
        <f>IF(COUNTIF($E645, _xlfn.CONCAT("*",Table13[[#Headers],[Horror]],"*")),1,0)</f>
        <v>1</v>
      </c>
      <c r="T645">
        <f>IF(COUNTIF($E645, _xlfn.CONCAT("*",Table13[[#Headers],[Music]],"*")),1,0)</f>
        <v>0</v>
      </c>
      <c r="U645">
        <f>IF(COUNTIF($E645, _xlfn.CONCAT("*",Table13[[#Headers],[Mystery]],"*")),1,0)</f>
        <v>0</v>
      </c>
      <c r="V645">
        <f>IF(COUNTIF($E645, _xlfn.CONCAT("*",Table13[[#Headers],[Romance]],"*")),1,0)</f>
        <v>0</v>
      </c>
      <c r="W645">
        <f>IF(COUNTIF($E645, _xlfn.CONCAT("*",Table13[[#Headers],[Science Fiction]],"*")),1,0)</f>
        <v>0</v>
      </c>
      <c r="X645">
        <f>IF(COUNTIF($E645, _xlfn.CONCAT("*",Table13[[#Headers],[TV Movie]],"*")),1,0)</f>
        <v>0</v>
      </c>
      <c r="Y645">
        <f>IF(COUNTIF($E645, _xlfn.CONCAT("*",Table13[[#Headers],[Thriller]],"*")),1,0)</f>
        <v>1</v>
      </c>
      <c r="Z645">
        <f>IF(COUNTIF($E645, _xlfn.CONCAT("*",Table13[[#Headers],[War]],"*")),1,0)</f>
        <v>0</v>
      </c>
      <c r="AA645">
        <f>IF(COUNTIF($E645, _xlfn.CONCAT("*",Table13[[#Headers],[Western]],"*")),1,0)</f>
        <v>0</v>
      </c>
    </row>
    <row r="646" spans="1:27">
      <c r="A646" t="s">
        <v>634</v>
      </c>
      <c r="B646">
        <v>40</v>
      </c>
      <c r="C646">
        <f>MAX(Table13[Rank])-Table13[[#This Row],[Rank]]</f>
        <v>224</v>
      </c>
      <c r="D646" t="s">
        <v>746</v>
      </c>
      <c r="E646" t="s">
        <v>21</v>
      </c>
      <c r="F646" s="1">
        <v>36448</v>
      </c>
      <c r="G646">
        <f>YEAR(Table13[[#This Row],[Date]])</f>
        <v>1999</v>
      </c>
      <c r="H646" t="s">
        <v>634</v>
      </c>
      <c r="I646">
        <f>IF(COUNTIF($E646, _xlfn.CONCAT("*",Table13[[#Headers],[Action]],"*")),1,0)</f>
        <v>0</v>
      </c>
      <c r="J646">
        <f>IF(COUNTIF($E646, _xlfn.CONCAT("*",Table13[[#Headers],[Adventure]],"*")),1,0)</f>
        <v>0</v>
      </c>
      <c r="K646">
        <f>IF(COUNTIF($E646, _xlfn.CONCAT("*",Table13[[#Headers],[Animation]],"*")),1,0)</f>
        <v>0</v>
      </c>
      <c r="L646">
        <f>IF(COUNTIF($E646, _xlfn.CONCAT("*",Table13[[#Headers],[Comedy]],"*")),1,0)</f>
        <v>0</v>
      </c>
      <c r="M646">
        <f>IF(COUNTIF($E646, _xlfn.CONCAT("*",Table13[[#Headers],[Crime]],"*")),1,0)</f>
        <v>0</v>
      </c>
      <c r="N646">
        <f>IF(COUNTIF($E646, _xlfn.CONCAT("*",Table13[[#Headers],[Documentary]],"*")),1,0)</f>
        <v>0</v>
      </c>
      <c r="O646">
        <f>IF(COUNTIF($E646, _xlfn.CONCAT("*",Table13[[#Headers],[Drama]],"*")),1,0)</f>
        <v>1</v>
      </c>
      <c r="P646">
        <f>IF(COUNTIF($E646, _xlfn.CONCAT("*",Table13[[#Headers],[Family]],"*")),1,0)</f>
        <v>0</v>
      </c>
      <c r="Q646">
        <f>IF(COUNTIF($E646, _xlfn.CONCAT("*",Table13[[#Headers],[Fantasy]],"*")),1,0)</f>
        <v>0</v>
      </c>
      <c r="R646">
        <f>IF(COUNTIF($E646, _xlfn.CONCAT("*",Table13[[#Headers],[History]],"*")),1,0)</f>
        <v>0</v>
      </c>
      <c r="S646">
        <f>IF(COUNTIF($E646, _xlfn.CONCAT("*",Table13[[#Headers],[Horror]],"*")),1,0)</f>
        <v>0</v>
      </c>
      <c r="T646">
        <f>IF(COUNTIF($E646, _xlfn.CONCAT("*",Table13[[#Headers],[Music]],"*")),1,0)</f>
        <v>0</v>
      </c>
      <c r="U646">
        <f>IF(COUNTIF($E646, _xlfn.CONCAT("*",Table13[[#Headers],[Mystery]],"*")),1,0)</f>
        <v>0</v>
      </c>
      <c r="V646">
        <f>IF(COUNTIF($E646, _xlfn.CONCAT("*",Table13[[#Headers],[Romance]],"*")),1,0)</f>
        <v>0</v>
      </c>
      <c r="W646">
        <f>IF(COUNTIF($E646, _xlfn.CONCAT("*",Table13[[#Headers],[Science Fiction]],"*")),1,0)</f>
        <v>0</v>
      </c>
      <c r="X646">
        <f>IF(COUNTIF($E646, _xlfn.CONCAT("*",Table13[[#Headers],[TV Movie]],"*")),1,0)</f>
        <v>0</v>
      </c>
      <c r="Y646">
        <f>IF(COUNTIF($E646, _xlfn.CONCAT("*",Table13[[#Headers],[Thriller]],"*")),1,0)</f>
        <v>0</v>
      </c>
      <c r="Z646">
        <f>IF(COUNTIF($E646, _xlfn.CONCAT("*",Table13[[#Headers],[War]],"*")),1,0)</f>
        <v>0</v>
      </c>
      <c r="AA646">
        <f>IF(COUNTIF($E646, _xlfn.CONCAT("*",Table13[[#Headers],[Western]],"*")),1,0)</f>
        <v>0</v>
      </c>
    </row>
    <row r="647" spans="1:27">
      <c r="A647" t="s">
        <v>280</v>
      </c>
      <c r="B647">
        <v>39</v>
      </c>
      <c r="C647">
        <f>MAX(Table13[Rank])-Table13[[#This Row],[Rank]]</f>
        <v>225</v>
      </c>
      <c r="D647" t="s">
        <v>746</v>
      </c>
      <c r="E647" t="s">
        <v>281</v>
      </c>
      <c r="F647" s="1">
        <v>29364</v>
      </c>
      <c r="G647">
        <f>YEAR(Table13[[#This Row],[Date]])</f>
        <v>1980</v>
      </c>
      <c r="H647" t="s">
        <v>280</v>
      </c>
      <c r="I647">
        <f>IF(COUNTIF($E647, _xlfn.CONCAT("*",Table13[[#Headers],[Action]],"*")),1,0)</f>
        <v>0</v>
      </c>
      <c r="J647">
        <f>IF(COUNTIF($E647, _xlfn.CONCAT("*",Table13[[#Headers],[Adventure]],"*")),1,0)</f>
        <v>0</v>
      </c>
      <c r="K647">
        <f>IF(COUNTIF($E647, _xlfn.CONCAT("*",Table13[[#Headers],[Animation]],"*")),1,0)</f>
        <v>0</v>
      </c>
      <c r="L647">
        <f>IF(COUNTIF($E647, _xlfn.CONCAT("*",Table13[[#Headers],[Comedy]],"*")),1,0)</f>
        <v>0</v>
      </c>
      <c r="M647">
        <f>IF(COUNTIF($E647, _xlfn.CONCAT("*",Table13[[#Headers],[Crime]],"*")),1,0)</f>
        <v>0</v>
      </c>
      <c r="N647">
        <f>IF(COUNTIF($E647, _xlfn.CONCAT("*",Table13[[#Headers],[Documentary]],"*")),1,0)</f>
        <v>0</v>
      </c>
      <c r="O647">
        <f>IF(COUNTIF($E647, _xlfn.CONCAT("*",Table13[[#Headers],[Drama]],"*")),1,0)</f>
        <v>0</v>
      </c>
      <c r="P647">
        <f>IF(COUNTIF($E647, _xlfn.CONCAT("*",Table13[[#Headers],[Family]],"*")),1,0)</f>
        <v>0</v>
      </c>
      <c r="Q647">
        <f>IF(COUNTIF($E647, _xlfn.CONCAT("*",Table13[[#Headers],[Fantasy]],"*")),1,0)</f>
        <v>0</v>
      </c>
      <c r="R647">
        <f>IF(COUNTIF($E647, _xlfn.CONCAT("*",Table13[[#Headers],[History]],"*")),1,0)</f>
        <v>0</v>
      </c>
      <c r="S647">
        <f>IF(COUNTIF($E647, _xlfn.CONCAT("*",Table13[[#Headers],[Horror]],"*")),1,0)</f>
        <v>1</v>
      </c>
      <c r="T647">
        <f>IF(COUNTIF($E647, _xlfn.CONCAT("*",Table13[[#Headers],[Music]],"*")),1,0)</f>
        <v>0</v>
      </c>
      <c r="U647">
        <f>IF(COUNTIF($E647, _xlfn.CONCAT("*",Table13[[#Headers],[Mystery]],"*")),1,0)</f>
        <v>0</v>
      </c>
      <c r="V647">
        <f>IF(COUNTIF($E647, _xlfn.CONCAT("*",Table13[[#Headers],[Romance]],"*")),1,0)</f>
        <v>0</v>
      </c>
      <c r="W647">
        <f>IF(COUNTIF($E647, _xlfn.CONCAT("*",Table13[[#Headers],[Science Fiction]],"*")),1,0)</f>
        <v>0</v>
      </c>
      <c r="X647">
        <f>IF(COUNTIF($E647, _xlfn.CONCAT("*",Table13[[#Headers],[TV Movie]],"*")),1,0)</f>
        <v>0</v>
      </c>
      <c r="Y647">
        <f>IF(COUNTIF($E647, _xlfn.CONCAT("*",Table13[[#Headers],[Thriller]],"*")),1,0)</f>
        <v>1</v>
      </c>
      <c r="Z647">
        <f>IF(COUNTIF($E647, _xlfn.CONCAT("*",Table13[[#Headers],[War]],"*")),1,0)</f>
        <v>0</v>
      </c>
      <c r="AA647">
        <f>IF(COUNTIF($E647, _xlfn.CONCAT("*",Table13[[#Headers],[Western]],"*")),1,0)</f>
        <v>0</v>
      </c>
    </row>
    <row r="648" spans="1:27">
      <c r="A648" t="s">
        <v>776</v>
      </c>
      <c r="B648">
        <v>38</v>
      </c>
      <c r="C648">
        <f>MAX(Table13[Rank])-Table13[[#This Row],[Rank]]</f>
        <v>226</v>
      </c>
      <c r="D648" t="s">
        <v>746</v>
      </c>
      <c r="E648" t="s">
        <v>353</v>
      </c>
      <c r="F648" s="1">
        <v>32710</v>
      </c>
      <c r="G648">
        <f>YEAR(Table13[[#This Row],[Date]])</f>
        <v>1989</v>
      </c>
      <c r="H648" t="s">
        <v>777</v>
      </c>
      <c r="I648">
        <f>IF(COUNTIF($E648, _xlfn.CONCAT("*",Table13[[#Headers],[Action]],"*")),1,0)</f>
        <v>0</v>
      </c>
      <c r="J648">
        <f>IF(COUNTIF($E648, _xlfn.CONCAT("*",Table13[[#Headers],[Adventure]],"*")),1,0)</f>
        <v>0</v>
      </c>
      <c r="K648">
        <f>IF(COUNTIF($E648, _xlfn.CONCAT("*",Table13[[#Headers],[Animation]],"*")),1,0)</f>
        <v>0</v>
      </c>
      <c r="L648">
        <f>IF(COUNTIF($E648, _xlfn.CONCAT("*",Table13[[#Headers],[Comedy]],"*")),1,0)</f>
        <v>1</v>
      </c>
      <c r="M648">
        <f>IF(COUNTIF($E648, _xlfn.CONCAT("*",Table13[[#Headers],[Crime]],"*")),1,0)</f>
        <v>0</v>
      </c>
      <c r="N648">
        <f>IF(COUNTIF($E648, _xlfn.CONCAT("*",Table13[[#Headers],[Documentary]],"*")),1,0)</f>
        <v>0</v>
      </c>
      <c r="O648">
        <f>IF(COUNTIF($E648, _xlfn.CONCAT("*",Table13[[#Headers],[Drama]],"*")),1,0)</f>
        <v>1</v>
      </c>
      <c r="P648">
        <f>IF(COUNTIF($E648, _xlfn.CONCAT("*",Table13[[#Headers],[Family]],"*")),1,0)</f>
        <v>0</v>
      </c>
      <c r="Q648">
        <f>IF(COUNTIF($E648, _xlfn.CONCAT("*",Table13[[#Headers],[Fantasy]],"*")),1,0)</f>
        <v>0</v>
      </c>
      <c r="R648">
        <f>IF(COUNTIF($E648, _xlfn.CONCAT("*",Table13[[#Headers],[History]],"*")),1,0)</f>
        <v>0</v>
      </c>
      <c r="S648">
        <f>IF(COUNTIF($E648, _xlfn.CONCAT("*",Table13[[#Headers],[Horror]],"*")),1,0)</f>
        <v>0</v>
      </c>
      <c r="T648">
        <f>IF(COUNTIF($E648, _xlfn.CONCAT("*",Table13[[#Headers],[Music]],"*")),1,0)</f>
        <v>0</v>
      </c>
      <c r="U648">
        <f>IF(COUNTIF($E648, _xlfn.CONCAT("*",Table13[[#Headers],[Mystery]],"*")),1,0)</f>
        <v>0</v>
      </c>
      <c r="V648">
        <f>IF(COUNTIF($E648, _xlfn.CONCAT("*",Table13[[#Headers],[Romance]],"*")),1,0)</f>
        <v>1</v>
      </c>
      <c r="W648">
        <f>IF(COUNTIF($E648, _xlfn.CONCAT("*",Table13[[#Headers],[Science Fiction]],"*")),1,0)</f>
        <v>0</v>
      </c>
      <c r="X648">
        <f>IF(COUNTIF($E648, _xlfn.CONCAT("*",Table13[[#Headers],[TV Movie]],"*")),1,0)</f>
        <v>0</v>
      </c>
      <c r="Y648">
        <f>IF(COUNTIF($E648, _xlfn.CONCAT("*",Table13[[#Headers],[Thriller]],"*")),1,0)</f>
        <v>0</v>
      </c>
      <c r="Z648">
        <f>IF(COUNTIF($E648, _xlfn.CONCAT("*",Table13[[#Headers],[War]],"*")),1,0)</f>
        <v>0</v>
      </c>
      <c r="AA648">
        <f>IF(COUNTIF($E648, _xlfn.CONCAT("*",Table13[[#Headers],[Western]],"*")),1,0)</f>
        <v>0</v>
      </c>
    </row>
    <row r="649" spans="1:27">
      <c r="A649" t="s">
        <v>103</v>
      </c>
      <c r="B649">
        <v>37</v>
      </c>
      <c r="C649">
        <f>MAX(Table13[Rank])-Table13[[#This Row],[Rank]]</f>
        <v>227</v>
      </c>
      <c r="D649" t="s">
        <v>746</v>
      </c>
      <c r="E649" t="s">
        <v>73</v>
      </c>
      <c r="F649" s="1">
        <v>23405</v>
      </c>
      <c r="G649">
        <f>YEAR(Table13[[#This Row],[Date]])</f>
        <v>1964</v>
      </c>
      <c r="H649" t="s">
        <v>103</v>
      </c>
      <c r="I649">
        <f>IF(COUNTIF($E649, _xlfn.CONCAT("*",Table13[[#Headers],[Action]],"*")),1,0)</f>
        <v>0</v>
      </c>
      <c r="J649">
        <f>IF(COUNTIF($E649, _xlfn.CONCAT("*",Table13[[#Headers],[Adventure]],"*")),1,0)</f>
        <v>0</v>
      </c>
      <c r="K649">
        <f>IF(COUNTIF($E649, _xlfn.CONCAT("*",Table13[[#Headers],[Animation]],"*")),1,0)</f>
        <v>0</v>
      </c>
      <c r="L649">
        <f>IF(COUNTIF($E649, _xlfn.CONCAT("*",Table13[[#Headers],[Comedy]],"*")),1,0)</f>
        <v>1</v>
      </c>
      <c r="M649">
        <f>IF(COUNTIF($E649, _xlfn.CONCAT("*",Table13[[#Headers],[Crime]],"*")),1,0)</f>
        <v>0</v>
      </c>
      <c r="N649">
        <f>IF(COUNTIF($E649, _xlfn.CONCAT("*",Table13[[#Headers],[Documentary]],"*")),1,0)</f>
        <v>0</v>
      </c>
      <c r="O649">
        <f>IF(COUNTIF($E649, _xlfn.CONCAT("*",Table13[[#Headers],[Drama]],"*")),1,0)</f>
        <v>0</v>
      </c>
      <c r="P649">
        <f>IF(COUNTIF($E649, _xlfn.CONCAT("*",Table13[[#Headers],[Family]],"*")),1,0)</f>
        <v>0</v>
      </c>
      <c r="Q649">
        <f>IF(COUNTIF($E649, _xlfn.CONCAT("*",Table13[[#Headers],[Fantasy]],"*")),1,0)</f>
        <v>0</v>
      </c>
      <c r="R649">
        <f>IF(COUNTIF($E649, _xlfn.CONCAT("*",Table13[[#Headers],[History]],"*")),1,0)</f>
        <v>0</v>
      </c>
      <c r="S649">
        <f>IF(COUNTIF($E649, _xlfn.CONCAT("*",Table13[[#Headers],[Horror]],"*")),1,0)</f>
        <v>0</v>
      </c>
      <c r="T649">
        <f>IF(COUNTIF($E649, _xlfn.CONCAT("*",Table13[[#Headers],[Music]],"*")),1,0)</f>
        <v>0</v>
      </c>
      <c r="U649">
        <f>IF(COUNTIF($E649, _xlfn.CONCAT("*",Table13[[#Headers],[Mystery]],"*")),1,0)</f>
        <v>0</v>
      </c>
      <c r="V649">
        <f>IF(COUNTIF($E649, _xlfn.CONCAT("*",Table13[[#Headers],[Romance]],"*")),1,0)</f>
        <v>0</v>
      </c>
      <c r="W649">
        <f>IF(COUNTIF($E649, _xlfn.CONCAT("*",Table13[[#Headers],[Science Fiction]],"*")),1,0)</f>
        <v>0</v>
      </c>
      <c r="X649">
        <f>IF(COUNTIF($E649, _xlfn.CONCAT("*",Table13[[#Headers],[TV Movie]],"*")),1,0)</f>
        <v>0</v>
      </c>
      <c r="Y649">
        <f>IF(COUNTIF($E649, _xlfn.CONCAT("*",Table13[[#Headers],[Thriller]],"*")),1,0)</f>
        <v>0</v>
      </c>
      <c r="Z649">
        <f>IF(COUNTIF($E649, _xlfn.CONCAT("*",Table13[[#Headers],[War]],"*")),1,0)</f>
        <v>1</v>
      </c>
      <c r="AA649">
        <f>IF(COUNTIF($E649, _xlfn.CONCAT("*",Table13[[#Headers],[Western]],"*")),1,0)</f>
        <v>0</v>
      </c>
    </row>
    <row r="650" spans="1:27">
      <c r="A650" t="s">
        <v>744</v>
      </c>
      <c r="B650">
        <v>36</v>
      </c>
      <c r="C650">
        <f>MAX(Table13[Rank])-Table13[[#This Row],[Rank]]</f>
        <v>228</v>
      </c>
      <c r="D650" t="s">
        <v>746</v>
      </c>
      <c r="E650" t="s">
        <v>44</v>
      </c>
      <c r="F650" s="1">
        <v>31574</v>
      </c>
      <c r="G650">
        <f>YEAR(Table13[[#This Row],[Date]])</f>
        <v>1986</v>
      </c>
      <c r="H650" t="s">
        <v>744</v>
      </c>
      <c r="I650">
        <f>IF(COUNTIF($E650, _xlfn.CONCAT("*",Table13[[#Headers],[Action]],"*")),1,0)</f>
        <v>0</v>
      </c>
      <c r="J650">
        <f>IF(COUNTIF($E650, _xlfn.CONCAT("*",Table13[[#Headers],[Adventure]],"*")),1,0)</f>
        <v>0</v>
      </c>
      <c r="K650">
        <f>IF(COUNTIF($E650, _xlfn.CONCAT("*",Table13[[#Headers],[Animation]],"*")),1,0)</f>
        <v>0</v>
      </c>
      <c r="L650">
        <f>IF(COUNTIF($E650, _xlfn.CONCAT("*",Table13[[#Headers],[Comedy]],"*")),1,0)</f>
        <v>1</v>
      </c>
      <c r="M650">
        <f>IF(COUNTIF($E650, _xlfn.CONCAT("*",Table13[[#Headers],[Crime]],"*")),1,0)</f>
        <v>0</v>
      </c>
      <c r="N650">
        <f>IF(COUNTIF($E650, _xlfn.CONCAT("*",Table13[[#Headers],[Documentary]],"*")),1,0)</f>
        <v>0</v>
      </c>
      <c r="O650">
        <f>IF(COUNTIF($E650, _xlfn.CONCAT("*",Table13[[#Headers],[Drama]],"*")),1,0)</f>
        <v>0</v>
      </c>
      <c r="P650">
        <f>IF(COUNTIF($E650, _xlfn.CONCAT("*",Table13[[#Headers],[Family]],"*")),1,0)</f>
        <v>0</v>
      </c>
      <c r="Q650">
        <f>IF(COUNTIF($E650, _xlfn.CONCAT("*",Table13[[#Headers],[Fantasy]],"*")),1,0)</f>
        <v>0</v>
      </c>
      <c r="R650">
        <f>IF(COUNTIF($E650, _xlfn.CONCAT("*",Table13[[#Headers],[History]],"*")),1,0)</f>
        <v>0</v>
      </c>
      <c r="S650">
        <f>IF(COUNTIF($E650, _xlfn.CONCAT("*",Table13[[#Headers],[Horror]],"*")),1,0)</f>
        <v>0</v>
      </c>
      <c r="T650">
        <f>IF(COUNTIF($E650, _xlfn.CONCAT("*",Table13[[#Headers],[Music]],"*")),1,0)</f>
        <v>0</v>
      </c>
      <c r="U650">
        <f>IF(COUNTIF($E650, _xlfn.CONCAT("*",Table13[[#Headers],[Mystery]],"*")),1,0)</f>
        <v>0</v>
      </c>
      <c r="V650">
        <f>IF(COUNTIF($E650, _xlfn.CONCAT("*",Table13[[#Headers],[Romance]],"*")),1,0)</f>
        <v>0</v>
      </c>
      <c r="W650">
        <f>IF(COUNTIF($E650, _xlfn.CONCAT("*",Table13[[#Headers],[Science Fiction]],"*")),1,0)</f>
        <v>0</v>
      </c>
      <c r="X650">
        <f>IF(COUNTIF($E650, _xlfn.CONCAT("*",Table13[[#Headers],[TV Movie]],"*")),1,0)</f>
        <v>0</v>
      </c>
      <c r="Y650">
        <f>IF(COUNTIF($E650, _xlfn.CONCAT("*",Table13[[#Headers],[Thriller]],"*")),1,0)</f>
        <v>0</v>
      </c>
      <c r="Z650">
        <f>IF(COUNTIF($E650, _xlfn.CONCAT("*",Table13[[#Headers],[War]],"*")),1,0)</f>
        <v>0</v>
      </c>
      <c r="AA650">
        <f>IF(COUNTIF($E650, _xlfn.CONCAT("*",Table13[[#Headers],[Western]],"*")),1,0)</f>
        <v>0</v>
      </c>
    </row>
    <row r="651" spans="1:27">
      <c r="A651" t="s">
        <v>22</v>
      </c>
      <c r="B651">
        <v>35</v>
      </c>
      <c r="C651">
        <f>MAX(Table13[Rank])-Table13[[#This Row],[Rank]]</f>
        <v>229</v>
      </c>
      <c r="D651" t="s">
        <v>746</v>
      </c>
      <c r="E651" t="s">
        <v>23</v>
      </c>
      <c r="F651" s="1">
        <v>26286</v>
      </c>
      <c r="G651">
        <f>YEAR(Table13[[#This Row],[Date]])</f>
        <v>1971</v>
      </c>
      <c r="H651" t="s">
        <v>22</v>
      </c>
      <c r="I651">
        <f>IF(COUNTIF($E651, _xlfn.CONCAT("*",Table13[[#Headers],[Action]],"*")),1,0)</f>
        <v>0</v>
      </c>
      <c r="J651">
        <f>IF(COUNTIF($E651, _xlfn.CONCAT("*",Table13[[#Headers],[Adventure]],"*")),1,0)</f>
        <v>0</v>
      </c>
      <c r="K651">
        <f>IF(COUNTIF($E651, _xlfn.CONCAT("*",Table13[[#Headers],[Animation]],"*")),1,0)</f>
        <v>0</v>
      </c>
      <c r="L651">
        <f>IF(COUNTIF($E651, _xlfn.CONCAT("*",Table13[[#Headers],[Comedy]],"*")),1,0)</f>
        <v>0</v>
      </c>
      <c r="M651">
        <f>IF(COUNTIF($E651, _xlfn.CONCAT("*",Table13[[#Headers],[Crime]],"*")),1,0)</f>
        <v>1</v>
      </c>
      <c r="N651">
        <f>IF(COUNTIF($E651, _xlfn.CONCAT("*",Table13[[#Headers],[Documentary]],"*")),1,0)</f>
        <v>0</v>
      </c>
      <c r="O651">
        <f>IF(COUNTIF($E651, _xlfn.CONCAT("*",Table13[[#Headers],[Drama]],"*")),1,0)</f>
        <v>0</v>
      </c>
      <c r="P651">
        <f>IF(COUNTIF($E651, _xlfn.CONCAT("*",Table13[[#Headers],[Family]],"*")),1,0)</f>
        <v>0</v>
      </c>
      <c r="Q651">
        <f>IF(COUNTIF($E651, _xlfn.CONCAT("*",Table13[[#Headers],[Fantasy]],"*")),1,0)</f>
        <v>0</v>
      </c>
      <c r="R651">
        <f>IF(COUNTIF($E651, _xlfn.CONCAT("*",Table13[[#Headers],[History]],"*")),1,0)</f>
        <v>0</v>
      </c>
      <c r="S651">
        <f>IF(COUNTIF($E651, _xlfn.CONCAT("*",Table13[[#Headers],[Horror]],"*")),1,0)</f>
        <v>0</v>
      </c>
      <c r="T651">
        <f>IF(COUNTIF($E651, _xlfn.CONCAT("*",Table13[[#Headers],[Music]],"*")),1,0)</f>
        <v>0</v>
      </c>
      <c r="U651">
        <f>IF(COUNTIF($E651, _xlfn.CONCAT("*",Table13[[#Headers],[Mystery]],"*")),1,0)</f>
        <v>0</v>
      </c>
      <c r="V651">
        <f>IF(COUNTIF($E651, _xlfn.CONCAT("*",Table13[[#Headers],[Romance]],"*")),1,0)</f>
        <v>0</v>
      </c>
      <c r="W651">
        <f>IF(COUNTIF($E651, _xlfn.CONCAT("*",Table13[[#Headers],[Science Fiction]],"*")),1,0)</f>
        <v>1</v>
      </c>
      <c r="X651">
        <f>IF(COUNTIF($E651, _xlfn.CONCAT("*",Table13[[#Headers],[TV Movie]],"*")),1,0)</f>
        <v>0</v>
      </c>
      <c r="Y651">
        <f>IF(COUNTIF($E651, _xlfn.CONCAT("*",Table13[[#Headers],[Thriller]],"*")),1,0)</f>
        <v>0</v>
      </c>
      <c r="Z651">
        <f>IF(COUNTIF($E651, _xlfn.CONCAT("*",Table13[[#Headers],[War]],"*")),1,0)</f>
        <v>0</v>
      </c>
      <c r="AA651">
        <f>IF(COUNTIF($E651, _xlfn.CONCAT("*",Table13[[#Headers],[Western]],"*")),1,0)</f>
        <v>0</v>
      </c>
    </row>
    <row r="652" spans="1:27">
      <c r="A652" t="s">
        <v>701</v>
      </c>
      <c r="B652">
        <v>34</v>
      </c>
      <c r="C652">
        <f>MAX(Table13[Rank])-Table13[[#This Row],[Rank]]</f>
        <v>230</v>
      </c>
      <c r="D652" t="s">
        <v>746</v>
      </c>
      <c r="E652" t="s">
        <v>21</v>
      </c>
      <c r="F652" s="1">
        <v>36418</v>
      </c>
      <c r="G652">
        <f>YEAR(Table13[[#This Row],[Date]])</f>
        <v>1999</v>
      </c>
      <c r="H652" t="s">
        <v>701</v>
      </c>
      <c r="I652">
        <f>IF(COUNTIF($E652, _xlfn.CONCAT("*",Table13[[#Headers],[Action]],"*")),1,0)</f>
        <v>0</v>
      </c>
      <c r="J652">
        <f>IF(COUNTIF($E652, _xlfn.CONCAT("*",Table13[[#Headers],[Adventure]],"*")),1,0)</f>
        <v>0</v>
      </c>
      <c r="K652">
        <f>IF(COUNTIF($E652, _xlfn.CONCAT("*",Table13[[#Headers],[Animation]],"*")),1,0)</f>
        <v>0</v>
      </c>
      <c r="L652">
        <f>IF(COUNTIF($E652, _xlfn.CONCAT("*",Table13[[#Headers],[Comedy]],"*")),1,0)</f>
        <v>0</v>
      </c>
      <c r="M652">
        <f>IF(COUNTIF($E652, _xlfn.CONCAT("*",Table13[[#Headers],[Crime]],"*")),1,0)</f>
        <v>0</v>
      </c>
      <c r="N652">
        <f>IF(COUNTIF($E652, _xlfn.CONCAT("*",Table13[[#Headers],[Documentary]],"*")),1,0)</f>
        <v>0</v>
      </c>
      <c r="O652">
        <f>IF(COUNTIF($E652, _xlfn.CONCAT("*",Table13[[#Headers],[Drama]],"*")),1,0)</f>
        <v>1</v>
      </c>
      <c r="P652">
        <f>IF(COUNTIF($E652, _xlfn.CONCAT("*",Table13[[#Headers],[Family]],"*")),1,0)</f>
        <v>0</v>
      </c>
      <c r="Q652">
        <f>IF(COUNTIF($E652, _xlfn.CONCAT("*",Table13[[#Headers],[Fantasy]],"*")),1,0)</f>
        <v>0</v>
      </c>
      <c r="R652">
        <f>IF(COUNTIF($E652, _xlfn.CONCAT("*",Table13[[#Headers],[History]],"*")),1,0)</f>
        <v>0</v>
      </c>
      <c r="S652">
        <f>IF(COUNTIF($E652, _xlfn.CONCAT("*",Table13[[#Headers],[Horror]],"*")),1,0)</f>
        <v>0</v>
      </c>
      <c r="T652">
        <f>IF(COUNTIF($E652, _xlfn.CONCAT("*",Table13[[#Headers],[Music]],"*")),1,0)</f>
        <v>0</v>
      </c>
      <c r="U652">
        <f>IF(COUNTIF($E652, _xlfn.CONCAT("*",Table13[[#Headers],[Mystery]],"*")),1,0)</f>
        <v>0</v>
      </c>
      <c r="V652">
        <f>IF(COUNTIF($E652, _xlfn.CONCAT("*",Table13[[#Headers],[Romance]],"*")),1,0)</f>
        <v>0</v>
      </c>
      <c r="W652">
        <f>IF(COUNTIF($E652, _xlfn.CONCAT("*",Table13[[#Headers],[Science Fiction]],"*")),1,0)</f>
        <v>0</v>
      </c>
      <c r="X652">
        <f>IF(COUNTIF($E652, _xlfn.CONCAT("*",Table13[[#Headers],[TV Movie]],"*")),1,0)</f>
        <v>0</v>
      </c>
      <c r="Y652">
        <f>IF(COUNTIF($E652, _xlfn.CONCAT("*",Table13[[#Headers],[Thriller]],"*")),1,0)</f>
        <v>0</v>
      </c>
      <c r="Z652">
        <f>IF(COUNTIF($E652, _xlfn.CONCAT("*",Table13[[#Headers],[War]],"*")),1,0)</f>
        <v>0</v>
      </c>
      <c r="AA652">
        <f>IF(COUNTIF($E652, _xlfn.CONCAT("*",Table13[[#Headers],[Western]],"*")),1,0)</f>
        <v>0</v>
      </c>
    </row>
    <row r="653" spans="1:27">
      <c r="A653" t="s">
        <v>472</v>
      </c>
      <c r="B653">
        <v>33</v>
      </c>
      <c r="C653">
        <f>MAX(Table13[Rank])-Table13[[#This Row],[Rank]]</f>
        <v>231</v>
      </c>
      <c r="D653" t="s">
        <v>746</v>
      </c>
      <c r="E653" t="s">
        <v>367</v>
      </c>
      <c r="F653" s="1">
        <v>35132</v>
      </c>
      <c r="G653">
        <f>YEAR(Table13[[#This Row],[Date]])</f>
        <v>1996</v>
      </c>
      <c r="H653" t="s">
        <v>472</v>
      </c>
      <c r="I653">
        <f>IF(COUNTIF($E653, _xlfn.CONCAT("*",Table13[[#Headers],[Action]],"*")),1,0)</f>
        <v>0</v>
      </c>
      <c r="J653">
        <f>IF(COUNTIF($E653, _xlfn.CONCAT("*",Table13[[#Headers],[Adventure]],"*")),1,0)</f>
        <v>0</v>
      </c>
      <c r="K653">
        <f>IF(COUNTIF($E653, _xlfn.CONCAT("*",Table13[[#Headers],[Animation]],"*")),1,0)</f>
        <v>0</v>
      </c>
      <c r="L653">
        <f>IF(COUNTIF($E653, _xlfn.CONCAT("*",Table13[[#Headers],[Comedy]],"*")),1,0)</f>
        <v>0</v>
      </c>
      <c r="M653">
        <f>IF(COUNTIF($E653, _xlfn.CONCAT("*",Table13[[#Headers],[Crime]],"*")),1,0)</f>
        <v>1</v>
      </c>
      <c r="N653">
        <f>IF(COUNTIF($E653, _xlfn.CONCAT("*",Table13[[#Headers],[Documentary]],"*")),1,0)</f>
        <v>0</v>
      </c>
      <c r="O653">
        <f>IF(COUNTIF($E653, _xlfn.CONCAT("*",Table13[[#Headers],[Drama]],"*")),1,0)</f>
        <v>1</v>
      </c>
      <c r="P653">
        <f>IF(COUNTIF($E653, _xlfn.CONCAT("*",Table13[[#Headers],[Family]],"*")),1,0)</f>
        <v>0</v>
      </c>
      <c r="Q653">
        <f>IF(COUNTIF($E653, _xlfn.CONCAT("*",Table13[[#Headers],[Fantasy]],"*")),1,0)</f>
        <v>0</v>
      </c>
      <c r="R653">
        <f>IF(COUNTIF($E653, _xlfn.CONCAT("*",Table13[[#Headers],[History]],"*")),1,0)</f>
        <v>0</v>
      </c>
      <c r="S653">
        <f>IF(COUNTIF($E653, _xlfn.CONCAT("*",Table13[[#Headers],[Horror]],"*")),1,0)</f>
        <v>0</v>
      </c>
      <c r="T653">
        <f>IF(COUNTIF($E653, _xlfn.CONCAT("*",Table13[[#Headers],[Music]],"*")),1,0)</f>
        <v>0</v>
      </c>
      <c r="U653">
        <f>IF(COUNTIF($E653, _xlfn.CONCAT("*",Table13[[#Headers],[Mystery]],"*")),1,0)</f>
        <v>0</v>
      </c>
      <c r="V653">
        <f>IF(COUNTIF($E653, _xlfn.CONCAT("*",Table13[[#Headers],[Romance]],"*")),1,0)</f>
        <v>0</v>
      </c>
      <c r="W653">
        <f>IF(COUNTIF($E653, _xlfn.CONCAT("*",Table13[[#Headers],[Science Fiction]],"*")),1,0)</f>
        <v>0</v>
      </c>
      <c r="X653">
        <f>IF(COUNTIF($E653, _xlfn.CONCAT("*",Table13[[#Headers],[TV Movie]],"*")),1,0)</f>
        <v>0</v>
      </c>
      <c r="Y653">
        <f>IF(COUNTIF($E653, _xlfn.CONCAT("*",Table13[[#Headers],[Thriller]],"*")),1,0)</f>
        <v>1</v>
      </c>
      <c r="Z653">
        <f>IF(COUNTIF($E653, _xlfn.CONCAT("*",Table13[[#Headers],[War]],"*")),1,0)</f>
        <v>0</v>
      </c>
      <c r="AA653">
        <f>IF(COUNTIF($E653, _xlfn.CONCAT("*",Table13[[#Headers],[Western]],"*")),1,0)</f>
        <v>0</v>
      </c>
    </row>
    <row r="654" spans="1:27">
      <c r="A654" t="s">
        <v>478</v>
      </c>
      <c r="B654">
        <v>32</v>
      </c>
      <c r="C654">
        <f>MAX(Table13[Rank])-Table13[[#This Row],[Rank]]</f>
        <v>232</v>
      </c>
      <c r="D654" t="s">
        <v>746</v>
      </c>
      <c r="E654" t="s">
        <v>49</v>
      </c>
      <c r="F654" s="1">
        <v>29361</v>
      </c>
      <c r="G654">
        <f>YEAR(Table13[[#This Row],[Date]])</f>
        <v>1980</v>
      </c>
      <c r="H654" t="s">
        <v>478</v>
      </c>
      <c r="I654">
        <f>IF(COUNTIF($E654, _xlfn.CONCAT("*",Table13[[#Headers],[Action]],"*")),1,0)</f>
        <v>1</v>
      </c>
      <c r="J654">
        <f>IF(COUNTIF($E654, _xlfn.CONCAT("*",Table13[[#Headers],[Adventure]],"*")),1,0)</f>
        <v>1</v>
      </c>
      <c r="K654">
        <f>IF(COUNTIF($E654, _xlfn.CONCAT("*",Table13[[#Headers],[Animation]],"*")),1,0)</f>
        <v>0</v>
      </c>
      <c r="L654">
        <f>IF(COUNTIF($E654, _xlfn.CONCAT("*",Table13[[#Headers],[Comedy]],"*")),1,0)</f>
        <v>0</v>
      </c>
      <c r="M654">
        <f>IF(COUNTIF($E654, _xlfn.CONCAT("*",Table13[[#Headers],[Crime]],"*")),1,0)</f>
        <v>0</v>
      </c>
      <c r="N654">
        <f>IF(COUNTIF($E654, _xlfn.CONCAT("*",Table13[[#Headers],[Documentary]],"*")),1,0)</f>
        <v>0</v>
      </c>
      <c r="O654">
        <f>IF(COUNTIF($E654, _xlfn.CONCAT("*",Table13[[#Headers],[Drama]],"*")),1,0)</f>
        <v>0</v>
      </c>
      <c r="P654">
        <f>IF(COUNTIF($E654, _xlfn.CONCAT("*",Table13[[#Headers],[Family]],"*")),1,0)</f>
        <v>0</v>
      </c>
      <c r="Q654">
        <f>IF(COUNTIF($E654, _xlfn.CONCAT("*",Table13[[#Headers],[Fantasy]],"*")),1,0)</f>
        <v>0</v>
      </c>
      <c r="R654">
        <f>IF(COUNTIF($E654, _xlfn.CONCAT("*",Table13[[#Headers],[History]],"*")),1,0)</f>
        <v>0</v>
      </c>
      <c r="S654">
        <f>IF(COUNTIF($E654, _xlfn.CONCAT("*",Table13[[#Headers],[Horror]],"*")),1,0)</f>
        <v>0</v>
      </c>
      <c r="T654">
        <f>IF(COUNTIF($E654, _xlfn.CONCAT("*",Table13[[#Headers],[Music]],"*")),1,0)</f>
        <v>0</v>
      </c>
      <c r="U654">
        <f>IF(COUNTIF($E654, _xlfn.CONCAT("*",Table13[[#Headers],[Mystery]],"*")),1,0)</f>
        <v>0</v>
      </c>
      <c r="V654">
        <f>IF(COUNTIF($E654, _xlfn.CONCAT("*",Table13[[#Headers],[Romance]],"*")),1,0)</f>
        <v>0</v>
      </c>
      <c r="W654">
        <f>IF(COUNTIF($E654, _xlfn.CONCAT("*",Table13[[#Headers],[Science Fiction]],"*")),1,0)</f>
        <v>1</v>
      </c>
      <c r="X654">
        <f>IF(COUNTIF($E654, _xlfn.CONCAT("*",Table13[[#Headers],[TV Movie]],"*")),1,0)</f>
        <v>0</v>
      </c>
      <c r="Y654">
        <f>IF(COUNTIF($E654, _xlfn.CONCAT("*",Table13[[#Headers],[Thriller]],"*")),1,0)</f>
        <v>0</v>
      </c>
      <c r="Z654">
        <f>IF(COUNTIF($E654, _xlfn.CONCAT("*",Table13[[#Headers],[War]],"*")),1,0)</f>
        <v>0</v>
      </c>
      <c r="AA654">
        <f>IF(COUNTIF($E654, _xlfn.CONCAT("*",Table13[[#Headers],[Western]],"*")),1,0)</f>
        <v>0</v>
      </c>
    </row>
    <row r="655" spans="1:27">
      <c r="A655" t="s">
        <v>711</v>
      </c>
      <c r="B655">
        <v>31</v>
      </c>
      <c r="C655">
        <f>MAX(Table13[Rank])-Table13[[#This Row],[Rank]]</f>
        <v>233</v>
      </c>
      <c r="D655" t="s">
        <v>746</v>
      </c>
      <c r="E655" t="s">
        <v>712</v>
      </c>
      <c r="F655" s="1">
        <v>32045</v>
      </c>
      <c r="G655">
        <f>YEAR(Table13[[#This Row],[Date]])</f>
        <v>1987</v>
      </c>
      <c r="H655" t="s">
        <v>711</v>
      </c>
      <c r="I655">
        <f>IF(COUNTIF($E655, _xlfn.CONCAT("*",Table13[[#Headers],[Action]],"*")),1,0)</f>
        <v>0</v>
      </c>
      <c r="J655">
        <f>IF(COUNTIF($E655, _xlfn.CONCAT("*",Table13[[#Headers],[Adventure]],"*")),1,0)</f>
        <v>1</v>
      </c>
      <c r="K655">
        <f>IF(COUNTIF($E655, _xlfn.CONCAT("*",Table13[[#Headers],[Animation]],"*")),1,0)</f>
        <v>0</v>
      </c>
      <c r="L655">
        <f>IF(COUNTIF($E655, _xlfn.CONCAT("*",Table13[[#Headers],[Comedy]],"*")),1,0)</f>
        <v>1</v>
      </c>
      <c r="M655">
        <f>IF(COUNTIF($E655, _xlfn.CONCAT("*",Table13[[#Headers],[Crime]],"*")),1,0)</f>
        <v>0</v>
      </c>
      <c r="N655">
        <f>IF(COUNTIF($E655, _xlfn.CONCAT("*",Table13[[#Headers],[Documentary]],"*")),1,0)</f>
        <v>0</v>
      </c>
      <c r="O655">
        <f>IF(COUNTIF($E655, _xlfn.CONCAT("*",Table13[[#Headers],[Drama]],"*")),1,0)</f>
        <v>0</v>
      </c>
      <c r="P655">
        <f>IF(COUNTIF($E655, _xlfn.CONCAT("*",Table13[[#Headers],[Family]],"*")),1,0)</f>
        <v>1</v>
      </c>
      <c r="Q655">
        <f>IF(COUNTIF($E655, _xlfn.CONCAT("*",Table13[[#Headers],[Fantasy]],"*")),1,0)</f>
        <v>1</v>
      </c>
      <c r="R655">
        <f>IF(COUNTIF($E655, _xlfn.CONCAT("*",Table13[[#Headers],[History]],"*")),1,0)</f>
        <v>0</v>
      </c>
      <c r="S655">
        <f>IF(COUNTIF($E655, _xlfn.CONCAT("*",Table13[[#Headers],[Horror]],"*")),1,0)</f>
        <v>0</v>
      </c>
      <c r="T655">
        <f>IF(COUNTIF($E655, _xlfn.CONCAT("*",Table13[[#Headers],[Music]],"*")),1,0)</f>
        <v>0</v>
      </c>
      <c r="U655">
        <f>IF(COUNTIF($E655, _xlfn.CONCAT("*",Table13[[#Headers],[Mystery]],"*")),1,0)</f>
        <v>0</v>
      </c>
      <c r="V655">
        <f>IF(COUNTIF($E655, _xlfn.CONCAT("*",Table13[[#Headers],[Romance]],"*")),1,0)</f>
        <v>1</v>
      </c>
      <c r="W655">
        <f>IF(COUNTIF($E655, _xlfn.CONCAT("*",Table13[[#Headers],[Science Fiction]],"*")),1,0)</f>
        <v>0</v>
      </c>
      <c r="X655">
        <f>IF(COUNTIF($E655, _xlfn.CONCAT("*",Table13[[#Headers],[TV Movie]],"*")),1,0)</f>
        <v>0</v>
      </c>
      <c r="Y655">
        <f>IF(COUNTIF($E655, _xlfn.CONCAT("*",Table13[[#Headers],[Thriller]],"*")),1,0)</f>
        <v>0</v>
      </c>
      <c r="Z655">
        <f>IF(COUNTIF($E655, _xlfn.CONCAT("*",Table13[[#Headers],[War]],"*")),1,0)</f>
        <v>0</v>
      </c>
      <c r="AA655">
        <f>IF(COUNTIF($E655, _xlfn.CONCAT("*",Table13[[#Headers],[Western]],"*")),1,0)</f>
        <v>0</v>
      </c>
    </row>
    <row r="656" spans="1:27">
      <c r="A656" t="s">
        <v>563</v>
      </c>
      <c r="B656">
        <v>30</v>
      </c>
      <c r="C656">
        <f>MAX(Table13[Rank])-Table13[[#This Row],[Rank]]</f>
        <v>234</v>
      </c>
      <c r="D656" t="s">
        <v>746</v>
      </c>
      <c r="E656" t="s">
        <v>21</v>
      </c>
      <c r="F656" s="1">
        <v>27717</v>
      </c>
      <c r="G656">
        <f>YEAR(Table13[[#This Row],[Date]])</f>
        <v>1975</v>
      </c>
      <c r="H656" t="s">
        <v>563</v>
      </c>
      <c r="I656">
        <f>IF(COUNTIF($E656, _xlfn.CONCAT("*",Table13[[#Headers],[Action]],"*")),1,0)</f>
        <v>0</v>
      </c>
      <c r="J656">
        <f>IF(COUNTIF($E656, _xlfn.CONCAT("*",Table13[[#Headers],[Adventure]],"*")),1,0)</f>
        <v>0</v>
      </c>
      <c r="K656">
        <f>IF(COUNTIF($E656, _xlfn.CONCAT("*",Table13[[#Headers],[Animation]],"*")),1,0)</f>
        <v>0</v>
      </c>
      <c r="L656">
        <f>IF(COUNTIF($E656, _xlfn.CONCAT("*",Table13[[#Headers],[Comedy]],"*")),1,0)</f>
        <v>0</v>
      </c>
      <c r="M656">
        <f>IF(COUNTIF($E656, _xlfn.CONCAT("*",Table13[[#Headers],[Crime]],"*")),1,0)</f>
        <v>0</v>
      </c>
      <c r="N656">
        <f>IF(COUNTIF($E656, _xlfn.CONCAT("*",Table13[[#Headers],[Documentary]],"*")),1,0)</f>
        <v>0</v>
      </c>
      <c r="O656">
        <f>IF(COUNTIF($E656, _xlfn.CONCAT("*",Table13[[#Headers],[Drama]],"*")),1,0)</f>
        <v>1</v>
      </c>
      <c r="P656">
        <f>IF(COUNTIF($E656, _xlfn.CONCAT("*",Table13[[#Headers],[Family]],"*")),1,0)</f>
        <v>0</v>
      </c>
      <c r="Q656">
        <f>IF(COUNTIF($E656, _xlfn.CONCAT("*",Table13[[#Headers],[Fantasy]],"*")),1,0)</f>
        <v>0</v>
      </c>
      <c r="R656">
        <f>IF(COUNTIF($E656, _xlfn.CONCAT("*",Table13[[#Headers],[History]],"*")),1,0)</f>
        <v>0</v>
      </c>
      <c r="S656">
        <f>IF(COUNTIF($E656, _xlfn.CONCAT("*",Table13[[#Headers],[Horror]],"*")),1,0)</f>
        <v>0</v>
      </c>
      <c r="T656">
        <f>IF(COUNTIF($E656, _xlfn.CONCAT("*",Table13[[#Headers],[Music]],"*")),1,0)</f>
        <v>0</v>
      </c>
      <c r="U656">
        <f>IF(COUNTIF($E656, _xlfn.CONCAT("*",Table13[[#Headers],[Mystery]],"*")),1,0)</f>
        <v>0</v>
      </c>
      <c r="V656">
        <f>IF(COUNTIF($E656, _xlfn.CONCAT("*",Table13[[#Headers],[Romance]],"*")),1,0)</f>
        <v>0</v>
      </c>
      <c r="W656">
        <f>IF(COUNTIF($E656, _xlfn.CONCAT("*",Table13[[#Headers],[Science Fiction]],"*")),1,0)</f>
        <v>0</v>
      </c>
      <c r="X656">
        <f>IF(COUNTIF($E656, _xlfn.CONCAT("*",Table13[[#Headers],[TV Movie]],"*")),1,0)</f>
        <v>0</v>
      </c>
      <c r="Y656">
        <f>IF(COUNTIF($E656, _xlfn.CONCAT("*",Table13[[#Headers],[Thriller]],"*")),1,0)</f>
        <v>0</v>
      </c>
      <c r="Z656">
        <f>IF(COUNTIF($E656, _xlfn.CONCAT("*",Table13[[#Headers],[War]],"*")),1,0)</f>
        <v>0</v>
      </c>
      <c r="AA656">
        <f>IF(COUNTIF($E656, _xlfn.CONCAT("*",Table13[[#Headers],[Western]],"*")),1,0)</f>
        <v>0</v>
      </c>
    </row>
    <row r="657" spans="1:27">
      <c r="A657" t="s">
        <v>327</v>
      </c>
      <c r="B657">
        <v>29</v>
      </c>
      <c r="C657">
        <f>MAX(Table13[Rank])-Table13[[#This Row],[Rank]]</f>
        <v>235</v>
      </c>
      <c r="D657" t="s">
        <v>746</v>
      </c>
      <c r="E657" t="s">
        <v>328</v>
      </c>
      <c r="F657" s="1">
        <v>30127</v>
      </c>
      <c r="G657">
        <f>YEAR(Table13[[#This Row],[Date]])</f>
        <v>1982</v>
      </c>
      <c r="H657" t="s">
        <v>327</v>
      </c>
      <c r="I657">
        <f>IF(COUNTIF($E657, _xlfn.CONCAT("*",Table13[[#Headers],[Action]],"*")),1,0)</f>
        <v>0</v>
      </c>
      <c r="J657">
        <f>IF(COUNTIF($E657, _xlfn.CONCAT("*",Table13[[#Headers],[Adventure]],"*")),1,0)</f>
        <v>0</v>
      </c>
      <c r="K657">
        <f>IF(COUNTIF($E657, _xlfn.CONCAT("*",Table13[[#Headers],[Animation]],"*")),1,0)</f>
        <v>0</v>
      </c>
      <c r="L657">
        <f>IF(COUNTIF($E657, _xlfn.CONCAT("*",Table13[[#Headers],[Comedy]],"*")),1,0)</f>
        <v>0</v>
      </c>
      <c r="M657">
        <f>IF(COUNTIF($E657, _xlfn.CONCAT("*",Table13[[#Headers],[Crime]],"*")),1,0)</f>
        <v>0</v>
      </c>
      <c r="N657">
        <f>IF(COUNTIF($E657, _xlfn.CONCAT("*",Table13[[#Headers],[Documentary]],"*")),1,0)</f>
        <v>0</v>
      </c>
      <c r="O657">
        <f>IF(COUNTIF($E657, _xlfn.CONCAT("*",Table13[[#Headers],[Drama]],"*")),1,0)</f>
        <v>1</v>
      </c>
      <c r="P657">
        <f>IF(COUNTIF($E657, _xlfn.CONCAT("*",Table13[[#Headers],[Family]],"*")),1,0)</f>
        <v>0</v>
      </c>
      <c r="Q657">
        <f>IF(COUNTIF($E657, _xlfn.CONCAT("*",Table13[[#Headers],[Fantasy]],"*")),1,0)</f>
        <v>0</v>
      </c>
      <c r="R657">
        <f>IF(COUNTIF($E657, _xlfn.CONCAT("*",Table13[[#Headers],[History]],"*")),1,0)</f>
        <v>0</v>
      </c>
      <c r="S657">
        <f>IF(COUNTIF($E657, _xlfn.CONCAT("*",Table13[[#Headers],[Horror]],"*")),1,0)</f>
        <v>0</v>
      </c>
      <c r="T657">
        <f>IF(COUNTIF($E657, _xlfn.CONCAT("*",Table13[[#Headers],[Music]],"*")),1,0)</f>
        <v>0</v>
      </c>
      <c r="U657">
        <f>IF(COUNTIF($E657, _xlfn.CONCAT("*",Table13[[#Headers],[Mystery]],"*")),1,0)</f>
        <v>0</v>
      </c>
      <c r="V657">
        <f>IF(COUNTIF($E657, _xlfn.CONCAT("*",Table13[[#Headers],[Romance]],"*")),1,0)</f>
        <v>0</v>
      </c>
      <c r="W657">
        <f>IF(COUNTIF($E657, _xlfn.CONCAT("*",Table13[[#Headers],[Science Fiction]],"*")),1,0)</f>
        <v>1</v>
      </c>
      <c r="X657">
        <f>IF(COUNTIF($E657, _xlfn.CONCAT("*",Table13[[#Headers],[TV Movie]],"*")),1,0)</f>
        <v>0</v>
      </c>
      <c r="Y657">
        <f>IF(COUNTIF($E657, _xlfn.CONCAT("*",Table13[[#Headers],[Thriller]],"*")),1,0)</f>
        <v>1</v>
      </c>
      <c r="Z657">
        <f>IF(COUNTIF($E657, _xlfn.CONCAT("*",Table13[[#Headers],[War]],"*")),1,0)</f>
        <v>0</v>
      </c>
      <c r="AA657">
        <f>IF(COUNTIF($E657, _xlfn.CONCAT("*",Table13[[#Headers],[Western]],"*")),1,0)</f>
        <v>0</v>
      </c>
    </row>
    <row r="658" spans="1:27">
      <c r="A658" t="s">
        <v>418</v>
      </c>
      <c r="B658">
        <v>28</v>
      </c>
      <c r="C658">
        <f>MAX(Table13[Rank])-Table13[[#This Row],[Rank]]</f>
        <v>236</v>
      </c>
      <c r="D658" t="s">
        <v>746</v>
      </c>
      <c r="E658" t="s">
        <v>15</v>
      </c>
      <c r="F658" s="1">
        <v>24827</v>
      </c>
      <c r="G658">
        <f>YEAR(Table13[[#This Row],[Date]])</f>
        <v>1967</v>
      </c>
      <c r="H658" t="s">
        <v>418</v>
      </c>
      <c r="I658">
        <f>IF(COUNTIF($E658, _xlfn.CONCAT("*",Table13[[#Headers],[Action]],"*")),1,0)</f>
        <v>0</v>
      </c>
      <c r="J658">
        <f>IF(COUNTIF($E658, _xlfn.CONCAT("*",Table13[[#Headers],[Adventure]],"*")),1,0)</f>
        <v>0</v>
      </c>
      <c r="K658">
        <f>IF(COUNTIF($E658, _xlfn.CONCAT("*",Table13[[#Headers],[Animation]],"*")),1,0)</f>
        <v>0</v>
      </c>
      <c r="L658">
        <f>IF(COUNTIF($E658, _xlfn.CONCAT("*",Table13[[#Headers],[Comedy]],"*")),1,0)</f>
        <v>1</v>
      </c>
      <c r="M658">
        <f>IF(COUNTIF($E658, _xlfn.CONCAT("*",Table13[[#Headers],[Crime]],"*")),1,0)</f>
        <v>0</v>
      </c>
      <c r="N658">
        <f>IF(COUNTIF($E658, _xlfn.CONCAT("*",Table13[[#Headers],[Documentary]],"*")),1,0)</f>
        <v>0</v>
      </c>
      <c r="O658">
        <f>IF(COUNTIF($E658, _xlfn.CONCAT("*",Table13[[#Headers],[Drama]],"*")),1,0)</f>
        <v>1</v>
      </c>
      <c r="P658">
        <f>IF(COUNTIF($E658, _xlfn.CONCAT("*",Table13[[#Headers],[Family]],"*")),1,0)</f>
        <v>0</v>
      </c>
      <c r="Q658">
        <f>IF(COUNTIF($E658, _xlfn.CONCAT("*",Table13[[#Headers],[Fantasy]],"*")),1,0)</f>
        <v>0</v>
      </c>
      <c r="R658">
        <f>IF(COUNTIF($E658, _xlfn.CONCAT("*",Table13[[#Headers],[History]],"*")),1,0)</f>
        <v>0</v>
      </c>
      <c r="S658">
        <f>IF(COUNTIF($E658, _xlfn.CONCAT("*",Table13[[#Headers],[Horror]],"*")),1,0)</f>
        <v>0</v>
      </c>
      <c r="T658">
        <f>IF(COUNTIF($E658, _xlfn.CONCAT("*",Table13[[#Headers],[Music]],"*")),1,0)</f>
        <v>0</v>
      </c>
      <c r="U658">
        <f>IF(COUNTIF($E658, _xlfn.CONCAT("*",Table13[[#Headers],[Mystery]],"*")),1,0)</f>
        <v>0</v>
      </c>
      <c r="V658">
        <f>IF(COUNTIF($E658, _xlfn.CONCAT("*",Table13[[#Headers],[Romance]],"*")),1,0)</f>
        <v>1</v>
      </c>
      <c r="W658">
        <f>IF(COUNTIF($E658, _xlfn.CONCAT("*",Table13[[#Headers],[Science Fiction]],"*")),1,0)</f>
        <v>0</v>
      </c>
      <c r="X658">
        <f>IF(COUNTIF($E658, _xlfn.CONCAT("*",Table13[[#Headers],[TV Movie]],"*")),1,0)</f>
        <v>0</v>
      </c>
      <c r="Y658">
        <f>IF(COUNTIF($E658, _xlfn.CONCAT("*",Table13[[#Headers],[Thriller]],"*")),1,0)</f>
        <v>0</v>
      </c>
      <c r="Z658">
        <f>IF(COUNTIF($E658, _xlfn.CONCAT("*",Table13[[#Headers],[War]],"*")),1,0)</f>
        <v>0</v>
      </c>
      <c r="AA658">
        <f>IF(COUNTIF($E658, _xlfn.CONCAT("*",Table13[[#Headers],[Western]],"*")),1,0)</f>
        <v>0</v>
      </c>
    </row>
    <row r="659" spans="1:27">
      <c r="A659" t="s">
        <v>734</v>
      </c>
      <c r="B659">
        <v>27</v>
      </c>
      <c r="C659">
        <f>MAX(Table13[Rank])-Table13[[#This Row],[Rank]]</f>
        <v>237</v>
      </c>
      <c r="D659" t="s">
        <v>746</v>
      </c>
      <c r="E659" t="s">
        <v>164</v>
      </c>
      <c r="F659" s="1">
        <v>31093</v>
      </c>
      <c r="G659">
        <f>YEAR(Table13[[#This Row],[Date]])</f>
        <v>1985</v>
      </c>
      <c r="H659" t="s">
        <v>734</v>
      </c>
      <c r="I659">
        <f>IF(COUNTIF($E659, _xlfn.CONCAT("*",Table13[[#Headers],[Action]],"*")),1,0)</f>
        <v>0</v>
      </c>
      <c r="J659">
        <f>IF(COUNTIF($E659, _xlfn.CONCAT("*",Table13[[#Headers],[Adventure]],"*")),1,0)</f>
        <v>0</v>
      </c>
      <c r="K659">
        <f>IF(COUNTIF($E659, _xlfn.CONCAT("*",Table13[[#Headers],[Animation]],"*")),1,0)</f>
        <v>0</v>
      </c>
      <c r="L659">
        <f>IF(COUNTIF($E659, _xlfn.CONCAT("*",Table13[[#Headers],[Comedy]],"*")),1,0)</f>
        <v>1</v>
      </c>
      <c r="M659">
        <f>IF(COUNTIF($E659, _xlfn.CONCAT("*",Table13[[#Headers],[Crime]],"*")),1,0)</f>
        <v>0</v>
      </c>
      <c r="N659">
        <f>IF(COUNTIF($E659, _xlfn.CONCAT("*",Table13[[#Headers],[Documentary]],"*")),1,0)</f>
        <v>0</v>
      </c>
      <c r="O659">
        <f>IF(COUNTIF($E659, _xlfn.CONCAT("*",Table13[[#Headers],[Drama]],"*")),1,0)</f>
        <v>1</v>
      </c>
      <c r="P659">
        <f>IF(COUNTIF($E659, _xlfn.CONCAT("*",Table13[[#Headers],[Family]],"*")),1,0)</f>
        <v>0</v>
      </c>
      <c r="Q659">
        <f>IF(COUNTIF($E659, _xlfn.CONCAT("*",Table13[[#Headers],[Fantasy]],"*")),1,0)</f>
        <v>0</v>
      </c>
      <c r="R659">
        <f>IF(COUNTIF($E659, _xlfn.CONCAT("*",Table13[[#Headers],[History]],"*")),1,0)</f>
        <v>0</v>
      </c>
      <c r="S659">
        <f>IF(COUNTIF($E659, _xlfn.CONCAT("*",Table13[[#Headers],[Horror]],"*")),1,0)</f>
        <v>0</v>
      </c>
      <c r="T659">
        <f>IF(COUNTIF($E659, _xlfn.CONCAT("*",Table13[[#Headers],[Music]],"*")),1,0)</f>
        <v>0</v>
      </c>
      <c r="U659">
        <f>IF(COUNTIF($E659, _xlfn.CONCAT("*",Table13[[#Headers],[Mystery]],"*")),1,0)</f>
        <v>0</v>
      </c>
      <c r="V659">
        <f>IF(COUNTIF($E659, _xlfn.CONCAT("*",Table13[[#Headers],[Romance]],"*")),1,0)</f>
        <v>0</v>
      </c>
      <c r="W659">
        <f>IF(COUNTIF($E659, _xlfn.CONCAT("*",Table13[[#Headers],[Science Fiction]],"*")),1,0)</f>
        <v>0</v>
      </c>
      <c r="X659">
        <f>IF(COUNTIF($E659, _xlfn.CONCAT("*",Table13[[#Headers],[TV Movie]],"*")),1,0)</f>
        <v>0</v>
      </c>
      <c r="Y659">
        <f>IF(COUNTIF($E659, _xlfn.CONCAT("*",Table13[[#Headers],[Thriller]],"*")),1,0)</f>
        <v>0</v>
      </c>
      <c r="Z659">
        <f>IF(COUNTIF($E659, _xlfn.CONCAT("*",Table13[[#Headers],[War]],"*")),1,0)</f>
        <v>0</v>
      </c>
      <c r="AA659">
        <f>IF(COUNTIF($E659, _xlfn.CONCAT("*",Table13[[#Headers],[Western]],"*")),1,0)</f>
        <v>0</v>
      </c>
    </row>
    <row r="660" spans="1:27">
      <c r="A660" t="s">
        <v>386</v>
      </c>
      <c r="B660">
        <v>26</v>
      </c>
      <c r="C660">
        <f>MAX(Table13[Rank])-Table13[[#This Row],[Rank]]</f>
        <v>238</v>
      </c>
      <c r="D660" t="s">
        <v>746</v>
      </c>
      <c r="E660" t="s">
        <v>220</v>
      </c>
      <c r="F660" s="1">
        <v>19093</v>
      </c>
      <c r="G660">
        <f>YEAR(Table13[[#This Row],[Date]])</f>
        <v>1952</v>
      </c>
      <c r="H660" t="s">
        <v>386</v>
      </c>
      <c r="I660">
        <f>IF(COUNTIF($E660, _xlfn.CONCAT("*",Table13[[#Headers],[Action]],"*")),1,0)</f>
        <v>0</v>
      </c>
      <c r="J660">
        <f>IF(COUNTIF($E660, _xlfn.CONCAT("*",Table13[[#Headers],[Adventure]],"*")),1,0)</f>
        <v>0</v>
      </c>
      <c r="K660">
        <f>IF(COUNTIF($E660, _xlfn.CONCAT("*",Table13[[#Headers],[Animation]],"*")),1,0)</f>
        <v>0</v>
      </c>
      <c r="L660">
        <f>IF(COUNTIF($E660, _xlfn.CONCAT("*",Table13[[#Headers],[Comedy]],"*")),1,0)</f>
        <v>1</v>
      </c>
      <c r="M660">
        <f>IF(COUNTIF($E660, _xlfn.CONCAT("*",Table13[[#Headers],[Crime]],"*")),1,0)</f>
        <v>0</v>
      </c>
      <c r="N660">
        <f>IF(COUNTIF($E660, _xlfn.CONCAT("*",Table13[[#Headers],[Documentary]],"*")),1,0)</f>
        <v>0</v>
      </c>
      <c r="O660">
        <f>IF(COUNTIF($E660, _xlfn.CONCAT("*",Table13[[#Headers],[Drama]],"*")),1,0)</f>
        <v>0</v>
      </c>
      <c r="P660">
        <f>IF(COUNTIF($E660, _xlfn.CONCAT("*",Table13[[#Headers],[Family]],"*")),1,0)</f>
        <v>0</v>
      </c>
      <c r="Q660">
        <f>IF(COUNTIF($E660, _xlfn.CONCAT("*",Table13[[#Headers],[Fantasy]],"*")),1,0)</f>
        <v>0</v>
      </c>
      <c r="R660">
        <f>IF(COUNTIF($E660, _xlfn.CONCAT("*",Table13[[#Headers],[History]],"*")),1,0)</f>
        <v>0</v>
      </c>
      <c r="S660">
        <f>IF(COUNTIF($E660, _xlfn.CONCAT("*",Table13[[#Headers],[Horror]],"*")),1,0)</f>
        <v>0</v>
      </c>
      <c r="T660">
        <f>IF(COUNTIF($E660, _xlfn.CONCAT("*",Table13[[#Headers],[Music]],"*")),1,0)</f>
        <v>0</v>
      </c>
      <c r="U660">
        <f>IF(COUNTIF($E660, _xlfn.CONCAT("*",Table13[[#Headers],[Mystery]],"*")),1,0)</f>
        <v>0</v>
      </c>
      <c r="V660">
        <f>IF(COUNTIF($E660, _xlfn.CONCAT("*",Table13[[#Headers],[Romance]],"*")),1,0)</f>
        <v>1</v>
      </c>
      <c r="W660">
        <f>IF(COUNTIF($E660, _xlfn.CONCAT("*",Table13[[#Headers],[Science Fiction]],"*")),1,0)</f>
        <v>0</v>
      </c>
      <c r="X660">
        <f>IF(COUNTIF($E660, _xlfn.CONCAT("*",Table13[[#Headers],[TV Movie]],"*")),1,0)</f>
        <v>0</v>
      </c>
      <c r="Y660">
        <f>IF(COUNTIF($E660, _xlfn.CONCAT("*",Table13[[#Headers],[Thriller]],"*")),1,0)</f>
        <v>0</v>
      </c>
      <c r="Z660">
        <f>IF(COUNTIF($E660, _xlfn.CONCAT("*",Table13[[#Headers],[War]],"*")),1,0)</f>
        <v>0</v>
      </c>
      <c r="AA660">
        <f>IF(COUNTIF($E660, _xlfn.CONCAT("*",Table13[[#Headers],[Western]],"*")),1,0)</f>
        <v>0</v>
      </c>
    </row>
    <row r="661" spans="1:27">
      <c r="A661" t="s">
        <v>432</v>
      </c>
      <c r="B661">
        <v>25</v>
      </c>
      <c r="C661">
        <f>MAX(Table13[Rank])-Table13[[#This Row],[Rank]]</f>
        <v>239</v>
      </c>
      <c r="D661" t="s">
        <v>746</v>
      </c>
      <c r="E661" t="s">
        <v>433</v>
      </c>
      <c r="F661" s="1">
        <v>23830</v>
      </c>
      <c r="G661">
        <f>YEAR(Table13[[#This Row],[Date]])</f>
        <v>1965</v>
      </c>
      <c r="H661" t="s">
        <v>432</v>
      </c>
      <c r="I661">
        <f>IF(COUNTIF($E661, _xlfn.CONCAT("*",Table13[[#Headers],[Action]],"*")),1,0)</f>
        <v>0</v>
      </c>
      <c r="J661">
        <f>IF(COUNTIF($E661, _xlfn.CONCAT("*",Table13[[#Headers],[Adventure]],"*")),1,0)</f>
        <v>0</v>
      </c>
      <c r="K661">
        <f>IF(COUNTIF($E661, _xlfn.CONCAT("*",Table13[[#Headers],[Animation]],"*")),1,0)</f>
        <v>0</v>
      </c>
      <c r="L661">
        <f>IF(COUNTIF($E661, _xlfn.CONCAT("*",Table13[[#Headers],[Comedy]],"*")),1,0)</f>
        <v>0</v>
      </c>
      <c r="M661">
        <f>IF(COUNTIF($E661, _xlfn.CONCAT("*",Table13[[#Headers],[Crime]],"*")),1,0)</f>
        <v>0</v>
      </c>
      <c r="N661">
        <f>IF(COUNTIF($E661, _xlfn.CONCAT("*",Table13[[#Headers],[Documentary]],"*")),1,0)</f>
        <v>0</v>
      </c>
      <c r="O661">
        <f>IF(COUNTIF($E661, _xlfn.CONCAT("*",Table13[[#Headers],[Drama]],"*")),1,0)</f>
        <v>1</v>
      </c>
      <c r="P661">
        <f>IF(COUNTIF($E661, _xlfn.CONCAT("*",Table13[[#Headers],[Family]],"*")),1,0)</f>
        <v>1</v>
      </c>
      <c r="Q661">
        <f>IF(COUNTIF($E661, _xlfn.CONCAT("*",Table13[[#Headers],[Fantasy]],"*")),1,0)</f>
        <v>0</v>
      </c>
      <c r="R661">
        <f>IF(COUNTIF($E661, _xlfn.CONCAT("*",Table13[[#Headers],[History]],"*")),1,0)</f>
        <v>0</v>
      </c>
      <c r="S661">
        <f>IF(COUNTIF($E661, _xlfn.CONCAT("*",Table13[[#Headers],[Horror]],"*")),1,0)</f>
        <v>0</v>
      </c>
      <c r="T661">
        <f>IF(COUNTIF($E661, _xlfn.CONCAT("*",Table13[[#Headers],[Music]],"*")),1,0)</f>
        <v>1</v>
      </c>
      <c r="U661">
        <f>IF(COUNTIF($E661, _xlfn.CONCAT("*",Table13[[#Headers],[Mystery]],"*")),1,0)</f>
        <v>0</v>
      </c>
      <c r="V661">
        <f>IF(COUNTIF($E661, _xlfn.CONCAT("*",Table13[[#Headers],[Romance]],"*")),1,0)</f>
        <v>1</v>
      </c>
      <c r="W661">
        <f>IF(COUNTIF($E661, _xlfn.CONCAT("*",Table13[[#Headers],[Science Fiction]],"*")),1,0)</f>
        <v>0</v>
      </c>
      <c r="X661">
        <f>IF(COUNTIF($E661, _xlfn.CONCAT("*",Table13[[#Headers],[TV Movie]],"*")),1,0)</f>
        <v>0</v>
      </c>
      <c r="Y661">
        <f>IF(COUNTIF($E661, _xlfn.CONCAT("*",Table13[[#Headers],[Thriller]],"*")),1,0)</f>
        <v>0</v>
      </c>
      <c r="Z661">
        <f>IF(COUNTIF($E661, _xlfn.CONCAT("*",Table13[[#Headers],[War]],"*")),1,0)</f>
        <v>0</v>
      </c>
      <c r="AA661">
        <f>IF(COUNTIF($E661, _xlfn.CONCAT("*",Table13[[#Headers],[Western]],"*")),1,0)</f>
        <v>0</v>
      </c>
    </row>
    <row r="662" spans="1:27">
      <c r="A662" t="s">
        <v>258</v>
      </c>
      <c r="B662">
        <v>24</v>
      </c>
      <c r="C662">
        <f>MAX(Table13[Rank])-Table13[[#This Row],[Rank]]</f>
        <v>240</v>
      </c>
      <c r="D662" t="s">
        <v>746</v>
      </c>
      <c r="E662" t="s">
        <v>259</v>
      </c>
      <c r="F662" s="1">
        <v>27565</v>
      </c>
      <c r="G662">
        <f>YEAR(Table13[[#This Row],[Date]])</f>
        <v>1975</v>
      </c>
      <c r="H662" t="s">
        <v>258</v>
      </c>
      <c r="I662">
        <f>IF(COUNTIF($E662, _xlfn.CONCAT("*",Table13[[#Headers],[Action]],"*")),1,0)</f>
        <v>0</v>
      </c>
      <c r="J662">
        <f>IF(COUNTIF($E662, _xlfn.CONCAT("*",Table13[[#Headers],[Adventure]],"*")),1,0)</f>
        <v>1</v>
      </c>
      <c r="K662">
        <f>IF(COUNTIF($E662, _xlfn.CONCAT("*",Table13[[#Headers],[Animation]],"*")),1,0)</f>
        <v>0</v>
      </c>
      <c r="L662">
        <f>IF(COUNTIF($E662, _xlfn.CONCAT("*",Table13[[#Headers],[Comedy]],"*")),1,0)</f>
        <v>0</v>
      </c>
      <c r="M662">
        <f>IF(COUNTIF($E662, _xlfn.CONCAT("*",Table13[[#Headers],[Crime]],"*")),1,0)</f>
        <v>0</v>
      </c>
      <c r="N662">
        <f>IF(COUNTIF($E662, _xlfn.CONCAT("*",Table13[[#Headers],[Documentary]],"*")),1,0)</f>
        <v>0</v>
      </c>
      <c r="O662">
        <f>IF(COUNTIF($E662, _xlfn.CONCAT("*",Table13[[#Headers],[Drama]],"*")),1,0)</f>
        <v>0</v>
      </c>
      <c r="P662">
        <f>IF(COUNTIF($E662, _xlfn.CONCAT("*",Table13[[#Headers],[Family]],"*")),1,0)</f>
        <v>0</v>
      </c>
      <c r="Q662">
        <f>IF(COUNTIF($E662, _xlfn.CONCAT("*",Table13[[#Headers],[Fantasy]],"*")),1,0)</f>
        <v>0</v>
      </c>
      <c r="R662">
        <f>IF(COUNTIF($E662, _xlfn.CONCAT("*",Table13[[#Headers],[History]],"*")),1,0)</f>
        <v>0</v>
      </c>
      <c r="S662">
        <f>IF(COUNTIF($E662, _xlfn.CONCAT("*",Table13[[#Headers],[Horror]],"*")),1,0)</f>
        <v>1</v>
      </c>
      <c r="T662">
        <f>IF(COUNTIF($E662, _xlfn.CONCAT("*",Table13[[#Headers],[Music]],"*")),1,0)</f>
        <v>0</v>
      </c>
      <c r="U662">
        <f>IF(COUNTIF($E662, _xlfn.CONCAT("*",Table13[[#Headers],[Mystery]],"*")),1,0)</f>
        <v>0</v>
      </c>
      <c r="V662">
        <f>IF(COUNTIF($E662, _xlfn.CONCAT("*",Table13[[#Headers],[Romance]],"*")),1,0)</f>
        <v>0</v>
      </c>
      <c r="W662">
        <f>IF(COUNTIF($E662, _xlfn.CONCAT("*",Table13[[#Headers],[Science Fiction]],"*")),1,0)</f>
        <v>0</v>
      </c>
      <c r="X662">
        <f>IF(COUNTIF($E662, _xlfn.CONCAT("*",Table13[[#Headers],[TV Movie]],"*")),1,0)</f>
        <v>0</v>
      </c>
      <c r="Y662">
        <f>IF(COUNTIF($E662, _xlfn.CONCAT("*",Table13[[#Headers],[Thriller]],"*")),1,0)</f>
        <v>1</v>
      </c>
      <c r="Z662">
        <f>IF(COUNTIF($E662, _xlfn.CONCAT("*",Table13[[#Headers],[War]],"*")),1,0)</f>
        <v>0</v>
      </c>
      <c r="AA662">
        <f>IF(COUNTIF($E662, _xlfn.CONCAT("*",Table13[[#Headers],[Western]],"*")),1,0)</f>
        <v>0</v>
      </c>
    </row>
    <row r="663" spans="1:27">
      <c r="A663" t="s">
        <v>214</v>
      </c>
      <c r="B663">
        <v>23</v>
      </c>
      <c r="C663">
        <f>MAX(Table13[Rank])-Table13[[#This Row],[Rank]]</f>
        <v>241</v>
      </c>
      <c r="D663" t="s">
        <v>746</v>
      </c>
      <c r="E663" t="s">
        <v>215</v>
      </c>
      <c r="F663" s="1">
        <v>22991</v>
      </c>
      <c r="G663">
        <f>YEAR(Table13[[#This Row],[Date]])</f>
        <v>1962</v>
      </c>
      <c r="H663" t="s">
        <v>214</v>
      </c>
      <c r="I663">
        <f>IF(COUNTIF($E663, _xlfn.CONCAT("*",Table13[[#Headers],[Action]],"*")),1,0)</f>
        <v>0</v>
      </c>
      <c r="J663">
        <f>IF(COUNTIF($E663, _xlfn.CONCAT("*",Table13[[#Headers],[Adventure]],"*")),1,0)</f>
        <v>1</v>
      </c>
      <c r="K663">
        <f>IF(COUNTIF($E663, _xlfn.CONCAT("*",Table13[[#Headers],[Animation]],"*")),1,0)</f>
        <v>0</v>
      </c>
      <c r="L663">
        <f>IF(COUNTIF($E663, _xlfn.CONCAT("*",Table13[[#Headers],[Comedy]],"*")),1,0)</f>
        <v>0</v>
      </c>
      <c r="M663">
        <f>IF(COUNTIF($E663, _xlfn.CONCAT("*",Table13[[#Headers],[Crime]],"*")),1,0)</f>
        <v>0</v>
      </c>
      <c r="N663">
        <f>IF(COUNTIF($E663, _xlfn.CONCAT("*",Table13[[#Headers],[Documentary]],"*")),1,0)</f>
        <v>0</v>
      </c>
      <c r="O663">
        <f>IF(COUNTIF($E663, _xlfn.CONCAT("*",Table13[[#Headers],[Drama]],"*")),1,0)</f>
        <v>1</v>
      </c>
      <c r="P663">
        <f>IF(COUNTIF($E663, _xlfn.CONCAT("*",Table13[[#Headers],[Family]],"*")),1,0)</f>
        <v>0</v>
      </c>
      <c r="Q663">
        <f>IF(COUNTIF($E663, _xlfn.CONCAT("*",Table13[[#Headers],[Fantasy]],"*")),1,0)</f>
        <v>0</v>
      </c>
      <c r="R663">
        <f>IF(COUNTIF($E663, _xlfn.CONCAT("*",Table13[[#Headers],[History]],"*")),1,0)</f>
        <v>1</v>
      </c>
      <c r="S663">
        <f>IF(COUNTIF($E663, _xlfn.CONCAT("*",Table13[[#Headers],[Horror]],"*")),1,0)</f>
        <v>0</v>
      </c>
      <c r="T663">
        <f>IF(COUNTIF($E663, _xlfn.CONCAT("*",Table13[[#Headers],[Music]],"*")),1,0)</f>
        <v>0</v>
      </c>
      <c r="U663">
        <f>IF(COUNTIF($E663, _xlfn.CONCAT("*",Table13[[#Headers],[Mystery]],"*")),1,0)</f>
        <v>0</v>
      </c>
      <c r="V663">
        <f>IF(COUNTIF($E663, _xlfn.CONCAT("*",Table13[[#Headers],[Romance]],"*")),1,0)</f>
        <v>0</v>
      </c>
      <c r="W663">
        <f>IF(COUNTIF($E663, _xlfn.CONCAT("*",Table13[[#Headers],[Science Fiction]],"*")),1,0)</f>
        <v>0</v>
      </c>
      <c r="X663">
        <f>IF(COUNTIF($E663, _xlfn.CONCAT("*",Table13[[#Headers],[TV Movie]],"*")),1,0)</f>
        <v>0</v>
      </c>
      <c r="Y663">
        <f>IF(COUNTIF($E663, _xlfn.CONCAT("*",Table13[[#Headers],[Thriller]],"*")),1,0)</f>
        <v>0</v>
      </c>
      <c r="Z663">
        <f>IF(COUNTIF($E663, _xlfn.CONCAT("*",Table13[[#Headers],[War]],"*")),1,0)</f>
        <v>1</v>
      </c>
      <c r="AA663">
        <f>IF(COUNTIF($E663, _xlfn.CONCAT("*",Table13[[#Headers],[Western]],"*")),1,0)</f>
        <v>0</v>
      </c>
    </row>
    <row r="664" spans="1:27">
      <c r="A664" t="s">
        <v>474</v>
      </c>
      <c r="B664">
        <v>22</v>
      </c>
      <c r="C664">
        <f>MAX(Table13[Rank])-Table13[[#This Row],[Rank]]</f>
        <v>242</v>
      </c>
      <c r="D664" t="s">
        <v>746</v>
      </c>
      <c r="E664" t="s">
        <v>367</v>
      </c>
      <c r="F664" s="1">
        <v>33283</v>
      </c>
      <c r="G664">
        <f>YEAR(Table13[[#This Row],[Date]])</f>
        <v>1991</v>
      </c>
      <c r="H664" t="s">
        <v>474</v>
      </c>
      <c r="I664">
        <f>IF(COUNTIF($E664, _xlfn.CONCAT("*",Table13[[#Headers],[Action]],"*")),1,0)</f>
        <v>0</v>
      </c>
      <c r="J664">
        <f>IF(COUNTIF($E664, _xlfn.CONCAT("*",Table13[[#Headers],[Adventure]],"*")),1,0)</f>
        <v>0</v>
      </c>
      <c r="K664">
        <f>IF(COUNTIF($E664, _xlfn.CONCAT("*",Table13[[#Headers],[Animation]],"*")),1,0)</f>
        <v>0</v>
      </c>
      <c r="L664">
        <f>IF(COUNTIF($E664, _xlfn.CONCAT("*",Table13[[#Headers],[Comedy]],"*")),1,0)</f>
        <v>0</v>
      </c>
      <c r="M664">
        <f>IF(COUNTIF($E664, _xlfn.CONCAT("*",Table13[[#Headers],[Crime]],"*")),1,0)</f>
        <v>1</v>
      </c>
      <c r="N664">
        <f>IF(COUNTIF($E664, _xlfn.CONCAT("*",Table13[[#Headers],[Documentary]],"*")),1,0)</f>
        <v>0</v>
      </c>
      <c r="O664">
        <f>IF(COUNTIF($E664, _xlfn.CONCAT("*",Table13[[#Headers],[Drama]],"*")),1,0)</f>
        <v>1</v>
      </c>
      <c r="P664">
        <f>IF(COUNTIF($E664, _xlfn.CONCAT("*",Table13[[#Headers],[Family]],"*")),1,0)</f>
        <v>0</v>
      </c>
      <c r="Q664">
        <f>IF(COUNTIF($E664, _xlfn.CONCAT("*",Table13[[#Headers],[Fantasy]],"*")),1,0)</f>
        <v>0</v>
      </c>
      <c r="R664">
        <f>IF(COUNTIF($E664, _xlfn.CONCAT("*",Table13[[#Headers],[History]],"*")),1,0)</f>
        <v>0</v>
      </c>
      <c r="S664">
        <f>IF(COUNTIF($E664, _xlfn.CONCAT("*",Table13[[#Headers],[Horror]],"*")),1,0)</f>
        <v>0</v>
      </c>
      <c r="T664">
        <f>IF(COUNTIF($E664, _xlfn.CONCAT("*",Table13[[#Headers],[Music]],"*")),1,0)</f>
        <v>0</v>
      </c>
      <c r="U664">
        <f>IF(COUNTIF($E664, _xlfn.CONCAT("*",Table13[[#Headers],[Mystery]],"*")),1,0)</f>
        <v>0</v>
      </c>
      <c r="V664">
        <f>IF(COUNTIF($E664, _xlfn.CONCAT("*",Table13[[#Headers],[Romance]],"*")),1,0)</f>
        <v>0</v>
      </c>
      <c r="W664">
        <f>IF(COUNTIF($E664, _xlfn.CONCAT("*",Table13[[#Headers],[Science Fiction]],"*")),1,0)</f>
        <v>0</v>
      </c>
      <c r="X664">
        <f>IF(COUNTIF($E664, _xlfn.CONCAT("*",Table13[[#Headers],[TV Movie]],"*")),1,0)</f>
        <v>0</v>
      </c>
      <c r="Y664">
        <f>IF(COUNTIF($E664, _xlfn.CONCAT("*",Table13[[#Headers],[Thriller]],"*")),1,0)</f>
        <v>1</v>
      </c>
      <c r="Z664">
        <f>IF(COUNTIF($E664, _xlfn.CONCAT("*",Table13[[#Headers],[War]],"*")),1,0)</f>
        <v>0</v>
      </c>
      <c r="AA664">
        <f>IF(COUNTIF($E664, _xlfn.CONCAT("*",Table13[[#Headers],[Western]],"*")),1,0)</f>
        <v>0</v>
      </c>
    </row>
    <row r="665" spans="1:27">
      <c r="A665" t="s">
        <v>183</v>
      </c>
      <c r="B665">
        <v>21</v>
      </c>
      <c r="C665">
        <f>MAX(Table13[Rank])-Table13[[#This Row],[Rank]]</f>
        <v>243</v>
      </c>
      <c r="D665" t="s">
        <v>746</v>
      </c>
      <c r="E665" t="s">
        <v>184</v>
      </c>
      <c r="F665" s="1">
        <v>27200</v>
      </c>
      <c r="G665">
        <f>YEAR(Table13[[#This Row],[Date]])</f>
        <v>1974</v>
      </c>
      <c r="H665" t="s">
        <v>183</v>
      </c>
      <c r="I665">
        <f>IF(COUNTIF($E665, _xlfn.CONCAT("*",Table13[[#Headers],[Action]],"*")),1,0)</f>
        <v>0</v>
      </c>
      <c r="J665">
        <f>IF(COUNTIF($E665, _xlfn.CONCAT("*",Table13[[#Headers],[Adventure]],"*")),1,0)</f>
        <v>0</v>
      </c>
      <c r="K665">
        <f>IF(COUNTIF($E665, _xlfn.CONCAT("*",Table13[[#Headers],[Animation]],"*")),1,0)</f>
        <v>0</v>
      </c>
      <c r="L665">
        <f>IF(COUNTIF($E665, _xlfn.CONCAT("*",Table13[[#Headers],[Comedy]],"*")),1,0)</f>
        <v>0</v>
      </c>
      <c r="M665">
        <f>IF(COUNTIF($E665, _xlfn.CONCAT("*",Table13[[#Headers],[Crime]],"*")),1,0)</f>
        <v>1</v>
      </c>
      <c r="N665">
        <f>IF(COUNTIF($E665, _xlfn.CONCAT("*",Table13[[#Headers],[Documentary]],"*")),1,0)</f>
        <v>0</v>
      </c>
      <c r="O665">
        <f>IF(COUNTIF($E665, _xlfn.CONCAT("*",Table13[[#Headers],[Drama]],"*")),1,0)</f>
        <v>1</v>
      </c>
      <c r="P665">
        <f>IF(COUNTIF($E665, _xlfn.CONCAT("*",Table13[[#Headers],[Family]],"*")),1,0)</f>
        <v>0</v>
      </c>
      <c r="Q665">
        <f>IF(COUNTIF($E665, _xlfn.CONCAT("*",Table13[[#Headers],[Fantasy]],"*")),1,0)</f>
        <v>0</v>
      </c>
      <c r="R665">
        <f>IF(COUNTIF($E665, _xlfn.CONCAT("*",Table13[[#Headers],[History]],"*")),1,0)</f>
        <v>0</v>
      </c>
      <c r="S665">
        <f>IF(COUNTIF($E665, _xlfn.CONCAT("*",Table13[[#Headers],[Horror]],"*")),1,0)</f>
        <v>0</v>
      </c>
      <c r="T665">
        <f>IF(COUNTIF($E665, _xlfn.CONCAT("*",Table13[[#Headers],[Music]],"*")),1,0)</f>
        <v>0</v>
      </c>
      <c r="U665">
        <f>IF(COUNTIF($E665, _xlfn.CONCAT("*",Table13[[#Headers],[Mystery]],"*")),1,0)</f>
        <v>1</v>
      </c>
      <c r="V665">
        <f>IF(COUNTIF($E665, _xlfn.CONCAT("*",Table13[[#Headers],[Romance]],"*")),1,0)</f>
        <v>0</v>
      </c>
      <c r="W665">
        <f>IF(COUNTIF($E665, _xlfn.CONCAT("*",Table13[[#Headers],[Science Fiction]],"*")),1,0)</f>
        <v>0</v>
      </c>
      <c r="X665">
        <f>IF(COUNTIF($E665, _xlfn.CONCAT("*",Table13[[#Headers],[TV Movie]],"*")),1,0)</f>
        <v>0</v>
      </c>
      <c r="Y665">
        <f>IF(COUNTIF($E665, _xlfn.CONCAT("*",Table13[[#Headers],[Thriller]],"*")),1,0)</f>
        <v>1</v>
      </c>
      <c r="Z665">
        <f>IF(COUNTIF($E665, _xlfn.CONCAT("*",Table13[[#Headers],[War]],"*")),1,0)</f>
        <v>0</v>
      </c>
      <c r="AA665">
        <f>IF(COUNTIF($E665, _xlfn.CONCAT("*",Table13[[#Headers],[Western]],"*")),1,0)</f>
        <v>0</v>
      </c>
    </row>
    <row r="666" spans="1:27">
      <c r="A666" t="s">
        <v>210</v>
      </c>
      <c r="B666">
        <v>20</v>
      </c>
      <c r="C666">
        <f>MAX(Table13[Rank])-Table13[[#This Row],[Rank]]</f>
        <v>244</v>
      </c>
      <c r="D666" t="s">
        <v>746</v>
      </c>
      <c r="E666" t="s">
        <v>211</v>
      </c>
      <c r="F666" s="1">
        <v>17156</v>
      </c>
      <c r="G666">
        <f>YEAR(Table13[[#This Row],[Date]])</f>
        <v>1946</v>
      </c>
      <c r="H666" t="s">
        <v>210</v>
      </c>
      <c r="I666">
        <f>IF(COUNTIF($E666, _xlfn.CONCAT("*",Table13[[#Headers],[Action]],"*")),1,0)</f>
        <v>0</v>
      </c>
      <c r="J666">
        <f>IF(COUNTIF($E666, _xlfn.CONCAT("*",Table13[[#Headers],[Adventure]],"*")),1,0)</f>
        <v>0</v>
      </c>
      <c r="K666">
        <f>IF(COUNTIF($E666, _xlfn.CONCAT("*",Table13[[#Headers],[Animation]],"*")),1,0)</f>
        <v>0</v>
      </c>
      <c r="L666">
        <f>IF(COUNTIF($E666, _xlfn.CONCAT("*",Table13[[#Headers],[Comedy]],"*")),1,0)</f>
        <v>0</v>
      </c>
      <c r="M666">
        <f>IF(COUNTIF($E666, _xlfn.CONCAT("*",Table13[[#Headers],[Crime]],"*")),1,0)</f>
        <v>0</v>
      </c>
      <c r="N666">
        <f>IF(COUNTIF($E666, _xlfn.CONCAT("*",Table13[[#Headers],[Documentary]],"*")),1,0)</f>
        <v>0</v>
      </c>
      <c r="O666">
        <f>IF(COUNTIF($E666, _xlfn.CONCAT("*",Table13[[#Headers],[Drama]],"*")),1,0)</f>
        <v>1</v>
      </c>
      <c r="P666">
        <f>IF(COUNTIF($E666, _xlfn.CONCAT("*",Table13[[#Headers],[Family]],"*")),1,0)</f>
        <v>1</v>
      </c>
      <c r="Q666">
        <f>IF(COUNTIF($E666, _xlfn.CONCAT("*",Table13[[#Headers],[Fantasy]],"*")),1,0)</f>
        <v>1</v>
      </c>
      <c r="R666">
        <f>IF(COUNTIF($E666, _xlfn.CONCAT("*",Table13[[#Headers],[History]],"*")),1,0)</f>
        <v>0</v>
      </c>
      <c r="S666">
        <f>IF(COUNTIF($E666, _xlfn.CONCAT("*",Table13[[#Headers],[Horror]],"*")),1,0)</f>
        <v>0</v>
      </c>
      <c r="T666">
        <f>IF(COUNTIF($E666, _xlfn.CONCAT("*",Table13[[#Headers],[Music]],"*")),1,0)</f>
        <v>0</v>
      </c>
      <c r="U666">
        <f>IF(COUNTIF($E666, _xlfn.CONCAT("*",Table13[[#Headers],[Mystery]],"*")),1,0)</f>
        <v>0</v>
      </c>
      <c r="V666">
        <f>IF(COUNTIF($E666, _xlfn.CONCAT("*",Table13[[#Headers],[Romance]],"*")),1,0)</f>
        <v>0</v>
      </c>
      <c r="W666">
        <f>IF(COUNTIF($E666, _xlfn.CONCAT("*",Table13[[#Headers],[Science Fiction]],"*")),1,0)</f>
        <v>0</v>
      </c>
      <c r="X666">
        <f>IF(COUNTIF($E666, _xlfn.CONCAT("*",Table13[[#Headers],[TV Movie]],"*")),1,0)</f>
        <v>0</v>
      </c>
      <c r="Y666">
        <f>IF(COUNTIF($E666, _xlfn.CONCAT("*",Table13[[#Headers],[Thriller]],"*")),1,0)</f>
        <v>0</v>
      </c>
      <c r="Z666">
        <f>IF(COUNTIF($E666, _xlfn.CONCAT("*",Table13[[#Headers],[War]],"*")),1,0)</f>
        <v>0</v>
      </c>
      <c r="AA666">
        <f>IF(COUNTIF($E666, _xlfn.CONCAT("*",Table13[[#Headers],[Western]],"*")),1,0)</f>
        <v>0</v>
      </c>
    </row>
    <row r="667" spans="1:27">
      <c r="A667" t="s">
        <v>484</v>
      </c>
      <c r="B667">
        <v>19</v>
      </c>
      <c r="C667">
        <f>MAX(Table13[Rank])-Table13[[#This Row],[Rank]]</f>
        <v>245</v>
      </c>
      <c r="D667" t="s">
        <v>746</v>
      </c>
      <c r="E667" t="s">
        <v>166</v>
      </c>
      <c r="F667" s="1">
        <v>33128</v>
      </c>
      <c r="G667">
        <f>YEAR(Table13[[#This Row],[Date]])</f>
        <v>1990</v>
      </c>
      <c r="H667" t="s">
        <v>316</v>
      </c>
      <c r="I667">
        <f>IF(COUNTIF($E667, _xlfn.CONCAT("*",Table13[[#Headers],[Action]],"*")),1,0)</f>
        <v>0</v>
      </c>
      <c r="J667">
        <f>IF(COUNTIF($E667, _xlfn.CONCAT("*",Table13[[#Headers],[Adventure]],"*")),1,0)</f>
        <v>0</v>
      </c>
      <c r="K667">
        <f>IF(COUNTIF($E667, _xlfn.CONCAT("*",Table13[[#Headers],[Animation]],"*")),1,0)</f>
        <v>0</v>
      </c>
      <c r="L667">
        <f>IF(COUNTIF($E667, _xlfn.CONCAT("*",Table13[[#Headers],[Comedy]],"*")),1,0)</f>
        <v>0</v>
      </c>
      <c r="M667">
        <f>IF(COUNTIF($E667, _xlfn.CONCAT("*",Table13[[#Headers],[Crime]],"*")),1,0)</f>
        <v>1</v>
      </c>
      <c r="N667">
        <f>IF(COUNTIF($E667, _xlfn.CONCAT("*",Table13[[#Headers],[Documentary]],"*")),1,0)</f>
        <v>0</v>
      </c>
      <c r="O667">
        <f>IF(COUNTIF($E667, _xlfn.CONCAT("*",Table13[[#Headers],[Drama]],"*")),1,0)</f>
        <v>1</v>
      </c>
      <c r="P667">
        <f>IF(COUNTIF($E667, _xlfn.CONCAT("*",Table13[[#Headers],[Family]],"*")),1,0)</f>
        <v>0</v>
      </c>
      <c r="Q667">
        <f>IF(COUNTIF($E667, _xlfn.CONCAT("*",Table13[[#Headers],[Fantasy]],"*")),1,0)</f>
        <v>0</v>
      </c>
      <c r="R667">
        <f>IF(COUNTIF($E667, _xlfn.CONCAT("*",Table13[[#Headers],[History]],"*")),1,0)</f>
        <v>0</v>
      </c>
      <c r="S667">
        <f>IF(COUNTIF($E667, _xlfn.CONCAT("*",Table13[[#Headers],[Horror]],"*")),1,0)</f>
        <v>0</v>
      </c>
      <c r="T667">
        <f>IF(COUNTIF($E667, _xlfn.CONCAT("*",Table13[[#Headers],[Music]],"*")),1,0)</f>
        <v>0</v>
      </c>
      <c r="U667">
        <f>IF(COUNTIF($E667, _xlfn.CONCAT("*",Table13[[#Headers],[Mystery]],"*")),1,0)</f>
        <v>0</v>
      </c>
      <c r="V667">
        <f>IF(COUNTIF($E667, _xlfn.CONCAT("*",Table13[[#Headers],[Romance]],"*")),1,0)</f>
        <v>0</v>
      </c>
      <c r="W667">
        <f>IF(COUNTIF($E667, _xlfn.CONCAT("*",Table13[[#Headers],[Science Fiction]],"*")),1,0)</f>
        <v>0</v>
      </c>
      <c r="X667">
        <f>IF(COUNTIF($E667, _xlfn.CONCAT("*",Table13[[#Headers],[TV Movie]],"*")),1,0)</f>
        <v>0</v>
      </c>
      <c r="Y667">
        <f>IF(COUNTIF($E667, _xlfn.CONCAT("*",Table13[[#Headers],[Thriller]],"*")),1,0)</f>
        <v>0</v>
      </c>
      <c r="Z667">
        <f>IF(COUNTIF($E667, _xlfn.CONCAT("*",Table13[[#Headers],[War]],"*")),1,0)</f>
        <v>0</v>
      </c>
      <c r="AA667">
        <f>IF(COUNTIF($E667, _xlfn.CONCAT("*",Table13[[#Headers],[Western]],"*")),1,0)</f>
        <v>0</v>
      </c>
    </row>
    <row r="668" spans="1:27">
      <c r="A668" t="s">
        <v>14</v>
      </c>
      <c r="B668">
        <v>18</v>
      </c>
      <c r="C668">
        <f>MAX(Table13[Rank])-Table13[[#This Row],[Rank]]</f>
        <v>246</v>
      </c>
      <c r="D668" t="s">
        <v>746</v>
      </c>
      <c r="E668" t="s">
        <v>15</v>
      </c>
      <c r="F668" s="1">
        <v>28234</v>
      </c>
      <c r="G668">
        <f>YEAR(Table13[[#This Row],[Date]])</f>
        <v>1977</v>
      </c>
      <c r="H668" t="s">
        <v>14</v>
      </c>
      <c r="I668">
        <f>IF(COUNTIF($E668, _xlfn.CONCAT("*",Table13[[#Headers],[Action]],"*")),1,0)</f>
        <v>0</v>
      </c>
      <c r="J668">
        <f>IF(COUNTIF($E668, _xlfn.CONCAT("*",Table13[[#Headers],[Adventure]],"*")),1,0)</f>
        <v>0</v>
      </c>
      <c r="K668">
        <f>IF(COUNTIF($E668, _xlfn.CONCAT("*",Table13[[#Headers],[Animation]],"*")),1,0)</f>
        <v>0</v>
      </c>
      <c r="L668">
        <f>IF(COUNTIF($E668, _xlfn.CONCAT("*",Table13[[#Headers],[Comedy]],"*")),1,0)</f>
        <v>1</v>
      </c>
      <c r="M668">
        <f>IF(COUNTIF($E668, _xlfn.CONCAT("*",Table13[[#Headers],[Crime]],"*")),1,0)</f>
        <v>0</v>
      </c>
      <c r="N668">
        <f>IF(COUNTIF($E668, _xlfn.CONCAT("*",Table13[[#Headers],[Documentary]],"*")),1,0)</f>
        <v>0</v>
      </c>
      <c r="O668">
        <f>IF(COUNTIF($E668, _xlfn.CONCAT("*",Table13[[#Headers],[Drama]],"*")),1,0)</f>
        <v>1</v>
      </c>
      <c r="P668">
        <f>IF(COUNTIF($E668, _xlfn.CONCAT("*",Table13[[#Headers],[Family]],"*")),1,0)</f>
        <v>0</v>
      </c>
      <c r="Q668">
        <f>IF(COUNTIF($E668, _xlfn.CONCAT("*",Table13[[#Headers],[Fantasy]],"*")),1,0)</f>
        <v>0</v>
      </c>
      <c r="R668">
        <f>IF(COUNTIF($E668, _xlfn.CONCAT("*",Table13[[#Headers],[History]],"*")),1,0)</f>
        <v>0</v>
      </c>
      <c r="S668">
        <f>IF(COUNTIF($E668, _xlfn.CONCAT("*",Table13[[#Headers],[Horror]],"*")),1,0)</f>
        <v>0</v>
      </c>
      <c r="T668">
        <f>IF(COUNTIF($E668, _xlfn.CONCAT("*",Table13[[#Headers],[Music]],"*")),1,0)</f>
        <v>0</v>
      </c>
      <c r="U668">
        <f>IF(COUNTIF($E668, _xlfn.CONCAT("*",Table13[[#Headers],[Mystery]],"*")),1,0)</f>
        <v>0</v>
      </c>
      <c r="V668">
        <f>IF(COUNTIF($E668, _xlfn.CONCAT("*",Table13[[#Headers],[Romance]],"*")),1,0)</f>
        <v>1</v>
      </c>
      <c r="W668">
        <f>IF(COUNTIF($E668, _xlfn.CONCAT("*",Table13[[#Headers],[Science Fiction]],"*")),1,0)</f>
        <v>0</v>
      </c>
      <c r="X668">
        <f>IF(COUNTIF($E668, _xlfn.CONCAT("*",Table13[[#Headers],[TV Movie]],"*")),1,0)</f>
        <v>0</v>
      </c>
      <c r="Y668">
        <f>IF(COUNTIF($E668, _xlfn.CONCAT("*",Table13[[#Headers],[Thriller]],"*")),1,0)</f>
        <v>0</v>
      </c>
      <c r="Z668">
        <f>IF(COUNTIF($E668, _xlfn.CONCAT("*",Table13[[#Headers],[War]],"*")),1,0)</f>
        <v>0</v>
      </c>
      <c r="AA668">
        <f>IF(COUNTIF($E668, _xlfn.CONCAT("*",Table13[[#Headers],[Western]],"*")),1,0)</f>
        <v>0</v>
      </c>
    </row>
    <row r="669" spans="1:27">
      <c r="A669" t="s">
        <v>376</v>
      </c>
      <c r="B669">
        <v>17</v>
      </c>
      <c r="C669">
        <f>MAX(Table13[Rank])-Table13[[#This Row],[Rank]]</f>
        <v>247</v>
      </c>
      <c r="D669" t="s">
        <v>746</v>
      </c>
      <c r="E669" t="s">
        <v>81</v>
      </c>
      <c r="F669" s="1">
        <v>29082</v>
      </c>
      <c r="G669">
        <f>YEAR(Table13[[#This Row],[Date]])</f>
        <v>1979</v>
      </c>
      <c r="H669" t="s">
        <v>376</v>
      </c>
      <c r="I669">
        <f>IF(COUNTIF($E669, _xlfn.CONCAT("*",Table13[[#Headers],[Action]],"*")),1,0)</f>
        <v>0</v>
      </c>
      <c r="J669">
        <f>IF(COUNTIF($E669, _xlfn.CONCAT("*",Table13[[#Headers],[Adventure]],"*")),1,0)</f>
        <v>0</v>
      </c>
      <c r="K669">
        <f>IF(COUNTIF($E669, _xlfn.CONCAT("*",Table13[[#Headers],[Animation]],"*")),1,0)</f>
        <v>0</v>
      </c>
      <c r="L669">
        <f>IF(COUNTIF($E669, _xlfn.CONCAT("*",Table13[[#Headers],[Comedy]],"*")),1,0)</f>
        <v>0</v>
      </c>
      <c r="M669">
        <f>IF(COUNTIF($E669, _xlfn.CONCAT("*",Table13[[#Headers],[Crime]],"*")),1,0)</f>
        <v>0</v>
      </c>
      <c r="N669">
        <f>IF(COUNTIF($E669, _xlfn.CONCAT("*",Table13[[#Headers],[Documentary]],"*")),1,0)</f>
        <v>0</v>
      </c>
      <c r="O669">
        <f>IF(COUNTIF($E669, _xlfn.CONCAT("*",Table13[[#Headers],[Drama]],"*")),1,0)</f>
        <v>1</v>
      </c>
      <c r="P669">
        <f>IF(COUNTIF($E669, _xlfn.CONCAT("*",Table13[[#Headers],[Family]],"*")),1,0)</f>
        <v>0</v>
      </c>
      <c r="Q669">
        <f>IF(COUNTIF($E669, _xlfn.CONCAT("*",Table13[[#Headers],[Fantasy]],"*")),1,0)</f>
        <v>0</v>
      </c>
      <c r="R669">
        <f>IF(COUNTIF($E669, _xlfn.CONCAT("*",Table13[[#Headers],[History]],"*")),1,0)</f>
        <v>0</v>
      </c>
      <c r="S669">
        <f>IF(COUNTIF($E669, _xlfn.CONCAT("*",Table13[[#Headers],[Horror]],"*")),1,0)</f>
        <v>0</v>
      </c>
      <c r="T669">
        <f>IF(COUNTIF($E669, _xlfn.CONCAT("*",Table13[[#Headers],[Music]],"*")),1,0)</f>
        <v>0</v>
      </c>
      <c r="U669">
        <f>IF(COUNTIF($E669, _xlfn.CONCAT("*",Table13[[#Headers],[Mystery]],"*")),1,0)</f>
        <v>0</v>
      </c>
      <c r="V669">
        <f>IF(COUNTIF($E669, _xlfn.CONCAT("*",Table13[[#Headers],[Romance]],"*")),1,0)</f>
        <v>0</v>
      </c>
      <c r="W669">
        <f>IF(COUNTIF($E669, _xlfn.CONCAT("*",Table13[[#Headers],[Science Fiction]],"*")),1,0)</f>
        <v>0</v>
      </c>
      <c r="X669">
        <f>IF(COUNTIF($E669, _xlfn.CONCAT("*",Table13[[#Headers],[TV Movie]],"*")),1,0)</f>
        <v>0</v>
      </c>
      <c r="Y669">
        <f>IF(COUNTIF($E669, _xlfn.CONCAT("*",Table13[[#Headers],[Thriller]],"*")),1,0)</f>
        <v>0</v>
      </c>
      <c r="Z669">
        <f>IF(COUNTIF($E669, _xlfn.CONCAT("*",Table13[[#Headers],[War]],"*")),1,0)</f>
        <v>1</v>
      </c>
      <c r="AA669">
        <f>IF(COUNTIF($E669, _xlfn.CONCAT("*",Table13[[#Headers],[Western]],"*")),1,0)</f>
        <v>0</v>
      </c>
    </row>
    <row r="670" spans="1:27">
      <c r="A670" t="s">
        <v>718</v>
      </c>
      <c r="B670">
        <v>16</v>
      </c>
      <c r="C670">
        <f>MAX(Table13[Rank])-Table13[[#This Row],[Rank]]</f>
        <v>248</v>
      </c>
      <c r="D670" t="s">
        <v>746</v>
      </c>
      <c r="E670" t="s">
        <v>21</v>
      </c>
      <c r="F670" s="1">
        <v>23000</v>
      </c>
      <c r="G670">
        <f>YEAR(Table13[[#This Row],[Date]])</f>
        <v>1962</v>
      </c>
      <c r="H670" t="s">
        <v>718</v>
      </c>
      <c r="I670">
        <f>IF(COUNTIF($E670, _xlfn.CONCAT("*",Table13[[#Headers],[Action]],"*")),1,0)</f>
        <v>0</v>
      </c>
      <c r="J670">
        <f>IF(COUNTIF($E670, _xlfn.CONCAT("*",Table13[[#Headers],[Adventure]],"*")),1,0)</f>
        <v>0</v>
      </c>
      <c r="K670">
        <f>IF(COUNTIF($E670, _xlfn.CONCAT("*",Table13[[#Headers],[Animation]],"*")),1,0)</f>
        <v>0</v>
      </c>
      <c r="L670">
        <f>IF(COUNTIF($E670, _xlfn.CONCAT("*",Table13[[#Headers],[Comedy]],"*")),1,0)</f>
        <v>0</v>
      </c>
      <c r="M670">
        <f>IF(COUNTIF($E670, _xlfn.CONCAT("*",Table13[[#Headers],[Crime]],"*")),1,0)</f>
        <v>0</v>
      </c>
      <c r="N670">
        <f>IF(COUNTIF($E670, _xlfn.CONCAT("*",Table13[[#Headers],[Documentary]],"*")),1,0)</f>
        <v>0</v>
      </c>
      <c r="O670">
        <f>IF(COUNTIF($E670, _xlfn.CONCAT("*",Table13[[#Headers],[Drama]],"*")),1,0)</f>
        <v>1</v>
      </c>
      <c r="P670">
        <f>IF(COUNTIF($E670, _xlfn.CONCAT("*",Table13[[#Headers],[Family]],"*")),1,0)</f>
        <v>0</v>
      </c>
      <c r="Q670">
        <f>IF(COUNTIF($E670, _xlfn.CONCAT("*",Table13[[#Headers],[Fantasy]],"*")),1,0)</f>
        <v>0</v>
      </c>
      <c r="R670">
        <f>IF(COUNTIF($E670, _xlfn.CONCAT("*",Table13[[#Headers],[History]],"*")),1,0)</f>
        <v>0</v>
      </c>
      <c r="S670">
        <f>IF(COUNTIF($E670, _xlfn.CONCAT("*",Table13[[#Headers],[Horror]],"*")),1,0)</f>
        <v>0</v>
      </c>
      <c r="T670">
        <f>IF(COUNTIF($E670, _xlfn.CONCAT("*",Table13[[#Headers],[Music]],"*")),1,0)</f>
        <v>0</v>
      </c>
      <c r="U670">
        <f>IF(COUNTIF($E670, _xlfn.CONCAT("*",Table13[[#Headers],[Mystery]],"*")),1,0)</f>
        <v>0</v>
      </c>
      <c r="V670">
        <f>IF(COUNTIF($E670, _xlfn.CONCAT("*",Table13[[#Headers],[Romance]],"*")),1,0)</f>
        <v>0</v>
      </c>
      <c r="W670">
        <f>IF(COUNTIF($E670, _xlfn.CONCAT("*",Table13[[#Headers],[Science Fiction]],"*")),1,0)</f>
        <v>0</v>
      </c>
      <c r="X670">
        <f>IF(COUNTIF($E670, _xlfn.CONCAT("*",Table13[[#Headers],[TV Movie]],"*")),1,0)</f>
        <v>0</v>
      </c>
      <c r="Y670">
        <f>IF(COUNTIF($E670, _xlfn.CONCAT("*",Table13[[#Headers],[Thriller]],"*")),1,0)</f>
        <v>0</v>
      </c>
      <c r="Z670">
        <f>IF(COUNTIF($E670, _xlfn.CONCAT("*",Table13[[#Headers],[War]],"*")),1,0)</f>
        <v>0</v>
      </c>
      <c r="AA670">
        <f>IF(COUNTIF($E670, _xlfn.CONCAT("*",Table13[[#Headers],[Western]],"*")),1,0)</f>
        <v>0</v>
      </c>
    </row>
    <row r="671" spans="1:27">
      <c r="A671" t="s">
        <v>480</v>
      </c>
      <c r="B671">
        <v>15</v>
      </c>
      <c r="C671">
        <f>MAX(Table13[Rank])-Table13[[#This Row],[Rank]]</f>
        <v>249</v>
      </c>
      <c r="D671" t="s">
        <v>746</v>
      </c>
      <c r="E671" t="s">
        <v>481</v>
      </c>
      <c r="F671" s="1">
        <v>14594</v>
      </c>
      <c r="G671">
        <f>YEAR(Table13[[#This Row],[Date]])</f>
        <v>1939</v>
      </c>
      <c r="H671" t="s">
        <v>482</v>
      </c>
      <c r="I671">
        <f>IF(COUNTIF($E671, _xlfn.CONCAT("*",Table13[[#Headers],[Action]],"*")),1,0)</f>
        <v>0</v>
      </c>
      <c r="J671">
        <f>IF(COUNTIF($E671, _xlfn.CONCAT("*",Table13[[#Headers],[Adventure]],"*")),1,0)</f>
        <v>0</v>
      </c>
      <c r="K671">
        <f>IF(COUNTIF($E671, _xlfn.CONCAT("*",Table13[[#Headers],[Animation]],"*")),1,0)</f>
        <v>0</v>
      </c>
      <c r="L671">
        <f>IF(COUNTIF($E671, _xlfn.CONCAT("*",Table13[[#Headers],[Comedy]],"*")),1,0)</f>
        <v>0</v>
      </c>
      <c r="M671">
        <f>IF(COUNTIF($E671, _xlfn.CONCAT("*",Table13[[#Headers],[Crime]],"*")),1,0)</f>
        <v>0</v>
      </c>
      <c r="N671">
        <f>IF(COUNTIF($E671, _xlfn.CONCAT("*",Table13[[#Headers],[Documentary]],"*")),1,0)</f>
        <v>0</v>
      </c>
      <c r="O671">
        <f>IF(COUNTIF($E671, _xlfn.CONCAT("*",Table13[[#Headers],[Drama]],"*")),1,0)</f>
        <v>1</v>
      </c>
      <c r="P671">
        <f>IF(COUNTIF($E671, _xlfn.CONCAT("*",Table13[[#Headers],[Family]],"*")),1,0)</f>
        <v>0</v>
      </c>
      <c r="Q671">
        <f>IF(COUNTIF($E671, _xlfn.CONCAT("*",Table13[[#Headers],[Fantasy]],"*")),1,0)</f>
        <v>0</v>
      </c>
      <c r="R671">
        <f>IF(COUNTIF($E671, _xlfn.CONCAT("*",Table13[[#Headers],[History]],"*")),1,0)</f>
        <v>0</v>
      </c>
      <c r="S671">
        <f>IF(COUNTIF($E671, _xlfn.CONCAT("*",Table13[[#Headers],[Horror]],"*")),1,0)</f>
        <v>0</v>
      </c>
      <c r="T671">
        <f>IF(COUNTIF($E671, _xlfn.CONCAT("*",Table13[[#Headers],[Music]],"*")),1,0)</f>
        <v>0</v>
      </c>
      <c r="U671">
        <f>IF(COUNTIF($E671, _xlfn.CONCAT("*",Table13[[#Headers],[Mystery]],"*")),1,0)</f>
        <v>0</v>
      </c>
      <c r="V671">
        <f>IF(COUNTIF($E671, _xlfn.CONCAT("*",Table13[[#Headers],[Romance]],"*")),1,0)</f>
        <v>1</v>
      </c>
      <c r="W671">
        <f>IF(COUNTIF($E671, _xlfn.CONCAT("*",Table13[[#Headers],[Science Fiction]],"*")),1,0)</f>
        <v>0</v>
      </c>
      <c r="X671">
        <f>IF(COUNTIF($E671, _xlfn.CONCAT("*",Table13[[#Headers],[TV Movie]],"*")),1,0)</f>
        <v>0</v>
      </c>
      <c r="Y671">
        <f>IF(COUNTIF($E671, _xlfn.CONCAT("*",Table13[[#Headers],[Thriller]],"*")),1,0)</f>
        <v>0</v>
      </c>
      <c r="Z671">
        <f>IF(COUNTIF($E671, _xlfn.CONCAT("*",Table13[[#Headers],[War]],"*")),1,0)</f>
        <v>1</v>
      </c>
      <c r="AA671">
        <f>IF(COUNTIF($E671, _xlfn.CONCAT("*",Table13[[#Headers],[Western]],"*")),1,0)</f>
        <v>0</v>
      </c>
    </row>
    <row r="672" spans="1:27">
      <c r="A672" t="s">
        <v>587</v>
      </c>
      <c r="B672">
        <v>14</v>
      </c>
      <c r="C672">
        <f>MAX(Table13[Rank])-Table13[[#This Row],[Rank]]</f>
        <v>250</v>
      </c>
      <c r="D672" t="s">
        <v>746</v>
      </c>
      <c r="E672" t="s">
        <v>15</v>
      </c>
      <c r="F672" s="1">
        <v>34508</v>
      </c>
      <c r="G672">
        <f>YEAR(Table13[[#This Row],[Date]])</f>
        <v>1994</v>
      </c>
      <c r="H672" t="s">
        <v>587</v>
      </c>
      <c r="I672">
        <f>IF(COUNTIF($E672, _xlfn.CONCAT("*",Table13[[#Headers],[Action]],"*")),1,0)</f>
        <v>0</v>
      </c>
      <c r="J672">
        <f>IF(COUNTIF($E672, _xlfn.CONCAT("*",Table13[[#Headers],[Adventure]],"*")),1,0)</f>
        <v>0</v>
      </c>
      <c r="K672">
        <f>IF(COUNTIF($E672, _xlfn.CONCAT("*",Table13[[#Headers],[Animation]],"*")),1,0)</f>
        <v>0</v>
      </c>
      <c r="L672">
        <f>IF(COUNTIF($E672, _xlfn.CONCAT("*",Table13[[#Headers],[Comedy]],"*")),1,0)</f>
        <v>1</v>
      </c>
      <c r="M672">
        <f>IF(COUNTIF($E672, _xlfn.CONCAT("*",Table13[[#Headers],[Crime]],"*")),1,0)</f>
        <v>0</v>
      </c>
      <c r="N672">
        <f>IF(COUNTIF($E672, _xlfn.CONCAT("*",Table13[[#Headers],[Documentary]],"*")),1,0)</f>
        <v>0</v>
      </c>
      <c r="O672">
        <f>IF(COUNTIF($E672, _xlfn.CONCAT("*",Table13[[#Headers],[Drama]],"*")),1,0)</f>
        <v>1</v>
      </c>
      <c r="P672">
        <f>IF(COUNTIF($E672, _xlfn.CONCAT("*",Table13[[#Headers],[Family]],"*")),1,0)</f>
        <v>0</v>
      </c>
      <c r="Q672">
        <f>IF(COUNTIF($E672, _xlfn.CONCAT("*",Table13[[#Headers],[Fantasy]],"*")),1,0)</f>
        <v>0</v>
      </c>
      <c r="R672">
        <f>IF(COUNTIF($E672, _xlfn.CONCAT("*",Table13[[#Headers],[History]],"*")),1,0)</f>
        <v>0</v>
      </c>
      <c r="S672">
        <f>IF(COUNTIF($E672, _xlfn.CONCAT("*",Table13[[#Headers],[Horror]],"*")),1,0)</f>
        <v>0</v>
      </c>
      <c r="T672">
        <f>IF(COUNTIF($E672, _xlfn.CONCAT("*",Table13[[#Headers],[Music]],"*")),1,0)</f>
        <v>0</v>
      </c>
      <c r="U672">
        <f>IF(COUNTIF($E672, _xlfn.CONCAT("*",Table13[[#Headers],[Mystery]],"*")),1,0)</f>
        <v>0</v>
      </c>
      <c r="V672">
        <f>IF(COUNTIF($E672, _xlfn.CONCAT("*",Table13[[#Headers],[Romance]],"*")),1,0)</f>
        <v>1</v>
      </c>
      <c r="W672">
        <f>IF(COUNTIF($E672, _xlfn.CONCAT("*",Table13[[#Headers],[Science Fiction]],"*")),1,0)</f>
        <v>0</v>
      </c>
      <c r="X672">
        <f>IF(COUNTIF($E672, _xlfn.CONCAT("*",Table13[[#Headers],[TV Movie]],"*")),1,0)</f>
        <v>0</v>
      </c>
      <c r="Y672">
        <f>IF(COUNTIF($E672, _xlfn.CONCAT("*",Table13[[#Headers],[Thriller]],"*")),1,0)</f>
        <v>0</v>
      </c>
      <c r="Z672">
        <f>IF(COUNTIF($E672, _xlfn.CONCAT("*",Table13[[#Headers],[War]],"*")),1,0)</f>
        <v>0</v>
      </c>
      <c r="AA672">
        <f>IF(COUNTIF($E672, _xlfn.CONCAT("*",Table13[[#Headers],[Western]],"*")),1,0)</f>
        <v>0</v>
      </c>
    </row>
    <row r="673" spans="1:27">
      <c r="A673" t="s">
        <v>90</v>
      </c>
      <c r="B673">
        <v>13</v>
      </c>
      <c r="C673">
        <f>MAX(Table13[Rank])-Table13[[#This Row],[Rank]]</f>
        <v>251</v>
      </c>
      <c r="D673" t="s">
        <v>746</v>
      </c>
      <c r="E673" t="s">
        <v>91</v>
      </c>
      <c r="F673" s="1">
        <v>29749</v>
      </c>
      <c r="G673">
        <f>YEAR(Table13[[#This Row],[Date]])</f>
        <v>1981</v>
      </c>
      <c r="H673" t="s">
        <v>90</v>
      </c>
      <c r="I673">
        <f>IF(COUNTIF($E673, _xlfn.CONCAT("*",Table13[[#Headers],[Action]],"*")),1,0)</f>
        <v>1</v>
      </c>
      <c r="J673">
        <f>IF(COUNTIF($E673, _xlfn.CONCAT("*",Table13[[#Headers],[Adventure]],"*")),1,0)</f>
        <v>1</v>
      </c>
      <c r="K673">
        <f>IF(COUNTIF($E673, _xlfn.CONCAT("*",Table13[[#Headers],[Animation]],"*")),1,0)</f>
        <v>0</v>
      </c>
      <c r="L673">
        <f>IF(COUNTIF($E673, _xlfn.CONCAT("*",Table13[[#Headers],[Comedy]],"*")),1,0)</f>
        <v>0</v>
      </c>
      <c r="M673">
        <f>IF(COUNTIF($E673, _xlfn.CONCAT("*",Table13[[#Headers],[Crime]],"*")),1,0)</f>
        <v>0</v>
      </c>
      <c r="N673">
        <f>IF(COUNTIF($E673, _xlfn.CONCAT("*",Table13[[#Headers],[Documentary]],"*")),1,0)</f>
        <v>0</v>
      </c>
      <c r="O673">
        <f>IF(COUNTIF($E673, _xlfn.CONCAT("*",Table13[[#Headers],[Drama]],"*")),1,0)</f>
        <v>0</v>
      </c>
      <c r="P673">
        <f>IF(COUNTIF($E673, _xlfn.CONCAT("*",Table13[[#Headers],[Family]],"*")),1,0)</f>
        <v>0</v>
      </c>
      <c r="Q673">
        <f>IF(COUNTIF($E673, _xlfn.CONCAT("*",Table13[[#Headers],[Fantasy]],"*")),1,0)</f>
        <v>0</v>
      </c>
      <c r="R673">
        <f>IF(COUNTIF($E673, _xlfn.CONCAT("*",Table13[[#Headers],[History]],"*")),1,0)</f>
        <v>0</v>
      </c>
      <c r="S673">
        <f>IF(COUNTIF($E673, _xlfn.CONCAT("*",Table13[[#Headers],[Horror]],"*")),1,0)</f>
        <v>0</v>
      </c>
      <c r="T673">
        <f>IF(COUNTIF($E673, _xlfn.CONCAT("*",Table13[[#Headers],[Music]],"*")),1,0)</f>
        <v>0</v>
      </c>
      <c r="U673">
        <f>IF(COUNTIF($E673, _xlfn.CONCAT("*",Table13[[#Headers],[Mystery]],"*")),1,0)</f>
        <v>0</v>
      </c>
      <c r="V673">
        <f>IF(COUNTIF($E673, _xlfn.CONCAT("*",Table13[[#Headers],[Romance]],"*")),1,0)</f>
        <v>0</v>
      </c>
      <c r="W673">
        <f>IF(COUNTIF($E673, _xlfn.CONCAT("*",Table13[[#Headers],[Science Fiction]],"*")),1,0)</f>
        <v>0</v>
      </c>
      <c r="X673">
        <f>IF(COUNTIF($E673, _xlfn.CONCAT("*",Table13[[#Headers],[TV Movie]],"*")),1,0)</f>
        <v>0</v>
      </c>
      <c r="Y673">
        <f>IF(COUNTIF($E673, _xlfn.CONCAT("*",Table13[[#Headers],[Thriller]],"*")),1,0)</f>
        <v>0</v>
      </c>
      <c r="Z673">
        <f>IF(COUNTIF($E673, _xlfn.CONCAT("*",Table13[[#Headers],[War]],"*")),1,0)</f>
        <v>0</v>
      </c>
      <c r="AA673">
        <f>IF(COUNTIF($E673, _xlfn.CONCAT("*",Table13[[#Headers],[Western]],"*")),1,0)</f>
        <v>0</v>
      </c>
    </row>
    <row r="674" spans="1:27">
      <c r="A674" t="s">
        <v>657</v>
      </c>
      <c r="B674">
        <v>12</v>
      </c>
      <c r="C674">
        <f>MAX(Table13[Rank])-Table13[[#This Row],[Rank]]</f>
        <v>252</v>
      </c>
      <c r="D674" t="s">
        <v>746</v>
      </c>
      <c r="E674" t="s">
        <v>656</v>
      </c>
      <c r="F674" s="1">
        <v>31231</v>
      </c>
      <c r="G674">
        <f>YEAR(Table13[[#This Row],[Date]])</f>
        <v>1985</v>
      </c>
      <c r="H674" t="s">
        <v>657</v>
      </c>
      <c r="I674">
        <f>IF(COUNTIF($E674, _xlfn.CONCAT("*",Table13[[#Headers],[Action]],"*")),1,0)</f>
        <v>0</v>
      </c>
      <c r="J674">
        <f>IF(COUNTIF($E674, _xlfn.CONCAT("*",Table13[[#Headers],[Adventure]],"*")),1,0)</f>
        <v>1</v>
      </c>
      <c r="K674">
        <f>IF(COUNTIF($E674, _xlfn.CONCAT("*",Table13[[#Headers],[Animation]],"*")),1,0)</f>
        <v>0</v>
      </c>
      <c r="L674">
        <f>IF(COUNTIF($E674, _xlfn.CONCAT("*",Table13[[#Headers],[Comedy]],"*")),1,0)</f>
        <v>1</v>
      </c>
      <c r="M674">
        <f>IF(COUNTIF($E674, _xlfn.CONCAT("*",Table13[[#Headers],[Crime]],"*")),1,0)</f>
        <v>0</v>
      </c>
      <c r="N674">
        <f>IF(COUNTIF($E674, _xlfn.CONCAT("*",Table13[[#Headers],[Documentary]],"*")),1,0)</f>
        <v>0</v>
      </c>
      <c r="O674">
        <f>IF(COUNTIF($E674, _xlfn.CONCAT("*",Table13[[#Headers],[Drama]],"*")),1,0)</f>
        <v>0</v>
      </c>
      <c r="P674">
        <f>IF(COUNTIF($E674, _xlfn.CONCAT("*",Table13[[#Headers],[Family]],"*")),1,0)</f>
        <v>0</v>
      </c>
      <c r="Q674">
        <f>IF(COUNTIF($E674, _xlfn.CONCAT("*",Table13[[#Headers],[Fantasy]],"*")),1,0)</f>
        <v>0</v>
      </c>
      <c r="R674">
        <f>IF(COUNTIF($E674, _xlfn.CONCAT("*",Table13[[#Headers],[History]],"*")),1,0)</f>
        <v>0</v>
      </c>
      <c r="S674">
        <f>IF(COUNTIF($E674, _xlfn.CONCAT("*",Table13[[#Headers],[Horror]],"*")),1,0)</f>
        <v>0</v>
      </c>
      <c r="T674">
        <f>IF(COUNTIF($E674, _xlfn.CONCAT("*",Table13[[#Headers],[Music]],"*")),1,0)</f>
        <v>0</v>
      </c>
      <c r="U674">
        <f>IF(COUNTIF($E674, _xlfn.CONCAT("*",Table13[[#Headers],[Mystery]],"*")),1,0)</f>
        <v>0</v>
      </c>
      <c r="V674">
        <f>IF(COUNTIF($E674, _xlfn.CONCAT("*",Table13[[#Headers],[Romance]],"*")),1,0)</f>
        <v>0</v>
      </c>
      <c r="W674">
        <f>IF(COUNTIF($E674, _xlfn.CONCAT("*",Table13[[#Headers],[Science Fiction]],"*")),1,0)</f>
        <v>1</v>
      </c>
      <c r="X674">
        <f>IF(COUNTIF($E674, _xlfn.CONCAT("*",Table13[[#Headers],[TV Movie]],"*")),1,0)</f>
        <v>0</v>
      </c>
      <c r="Y674">
        <f>IF(COUNTIF($E674, _xlfn.CONCAT("*",Table13[[#Headers],[Thriller]],"*")),1,0)</f>
        <v>0</v>
      </c>
      <c r="Z674">
        <f>IF(COUNTIF($E674, _xlfn.CONCAT("*",Table13[[#Headers],[War]],"*")),1,0)</f>
        <v>0</v>
      </c>
      <c r="AA674">
        <f>IF(COUNTIF($E674, _xlfn.CONCAT("*",Table13[[#Headers],[Western]],"*")),1,0)</f>
        <v>0</v>
      </c>
    </row>
    <row r="675" spans="1:27">
      <c r="A675" t="s">
        <v>48</v>
      </c>
      <c r="B675">
        <v>11</v>
      </c>
      <c r="C675">
        <f>MAX(Table13[Rank])-Table13[[#This Row],[Rank]]</f>
        <v>253</v>
      </c>
      <c r="D675" t="s">
        <v>746</v>
      </c>
      <c r="E675" t="s">
        <v>49</v>
      </c>
      <c r="F675" s="1">
        <v>28270</v>
      </c>
      <c r="G675">
        <f>YEAR(Table13[[#This Row],[Date]])</f>
        <v>1977</v>
      </c>
      <c r="H675" t="s">
        <v>48</v>
      </c>
      <c r="I675">
        <f>IF(COUNTIF($E675, _xlfn.CONCAT("*",Table13[[#Headers],[Action]],"*")),1,0)</f>
        <v>1</v>
      </c>
      <c r="J675">
        <f>IF(COUNTIF($E675, _xlfn.CONCAT("*",Table13[[#Headers],[Adventure]],"*")),1,0)</f>
        <v>1</v>
      </c>
      <c r="K675">
        <f>IF(COUNTIF($E675, _xlfn.CONCAT("*",Table13[[#Headers],[Animation]],"*")),1,0)</f>
        <v>0</v>
      </c>
      <c r="L675">
        <f>IF(COUNTIF($E675, _xlfn.CONCAT("*",Table13[[#Headers],[Comedy]],"*")),1,0)</f>
        <v>0</v>
      </c>
      <c r="M675">
        <f>IF(COUNTIF($E675, _xlfn.CONCAT("*",Table13[[#Headers],[Crime]],"*")),1,0)</f>
        <v>0</v>
      </c>
      <c r="N675">
        <f>IF(COUNTIF($E675, _xlfn.CONCAT("*",Table13[[#Headers],[Documentary]],"*")),1,0)</f>
        <v>0</v>
      </c>
      <c r="O675">
        <f>IF(COUNTIF($E675, _xlfn.CONCAT("*",Table13[[#Headers],[Drama]],"*")),1,0)</f>
        <v>0</v>
      </c>
      <c r="P675">
        <f>IF(COUNTIF($E675, _xlfn.CONCAT("*",Table13[[#Headers],[Family]],"*")),1,0)</f>
        <v>0</v>
      </c>
      <c r="Q675">
        <f>IF(COUNTIF($E675, _xlfn.CONCAT("*",Table13[[#Headers],[Fantasy]],"*")),1,0)</f>
        <v>0</v>
      </c>
      <c r="R675">
        <f>IF(COUNTIF($E675, _xlfn.CONCAT("*",Table13[[#Headers],[History]],"*")),1,0)</f>
        <v>0</v>
      </c>
      <c r="S675">
        <f>IF(COUNTIF($E675, _xlfn.CONCAT("*",Table13[[#Headers],[Horror]],"*")),1,0)</f>
        <v>0</v>
      </c>
      <c r="T675">
        <f>IF(COUNTIF($E675, _xlfn.CONCAT("*",Table13[[#Headers],[Music]],"*")),1,0)</f>
        <v>0</v>
      </c>
      <c r="U675">
        <f>IF(COUNTIF($E675, _xlfn.CONCAT("*",Table13[[#Headers],[Mystery]],"*")),1,0)</f>
        <v>0</v>
      </c>
      <c r="V675">
        <f>IF(COUNTIF($E675, _xlfn.CONCAT("*",Table13[[#Headers],[Romance]],"*")),1,0)</f>
        <v>0</v>
      </c>
      <c r="W675">
        <f>IF(COUNTIF($E675, _xlfn.CONCAT("*",Table13[[#Headers],[Science Fiction]],"*")),1,0)</f>
        <v>1</v>
      </c>
      <c r="X675">
        <f>IF(COUNTIF($E675, _xlfn.CONCAT("*",Table13[[#Headers],[TV Movie]],"*")),1,0)</f>
        <v>0</v>
      </c>
      <c r="Y675">
        <f>IF(COUNTIF($E675, _xlfn.CONCAT("*",Table13[[#Headers],[Thriller]],"*")),1,0)</f>
        <v>0</v>
      </c>
      <c r="Z675">
        <f>IF(COUNTIF($E675, _xlfn.CONCAT("*",Table13[[#Headers],[War]],"*")),1,0)</f>
        <v>0</v>
      </c>
      <c r="AA675">
        <f>IF(COUNTIF($E675, _xlfn.CONCAT("*",Table13[[#Headers],[Western]],"*")),1,0)</f>
        <v>0</v>
      </c>
    </row>
    <row r="676" spans="1:27">
      <c r="A676" t="s">
        <v>600</v>
      </c>
      <c r="B676">
        <v>10</v>
      </c>
      <c r="C676">
        <f>MAX(Table13[Rank])-Table13[[#This Row],[Rank]]</f>
        <v>254</v>
      </c>
      <c r="D676" t="s">
        <v>746</v>
      </c>
      <c r="E676" t="s">
        <v>186</v>
      </c>
      <c r="F676" s="1">
        <v>34318</v>
      </c>
      <c r="G676">
        <f>YEAR(Table13[[#This Row],[Date]])</f>
        <v>1993</v>
      </c>
      <c r="H676" t="s">
        <v>600</v>
      </c>
      <c r="I676">
        <f>IF(COUNTIF($E676, _xlfn.CONCAT("*",Table13[[#Headers],[Action]],"*")),1,0)</f>
        <v>0</v>
      </c>
      <c r="J676">
        <f>IF(COUNTIF($E676, _xlfn.CONCAT("*",Table13[[#Headers],[Adventure]],"*")),1,0)</f>
        <v>0</v>
      </c>
      <c r="K676">
        <f>IF(COUNTIF($E676, _xlfn.CONCAT("*",Table13[[#Headers],[Animation]],"*")),1,0)</f>
        <v>0</v>
      </c>
      <c r="L676">
        <f>IF(COUNTIF($E676, _xlfn.CONCAT("*",Table13[[#Headers],[Comedy]],"*")),1,0)</f>
        <v>0</v>
      </c>
      <c r="M676">
        <f>IF(COUNTIF($E676, _xlfn.CONCAT("*",Table13[[#Headers],[Crime]],"*")),1,0)</f>
        <v>0</v>
      </c>
      <c r="N676">
        <f>IF(COUNTIF($E676, _xlfn.CONCAT("*",Table13[[#Headers],[Documentary]],"*")),1,0)</f>
        <v>0</v>
      </c>
      <c r="O676">
        <f>IF(COUNTIF($E676, _xlfn.CONCAT("*",Table13[[#Headers],[Drama]],"*")),1,0)</f>
        <v>1</v>
      </c>
      <c r="P676">
        <f>IF(COUNTIF($E676, _xlfn.CONCAT("*",Table13[[#Headers],[Family]],"*")),1,0)</f>
        <v>0</v>
      </c>
      <c r="Q676">
        <f>IF(COUNTIF($E676, _xlfn.CONCAT("*",Table13[[#Headers],[Fantasy]],"*")),1,0)</f>
        <v>0</v>
      </c>
      <c r="R676">
        <f>IF(COUNTIF($E676, _xlfn.CONCAT("*",Table13[[#Headers],[History]],"*")),1,0)</f>
        <v>1</v>
      </c>
      <c r="S676">
        <f>IF(COUNTIF($E676, _xlfn.CONCAT("*",Table13[[#Headers],[Horror]],"*")),1,0)</f>
        <v>0</v>
      </c>
      <c r="T676">
        <f>IF(COUNTIF($E676, _xlfn.CONCAT("*",Table13[[#Headers],[Music]],"*")),1,0)</f>
        <v>0</v>
      </c>
      <c r="U676">
        <f>IF(COUNTIF($E676, _xlfn.CONCAT("*",Table13[[#Headers],[Mystery]],"*")),1,0)</f>
        <v>0</v>
      </c>
      <c r="V676">
        <f>IF(COUNTIF($E676, _xlfn.CONCAT("*",Table13[[#Headers],[Romance]],"*")),1,0)</f>
        <v>0</v>
      </c>
      <c r="W676">
        <f>IF(COUNTIF($E676, _xlfn.CONCAT("*",Table13[[#Headers],[Science Fiction]],"*")),1,0)</f>
        <v>0</v>
      </c>
      <c r="X676">
        <f>IF(COUNTIF($E676, _xlfn.CONCAT("*",Table13[[#Headers],[TV Movie]],"*")),1,0)</f>
        <v>0</v>
      </c>
      <c r="Y676">
        <f>IF(COUNTIF($E676, _xlfn.CONCAT("*",Table13[[#Headers],[Thriller]],"*")),1,0)</f>
        <v>0</v>
      </c>
      <c r="Z676">
        <f>IF(COUNTIF($E676, _xlfn.CONCAT("*",Table13[[#Headers],[War]],"*")),1,0)</f>
        <v>1</v>
      </c>
      <c r="AA676">
        <f>IF(COUNTIF($E676, _xlfn.CONCAT("*",Table13[[#Headers],[Western]],"*")),1,0)</f>
        <v>0</v>
      </c>
    </row>
    <row r="677" spans="1:27">
      <c r="A677" t="s">
        <v>391</v>
      </c>
      <c r="B677">
        <v>9</v>
      </c>
      <c r="C677">
        <f>MAX(Table13[Rank])-Table13[[#This Row],[Rank]]</f>
        <v>255</v>
      </c>
      <c r="D677" t="s">
        <v>746</v>
      </c>
      <c r="E677" t="s">
        <v>392</v>
      </c>
      <c r="F677" s="1">
        <v>24930</v>
      </c>
      <c r="G677">
        <f>YEAR(Table13[[#This Row],[Date]])</f>
        <v>1968</v>
      </c>
      <c r="H677" t="s">
        <v>391</v>
      </c>
      <c r="I677">
        <f>IF(COUNTIF($E677, _xlfn.CONCAT("*",Table13[[#Headers],[Action]],"*")),1,0)</f>
        <v>0</v>
      </c>
      <c r="J677">
        <f>IF(COUNTIF($E677, _xlfn.CONCAT("*",Table13[[#Headers],[Adventure]],"*")),1,0)</f>
        <v>1</v>
      </c>
      <c r="K677">
        <f>IF(COUNTIF($E677, _xlfn.CONCAT("*",Table13[[#Headers],[Animation]],"*")),1,0)</f>
        <v>0</v>
      </c>
      <c r="L677">
        <f>IF(COUNTIF($E677, _xlfn.CONCAT("*",Table13[[#Headers],[Comedy]],"*")),1,0)</f>
        <v>0</v>
      </c>
      <c r="M677">
        <f>IF(COUNTIF($E677, _xlfn.CONCAT("*",Table13[[#Headers],[Crime]],"*")),1,0)</f>
        <v>0</v>
      </c>
      <c r="N677">
        <f>IF(COUNTIF($E677, _xlfn.CONCAT("*",Table13[[#Headers],[Documentary]],"*")),1,0)</f>
        <v>0</v>
      </c>
      <c r="O677">
        <f>IF(COUNTIF($E677, _xlfn.CONCAT("*",Table13[[#Headers],[Drama]],"*")),1,0)</f>
        <v>0</v>
      </c>
      <c r="P677">
        <f>IF(COUNTIF($E677, _xlfn.CONCAT("*",Table13[[#Headers],[Family]],"*")),1,0)</f>
        <v>0</v>
      </c>
      <c r="Q677">
        <f>IF(COUNTIF($E677, _xlfn.CONCAT("*",Table13[[#Headers],[Fantasy]],"*")),1,0)</f>
        <v>0</v>
      </c>
      <c r="R677">
        <f>IF(COUNTIF($E677, _xlfn.CONCAT("*",Table13[[#Headers],[History]],"*")),1,0)</f>
        <v>0</v>
      </c>
      <c r="S677">
        <f>IF(COUNTIF($E677, _xlfn.CONCAT("*",Table13[[#Headers],[Horror]],"*")),1,0)</f>
        <v>0</v>
      </c>
      <c r="T677">
        <f>IF(COUNTIF($E677, _xlfn.CONCAT("*",Table13[[#Headers],[Music]],"*")),1,0)</f>
        <v>0</v>
      </c>
      <c r="U677">
        <f>IF(COUNTIF($E677, _xlfn.CONCAT("*",Table13[[#Headers],[Mystery]],"*")),1,0)</f>
        <v>1</v>
      </c>
      <c r="V677">
        <f>IF(COUNTIF($E677, _xlfn.CONCAT("*",Table13[[#Headers],[Romance]],"*")),1,0)</f>
        <v>0</v>
      </c>
      <c r="W677">
        <f>IF(COUNTIF($E677, _xlfn.CONCAT("*",Table13[[#Headers],[Science Fiction]],"*")),1,0)</f>
        <v>1</v>
      </c>
      <c r="X677">
        <f>IF(COUNTIF($E677, _xlfn.CONCAT("*",Table13[[#Headers],[TV Movie]],"*")),1,0)</f>
        <v>0</v>
      </c>
      <c r="Y677">
        <f>IF(COUNTIF($E677, _xlfn.CONCAT("*",Table13[[#Headers],[Thriller]],"*")),1,0)</f>
        <v>0</v>
      </c>
      <c r="Z677">
        <f>IF(COUNTIF($E677, _xlfn.CONCAT("*",Table13[[#Headers],[War]],"*")),1,0)</f>
        <v>0</v>
      </c>
      <c r="AA677">
        <f>IF(COUNTIF($E677, _xlfn.CONCAT("*",Table13[[#Headers],[Western]],"*")),1,0)</f>
        <v>0</v>
      </c>
    </row>
    <row r="678" spans="1:27">
      <c r="A678" t="s">
        <v>778</v>
      </c>
      <c r="B678">
        <v>8</v>
      </c>
      <c r="C678">
        <f>MAX(Table13[Rank])-Table13[[#This Row],[Rank]]</f>
        <v>256</v>
      </c>
      <c r="D678" t="s">
        <v>746</v>
      </c>
      <c r="E678" t="s">
        <v>404</v>
      </c>
      <c r="F678" s="1">
        <v>30113</v>
      </c>
      <c r="G678">
        <f>YEAR(Table13[[#This Row],[Date]])</f>
        <v>1982</v>
      </c>
      <c r="H678" t="s">
        <v>403</v>
      </c>
      <c r="I678">
        <f>IF(COUNTIF($E678, _xlfn.CONCAT("*",Table13[[#Headers],[Action]],"*")),1,0)</f>
        <v>0</v>
      </c>
      <c r="J678">
        <f>IF(COUNTIF($E678, _xlfn.CONCAT("*",Table13[[#Headers],[Adventure]],"*")),1,0)</f>
        <v>1</v>
      </c>
      <c r="K678">
        <f>IF(COUNTIF($E678, _xlfn.CONCAT("*",Table13[[#Headers],[Animation]],"*")),1,0)</f>
        <v>0</v>
      </c>
      <c r="L678">
        <f>IF(COUNTIF($E678, _xlfn.CONCAT("*",Table13[[#Headers],[Comedy]],"*")),1,0)</f>
        <v>0</v>
      </c>
      <c r="M678">
        <f>IF(COUNTIF($E678, _xlfn.CONCAT("*",Table13[[#Headers],[Crime]],"*")),1,0)</f>
        <v>0</v>
      </c>
      <c r="N678">
        <f>IF(COUNTIF($E678, _xlfn.CONCAT("*",Table13[[#Headers],[Documentary]],"*")),1,0)</f>
        <v>0</v>
      </c>
      <c r="O678">
        <f>IF(COUNTIF($E678, _xlfn.CONCAT("*",Table13[[#Headers],[Drama]],"*")),1,0)</f>
        <v>0</v>
      </c>
      <c r="P678">
        <f>IF(COUNTIF($E678, _xlfn.CONCAT("*",Table13[[#Headers],[Family]],"*")),1,0)</f>
        <v>1</v>
      </c>
      <c r="Q678">
        <f>IF(COUNTIF($E678, _xlfn.CONCAT("*",Table13[[#Headers],[Fantasy]],"*")),1,0)</f>
        <v>1</v>
      </c>
      <c r="R678">
        <f>IF(COUNTIF($E678, _xlfn.CONCAT("*",Table13[[#Headers],[History]],"*")),1,0)</f>
        <v>0</v>
      </c>
      <c r="S678">
        <f>IF(COUNTIF($E678, _xlfn.CONCAT("*",Table13[[#Headers],[Horror]],"*")),1,0)</f>
        <v>0</v>
      </c>
      <c r="T678">
        <f>IF(COUNTIF($E678, _xlfn.CONCAT("*",Table13[[#Headers],[Music]],"*")),1,0)</f>
        <v>0</v>
      </c>
      <c r="U678">
        <f>IF(COUNTIF($E678, _xlfn.CONCAT("*",Table13[[#Headers],[Mystery]],"*")),1,0)</f>
        <v>0</v>
      </c>
      <c r="V678">
        <f>IF(COUNTIF($E678, _xlfn.CONCAT("*",Table13[[#Headers],[Romance]],"*")),1,0)</f>
        <v>0</v>
      </c>
      <c r="W678">
        <f>IF(COUNTIF($E678, _xlfn.CONCAT("*",Table13[[#Headers],[Science Fiction]],"*")),1,0)</f>
        <v>1</v>
      </c>
      <c r="X678">
        <f>IF(COUNTIF($E678, _xlfn.CONCAT("*",Table13[[#Headers],[TV Movie]],"*")),1,0)</f>
        <v>0</v>
      </c>
      <c r="Y678">
        <f>IF(COUNTIF($E678, _xlfn.CONCAT("*",Table13[[#Headers],[Thriller]],"*")),1,0)</f>
        <v>0</v>
      </c>
      <c r="Z678">
        <f>IF(COUNTIF($E678, _xlfn.CONCAT("*",Table13[[#Headers],[War]],"*")),1,0)</f>
        <v>0</v>
      </c>
      <c r="AA678">
        <f>IF(COUNTIF($E678, _xlfn.CONCAT("*",Table13[[#Headers],[Western]],"*")),1,0)</f>
        <v>0</v>
      </c>
    </row>
    <row r="679" spans="1:27">
      <c r="A679" t="s">
        <v>678</v>
      </c>
      <c r="B679">
        <v>7</v>
      </c>
      <c r="C679">
        <f>MAX(Table13[Rank])-Table13[[#This Row],[Rank]]</f>
        <v>257</v>
      </c>
      <c r="D679" t="s">
        <v>746</v>
      </c>
      <c r="E679" t="s">
        <v>166</v>
      </c>
      <c r="F679" s="1">
        <v>27383</v>
      </c>
      <c r="G679">
        <f>YEAR(Table13[[#This Row],[Date]])</f>
        <v>1974</v>
      </c>
      <c r="H679" t="s">
        <v>257</v>
      </c>
      <c r="I679">
        <f>IF(COUNTIF($E679, _xlfn.CONCAT("*",Table13[[#Headers],[Action]],"*")),1,0)</f>
        <v>0</v>
      </c>
      <c r="J679">
        <f>IF(COUNTIF($E679, _xlfn.CONCAT("*",Table13[[#Headers],[Adventure]],"*")),1,0)</f>
        <v>0</v>
      </c>
      <c r="K679">
        <f>IF(COUNTIF($E679, _xlfn.CONCAT("*",Table13[[#Headers],[Animation]],"*")),1,0)</f>
        <v>0</v>
      </c>
      <c r="L679">
        <f>IF(COUNTIF($E679, _xlfn.CONCAT("*",Table13[[#Headers],[Comedy]],"*")),1,0)</f>
        <v>0</v>
      </c>
      <c r="M679">
        <f>IF(COUNTIF($E679, _xlfn.CONCAT("*",Table13[[#Headers],[Crime]],"*")),1,0)</f>
        <v>1</v>
      </c>
      <c r="N679">
        <f>IF(COUNTIF($E679, _xlfn.CONCAT("*",Table13[[#Headers],[Documentary]],"*")),1,0)</f>
        <v>0</v>
      </c>
      <c r="O679">
        <f>IF(COUNTIF($E679, _xlfn.CONCAT("*",Table13[[#Headers],[Drama]],"*")),1,0)</f>
        <v>1</v>
      </c>
      <c r="P679">
        <f>IF(COUNTIF($E679, _xlfn.CONCAT("*",Table13[[#Headers],[Family]],"*")),1,0)</f>
        <v>0</v>
      </c>
      <c r="Q679">
        <f>IF(COUNTIF($E679, _xlfn.CONCAT("*",Table13[[#Headers],[Fantasy]],"*")),1,0)</f>
        <v>0</v>
      </c>
      <c r="R679">
        <f>IF(COUNTIF($E679, _xlfn.CONCAT("*",Table13[[#Headers],[History]],"*")),1,0)</f>
        <v>0</v>
      </c>
      <c r="S679">
        <f>IF(COUNTIF($E679, _xlfn.CONCAT("*",Table13[[#Headers],[Horror]],"*")),1,0)</f>
        <v>0</v>
      </c>
      <c r="T679">
        <f>IF(COUNTIF($E679, _xlfn.CONCAT("*",Table13[[#Headers],[Music]],"*")),1,0)</f>
        <v>0</v>
      </c>
      <c r="U679">
        <f>IF(COUNTIF($E679, _xlfn.CONCAT("*",Table13[[#Headers],[Mystery]],"*")),1,0)</f>
        <v>0</v>
      </c>
      <c r="V679">
        <f>IF(COUNTIF($E679, _xlfn.CONCAT("*",Table13[[#Headers],[Romance]],"*")),1,0)</f>
        <v>0</v>
      </c>
      <c r="W679">
        <f>IF(COUNTIF($E679, _xlfn.CONCAT("*",Table13[[#Headers],[Science Fiction]],"*")),1,0)</f>
        <v>0</v>
      </c>
      <c r="X679">
        <f>IF(COUNTIF($E679, _xlfn.CONCAT("*",Table13[[#Headers],[TV Movie]],"*")),1,0)</f>
        <v>0</v>
      </c>
      <c r="Y679">
        <f>IF(COUNTIF($E679, _xlfn.CONCAT("*",Table13[[#Headers],[Thriller]],"*")),1,0)</f>
        <v>0</v>
      </c>
      <c r="Z679">
        <f>IF(COUNTIF($E679, _xlfn.CONCAT("*",Table13[[#Headers],[War]],"*")),1,0)</f>
        <v>0</v>
      </c>
      <c r="AA679">
        <f>IF(COUNTIF($E679, _xlfn.CONCAT("*",Table13[[#Headers],[Western]],"*")),1,0)</f>
        <v>0</v>
      </c>
    </row>
    <row r="680" spans="1:27">
      <c r="A680" t="s">
        <v>317</v>
      </c>
      <c r="B680">
        <v>6</v>
      </c>
      <c r="C680">
        <f>MAX(Table13[Rank])-Table13[[#This Row],[Rank]]</f>
        <v>258</v>
      </c>
      <c r="D680" t="s">
        <v>746</v>
      </c>
      <c r="E680" t="s">
        <v>35</v>
      </c>
      <c r="F680" s="1">
        <v>15721</v>
      </c>
      <c r="G680">
        <f>YEAR(Table13[[#This Row],[Date]])</f>
        <v>1943</v>
      </c>
      <c r="H680" t="s">
        <v>317</v>
      </c>
      <c r="I680">
        <f>IF(COUNTIF($E680, _xlfn.CONCAT("*",Table13[[#Headers],[Action]],"*")),1,0)</f>
        <v>0</v>
      </c>
      <c r="J680">
        <f>IF(COUNTIF($E680, _xlfn.CONCAT("*",Table13[[#Headers],[Adventure]],"*")),1,0)</f>
        <v>0</v>
      </c>
      <c r="K680">
        <f>IF(COUNTIF($E680, _xlfn.CONCAT("*",Table13[[#Headers],[Animation]],"*")),1,0)</f>
        <v>0</v>
      </c>
      <c r="L680">
        <f>IF(COUNTIF($E680, _xlfn.CONCAT("*",Table13[[#Headers],[Comedy]],"*")),1,0)</f>
        <v>0</v>
      </c>
      <c r="M680">
        <f>IF(COUNTIF($E680, _xlfn.CONCAT("*",Table13[[#Headers],[Crime]],"*")),1,0)</f>
        <v>0</v>
      </c>
      <c r="N680">
        <f>IF(COUNTIF($E680, _xlfn.CONCAT("*",Table13[[#Headers],[Documentary]],"*")),1,0)</f>
        <v>0</v>
      </c>
      <c r="O680">
        <f>IF(COUNTIF($E680, _xlfn.CONCAT("*",Table13[[#Headers],[Drama]],"*")),1,0)</f>
        <v>1</v>
      </c>
      <c r="P680">
        <f>IF(COUNTIF($E680, _xlfn.CONCAT("*",Table13[[#Headers],[Family]],"*")),1,0)</f>
        <v>0</v>
      </c>
      <c r="Q680">
        <f>IF(COUNTIF($E680, _xlfn.CONCAT("*",Table13[[#Headers],[Fantasy]],"*")),1,0)</f>
        <v>0</v>
      </c>
      <c r="R680">
        <f>IF(COUNTIF($E680, _xlfn.CONCAT("*",Table13[[#Headers],[History]],"*")),1,0)</f>
        <v>0</v>
      </c>
      <c r="S680">
        <f>IF(COUNTIF($E680, _xlfn.CONCAT("*",Table13[[#Headers],[Horror]],"*")),1,0)</f>
        <v>0</v>
      </c>
      <c r="T680">
        <f>IF(COUNTIF($E680, _xlfn.CONCAT("*",Table13[[#Headers],[Music]],"*")),1,0)</f>
        <v>0</v>
      </c>
      <c r="U680">
        <f>IF(COUNTIF($E680, _xlfn.CONCAT("*",Table13[[#Headers],[Mystery]],"*")),1,0)</f>
        <v>0</v>
      </c>
      <c r="V680">
        <f>IF(COUNTIF($E680, _xlfn.CONCAT("*",Table13[[#Headers],[Romance]],"*")),1,0)</f>
        <v>1</v>
      </c>
      <c r="W680">
        <f>IF(COUNTIF($E680, _xlfn.CONCAT("*",Table13[[#Headers],[Science Fiction]],"*")),1,0)</f>
        <v>0</v>
      </c>
      <c r="X680">
        <f>IF(COUNTIF($E680, _xlfn.CONCAT("*",Table13[[#Headers],[TV Movie]],"*")),1,0)</f>
        <v>0</v>
      </c>
      <c r="Y680">
        <f>IF(COUNTIF($E680, _xlfn.CONCAT("*",Table13[[#Headers],[Thriller]],"*")),1,0)</f>
        <v>0</v>
      </c>
      <c r="Z680">
        <f>IF(COUNTIF($E680, _xlfn.CONCAT("*",Table13[[#Headers],[War]],"*")),1,0)</f>
        <v>0</v>
      </c>
      <c r="AA680">
        <f>IF(COUNTIF($E680, _xlfn.CONCAT("*",Table13[[#Headers],[Western]],"*")),1,0)</f>
        <v>0</v>
      </c>
    </row>
    <row r="681" spans="1:27">
      <c r="A681" t="s">
        <v>216</v>
      </c>
      <c r="B681">
        <v>5</v>
      </c>
      <c r="C681">
        <f>MAX(Table13[Rank])-Table13[[#This Row],[Rank]]</f>
        <v>259</v>
      </c>
      <c r="D681" t="s">
        <v>746</v>
      </c>
      <c r="E681" t="s">
        <v>217</v>
      </c>
      <c r="F681" s="1">
        <v>34587</v>
      </c>
      <c r="G681">
        <f>YEAR(Table13[[#This Row],[Date]])</f>
        <v>1994</v>
      </c>
      <c r="H681" t="s">
        <v>216</v>
      </c>
      <c r="I681">
        <f>IF(COUNTIF($E681, _xlfn.CONCAT("*",Table13[[#Headers],[Action]],"*")),1,0)</f>
        <v>0</v>
      </c>
      <c r="J681">
        <f>IF(COUNTIF($E681, _xlfn.CONCAT("*",Table13[[#Headers],[Adventure]],"*")),1,0)</f>
        <v>0</v>
      </c>
      <c r="K681">
        <f>IF(COUNTIF($E681, _xlfn.CONCAT("*",Table13[[#Headers],[Animation]],"*")),1,0)</f>
        <v>0</v>
      </c>
      <c r="L681">
        <f>IF(COUNTIF($E681, _xlfn.CONCAT("*",Table13[[#Headers],[Comedy]],"*")),1,0)</f>
        <v>0</v>
      </c>
      <c r="M681">
        <f>IF(COUNTIF($E681, _xlfn.CONCAT("*",Table13[[#Headers],[Crime]],"*")),1,0)</f>
        <v>1</v>
      </c>
      <c r="N681">
        <f>IF(COUNTIF($E681, _xlfn.CONCAT("*",Table13[[#Headers],[Documentary]],"*")),1,0)</f>
        <v>0</v>
      </c>
      <c r="O681">
        <f>IF(COUNTIF($E681, _xlfn.CONCAT("*",Table13[[#Headers],[Drama]],"*")),1,0)</f>
        <v>0</v>
      </c>
      <c r="P681">
        <f>IF(COUNTIF($E681, _xlfn.CONCAT("*",Table13[[#Headers],[Family]],"*")),1,0)</f>
        <v>0</v>
      </c>
      <c r="Q681">
        <f>IF(COUNTIF($E681, _xlfn.CONCAT("*",Table13[[#Headers],[Fantasy]],"*")),1,0)</f>
        <v>0</v>
      </c>
      <c r="R681">
        <f>IF(COUNTIF($E681, _xlfn.CONCAT("*",Table13[[#Headers],[History]],"*")),1,0)</f>
        <v>0</v>
      </c>
      <c r="S681">
        <f>IF(COUNTIF($E681, _xlfn.CONCAT("*",Table13[[#Headers],[Horror]],"*")),1,0)</f>
        <v>0</v>
      </c>
      <c r="T681">
        <f>IF(COUNTIF($E681, _xlfn.CONCAT("*",Table13[[#Headers],[Music]],"*")),1,0)</f>
        <v>0</v>
      </c>
      <c r="U681">
        <f>IF(COUNTIF($E681, _xlfn.CONCAT("*",Table13[[#Headers],[Mystery]],"*")),1,0)</f>
        <v>0</v>
      </c>
      <c r="V681">
        <f>IF(COUNTIF($E681, _xlfn.CONCAT("*",Table13[[#Headers],[Romance]],"*")),1,0)</f>
        <v>0</v>
      </c>
      <c r="W681">
        <f>IF(COUNTIF($E681, _xlfn.CONCAT("*",Table13[[#Headers],[Science Fiction]],"*")),1,0)</f>
        <v>0</v>
      </c>
      <c r="X681">
        <f>IF(COUNTIF($E681, _xlfn.CONCAT("*",Table13[[#Headers],[TV Movie]],"*")),1,0)</f>
        <v>0</v>
      </c>
      <c r="Y681">
        <f>IF(COUNTIF($E681, _xlfn.CONCAT("*",Table13[[#Headers],[Thriller]],"*")),1,0)</f>
        <v>1</v>
      </c>
      <c r="Z681">
        <f>IF(COUNTIF($E681, _xlfn.CONCAT("*",Table13[[#Headers],[War]],"*")),1,0)</f>
        <v>0</v>
      </c>
      <c r="AA681">
        <f>IF(COUNTIF($E681, _xlfn.CONCAT("*",Table13[[#Headers],[Western]],"*")),1,0)</f>
        <v>0</v>
      </c>
    </row>
    <row r="682" spans="1:27">
      <c r="A682" t="s">
        <v>668</v>
      </c>
      <c r="B682">
        <v>4</v>
      </c>
      <c r="C682">
        <f>MAX(Table13[Rank])-Table13[[#This Row],[Rank]]</f>
        <v>260</v>
      </c>
      <c r="D682" t="s">
        <v>746</v>
      </c>
      <c r="E682" t="s">
        <v>166</v>
      </c>
      <c r="F682" s="1">
        <v>34600</v>
      </c>
      <c r="G682">
        <f>YEAR(Table13[[#This Row],[Date]])</f>
        <v>1994</v>
      </c>
      <c r="H682" t="s">
        <v>668</v>
      </c>
      <c r="I682">
        <f>IF(COUNTIF($E682, _xlfn.CONCAT("*",Table13[[#Headers],[Action]],"*")),1,0)</f>
        <v>0</v>
      </c>
      <c r="J682">
        <f>IF(COUNTIF($E682, _xlfn.CONCAT("*",Table13[[#Headers],[Adventure]],"*")),1,0)</f>
        <v>0</v>
      </c>
      <c r="K682">
        <f>IF(COUNTIF($E682, _xlfn.CONCAT("*",Table13[[#Headers],[Animation]],"*")),1,0)</f>
        <v>0</v>
      </c>
      <c r="L682">
        <f>IF(COUNTIF($E682, _xlfn.CONCAT("*",Table13[[#Headers],[Comedy]],"*")),1,0)</f>
        <v>0</v>
      </c>
      <c r="M682">
        <f>IF(COUNTIF($E682, _xlfn.CONCAT("*",Table13[[#Headers],[Crime]],"*")),1,0)</f>
        <v>1</v>
      </c>
      <c r="N682">
        <f>IF(COUNTIF($E682, _xlfn.CONCAT("*",Table13[[#Headers],[Documentary]],"*")),1,0)</f>
        <v>0</v>
      </c>
      <c r="O682">
        <f>IF(COUNTIF($E682, _xlfn.CONCAT("*",Table13[[#Headers],[Drama]],"*")),1,0)</f>
        <v>1</v>
      </c>
      <c r="P682">
        <f>IF(COUNTIF($E682, _xlfn.CONCAT("*",Table13[[#Headers],[Family]],"*")),1,0)</f>
        <v>0</v>
      </c>
      <c r="Q682">
        <f>IF(COUNTIF($E682, _xlfn.CONCAT("*",Table13[[#Headers],[Fantasy]],"*")),1,0)</f>
        <v>0</v>
      </c>
      <c r="R682">
        <f>IF(COUNTIF($E682, _xlfn.CONCAT("*",Table13[[#Headers],[History]],"*")),1,0)</f>
        <v>0</v>
      </c>
      <c r="S682">
        <f>IF(COUNTIF($E682, _xlfn.CONCAT("*",Table13[[#Headers],[Horror]],"*")),1,0)</f>
        <v>0</v>
      </c>
      <c r="T682">
        <f>IF(COUNTIF($E682, _xlfn.CONCAT("*",Table13[[#Headers],[Music]],"*")),1,0)</f>
        <v>0</v>
      </c>
      <c r="U682">
        <f>IF(COUNTIF($E682, _xlfn.CONCAT("*",Table13[[#Headers],[Mystery]],"*")),1,0)</f>
        <v>0</v>
      </c>
      <c r="V682">
        <f>IF(COUNTIF($E682, _xlfn.CONCAT("*",Table13[[#Headers],[Romance]],"*")),1,0)</f>
        <v>0</v>
      </c>
      <c r="W682">
        <f>IF(COUNTIF($E682, _xlfn.CONCAT("*",Table13[[#Headers],[Science Fiction]],"*")),1,0)</f>
        <v>0</v>
      </c>
      <c r="X682">
        <f>IF(COUNTIF($E682, _xlfn.CONCAT("*",Table13[[#Headers],[TV Movie]],"*")),1,0)</f>
        <v>0</v>
      </c>
      <c r="Y682">
        <f>IF(COUNTIF($E682, _xlfn.CONCAT("*",Table13[[#Headers],[Thriller]],"*")),1,0)</f>
        <v>0</v>
      </c>
      <c r="Z682">
        <f>IF(COUNTIF($E682, _xlfn.CONCAT("*",Table13[[#Headers],[War]],"*")),1,0)</f>
        <v>0</v>
      </c>
      <c r="AA682">
        <f>IF(COUNTIF($E682, _xlfn.CONCAT("*",Table13[[#Headers],[Western]],"*")),1,0)</f>
        <v>0</v>
      </c>
    </row>
    <row r="683" spans="1:27">
      <c r="A683" t="s">
        <v>395</v>
      </c>
      <c r="B683">
        <v>3</v>
      </c>
      <c r="C683">
        <f>MAX(Table13[Rank])-Table13[[#This Row],[Rank]]</f>
        <v>261</v>
      </c>
      <c r="D683" t="s">
        <v>746</v>
      </c>
      <c r="E683" t="s">
        <v>152</v>
      </c>
      <c r="F683" s="1">
        <v>15083</v>
      </c>
      <c r="G683">
        <f>YEAR(Table13[[#This Row],[Date]])</f>
        <v>1941</v>
      </c>
      <c r="H683" t="s">
        <v>395</v>
      </c>
      <c r="I683">
        <f>IF(COUNTIF($E683, _xlfn.CONCAT("*",Table13[[#Headers],[Action]],"*")),1,0)</f>
        <v>0</v>
      </c>
      <c r="J683">
        <f>IF(COUNTIF($E683, _xlfn.CONCAT("*",Table13[[#Headers],[Adventure]],"*")),1,0)</f>
        <v>0</v>
      </c>
      <c r="K683">
        <f>IF(COUNTIF($E683, _xlfn.CONCAT("*",Table13[[#Headers],[Animation]],"*")),1,0)</f>
        <v>0</v>
      </c>
      <c r="L683">
        <f>IF(COUNTIF($E683, _xlfn.CONCAT("*",Table13[[#Headers],[Comedy]],"*")),1,0)</f>
        <v>0</v>
      </c>
      <c r="M683">
        <f>IF(COUNTIF($E683, _xlfn.CONCAT("*",Table13[[#Headers],[Crime]],"*")),1,0)</f>
        <v>0</v>
      </c>
      <c r="N683">
        <f>IF(COUNTIF($E683, _xlfn.CONCAT("*",Table13[[#Headers],[Documentary]],"*")),1,0)</f>
        <v>0</v>
      </c>
      <c r="O683">
        <f>IF(COUNTIF($E683, _xlfn.CONCAT("*",Table13[[#Headers],[Drama]],"*")),1,0)</f>
        <v>1</v>
      </c>
      <c r="P683">
        <f>IF(COUNTIF($E683, _xlfn.CONCAT("*",Table13[[#Headers],[Family]],"*")),1,0)</f>
        <v>0</v>
      </c>
      <c r="Q683">
        <f>IF(COUNTIF($E683, _xlfn.CONCAT("*",Table13[[#Headers],[Fantasy]],"*")),1,0)</f>
        <v>0</v>
      </c>
      <c r="R683">
        <f>IF(COUNTIF($E683, _xlfn.CONCAT("*",Table13[[#Headers],[History]],"*")),1,0)</f>
        <v>0</v>
      </c>
      <c r="S683">
        <f>IF(COUNTIF($E683, _xlfn.CONCAT("*",Table13[[#Headers],[Horror]],"*")),1,0)</f>
        <v>0</v>
      </c>
      <c r="T683">
        <f>IF(COUNTIF($E683, _xlfn.CONCAT("*",Table13[[#Headers],[Music]],"*")),1,0)</f>
        <v>0</v>
      </c>
      <c r="U683">
        <f>IF(COUNTIF($E683, _xlfn.CONCAT("*",Table13[[#Headers],[Mystery]],"*")),1,0)</f>
        <v>1</v>
      </c>
      <c r="V683">
        <f>IF(COUNTIF($E683, _xlfn.CONCAT("*",Table13[[#Headers],[Romance]],"*")),1,0)</f>
        <v>0</v>
      </c>
      <c r="W683">
        <f>IF(COUNTIF($E683, _xlfn.CONCAT("*",Table13[[#Headers],[Science Fiction]],"*")),1,0)</f>
        <v>0</v>
      </c>
      <c r="X683">
        <f>IF(COUNTIF($E683, _xlfn.CONCAT("*",Table13[[#Headers],[TV Movie]],"*")),1,0)</f>
        <v>0</v>
      </c>
      <c r="Y683">
        <f>IF(COUNTIF($E683, _xlfn.CONCAT("*",Table13[[#Headers],[Thriller]],"*")),1,0)</f>
        <v>0</v>
      </c>
      <c r="Z683">
        <f>IF(COUNTIF($E683, _xlfn.CONCAT("*",Table13[[#Headers],[War]],"*")),1,0)</f>
        <v>0</v>
      </c>
      <c r="AA683">
        <f>IF(COUNTIF($E683, _xlfn.CONCAT("*",Table13[[#Headers],[Western]],"*")),1,0)</f>
        <v>0</v>
      </c>
    </row>
    <row r="684" spans="1:27">
      <c r="A684" t="s">
        <v>253</v>
      </c>
      <c r="B684">
        <v>2</v>
      </c>
      <c r="C684">
        <f>MAX(Table13[Rank])-Table13[[#This Row],[Rank]]</f>
        <v>262</v>
      </c>
      <c r="D684" t="s">
        <v>746</v>
      </c>
      <c r="E684" t="s">
        <v>254</v>
      </c>
      <c r="F684" s="1">
        <v>14472</v>
      </c>
      <c r="G684">
        <f>YEAR(Table13[[#This Row],[Date]])</f>
        <v>1939</v>
      </c>
      <c r="H684" t="s">
        <v>253</v>
      </c>
      <c r="I684">
        <f>IF(COUNTIF($E684, _xlfn.CONCAT("*",Table13[[#Headers],[Action]],"*")),1,0)</f>
        <v>0</v>
      </c>
      <c r="J684">
        <f>IF(COUNTIF($E684, _xlfn.CONCAT("*",Table13[[#Headers],[Adventure]],"*")),1,0)</f>
        <v>1</v>
      </c>
      <c r="K684">
        <f>IF(COUNTIF($E684, _xlfn.CONCAT("*",Table13[[#Headers],[Animation]],"*")),1,0)</f>
        <v>0</v>
      </c>
      <c r="L684">
        <f>IF(COUNTIF($E684, _xlfn.CONCAT("*",Table13[[#Headers],[Comedy]],"*")),1,0)</f>
        <v>0</v>
      </c>
      <c r="M684">
        <f>IF(COUNTIF($E684, _xlfn.CONCAT("*",Table13[[#Headers],[Crime]],"*")),1,0)</f>
        <v>0</v>
      </c>
      <c r="N684">
        <f>IF(COUNTIF($E684, _xlfn.CONCAT("*",Table13[[#Headers],[Documentary]],"*")),1,0)</f>
        <v>0</v>
      </c>
      <c r="O684">
        <f>IF(COUNTIF($E684, _xlfn.CONCAT("*",Table13[[#Headers],[Drama]],"*")),1,0)</f>
        <v>0</v>
      </c>
      <c r="P684">
        <f>IF(COUNTIF($E684, _xlfn.CONCAT("*",Table13[[#Headers],[Family]],"*")),1,0)</f>
        <v>1</v>
      </c>
      <c r="Q684">
        <f>IF(COUNTIF($E684, _xlfn.CONCAT("*",Table13[[#Headers],[Fantasy]],"*")),1,0)</f>
        <v>1</v>
      </c>
      <c r="R684">
        <f>IF(COUNTIF($E684, _xlfn.CONCAT("*",Table13[[#Headers],[History]],"*")),1,0)</f>
        <v>0</v>
      </c>
      <c r="S684">
        <f>IF(COUNTIF($E684, _xlfn.CONCAT("*",Table13[[#Headers],[Horror]],"*")),1,0)</f>
        <v>0</v>
      </c>
      <c r="T684">
        <f>IF(COUNTIF($E684, _xlfn.CONCAT("*",Table13[[#Headers],[Music]],"*")),1,0)</f>
        <v>0</v>
      </c>
      <c r="U684">
        <f>IF(COUNTIF($E684, _xlfn.CONCAT("*",Table13[[#Headers],[Mystery]],"*")),1,0)</f>
        <v>0</v>
      </c>
      <c r="V684">
        <f>IF(COUNTIF($E684, _xlfn.CONCAT("*",Table13[[#Headers],[Romance]],"*")),1,0)</f>
        <v>0</v>
      </c>
      <c r="W684">
        <f>IF(COUNTIF($E684, _xlfn.CONCAT("*",Table13[[#Headers],[Science Fiction]],"*")),1,0)</f>
        <v>0</v>
      </c>
      <c r="X684">
        <f>IF(COUNTIF($E684, _xlfn.CONCAT("*",Table13[[#Headers],[TV Movie]],"*")),1,0)</f>
        <v>0</v>
      </c>
      <c r="Y684">
        <f>IF(COUNTIF($E684, _xlfn.CONCAT("*",Table13[[#Headers],[Thriller]],"*")),1,0)</f>
        <v>0</v>
      </c>
      <c r="Z684">
        <f>IF(COUNTIF($E684, _xlfn.CONCAT("*",Table13[[#Headers],[War]],"*")),1,0)</f>
        <v>0</v>
      </c>
      <c r="AA684">
        <f>IF(COUNTIF($E684, _xlfn.CONCAT("*",Table13[[#Headers],[Western]],"*")),1,0)</f>
        <v>0</v>
      </c>
    </row>
    <row r="685" spans="1:27">
      <c r="A685" t="s">
        <v>384</v>
      </c>
      <c r="B685">
        <v>1</v>
      </c>
      <c r="C685">
        <f>MAX(Table13[Rank])-Table13[[#This Row],[Rank]]</f>
        <v>263</v>
      </c>
      <c r="D685" t="s">
        <v>746</v>
      </c>
      <c r="E685" t="s">
        <v>166</v>
      </c>
      <c r="F685" s="1">
        <v>26372</v>
      </c>
      <c r="G685">
        <f>YEAR(Table13[[#This Row],[Date]])</f>
        <v>1972</v>
      </c>
      <c r="H685" t="s">
        <v>384</v>
      </c>
      <c r="I685">
        <f>IF(COUNTIF($E685, _xlfn.CONCAT("*",Table13[[#Headers],[Action]],"*")),1,0)</f>
        <v>0</v>
      </c>
      <c r="J685">
        <f>IF(COUNTIF($E685, _xlfn.CONCAT("*",Table13[[#Headers],[Adventure]],"*")),1,0)</f>
        <v>0</v>
      </c>
      <c r="K685">
        <f>IF(COUNTIF($E685, _xlfn.CONCAT("*",Table13[[#Headers],[Animation]],"*")),1,0)</f>
        <v>0</v>
      </c>
      <c r="L685">
        <f>IF(COUNTIF($E685, _xlfn.CONCAT("*",Table13[[#Headers],[Comedy]],"*")),1,0)</f>
        <v>0</v>
      </c>
      <c r="M685">
        <f>IF(COUNTIF($E685, _xlfn.CONCAT("*",Table13[[#Headers],[Crime]],"*")),1,0)</f>
        <v>1</v>
      </c>
      <c r="N685">
        <f>IF(COUNTIF($E685, _xlfn.CONCAT("*",Table13[[#Headers],[Documentary]],"*")),1,0)</f>
        <v>0</v>
      </c>
      <c r="O685">
        <f>IF(COUNTIF($E685, _xlfn.CONCAT("*",Table13[[#Headers],[Drama]],"*")),1,0)</f>
        <v>1</v>
      </c>
      <c r="P685">
        <f>IF(COUNTIF($E685, _xlfn.CONCAT("*",Table13[[#Headers],[Family]],"*")),1,0)</f>
        <v>0</v>
      </c>
      <c r="Q685">
        <f>IF(COUNTIF($E685, _xlfn.CONCAT("*",Table13[[#Headers],[Fantasy]],"*")),1,0)</f>
        <v>0</v>
      </c>
      <c r="R685">
        <f>IF(COUNTIF($E685, _xlfn.CONCAT("*",Table13[[#Headers],[History]],"*")),1,0)</f>
        <v>0</v>
      </c>
      <c r="S685">
        <f>IF(COUNTIF($E685, _xlfn.CONCAT("*",Table13[[#Headers],[Horror]],"*")),1,0)</f>
        <v>0</v>
      </c>
      <c r="T685">
        <f>IF(COUNTIF($E685, _xlfn.CONCAT("*",Table13[[#Headers],[Music]],"*")),1,0)</f>
        <v>0</v>
      </c>
      <c r="U685">
        <f>IF(COUNTIF($E685, _xlfn.CONCAT("*",Table13[[#Headers],[Mystery]],"*")),1,0)</f>
        <v>0</v>
      </c>
      <c r="V685">
        <f>IF(COUNTIF($E685, _xlfn.CONCAT("*",Table13[[#Headers],[Romance]],"*")),1,0)</f>
        <v>0</v>
      </c>
      <c r="W685">
        <f>IF(COUNTIF($E685, _xlfn.CONCAT("*",Table13[[#Headers],[Science Fiction]],"*")),1,0)</f>
        <v>0</v>
      </c>
      <c r="X685">
        <f>IF(COUNTIF($E685, _xlfn.CONCAT("*",Table13[[#Headers],[TV Movie]],"*")),1,0)</f>
        <v>0</v>
      </c>
      <c r="Y685">
        <f>IF(COUNTIF($E685, _xlfn.CONCAT("*",Table13[[#Headers],[Thriller]],"*")),1,0)</f>
        <v>0</v>
      </c>
      <c r="Z685">
        <f>IF(COUNTIF($E685, _xlfn.CONCAT("*",Table13[[#Headers],[War]],"*")),1,0)</f>
        <v>0</v>
      </c>
      <c r="AA685">
        <f>IF(COUNTIF($E685, _xlfn.CONCAT("*",Table13[[#Headers],[Western]],"*")),1,0)</f>
        <v>0</v>
      </c>
    </row>
    <row r="686" spans="1:27">
      <c r="A686" t="s">
        <v>779</v>
      </c>
      <c r="B686">
        <v>1</v>
      </c>
      <c r="C686">
        <f>MAX(Table13[Rank])-Table13[[#This Row],[Rank]]</f>
        <v>263</v>
      </c>
      <c r="D686" t="s">
        <v>780</v>
      </c>
      <c r="E686" t="s">
        <v>21</v>
      </c>
      <c r="F686" s="1">
        <v>7292</v>
      </c>
      <c r="G686">
        <f>YEAR(Table13[[#This Row],[Date]])</f>
        <v>1919</v>
      </c>
      <c r="H686" t="s">
        <v>779</v>
      </c>
      <c r="I686">
        <f>IF(COUNTIF($E686, _xlfn.CONCAT("*",Table13[[#Headers],[Action]],"*")),1,0)</f>
        <v>0</v>
      </c>
      <c r="J686">
        <f>IF(COUNTIF($E686, _xlfn.CONCAT("*",Table13[[#Headers],[Adventure]],"*")),1,0)</f>
        <v>0</v>
      </c>
      <c r="K686">
        <f>IF(COUNTIF($E686, _xlfn.CONCAT("*",Table13[[#Headers],[Animation]],"*")),1,0)</f>
        <v>0</v>
      </c>
      <c r="L686">
        <f>IF(COUNTIF($E686, _xlfn.CONCAT("*",Table13[[#Headers],[Comedy]],"*")),1,0)</f>
        <v>0</v>
      </c>
      <c r="M686">
        <f>IF(COUNTIF($E686, _xlfn.CONCAT("*",Table13[[#Headers],[Crime]],"*")),1,0)</f>
        <v>0</v>
      </c>
      <c r="N686">
        <f>IF(COUNTIF($E686, _xlfn.CONCAT("*",Table13[[#Headers],[Documentary]],"*")),1,0)</f>
        <v>0</v>
      </c>
      <c r="O686">
        <f>IF(COUNTIF($E686, _xlfn.CONCAT("*",Table13[[#Headers],[Drama]],"*")),1,0)</f>
        <v>1</v>
      </c>
      <c r="P686">
        <f>IF(COUNTIF($E686, _xlfn.CONCAT("*",Table13[[#Headers],[Family]],"*")),1,0)</f>
        <v>0</v>
      </c>
      <c r="Q686">
        <f>IF(COUNTIF($E686, _xlfn.CONCAT("*",Table13[[#Headers],[Fantasy]],"*")),1,0)</f>
        <v>0</v>
      </c>
      <c r="R686">
        <f>IF(COUNTIF($E686, _xlfn.CONCAT("*",Table13[[#Headers],[History]],"*")),1,0)</f>
        <v>0</v>
      </c>
      <c r="S686">
        <f>IF(COUNTIF($E686, _xlfn.CONCAT("*",Table13[[#Headers],[Horror]],"*")),1,0)</f>
        <v>0</v>
      </c>
      <c r="T686">
        <f>IF(COUNTIF($E686, _xlfn.CONCAT("*",Table13[[#Headers],[Music]],"*")),1,0)</f>
        <v>0</v>
      </c>
      <c r="U686">
        <f>IF(COUNTIF($E686, _xlfn.CONCAT("*",Table13[[#Headers],[Mystery]],"*")),1,0)</f>
        <v>0</v>
      </c>
      <c r="V686">
        <f>IF(COUNTIF($E686, _xlfn.CONCAT("*",Table13[[#Headers],[Romance]],"*")),1,0)</f>
        <v>0</v>
      </c>
      <c r="W686">
        <f>IF(COUNTIF($E686, _xlfn.CONCAT("*",Table13[[#Headers],[Science Fiction]],"*")),1,0)</f>
        <v>0</v>
      </c>
      <c r="X686">
        <f>IF(COUNTIF($E686, _xlfn.CONCAT("*",Table13[[#Headers],[TV Movie]],"*")),1,0)</f>
        <v>0</v>
      </c>
      <c r="Y686">
        <f>IF(COUNTIF($E686, _xlfn.CONCAT("*",Table13[[#Headers],[Thriller]],"*")),1,0)</f>
        <v>0</v>
      </c>
      <c r="Z686">
        <f>IF(COUNTIF($E686, _xlfn.CONCAT("*",Table13[[#Headers],[War]],"*")),1,0)</f>
        <v>0</v>
      </c>
      <c r="AA686">
        <f>IF(COUNTIF($E686, _xlfn.CONCAT("*",Table13[[#Headers],[Western]],"*")),1,0)</f>
        <v>0</v>
      </c>
    </row>
    <row r="687" spans="1:27">
      <c r="A687" t="s">
        <v>260</v>
      </c>
      <c r="B687">
        <v>2</v>
      </c>
      <c r="C687">
        <f>MAX(Table13[Rank])-Table13[[#This Row],[Rank]]</f>
        <v>262</v>
      </c>
      <c r="D687" t="s">
        <v>780</v>
      </c>
      <c r="E687" t="s">
        <v>81</v>
      </c>
      <c r="F687" s="1">
        <v>31237</v>
      </c>
      <c r="G687">
        <f>YEAR(Table13[[#This Row],[Date]])</f>
        <v>1985</v>
      </c>
      <c r="H687" t="s">
        <v>260</v>
      </c>
      <c r="I687">
        <f>IF(COUNTIF($E687, _xlfn.CONCAT("*",Table13[[#Headers],[Action]],"*")),1,0)</f>
        <v>0</v>
      </c>
      <c r="J687">
        <f>IF(COUNTIF($E687, _xlfn.CONCAT("*",Table13[[#Headers],[Adventure]],"*")),1,0)</f>
        <v>0</v>
      </c>
      <c r="K687">
        <f>IF(COUNTIF($E687, _xlfn.CONCAT("*",Table13[[#Headers],[Animation]],"*")),1,0)</f>
        <v>0</v>
      </c>
      <c r="L687">
        <f>IF(COUNTIF($E687, _xlfn.CONCAT("*",Table13[[#Headers],[Comedy]],"*")),1,0)</f>
        <v>0</v>
      </c>
      <c r="M687">
        <f>IF(COUNTIF($E687, _xlfn.CONCAT("*",Table13[[#Headers],[Crime]],"*")),1,0)</f>
        <v>0</v>
      </c>
      <c r="N687">
        <f>IF(COUNTIF($E687, _xlfn.CONCAT("*",Table13[[#Headers],[Documentary]],"*")),1,0)</f>
        <v>0</v>
      </c>
      <c r="O687">
        <f>IF(COUNTIF($E687, _xlfn.CONCAT("*",Table13[[#Headers],[Drama]],"*")),1,0)</f>
        <v>1</v>
      </c>
      <c r="P687">
        <f>IF(COUNTIF($E687, _xlfn.CONCAT("*",Table13[[#Headers],[Family]],"*")),1,0)</f>
        <v>0</v>
      </c>
      <c r="Q687">
        <f>IF(COUNTIF($E687, _xlfn.CONCAT("*",Table13[[#Headers],[Fantasy]],"*")),1,0)</f>
        <v>0</v>
      </c>
      <c r="R687">
        <f>IF(COUNTIF($E687, _xlfn.CONCAT("*",Table13[[#Headers],[History]],"*")),1,0)</f>
        <v>0</v>
      </c>
      <c r="S687">
        <f>IF(COUNTIF($E687, _xlfn.CONCAT("*",Table13[[#Headers],[Horror]],"*")),1,0)</f>
        <v>0</v>
      </c>
      <c r="T687">
        <f>IF(COUNTIF($E687, _xlfn.CONCAT("*",Table13[[#Headers],[Music]],"*")),1,0)</f>
        <v>0</v>
      </c>
      <c r="U687">
        <f>IF(COUNTIF($E687, _xlfn.CONCAT("*",Table13[[#Headers],[Mystery]],"*")),1,0)</f>
        <v>0</v>
      </c>
      <c r="V687">
        <f>IF(COUNTIF($E687, _xlfn.CONCAT("*",Table13[[#Headers],[Romance]],"*")),1,0)</f>
        <v>0</v>
      </c>
      <c r="W687">
        <f>IF(COUNTIF($E687, _xlfn.CONCAT("*",Table13[[#Headers],[Science Fiction]],"*")),1,0)</f>
        <v>0</v>
      </c>
      <c r="X687">
        <f>IF(COUNTIF($E687, _xlfn.CONCAT("*",Table13[[#Headers],[TV Movie]],"*")),1,0)</f>
        <v>0</v>
      </c>
      <c r="Y687">
        <f>IF(COUNTIF($E687, _xlfn.CONCAT("*",Table13[[#Headers],[Thriller]],"*")),1,0)</f>
        <v>0</v>
      </c>
      <c r="Z687">
        <f>IF(COUNTIF($E687, _xlfn.CONCAT("*",Table13[[#Headers],[War]],"*")),1,0)</f>
        <v>1</v>
      </c>
      <c r="AA687">
        <f>IF(COUNTIF($E687, _xlfn.CONCAT("*",Table13[[#Headers],[Western]],"*")),1,0)</f>
        <v>0</v>
      </c>
    </row>
    <row r="688" spans="1:27">
      <c r="A688" t="s">
        <v>420</v>
      </c>
      <c r="B688">
        <v>3</v>
      </c>
      <c r="C688">
        <f>MAX(Table13[Rank])-Table13[[#This Row],[Rank]]</f>
        <v>261</v>
      </c>
      <c r="D688" t="s">
        <v>780</v>
      </c>
      <c r="E688" t="s">
        <v>21</v>
      </c>
      <c r="F688" s="1">
        <v>20920</v>
      </c>
      <c r="G688">
        <f>YEAR(Table13[[#This Row],[Date]])</f>
        <v>1957</v>
      </c>
      <c r="H688" t="s">
        <v>420</v>
      </c>
      <c r="I688">
        <f>IF(COUNTIF($E688, _xlfn.CONCAT("*",Table13[[#Headers],[Action]],"*")),1,0)</f>
        <v>0</v>
      </c>
      <c r="J688">
        <f>IF(COUNTIF($E688, _xlfn.CONCAT("*",Table13[[#Headers],[Adventure]],"*")),1,0)</f>
        <v>0</v>
      </c>
      <c r="K688">
        <f>IF(COUNTIF($E688, _xlfn.CONCAT("*",Table13[[#Headers],[Animation]],"*")),1,0)</f>
        <v>0</v>
      </c>
      <c r="L688">
        <f>IF(COUNTIF($E688, _xlfn.CONCAT("*",Table13[[#Headers],[Comedy]],"*")),1,0)</f>
        <v>0</v>
      </c>
      <c r="M688">
        <f>IF(COUNTIF($E688, _xlfn.CONCAT("*",Table13[[#Headers],[Crime]],"*")),1,0)</f>
        <v>0</v>
      </c>
      <c r="N688">
        <f>IF(COUNTIF($E688, _xlfn.CONCAT("*",Table13[[#Headers],[Documentary]],"*")),1,0)</f>
        <v>0</v>
      </c>
      <c r="O688">
        <f>IF(COUNTIF($E688, _xlfn.CONCAT("*",Table13[[#Headers],[Drama]],"*")),1,0)</f>
        <v>1</v>
      </c>
      <c r="P688">
        <f>IF(COUNTIF($E688, _xlfn.CONCAT("*",Table13[[#Headers],[Family]],"*")),1,0)</f>
        <v>0</v>
      </c>
      <c r="Q688">
        <f>IF(COUNTIF($E688, _xlfn.CONCAT("*",Table13[[#Headers],[Fantasy]],"*")),1,0)</f>
        <v>0</v>
      </c>
      <c r="R688">
        <f>IF(COUNTIF($E688, _xlfn.CONCAT("*",Table13[[#Headers],[History]],"*")),1,0)</f>
        <v>0</v>
      </c>
      <c r="S688">
        <f>IF(COUNTIF($E688, _xlfn.CONCAT("*",Table13[[#Headers],[Horror]],"*")),1,0)</f>
        <v>0</v>
      </c>
      <c r="T688">
        <f>IF(COUNTIF($E688, _xlfn.CONCAT("*",Table13[[#Headers],[Music]],"*")),1,0)</f>
        <v>0</v>
      </c>
      <c r="U688">
        <f>IF(COUNTIF($E688, _xlfn.CONCAT("*",Table13[[#Headers],[Mystery]],"*")),1,0)</f>
        <v>0</v>
      </c>
      <c r="V688">
        <f>IF(COUNTIF($E688, _xlfn.CONCAT("*",Table13[[#Headers],[Romance]],"*")),1,0)</f>
        <v>0</v>
      </c>
      <c r="W688">
        <f>IF(COUNTIF($E688, _xlfn.CONCAT("*",Table13[[#Headers],[Science Fiction]],"*")),1,0)</f>
        <v>0</v>
      </c>
      <c r="X688">
        <f>IF(COUNTIF($E688, _xlfn.CONCAT("*",Table13[[#Headers],[TV Movie]],"*")),1,0)</f>
        <v>0</v>
      </c>
      <c r="Y688">
        <f>IF(COUNTIF($E688, _xlfn.CONCAT("*",Table13[[#Headers],[Thriller]],"*")),1,0)</f>
        <v>0</v>
      </c>
      <c r="Z688">
        <f>IF(COUNTIF($E688, _xlfn.CONCAT("*",Table13[[#Headers],[War]],"*")),1,0)</f>
        <v>0</v>
      </c>
      <c r="AA688">
        <f>IF(COUNTIF($E688, _xlfn.CONCAT("*",Table13[[#Headers],[Western]],"*")),1,0)</f>
        <v>0</v>
      </c>
    </row>
    <row r="689" spans="1:27">
      <c r="A689" t="s">
        <v>374</v>
      </c>
      <c r="B689">
        <v>4</v>
      </c>
      <c r="C689">
        <f>MAX(Table13[Rank])-Table13[[#This Row],[Rank]]</f>
        <v>260</v>
      </c>
      <c r="D689" t="s">
        <v>780</v>
      </c>
      <c r="E689" t="s">
        <v>375</v>
      </c>
      <c r="F689" s="1">
        <v>19840</v>
      </c>
      <c r="G689">
        <f>YEAR(Table13[[#This Row],[Date]])</f>
        <v>1954</v>
      </c>
      <c r="H689" t="s">
        <v>374</v>
      </c>
      <c r="I689">
        <f>IF(COUNTIF($E689, _xlfn.CONCAT("*",Table13[[#Headers],[Action]],"*")),1,0)</f>
        <v>1</v>
      </c>
      <c r="J689">
        <f>IF(COUNTIF($E689, _xlfn.CONCAT("*",Table13[[#Headers],[Adventure]],"*")),1,0)</f>
        <v>0</v>
      </c>
      <c r="K689">
        <f>IF(COUNTIF($E689, _xlfn.CONCAT("*",Table13[[#Headers],[Animation]],"*")),1,0)</f>
        <v>0</v>
      </c>
      <c r="L689">
        <f>IF(COUNTIF($E689, _xlfn.CONCAT("*",Table13[[#Headers],[Comedy]],"*")),1,0)</f>
        <v>0</v>
      </c>
      <c r="M689">
        <f>IF(COUNTIF($E689, _xlfn.CONCAT("*",Table13[[#Headers],[Crime]],"*")),1,0)</f>
        <v>0</v>
      </c>
      <c r="N689">
        <f>IF(COUNTIF($E689, _xlfn.CONCAT("*",Table13[[#Headers],[Documentary]],"*")),1,0)</f>
        <v>0</v>
      </c>
      <c r="O689">
        <f>IF(COUNTIF($E689, _xlfn.CONCAT("*",Table13[[#Headers],[Drama]],"*")),1,0)</f>
        <v>1</v>
      </c>
      <c r="P689">
        <f>IF(COUNTIF($E689, _xlfn.CONCAT("*",Table13[[#Headers],[Family]],"*")),1,0)</f>
        <v>0</v>
      </c>
      <c r="Q689">
        <f>IF(COUNTIF($E689, _xlfn.CONCAT("*",Table13[[#Headers],[Fantasy]],"*")),1,0)</f>
        <v>0</v>
      </c>
      <c r="R689">
        <f>IF(COUNTIF($E689, _xlfn.CONCAT("*",Table13[[#Headers],[History]],"*")),1,0)</f>
        <v>0</v>
      </c>
      <c r="S689">
        <f>IF(COUNTIF($E689, _xlfn.CONCAT("*",Table13[[#Headers],[Horror]],"*")),1,0)</f>
        <v>0</v>
      </c>
      <c r="T689">
        <f>IF(COUNTIF($E689, _xlfn.CONCAT("*",Table13[[#Headers],[Music]],"*")),1,0)</f>
        <v>0</v>
      </c>
      <c r="U689">
        <f>IF(COUNTIF($E689, _xlfn.CONCAT("*",Table13[[#Headers],[Mystery]],"*")),1,0)</f>
        <v>0</v>
      </c>
      <c r="V689">
        <f>IF(COUNTIF($E689, _xlfn.CONCAT("*",Table13[[#Headers],[Romance]],"*")),1,0)</f>
        <v>0</v>
      </c>
      <c r="W689">
        <f>IF(COUNTIF($E689, _xlfn.CONCAT("*",Table13[[#Headers],[Science Fiction]],"*")),1,0)</f>
        <v>0</v>
      </c>
      <c r="X689">
        <f>IF(COUNTIF($E689, _xlfn.CONCAT("*",Table13[[#Headers],[TV Movie]],"*")),1,0)</f>
        <v>0</v>
      </c>
      <c r="Y689">
        <f>IF(COUNTIF($E689, _xlfn.CONCAT("*",Table13[[#Headers],[Thriller]],"*")),1,0)</f>
        <v>0</v>
      </c>
      <c r="Z689">
        <f>IF(COUNTIF($E689, _xlfn.CONCAT("*",Table13[[#Headers],[War]],"*")),1,0)</f>
        <v>0</v>
      </c>
      <c r="AA689">
        <f>IF(COUNTIF($E689, _xlfn.CONCAT("*",Table13[[#Headers],[Western]],"*")),1,0)</f>
        <v>0</v>
      </c>
    </row>
    <row r="690" spans="1:27">
      <c r="A690" t="s">
        <v>678</v>
      </c>
      <c r="B690">
        <v>5</v>
      </c>
      <c r="C690">
        <f>MAX(Table13[Rank])-Table13[[#This Row],[Rank]]</f>
        <v>259</v>
      </c>
      <c r="D690" t="s">
        <v>780</v>
      </c>
      <c r="E690" t="s">
        <v>166</v>
      </c>
      <c r="F690" s="1">
        <v>27383</v>
      </c>
      <c r="G690">
        <f>YEAR(Table13[[#This Row],[Date]])</f>
        <v>1974</v>
      </c>
      <c r="H690" t="s">
        <v>257</v>
      </c>
      <c r="I690">
        <f>IF(COUNTIF($E690, _xlfn.CONCAT("*",Table13[[#Headers],[Action]],"*")),1,0)</f>
        <v>0</v>
      </c>
      <c r="J690">
        <f>IF(COUNTIF($E690, _xlfn.CONCAT("*",Table13[[#Headers],[Adventure]],"*")),1,0)</f>
        <v>0</v>
      </c>
      <c r="K690">
        <f>IF(COUNTIF($E690, _xlfn.CONCAT("*",Table13[[#Headers],[Animation]],"*")),1,0)</f>
        <v>0</v>
      </c>
      <c r="L690">
        <f>IF(COUNTIF($E690, _xlfn.CONCAT("*",Table13[[#Headers],[Comedy]],"*")),1,0)</f>
        <v>0</v>
      </c>
      <c r="M690">
        <f>IF(COUNTIF($E690, _xlfn.CONCAT("*",Table13[[#Headers],[Crime]],"*")),1,0)</f>
        <v>1</v>
      </c>
      <c r="N690">
        <f>IF(COUNTIF($E690, _xlfn.CONCAT("*",Table13[[#Headers],[Documentary]],"*")),1,0)</f>
        <v>0</v>
      </c>
      <c r="O690">
        <f>IF(COUNTIF($E690, _xlfn.CONCAT("*",Table13[[#Headers],[Drama]],"*")),1,0)</f>
        <v>1</v>
      </c>
      <c r="P690">
        <f>IF(COUNTIF($E690, _xlfn.CONCAT("*",Table13[[#Headers],[Family]],"*")),1,0)</f>
        <v>0</v>
      </c>
      <c r="Q690">
        <f>IF(COUNTIF($E690, _xlfn.CONCAT("*",Table13[[#Headers],[Fantasy]],"*")),1,0)</f>
        <v>0</v>
      </c>
      <c r="R690">
        <f>IF(COUNTIF($E690, _xlfn.CONCAT("*",Table13[[#Headers],[History]],"*")),1,0)</f>
        <v>0</v>
      </c>
      <c r="S690">
        <f>IF(COUNTIF($E690, _xlfn.CONCAT("*",Table13[[#Headers],[Horror]],"*")),1,0)</f>
        <v>0</v>
      </c>
      <c r="T690">
        <f>IF(COUNTIF($E690, _xlfn.CONCAT("*",Table13[[#Headers],[Music]],"*")),1,0)</f>
        <v>0</v>
      </c>
      <c r="U690">
        <f>IF(COUNTIF($E690, _xlfn.CONCAT("*",Table13[[#Headers],[Mystery]],"*")),1,0)</f>
        <v>0</v>
      </c>
      <c r="V690">
        <f>IF(COUNTIF($E690, _xlfn.CONCAT("*",Table13[[#Headers],[Romance]],"*")),1,0)</f>
        <v>0</v>
      </c>
      <c r="W690">
        <f>IF(COUNTIF($E690, _xlfn.CONCAT("*",Table13[[#Headers],[Science Fiction]],"*")),1,0)</f>
        <v>0</v>
      </c>
      <c r="X690">
        <f>IF(COUNTIF($E690, _xlfn.CONCAT("*",Table13[[#Headers],[TV Movie]],"*")),1,0)</f>
        <v>0</v>
      </c>
      <c r="Y690">
        <f>IF(COUNTIF($E690, _xlfn.CONCAT("*",Table13[[#Headers],[Thriller]],"*")),1,0)</f>
        <v>0</v>
      </c>
      <c r="Z690">
        <f>IF(COUNTIF($E690, _xlfn.CONCAT("*",Table13[[#Headers],[War]],"*")),1,0)</f>
        <v>0</v>
      </c>
      <c r="AA690">
        <f>IF(COUNTIF($E690, _xlfn.CONCAT("*",Table13[[#Headers],[Western]],"*")),1,0)</f>
        <v>0</v>
      </c>
    </row>
    <row r="691" spans="1:27">
      <c r="A691" t="s">
        <v>781</v>
      </c>
      <c r="B691">
        <v>6</v>
      </c>
      <c r="C691">
        <f>MAX(Table13[Rank])-Table13[[#This Row],[Rank]]</f>
        <v>258</v>
      </c>
      <c r="D691" t="s">
        <v>780</v>
      </c>
      <c r="E691" t="s">
        <v>184</v>
      </c>
      <c r="F691" s="1">
        <v>23071</v>
      </c>
      <c r="G691">
        <f>YEAR(Table13[[#This Row],[Date]])</f>
        <v>1963</v>
      </c>
      <c r="H691" t="s">
        <v>781</v>
      </c>
      <c r="I691">
        <f>IF(COUNTIF($E691, _xlfn.CONCAT("*",Table13[[#Headers],[Action]],"*")),1,0)</f>
        <v>0</v>
      </c>
      <c r="J691">
        <f>IF(COUNTIF($E691, _xlfn.CONCAT("*",Table13[[#Headers],[Adventure]],"*")),1,0)</f>
        <v>0</v>
      </c>
      <c r="K691">
        <f>IF(COUNTIF($E691, _xlfn.CONCAT("*",Table13[[#Headers],[Animation]],"*")),1,0)</f>
        <v>0</v>
      </c>
      <c r="L691">
        <f>IF(COUNTIF($E691, _xlfn.CONCAT("*",Table13[[#Headers],[Comedy]],"*")),1,0)</f>
        <v>0</v>
      </c>
      <c r="M691">
        <f>IF(COUNTIF($E691, _xlfn.CONCAT("*",Table13[[#Headers],[Crime]],"*")),1,0)</f>
        <v>1</v>
      </c>
      <c r="N691">
        <f>IF(COUNTIF($E691, _xlfn.CONCAT("*",Table13[[#Headers],[Documentary]],"*")),1,0)</f>
        <v>0</v>
      </c>
      <c r="O691">
        <f>IF(COUNTIF($E691, _xlfn.CONCAT("*",Table13[[#Headers],[Drama]],"*")),1,0)</f>
        <v>1</v>
      </c>
      <c r="P691">
        <f>IF(COUNTIF($E691, _xlfn.CONCAT("*",Table13[[#Headers],[Family]],"*")),1,0)</f>
        <v>0</v>
      </c>
      <c r="Q691">
        <f>IF(COUNTIF($E691, _xlfn.CONCAT("*",Table13[[#Headers],[Fantasy]],"*")),1,0)</f>
        <v>0</v>
      </c>
      <c r="R691">
        <f>IF(COUNTIF($E691, _xlfn.CONCAT("*",Table13[[#Headers],[History]],"*")),1,0)</f>
        <v>0</v>
      </c>
      <c r="S691">
        <f>IF(COUNTIF($E691, _xlfn.CONCAT("*",Table13[[#Headers],[Horror]],"*")),1,0)</f>
        <v>0</v>
      </c>
      <c r="T691">
        <f>IF(COUNTIF($E691, _xlfn.CONCAT("*",Table13[[#Headers],[Music]],"*")),1,0)</f>
        <v>0</v>
      </c>
      <c r="U691">
        <f>IF(COUNTIF($E691, _xlfn.CONCAT("*",Table13[[#Headers],[Mystery]],"*")),1,0)</f>
        <v>1</v>
      </c>
      <c r="V691">
        <f>IF(COUNTIF($E691, _xlfn.CONCAT("*",Table13[[#Headers],[Romance]],"*")),1,0)</f>
        <v>0</v>
      </c>
      <c r="W691">
        <f>IF(COUNTIF($E691, _xlfn.CONCAT("*",Table13[[#Headers],[Science Fiction]],"*")),1,0)</f>
        <v>0</v>
      </c>
      <c r="X691">
        <f>IF(COUNTIF($E691, _xlfn.CONCAT("*",Table13[[#Headers],[TV Movie]],"*")),1,0)</f>
        <v>0</v>
      </c>
      <c r="Y691">
        <f>IF(COUNTIF($E691, _xlfn.CONCAT("*",Table13[[#Headers],[Thriller]],"*")),1,0)</f>
        <v>1</v>
      </c>
      <c r="Z691">
        <f>IF(COUNTIF($E691, _xlfn.CONCAT("*",Table13[[#Headers],[War]],"*")),1,0)</f>
        <v>0</v>
      </c>
      <c r="AA691">
        <f>IF(COUNTIF($E691, _xlfn.CONCAT("*",Table13[[#Headers],[Western]],"*")),1,0)</f>
        <v>0</v>
      </c>
    </row>
    <row r="692" spans="1:27">
      <c r="A692" t="s">
        <v>275</v>
      </c>
      <c r="B692">
        <v>7</v>
      </c>
      <c r="C692">
        <f>MAX(Table13[Rank])-Table13[[#This Row],[Rank]]</f>
        <v>257</v>
      </c>
      <c r="D692" t="s">
        <v>780</v>
      </c>
      <c r="E692" t="s">
        <v>189</v>
      </c>
      <c r="F692" s="1">
        <v>30022</v>
      </c>
      <c r="G692">
        <f>YEAR(Table13[[#This Row],[Date]])</f>
        <v>1982</v>
      </c>
      <c r="H692" t="s">
        <v>275</v>
      </c>
      <c r="I692">
        <f>IF(COUNTIF($E692, _xlfn.CONCAT("*",Table13[[#Headers],[Action]],"*")),1,0)</f>
        <v>0</v>
      </c>
      <c r="J692">
        <f>IF(COUNTIF($E692, _xlfn.CONCAT("*",Table13[[#Headers],[Adventure]],"*")),1,0)</f>
        <v>0</v>
      </c>
      <c r="K692">
        <f>IF(COUNTIF($E692, _xlfn.CONCAT("*",Table13[[#Headers],[Animation]],"*")),1,0)</f>
        <v>0</v>
      </c>
      <c r="L692">
        <f>IF(COUNTIF($E692, _xlfn.CONCAT("*",Table13[[#Headers],[Comedy]],"*")),1,0)</f>
        <v>0</v>
      </c>
      <c r="M692">
        <f>IF(COUNTIF($E692, _xlfn.CONCAT("*",Table13[[#Headers],[Crime]],"*")),1,0)</f>
        <v>0</v>
      </c>
      <c r="N692">
        <f>IF(COUNTIF($E692, _xlfn.CONCAT("*",Table13[[#Headers],[Documentary]],"*")),1,0)</f>
        <v>0</v>
      </c>
      <c r="O692">
        <f>IF(COUNTIF($E692, _xlfn.CONCAT("*",Table13[[#Headers],[Drama]],"*")),1,0)</f>
        <v>0</v>
      </c>
      <c r="P692">
        <f>IF(COUNTIF($E692, _xlfn.CONCAT("*",Table13[[#Headers],[Family]],"*")),1,0)</f>
        <v>0</v>
      </c>
      <c r="Q692">
        <f>IF(COUNTIF($E692, _xlfn.CONCAT("*",Table13[[#Headers],[Fantasy]],"*")),1,0)</f>
        <v>0</v>
      </c>
      <c r="R692">
        <f>IF(COUNTIF($E692, _xlfn.CONCAT("*",Table13[[#Headers],[History]],"*")),1,0)</f>
        <v>0</v>
      </c>
      <c r="S692">
        <f>IF(COUNTIF($E692, _xlfn.CONCAT("*",Table13[[#Headers],[Horror]],"*")),1,0)</f>
        <v>1</v>
      </c>
      <c r="T692">
        <f>IF(COUNTIF($E692, _xlfn.CONCAT("*",Table13[[#Headers],[Music]],"*")),1,0)</f>
        <v>0</v>
      </c>
      <c r="U692">
        <f>IF(COUNTIF($E692, _xlfn.CONCAT("*",Table13[[#Headers],[Mystery]],"*")),1,0)</f>
        <v>0</v>
      </c>
      <c r="V692">
        <f>IF(COUNTIF($E692, _xlfn.CONCAT("*",Table13[[#Headers],[Romance]],"*")),1,0)</f>
        <v>0</v>
      </c>
      <c r="W692">
        <f>IF(COUNTIF($E692, _xlfn.CONCAT("*",Table13[[#Headers],[Science Fiction]],"*")),1,0)</f>
        <v>1</v>
      </c>
      <c r="X692">
        <f>IF(COUNTIF($E692, _xlfn.CONCAT("*",Table13[[#Headers],[TV Movie]],"*")),1,0)</f>
        <v>0</v>
      </c>
      <c r="Y692">
        <f>IF(COUNTIF($E692, _xlfn.CONCAT("*",Table13[[#Headers],[Thriller]],"*")),1,0)</f>
        <v>0</v>
      </c>
      <c r="Z692">
        <f>IF(COUNTIF($E692, _xlfn.CONCAT("*",Table13[[#Headers],[War]],"*")),1,0)</f>
        <v>0</v>
      </c>
      <c r="AA692">
        <f>IF(COUNTIF($E692, _xlfn.CONCAT("*",Table13[[#Headers],[Western]],"*")),1,0)</f>
        <v>0</v>
      </c>
    </row>
    <row r="693" spans="1:27">
      <c r="A693" t="s">
        <v>384</v>
      </c>
      <c r="B693">
        <v>8</v>
      </c>
      <c r="C693">
        <f>MAX(Table13[Rank])-Table13[[#This Row],[Rank]]</f>
        <v>256</v>
      </c>
      <c r="D693" t="s">
        <v>780</v>
      </c>
      <c r="E693" t="s">
        <v>166</v>
      </c>
      <c r="F693" s="1">
        <v>26372</v>
      </c>
      <c r="G693">
        <f>YEAR(Table13[[#This Row],[Date]])</f>
        <v>1972</v>
      </c>
      <c r="H693" t="s">
        <v>384</v>
      </c>
      <c r="I693">
        <f>IF(COUNTIF($E693, _xlfn.CONCAT("*",Table13[[#Headers],[Action]],"*")),1,0)</f>
        <v>0</v>
      </c>
      <c r="J693">
        <f>IF(COUNTIF($E693, _xlfn.CONCAT("*",Table13[[#Headers],[Adventure]],"*")),1,0)</f>
        <v>0</v>
      </c>
      <c r="K693">
        <f>IF(COUNTIF($E693, _xlfn.CONCAT("*",Table13[[#Headers],[Animation]],"*")),1,0)</f>
        <v>0</v>
      </c>
      <c r="L693">
        <f>IF(COUNTIF($E693, _xlfn.CONCAT("*",Table13[[#Headers],[Comedy]],"*")),1,0)</f>
        <v>0</v>
      </c>
      <c r="M693">
        <f>IF(COUNTIF($E693, _xlfn.CONCAT("*",Table13[[#Headers],[Crime]],"*")),1,0)</f>
        <v>1</v>
      </c>
      <c r="N693">
        <f>IF(COUNTIF($E693, _xlfn.CONCAT("*",Table13[[#Headers],[Documentary]],"*")),1,0)</f>
        <v>0</v>
      </c>
      <c r="O693">
        <f>IF(COUNTIF($E693, _xlfn.CONCAT("*",Table13[[#Headers],[Drama]],"*")),1,0)</f>
        <v>1</v>
      </c>
      <c r="P693">
        <f>IF(COUNTIF($E693, _xlfn.CONCAT("*",Table13[[#Headers],[Family]],"*")),1,0)</f>
        <v>0</v>
      </c>
      <c r="Q693">
        <f>IF(COUNTIF($E693, _xlfn.CONCAT("*",Table13[[#Headers],[Fantasy]],"*")),1,0)</f>
        <v>0</v>
      </c>
      <c r="R693">
        <f>IF(COUNTIF($E693, _xlfn.CONCAT("*",Table13[[#Headers],[History]],"*")),1,0)</f>
        <v>0</v>
      </c>
      <c r="S693">
        <f>IF(COUNTIF($E693, _xlfn.CONCAT("*",Table13[[#Headers],[Horror]],"*")),1,0)</f>
        <v>0</v>
      </c>
      <c r="T693">
        <f>IF(COUNTIF($E693, _xlfn.CONCAT("*",Table13[[#Headers],[Music]],"*")),1,0)</f>
        <v>0</v>
      </c>
      <c r="U693">
        <f>IF(COUNTIF($E693, _xlfn.CONCAT("*",Table13[[#Headers],[Mystery]],"*")),1,0)</f>
        <v>0</v>
      </c>
      <c r="V693">
        <f>IF(COUNTIF($E693, _xlfn.CONCAT("*",Table13[[#Headers],[Romance]],"*")),1,0)</f>
        <v>0</v>
      </c>
      <c r="W693">
        <f>IF(COUNTIF($E693, _xlfn.CONCAT("*",Table13[[#Headers],[Science Fiction]],"*")),1,0)</f>
        <v>0</v>
      </c>
      <c r="X693">
        <f>IF(COUNTIF($E693, _xlfn.CONCAT("*",Table13[[#Headers],[TV Movie]],"*")),1,0)</f>
        <v>0</v>
      </c>
      <c r="Y693">
        <f>IF(COUNTIF($E693, _xlfn.CONCAT("*",Table13[[#Headers],[Thriller]],"*")),1,0)</f>
        <v>0</v>
      </c>
      <c r="Z693">
        <f>IF(COUNTIF($E693, _xlfn.CONCAT("*",Table13[[#Headers],[War]],"*")),1,0)</f>
        <v>0</v>
      </c>
      <c r="AA693">
        <f>IF(COUNTIF($E693, _xlfn.CONCAT("*",Table13[[#Headers],[Western]],"*")),1,0)</f>
        <v>0</v>
      </c>
    </row>
    <row r="694" spans="1:27">
      <c r="A694" t="s">
        <v>668</v>
      </c>
      <c r="B694">
        <v>9</v>
      </c>
      <c r="C694">
        <f>MAX(Table13[Rank])-Table13[[#This Row],[Rank]]</f>
        <v>255</v>
      </c>
      <c r="D694" t="s">
        <v>780</v>
      </c>
      <c r="E694" t="s">
        <v>166</v>
      </c>
      <c r="F694" s="1">
        <v>34600</v>
      </c>
      <c r="G694">
        <f>YEAR(Table13[[#This Row],[Date]])</f>
        <v>1994</v>
      </c>
      <c r="H694" t="s">
        <v>668</v>
      </c>
      <c r="I694">
        <f>IF(COUNTIF($E694, _xlfn.CONCAT("*",Table13[[#Headers],[Action]],"*")),1,0)</f>
        <v>0</v>
      </c>
      <c r="J694">
        <f>IF(COUNTIF($E694, _xlfn.CONCAT("*",Table13[[#Headers],[Adventure]],"*")),1,0)</f>
        <v>0</v>
      </c>
      <c r="K694">
        <f>IF(COUNTIF($E694, _xlfn.CONCAT("*",Table13[[#Headers],[Animation]],"*")),1,0)</f>
        <v>0</v>
      </c>
      <c r="L694">
        <f>IF(COUNTIF($E694, _xlfn.CONCAT("*",Table13[[#Headers],[Comedy]],"*")),1,0)</f>
        <v>0</v>
      </c>
      <c r="M694">
        <f>IF(COUNTIF($E694, _xlfn.CONCAT("*",Table13[[#Headers],[Crime]],"*")),1,0)</f>
        <v>1</v>
      </c>
      <c r="N694">
        <f>IF(COUNTIF($E694, _xlfn.CONCAT("*",Table13[[#Headers],[Documentary]],"*")),1,0)</f>
        <v>0</v>
      </c>
      <c r="O694">
        <f>IF(COUNTIF($E694, _xlfn.CONCAT("*",Table13[[#Headers],[Drama]],"*")),1,0)</f>
        <v>1</v>
      </c>
      <c r="P694">
        <f>IF(COUNTIF($E694, _xlfn.CONCAT("*",Table13[[#Headers],[Family]],"*")),1,0)</f>
        <v>0</v>
      </c>
      <c r="Q694">
        <f>IF(COUNTIF($E694, _xlfn.CONCAT("*",Table13[[#Headers],[Fantasy]],"*")),1,0)</f>
        <v>0</v>
      </c>
      <c r="R694">
        <f>IF(COUNTIF($E694, _xlfn.CONCAT("*",Table13[[#Headers],[History]],"*")),1,0)</f>
        <v>0</v>
      </c>
      <c r="S694">
        <f>IF(COUNTIF($E694, _xlfn.CONCAT("*",Table13[[#Headers],[Horror]],"*")),1,0)</f>
        <v>0</v>
      </c>
      <c r="T694">
        <f>IF(COUNTIF($E694, _xlfn.CONCAT("*",Table13[[#Headers],[Music]],"*")),1,0)</f>
        <v>0</v>
      </c>
      <c r="U694">
        <f>IF(COUNTIF($E694, _xlfn.CONCAT("*",Table13[[#Headers],[Mystery]],"*")),1,0)</f>
        <v>0</v>
      </c>
      <c r="V694">
        <f>IF(COUNTIF($E694, _xlfn.CONCAT("*",Table13[[#Headers],[Romance]],"*")),1,0)</f>
        <v>0</v>
      </c>
      <c r="W694">
        <f>IF(COUNTIF($E694, _xlfn.CONCAT("*",Table13[[#Headers],[Science Fiction]],"*")),1,0)</f>
        <v>0</v>
      </c>
      <c r="X694">
        <f>IF(COUNTIF($E694, _xlfn.CONCAT("*",Table13[[#Headers],[TV Movie]],"*")),1,0)</f>
        <v>0</v>
      </c>
      <c r="Y694">
        <f>IF(COUNTIF($E694, _xlfn.CONCAT("*",Table13[[#Headers],[Thriller]],"*")),1,0)</f>
        <v>0</v>
      </c>
      <c r="Z694">
        <f>IF(COUNTIF($E694, _xlfn.CONCAT("*",Table13[[#Headers],[War]],"*")),1,0)</f>
        <v>0</v>
      </c>
      <c r="AA694">
        <f>IF(COUNTIF($E694, _xlfn.CONCAT("*",Table13[[#Headers],[Western]],"*")),1,0)</f>
        <v>0</v>
      </c>
    </row>
    <row r="695" spans="1:27">
      <c r="A695" t="s">
        <v>782</v>
      </c>
      <c r="B695">
        <v>10</v>
      </c>
      <c r="C695">
        <f>MAX(Table13[Rank])-Table13[[#This Row],[Rank]]</f>
        <v>254</v>
      </c>
      <c r="D695" t="s">
        <v>780</v>
      </c>
      <c r="E695" t="s">
        <v>118</v>
      </c>
      <c r="F695" s="1">
        <v>22309</v>
      </c>
      <c r="G695">
        <f>YEAR(Table13[[#This Row],[Date]])</f>
        <v>1961</v>
      </c>
      <c r="H695" t="s">
        <v>782</v>
      </c>
      <c r="I695">
        <f>IF(COUNTIF($E695, _xlfn.CONCAT("*",Table13[[#Headers],[Action]],"*")),1,0)</f>
        <v>0</v>
      </c>
      <c r="J695">
        <f>IF(COUNTIF($E695, _xlfn.CONCAT("*",Table13[[#Headers],[Adventure]],"*")),1,0)</f>
        <v>0</v>
      </c>
      <c r="K695">
        <f>IF(COUNTIF($E695, _xlfn.CONCAT("*",Table13[[#Headers],[Animation]],"*")),1,0)</f>
        <v>0</v>
      </c>
      <c r="L695">
        <f>IF(COUNTIF($E695, _xlfn.CONCAT("*",Table13[[#Headers],[Comedy]],"*")),1,0)</f>
        <v>0</v>
      </c>
      <c r="M695">
        <f>IF(COUNTIF($E695, _xlfn.CONCAT("*",Table13[[#Headers],[Crime]],"*")),1,0)</f>
        <v>0</v>
      </c>
      <c r="N695">
        <f>IF(COUNTIF($E695, _xlfn.CONCAT("*",Table13[[#Headers],[Documentary]],"*")),1,0)</f>
        <v>0</v>
      </c>
      <c r="O695">
        <f>IF(COUNTIF($E695, _xlfn.CONCAT("*",Table13[[#Headers],[Drama]],"*")),1,0)</f>
        <v>1</v>
      </c>
      <c r="P695">
        <f>IF(COUNTIF($E695, _xlfn.CONCAT("*",Table13[[#Headers],[Family]],"*")),1,0)</f>
        <v>0</v>
      </c>
      <c r="Q695">
        <f>IF(COUNTIF($E695, _xlfn.CONCAT("*",Table13[[#Headers],[Fantasy]],"*")),1,0)</f>
        <v>0</v>
      </c>
      <c r="R695">
        <f>IF(COUNTIF($E695, _xlfn.CONCAT("*",Table13[[#Headers],[History]],"*")),1,0)</f>
        <v>1</v>
      </c>
      <c r="S695">
        <f>IF(COUNTIF($E695, _xlfn.CONCAT("*",Table13[[#Headers],[Horror]],"*")),1,0)</f>
        <v>0</v>
      </c>
      <c r="T695">
        <f>IF(COUNTIF($E695, _xlfn.CONCAT("*",Table13[[#Headers],[Music]],"*")),1,0)</f>
        <v>0</v>
      </c>
      <c r="U695">
        <f>IF(COUNTIF($E695, _xlfn.CONCAT("*",Table13[[#Headers],[Mystery]],"*")),1,0)</f>
        <v>0</v>
      </c>
      <c r="V695">
        <f>IF(COUNTIF($E695, _xlfn.CONCAT("*",Table13[[#Headers],[Romance]],"*")),1,0)</f>
        <v>0</v>
      </c>
      <c r="W695">
        <f>IF(COUNTIF($E695, _xlfn.CONCAT("*",Table13[[#Headers],[Science Fiction]],"*")),1,0)</f>
        <v>0</v>
      </c>
      <c r="X695">
        <f>IF(COUNTIF($E695, _xlfn.CONCAT("*",Table13[[#Headers],[TV Movie]],"*")),1,0)</f>
        <v>0</v>
      </c>
      <c r="Y695">
        <f>IF(COUNTIF($E695, _xlfn.CONCAT("*",Table13[[#Headers],[Thriller]],"*")),1,0)</f>
        <v>0</v>
      </c>
      <c r="Z695">
        <f>IF(COUNTIF($E695, _xlfn.CONCAT("*",Table13[[#Headers],[War]],"*")),1,0)</f>
        <v>1</v>
      </c>
      <c r="AA695">
        <f>IF(COUNTIF($E695, _xlfn.CONCAT("*",Table13[[#Headers],[Western]],"*")),1,0)</f>
        <v>0</v>
      </c>
    </row>
    <row r="696" spans="1:27">
      <c r="A696" t="s">
        <v>276</v>
      </c>
      <c r="B696">
        <v>11</v>
      </c>
      <c r="C696">
        <f>MAX(Table13[Rank])-Table13[[#This Row],[Rank]]</f>
        <v>253</v>
      </c>
      <c r="D696" t="s">
        <v>780</v>
      </c>
      <c r="E696" t="s">
        <v>21</v>
      </c>
      <c r="F696" s="1">
        <v>36789</v>
      </c>
      <c r="G696">
        <f>YEAR(Table13[[#This Row],[Date]])</f>
        <v>2000</v>
      </c>
      <c r="H696" t="s">
        <v>276</v>
      </c>
      <c r="I696">
        <f>IF(COUNTIF($E696, _xlfn.CONCAT("*",Table13[[#Headers],[Action]],"*")),1,0)</f>
        <v>0</v>
      </c>
      <c r="J696">
        <f>IF(COUNTIF($E696, _xlfn.CONCAT("*",Table13[[#Headers],[Adventure]],"*")),1,0)</f>
        <v>0</v>
      </c>
      <c r="K696">
        <f>IF(COUNTIF($E696, _xlfn.CONCAT("*",Table13[[#Headers],[Animation]],"*")),1,0)</f>
        <v>0</v>
      </c>
      <c r="L696">
        <f>IF(COUNTIF($E696, _xlfn.CONCAT("*",Table13[[#Headers],[Comedy]],"*")),1,0)</f>
        <v>0</v>
      </c>
      <c r="M696">
        <f>IF(COUNTIF($E696, _xlfn.CONCAT("*",Table13[[#Headers],[Crime]],"*")),1,0)</f>
        <v>0</v>
      </c>
      <c r="N696">
        <f>IF(COUNTIF($E696, _xlfn.CONCAT("*",Table13[[#Headers],[Documentary]],"*")),1,0)</f>
        <v>0</v>
      </c>
      <c r="O696">
        <f>IF(COUNTIF($E696, _xlfn.CONCAT("*",Table13[[#Headers],[Drama]],"*")),1,0)</f>
        <v>1</v>
      </c>
      <c r="P696">
        <f>IF(COUNTIF($E696, _xlfn.CONCAT("*",Table13[[#Headers],[Family]],"*")),1,0)</f>
        <v>0</v>
      </c>
      <c r="Q696">
        <f>IF(COUNTIF($E696, _xlfn.CONCAT("*",Table13[[#Headers],[Fantasy]],"*")),1,0)</f>
        <v>0</v>
      </c>
      <c r="R696">
        <f>IF(COUNTIF($E696, _xlfn.CONCAT("*",Table13[[#Headers],[History]],"*")),1,0)</f>
        <v>0</v>
      </c>
      <c r="S696">
        <f>IF(COUNTIF($E696, _xlfn.CONCAT("*",Table13[[#Headers],[Horror]],"*")),1,0)</f>
        <v>0</v>
      </c>
      <c r="T696">
        <f>IF(COUNTIF($E696, _xlfn.CONCAT("*",Table13[[#Headers],[Music]],"*")),1,0)</f>
        <v>0</v>
      </c>
      <c r="U696">
        <f>IF(COUNTIF($E696, _xlfn.CONCAT("*",Table13[[#Headers],[Mystery]],"*")),1,0)</f>
        <v>0</v>
      </c>
      <c r="V696">
        <f>IF(COUNTIF($E696, _xlfn.CONCAT("*",Table13[[#Headers],[Romance]],"*")),1,0)</f>
        <v>0</v>
      </c>
      <c r="W696">
        <f>IF(COUNTIF($E696, _xlfn.CONCAT("*",Table13[[#Headers],[Science Fiction]],"*")),1,0)</f>
        <v>0</v>
      </c>
      <c r="X696">
        <f>IF(COUNTIF($E696, _xlfn.CONCAT("*",Table13[[#Headers],[TV Movie]],"*")),1,0)</f>
        <v>0</v>
      </c>
      <c r="Y696">
        <f>IF(COUNTIF($E696, _xlfn.CONCAT("*",Table13[[#Headers],[Thriller]],"*")),1,0)</f>
        <v>0</v>
      </c>
      <c r="Z696">
        <f>IF(COUNTIF($E696, _xlfn.CONCAT("*",Table13[[#Headers],[War]],"*")),1,0)</f>
        <v>0</v>
      </c>
      <c r="AA696">
        <f>IF(COUNTIF($E696, _xlfn.CONCAT("*",Table13[[#Headers],[Western]],"*")),1,0)</f>
        <v>0</v>
      </c>
    </row>
    <row r="697" spans="1:27">
      <c r="A697" t="s">
        <v>783</v>
      </c>
      <c r="B697">
        <v>12</v>
      </c>
      <c r="C697">
        <f>MAX(Table13[Rank])-Table13[[#This Row],[Rank]]</f>
        <v>252</v>
      </c>
      <c r="D697" t="s">
        <v>780</v>
      </c>
      <c r="E697" t="s">
        <v>166</v>
      </c>
      <c r="F697" s="1">
        <v>37498</v>
      </c>
      <c r="G697">
        <f>YEAR(Table13[[#This Row],[Date]])</f>
        <v>2002</v>
      </c>
      <c r="H697" t="s">
        <v>783</v>
      </c>
      <c r="I697">
        <f>IF(COUNTIF($E697, _xlfn.CONCAT("*",Table13[[#Headers],[Action]],"*")),1,0)</f>
        <v>0</v>
      </c>
      <c r="J697">
        <f>IF(COUNTIF($E697, _xlfn.CONCAT("*",Table13[[#Headers],[Adventure]],"*")),1,0)</f>
        <v>0</v>
      </c>
      <c r="K697">
        <f>IF(COUNTIF($E697, _xlfn.CONCAT("*",Table13[[#Headers],[Animation]],"*")),1,0)</f>
        <v>0</v>
      </c>
      <c r="L697">
        <f>IF(COUNTIF($E697, _xlfn.CONCAT("*",Table13[[#Headers],[Comedy]],"*")),1,0)</f>
        <v>0</v>
      </c>
      <c r="M697">
        <f>IF(COUNTIF($E697, _xlfn.CONCAT("*",Table13[[#Headers],[Crime]],"*")),1,0)</f>
        <v>1</v>
      </c>
      <c r="N697">
        <f>IF(COUNTIF($E697, _xlfn.CONCAT("*",Table13[[#Headers],[Documentary]],"*")),1,0)</f>
        <v>0</v>
      </c>
      <c r="O697">
        <f>IF(COUNTIF($E697, _xlfn.CONCAT("*",Table13[[#Headers],[Drama]],"*")),1,0)</f>
        <v>1</v>
      </c>
      <c r="P697">
        <f>IF(COUNTIF($E697, _xlfn.CONCAT("*",Table13[[#Headers],[Family]],"*")),1,0)</f>
        <v>0</v>
      </c>
      <c r="Q697">
        <f>IF(COUNTIF($E697, _xlfn.CONCAT("*",Table13[[#Headers],[Fantasy]],"*")),1,0)</f>
        <v>0</v>
      </c>
      <c r="R697">
        <f>IF(COUNTIF($E697, _xlfn.CONCAT("*",Table13[[#Headers],[History]],"*")),1,0)</f>
        <v>0</v>
      </c>
      <c r="S697">
        <f>IF(COUNTIF($E697, _xlfn.CONCAT("*",Table13[[#Headers],[Horror]],"*")),1,0)</f>
        <v>0</v>
      </c>
      <c r="T697">
        <f>IF(COUNTIF($E697, _xlfn.CONCAT("*",Table13[[#Headers],[Music]],"*")),1,0)</f>
        <v>0</v>
      </c>
      <c r="U697">
        <f>IF(COUNTIF($E697, _xlfn.CONCAT("*",Table13[[#Headers],[Mystery]],"*")),1,0)</f>
        <v>0</v>
      </c>
      <c r="V697">
        <f>IF(COUNTIF($E697, _xlfn.CONCAT("*",Table13[[#Headers],[Romance]],"*")),1,0)</f>
        <v>0</v>
      </c>
      <c r="W697">
        <f>IF(COUNTIF($E697, _xlfn.CONCAT("*",Table13[[#Headers],[Science Fiction]],"*")),1,0)</f>
        <v>0</v>
      </c>
      <c r="X697">
        <f>IF(COUNTIF($E697, _xlfn.CONCAT("*",Table13[[#Headers],[TV Movie]],"*")),1,0)</f>
        <v>0</v>
      </c>
      <c r="Y697">
        <f>IF(COUNTIF($E697, _xlfn.CONCAT("*",Table13[[#Headers],[Thriller]],"*")),1,0)</f>
        <v>0</v>
      </c>
      <c r="Z697">
        <f>IF(COUNTIF($E697, _xlfn.CONCAT("*",Table13[[#Headers],[War]],"*")),1,0)</f>
        <v>0</v>
      </c>
      <c r="AA697">
        <f>IF(COUNTIF($E697, _xlfn.CONCAT("*",Table13[[#Headers],[Western]],"*")),1,0)</f>
        <v>0</v>
      </c>
    </row>
    <row r="698" spans="1:27">
      <c r="A698" t="s">
        <v>600</v>
      </c>
      <c r="B698">
        <v>13</v>
      </c>
      <c r="C698">
        <f>MAX(Table13[Rank])-Table13[[#This Row],[Rank]]</f>
        <v>251</v>
      </c>
      <c r="D698" t="s">
        <v>780</v>
      </c>
      <c r="E698" t="s">
        <v>186</v>
      </c>
      <c r="F698" s="1">
        <v>34318</v>
      </c>
      <c r="G698">
        <f>YEAR(Table13[[#This Row],[Date]])</f>
        <v>1993</v>
      </c>
      <c r="H698" t="s">
        <v>600</v>
      </c>
      <c r="I698">
        <f>IF(COUNTIF($E698, _xlfn.CONCAT("*",Table13[[#Headers],[Action]],"*")),1,0)</f>
        <v>0</v>
      </c>
      <c r="J698">
        <f>IF(COUNTIF($E698, _xlfn.CONCAT("*",Table13[[#Headers],[Adventure]],"*")),1,0)</f>
        <v>0</v>
      </c>
      <c r="K698">
        <f>IF(COUNTIF($E698, _xlfn.CONCAT("*",Table13[[#Headers],[Animation]],"*")),1,0)</f>
        <v>0</v>
      </c>
      <c r="L698">
        <f>IF(COUNTIF($E698, _xlfn.CONCAT("*",Table13[[#Headers],[Comedy]],"*")),1,0)</f>
        <v>0</v>
      </c>
      <c r="M698">
        <f>IF(COUNTIF($E698, _xlfn.CONCAT("*",Table13[[#Headers],[Crime]],"*")),1,0)</f>
        <v>0</v>
      </c>
      <c r="N698">
        <f>IF(COUNTIF($E698, _xlfn.CONCAT("*",Table13[[#Headers],[Documentary]],"*")),1,0)</f>
        <v>0</v>
      </c>
      <c r="O698">
        <f>IF(COUNTIF($E698, _xlfn.CONCAT("*",Table13[[#Headers],[Drama]],"*")),1,0)</f>
        <v>1</v>
      </c>
      <c r="P698">
        <f>IF(COUNTIF($E698, _xlfn.CONCAT("*",Table13[[#Headers],[Family]],"*")),1,0)</f>
        <v>0</v>
      </c>
      <c r="Q698">
        <f>IF(COUNTIF($E698, _xlfn.CONCAT("*",Table13[[#Headers],[Fantasy]],"*")),1,0)</f>
        <v>0</v>
      </c>
      <c r="R698">
        <f>IF(COUNTIF($E698, _xlfn.CONCAT("*",Table13[[#Headers],[History]],"*")),1,0)</f>
        <v>1</v>
      </c>
      <c r="S698">
        <f>IF(COUNTIF($E698, _xlfn.CONCAT("*",Table13[[#Headers],[Horror]],"*")),1,0)</f>
        <v>0</v>
      </c>
      <c r="T698">
        <f>IF(COUNTIF($E698, _xlfn.CONCAT("*",Table13[[#Headers],[Music]],"*")),1,0)</f>
        <v>0</v>
      </c>
      <c r="U698">
        <f>IF(COUNTIF($E698, _xlfn.CONCAT("*",Table13[[#Headers],[Mystery]],"*")),1,0)</f>
        <v>0</v>
      </c>
      <c r="V698">
        <f>IF(COUNTIF($E698, _xlfn.CONCAT("*",Table13[[#Headers],[Romance]],"*")),1,0)</f>
        <v>0</v>
      </c>
      <c r="W698">
        <f>IF(COUNTIF($E698, _xlfn.CONCAT("*",Table13[[#Headers],[Science Fiction]],"*")),1,0)</f>
        <v>0</v>
      </c>
      <c r="X698">
        <f>IF(COUNTIF($E698, _xlfn.CONCAT("*",Table13[[#Headers],[TV Movie]],"*")),1,0)</f>
        <v>0</v>
      </c>
      <c r="Y698">
        <f>IF(COUNTIF($E698, _xlfn.CONCAT("*",Table13[[#Headers],[Thriller]],"*")),1,0)</f>
        <v>0</v>
      </c>
      <c r="Z698">
        <f>IF(COUNTIF($E698, _xlfn.CONCAT("*",Table13[[#Headers],[War]],"*")),1,0)</f>
        <v>1</v>
      </c>
      <c r="AA698">
        <f>IF(COUNTIF($E698, _xlfn.CONCAT("*",Table13[[#Headers],[Western]],"*")),1,0)</f>
        <v>0</v>
      </c>
    </row>
    <row r="699" spans="1:27">
      <c r="A699" t="s">
        <v>159</v>
      </c>
      <c r="B699">
        <v>14</v>
      </c>
      <c r="C699">
        <f>MAX(Table13[Rank])-Table13[[#This Row],[Rank]]</f>
        <v>250</v>
      </c>
      <c r="D699" t="s">
        <v>780</v>
      </c>
      <c r="E699" t="s">
        <v>21</v>
      </c>
      <c r="F699" s="1">
        <v>19276</v>
      </c>
      <c r="G699">
        <f>YEAR(Table13[[#This Row],[Date]])</f>
        <v>1952</v>
      </c>
      <c r="H699" t="s">
        <v>159</v>
      </c>
      <c r="I699">
        <f>IF(COUNTIF($E699, _xlfn.CONCAT("*",Table13[[#Headers],[Action]],"*")),1,0)</f>
        <v>0</v>
      </c>
      <c r="J699">
        <f>IF(COUNTIF($E699, _xlfn.CONCAT("*",Table13[[#Headers],[Adventure]],"*")),1,0)</f>
        <v>0</v>
      </c>
      <c r="K699">
        <f>IF(COUNTIF($E699, _xlfn.CONCAT("*",Table13[[#Headers],[Animation]],"*")),1,0)</f>
        <v>0</v>
      </c>
      <c r="L699">
        <f>IF(COUNTIF($E699, _xlfn.CONCAT("*",Table13[[#Headers],[Comedy]],"*")),1,0)</f>
        <v>0</v>
      </c>
      <c r="M699">
        <f>IF(COUNTIF($E699, _xlfn.CONCAT("*",Table13[[#Headers],[Crime]],"*")),1,0)</f>
        <v>0</v>
      </c>
      <c r="N699">
        <f>IF(COUNTIF($E699, _xlfn.CONCAT("*",Table13[[#Headers],[Documentary]],"*")),1,0)</f>
        <v>0</v>
      </c>
      <c r="O699">
        <f>IF(COUNTIF($E699, _xlfn.CONCAT("*",Table13[[#Headers],[Drama]],"*")),1,0)</f>
        <v>1</v>
      </c>
      <c r="P699">
        <f>IF(COUNTIF($E699, _xlfn.CONCAT("*",Table13[[#Headers],[Family]],"*")),1,0)</f>
        <v>0</v>
      </c>
      <c r="Q699">
        <f>IF(COUNTIF($E699, _xlfn.CONCAT("*",Table13[[#Headers],[Fantasy]],"*")),1,0)</f>
        <v>0</v>
      </c>
      <c r="R699">
        <f>IF(COUNTIF($E699, _xlfn.CONCAT("*",Table13[[#Headers],[History]],"*")),1,0)</f>
        <v>0</v>
      </c>
      <c r="S699">
        <f>IF(COUNTIF($E699, _xlfn.CONCAT("*",Table13[[#Headers],[Horror]],"*")),1,0)</f>
        <v>0</v>
      </c>
      <c r="T699">
        <f>IF(COUNTIF($E699, _xlfn.CONCAT("*",Table13[[#Headers],[Music]],"*")),1,0)</f>
        <v>0</v>
      </c>
      <c r="U699">
        <f>IF(COUNTIF($E699, _xlfn.CONCAT("*",Table13[[#Headers],[Mystery]],"*")),1,0)</f>
        <v>0</v>
      </c>
      <c r="V699">
        <f>IF(COUNTIF($E699, _xlfn.CONCAT("*",Table13[[#Headers],[Romance]],"*")),1,0)</f>
        <v>0</v>
      </c>
      <c r="W699">
        <f>IF(COUNTIF($E699, _xlfn.CONCAT("*",Table13[[#Headers],[Science Fiction]],"*")),1,0)</f>
        <v>0</v>
      </c>
      <c r="X699">
        <f>IF(COUNTIF($E699, _xlfn.CONCAT("*",Table13[[#Headers],[TV Movie]],"*")),1,0)</f>
        <v>0</v>
      </c>
      <c r="Y699">
        <f>IF(COUNTIF($E699, _xlfn.CONCAT("*",Table13[[#Headers],[Thriller]],"*")),1,0)</f>
        <v>0</v>
      </c>
      <c r="Z699">
        <f>IF(COUNTIF($E699, _xlfn.CONCAT("*",Table13[[#Headers],[War]],"*")),1,0)</f>
        <v>0</v>
      </c>
      <c r="AA699">
        <f>IF(COUNTIF($E699, _xlfn.CONCAT("*",Table13[[#Headers],[Western]],"*")),1,0)</f>
        <v>0</v>
      </c>
    </row>
    <row r="700" spans="1:27">
      <c r="A700" t="s">
        <v>784</v>
      </c>
      <c r="B700">
        <v>15</v>
      </c>
      <c r="C700">
        <f>MAX(Table13[Rank])-Table13[[#This Row],[Rank]]</f>
        <v>249</v>
      </c>
      <c r="D700" t="s">
        <v>780</v>
      </c>
      <c r="E700" t="s">
        <v>21</v>
      </c>
      <c r="F700" s="1">
        <v>34850</v>
      </c>
      <c r="G700">
        <f>YEAR(Table13[[#This Row],[Date]])</f>
        <v>1995</v>
      </c>
      <c r="H700" t="s">
        <v>784</v>
      </c>
      <c r="I700">
        <f>IF(COUNTIF($E700, _xlfn.CONCAT("*",Table13[[#Headers],[Action]],"*")),1,0)</f>
        <v>0</v>
      </c>
      <c r="J700">
        <f>IF(COUNTIF($E700, _xlfn.CONCAT("*",Table13[[#Headers],[Adventure]],"*")),1,0)</f>
        <v>0</v>
      </c>
      <c r="K700">
        <f>IF(COUNTIF($E700, _xlfn.CONCAT("*",Table13[[#Headers],[Animation]],"*")),1,0)</f>
        <v>0</v>
      </c>
      <c r="L700">
        <f>IF(COUNTIF($E700, _xlfn.CONCAT("*",Table13[[#Headers],[Comedy]],"*")),1,0)</f>
        <v>0</v>
      </c>
      <c r="M700">
        <f>IF(COUNTIF($E700, _xlfn.CONCAT("*",Table13[[#Headers],[Crime]],"*")),1,0)</f>
        <v>0</v>
      </c>
      <c r="N700">
        <f>IF(COUNTIF($E700, _xlfn.CONCAT("*",Table13[[#Headers],[Documentary]],"*")),1,0)</f>
        <v>0</v>
      </c>
      <c r="O700">
        <f>IF(COUNTIF($E700, _xlfn.CONCAT("*",Table13[[#Headers],[Drama]],"*")),1,0)</f>
        <v>1</v>
      </c>
      <c r="P700">
        <f>IF(COUNTIF($E700, _xlfn.CONCAT("*",Table13[[#Headers],[Family]],"*")),1,0)</f>
        <v>0</v>
      </c>
      <c r="Q700">
        <f>IF(COUNTIF($E700, _xlfn.CONCAT("*",Table13[[#Headers],[Fantasy]],"*")),1,0)</f>
        <v>0</v>
      </c>
      <c r="R700">
        <f>IF(COUNTIF($E700, _xlfn.CONCAT("*",Table13[[#Headers],[History]],"*")),1,0)</f>
        <v>0</v>
      </c>
      <c r="S700">
        <f>IF(COUNTIF($E700, _xlfn.CONCAT("*",Table13[[#Headers],[Horror]],"*")),1,0)</f>
        <v>0</v>
      </c>
      <c r="T700">
        <f>IF(COUNTIF($E700, _xlfn.CONCAT("*",Table13[[#Headers],[Music]],"*")),1,0)</f>
        <v>0</v>
      </c>
      <c r="U700">
        <f>IF(COUNTIF($E700, _xlfn.CONCAT("*",Table13[[#Headers],[Mystery]],"*")),1,0)</f>
        <v>0</v>
      </c>
      <c r="V700">
        <f>IF(COUNTIF($E700, _xlfn.CONCAT("*",Table13[[#Headers],[Romance]],"*")),1,0)</f>
        <v>0</v>
      </c>
      <c r="W700">
        <f>IF(COUNTIF($E700, _xlfn.CONCAT("*",Table13[[#Headers],[Science Fiction]],"*")),1,0)</f>
        <v>0</v>
      </c>
      <c r="X700">
        <f>IF(COUNTIF($E700, _xlfn.CONCAT("*",Table13[[#Headers],[TV Movie]],"*")),1,0)</f>
        <v>0</v>
      </c>
      <c r="Y700">
        <f>IF(COUNTIF($E700, _xlfn.CONCAT("*",Table13[[#Headers],[Thriller]],"*")),1,0)</f>
        <v>0</v>
      </c>
      <c r="Z700">
        <f>IF(COUNTIF($E700, _xlfn.CONCAT("*",Table13[[#Headers],[War]],"*")),1,0)</f>
        <v>0</v>
      </c>
      <c r="AA700">
        <f>IF(COUNTIF($E700, _xlfn.CONCAT("*",Table13[[#Headers],[Western]],"*")),1,0)</f>
        <v>0</v>
      </c>
    </row>
    <row r="701" spans="1:27">
      <c r="A701" t="s">
        <v>785</v>
      </c>
      <c r="B701">
        <v>16</v>
      </c>
      <c r="C701">
        <f>MAX(Table13[Rank])-Table13[[#This Row],[Rank]]</f>
        <v>248</v>
      </c>
      <c r="D701" t="s">
        <v>780</v>
      </c>
      <c r="E701" t="s">
        <v>786</v>
      </c>
      <c r="F701" s="1">
        <v>45077</v>
      </c>
      <c r="G701">
        <f>YEAR(Table13[[#This Row],[Date]])</f>
        <v>2023</v>
      </c>
      <c r="H701" t="s">
        <v>785</v>
      </c>
      <c r="I701">
        <f>IF(COUNTIF($E701, _xlfn.CONCAT("*",Table13[[#Headers],[Action]],"*")),1,0)</f>
        <v>1</v>
      </c>
      <c r="J701">
        <f>IF(COUNTIF($E701, _xlfn.CONCAT("*",Table13[[#Headers],[Adventure]],"*")),1,0)</f>
        <v>1</v>
      </c>
      <c r="K701">
        <f>IF(COUNTIF($E701, _xlfn.CONCAT("*",Table13[[#Headers],[Animation]],"*")),1,0)</f>
        <v>1</v>
      </c>
      <c r="L701">
        <f>IF(COUNTIF($E701, _xlfn.CONCAT("*",Table13[[#Headers],[Comedy]],"*")),1,0)</f>
        <v>0</v>
      </c>
      <c r="M701">
        <f>IF(COUNTIF($E701, _xlfn.CONCAT("*",Table13[[#Headers],[Crime]],"*")),1,0)</f>
        <v>0</v>
      </c>
      <c r="N701">
        <f>IF(COUNTIF($E701, _xlfn.CONCAT("*",Table13[[#Headers],[Documentary]],"*")),1,0)</f>
        <v>0</v>
      </c>
      <c r="O701">
        <f>IF(COUNTIF($E701, _xlfn.CONCAT("*",Table13[[#Headers],[Drama]],"*")),1,0)</f>
        <v>0</v>
      </c>
      <c r="P701">
        <f>IF(COUNTIF($E701, _xlfn.CONCAT("*",Table13[[#Headers],[Family]],"*")),1,0)</f>
        <v>0</v>
      </c>
      <c r="Q701">
        <f>IF(COUNTIF($E701, _xlfn.CONCAT("*",Table13[[#Headers],[Fantasy]],"*")),1,0)</f>
        <v>0</v>
      </c>
      <c r="R701">
        <f>IF(COUNTIF($E701, _xlfn.CONCAT("*",Table13[[#Headers],[History]],"*")),1,0)</f>
        <v>0</v>
      </c>
      <c r="S701">
        <f>IF(COUNTIF($E701, _xlfn.CONCAT("*",Table13[[#Headers],[Horror]],"*")),1,0)</f>
        <v>0</v>
      </c>
      <c r="T701">
        <f>IF(COUNTIF($E701, _xlfn.CONCAT("*",Table13[[#Headers],[Music]],"*")),1,0)</f>
        <v>0</v>
      </c>
      <c r="U701">
        <f>IF(COUNTIF($E701, _xlfn.CONCAT("*",Table13[[#Headers],[Mystery]],"*")),1,0)</f>
        <v>0</v>
      </c>
      <c r="V701">
        <f>IF(COUNTIF($E701, _xlfn.CONCAT("*",Table13[[#Headers],[Romance]],"*")),1,0)</f>
        <v>0</v>
      </c>
      <c r="W701">
        <f>IF(COUNTIF($E701, _xlfn.CONCAT("*",Table13[[#Headers],[Science Fiction]],"*")),1,0)</f>
        <v>0</v>
      </c>
      <c r="X701">
        <f>IF(COUNTIF($E701, _xlfn.CONCAT("*",Table13[[#Headers],[TV Movie]],"*")),1,0)</f>
        <v>0</v>
      </c>
      <c r="Y701">
        <f>IF(COUNTIF($E701, _xlfn.CONCAT("*",Table13[[#Headers],[Thriller]],"*")),1,0)</f>
        <v>0</v>
      </c>
      <c r="Z701">
        <f>IF(COUNTIF($E701, _xlfn.CONCAT("*",Table13[[#Headers],[War]],"*")),1,0)</f>
        <v>0</v>
      </c>
      <c r="AA701">
        <f>IF(COUNTIF($E701, _xlfn.CONCAT("*",Table13[[#Headers],[Western]],"*")),1,0)</f>
        <v>0</v>
      </c>
    </row>
    <row r="702" spans="1:27">
      <c r="A702" t="s">
        <v>140</v>
      </c>
      <c r="B702">
        <v>17</v>
      </c>
      <c r="C702">
        <f>MAX(Table13[Rank])-Table13[[#This Row],[Rank]]</f>
        <v>247</v>
      </c>
      <c r="D702" t="s">
        <v>780</v>
      </c>
      <c r="E702" t="s">
        <v>141</v>
      </c>
      <c r="F702" s="1">
        <v>24464</v>
      </c>
      <c r="G702">
        <f>YEAR(Table13[[#This Row],[Date]])</f>
        <v>1966</v>
      </c>
      <c r="H702" t="s">
        <v>140</v>
      </c>
      <c r="I702">
        <f>IF(COUNTIF($E702, _xlfn.CONCAT("*",Table13[[#Headers],[Action]],"*")),1,0)</f>
        <v>0</v>
      </c>
      <c r="J702">
        <f>IF(COUNTIF($E702, _xlfn.CONCAT("*",Table13[[#Headers],[Adventure]],"*")),1,0)</f>
        <v>0</v>
      </c>
      <c r="K702">
        <f>IF(COUNTIF($E702, _xlfn.CONCAT("*",Table13[[#Headers],[Animation]],"*")),1,0)</f>
        <v>0</v>
      </c>
      <c r="L702">
        <f>IF(COUNTIF($E702, _xlfn.CONCAT("*",Table13[[#Headers],[Comedy]],"*")),1,0)</f>
        <v>0</v>
      </c>
      <c r="M702">
        <f>IF(COUNTIF($E702, _xlfn.CONCAT("*",Table13[[#Headers],[Crime]],"*")),1,0)</f>
        <v>0</v>
      </c>
      <c r="N702">
        <f>IF(COUNTIF($E702, _xlfn.CONCAT("*",Table13[[#Headers],[Documentary]],"*")),1,0)</f>
        <v>0</v>
      </c>
      <c r="O702">
        <f>IF(COUNTIF($E702, _xlfn.CONCAT("*",Table13[[#Headers],[Drama]],"*")),1,0)</f>
        <v>0</v>
      </c>
      <c r="P702">
        <f>IF(COUNTIF($E702, _xlfn.CONCAT("*",Table13[[#Headers],[Family]],"*")),1,0)</f>
        <v>0</v>
      </c>
      <c r="Q702">
        <f>IF(COUNTIF($E702, _xlfn.CONCAT("*",Table13[[#Headers],[Fantasy]],"*")),1,0)</f>
        <v>0</v>
      </c>
      <c r="R702">
        <f>IF(COUNTIF($E702, _xlfn.CONCAT("*",Table13[[#Headers],[History]],"*")),1,0)</f>
        <v>0</v>
      </c>
      <c r="S702">
        <f>IF(COUNTIF($E702, _xlfn.CONCAT("*",Table13[[#Headers],[Horror]],"*")),1,0)</f>
        <v>0</v>
      </c>
      <c r="T702">
        <f>IF(COUNTIF($E702, _xlfn.CONCAT("*",Table13[[#Headers],[Music]],"*")),1,0)</f>
        <v>0</v>
      </c>
      <c r="U702">
        <f>IF(COUNTIF($E702, _xlfn.CONCAT("*",Table13[[#Headers],[Mystery]],"*")),1,0)</f>
        <v>0</v>
      </c>
      <c r="V702">
        <f>IF(COUNTIF($E702, _xlfn.CONCAT("*",Table13[[#Headers],[Romance]],"*")),1,0)</f>
        <v>0</v>
      </c>
      <c r="W702">
        <f>IF(COUNTIF($E702, _xlfn.CONCAT("*",Table13[[#Headers],[Science Fiction]],"*")),1,0)</f>
        <v>0</v>
      </c>
      <c r="X702">
        <f>IF(COUNTIF($E702, _xlfn.CONCAT("*",Table13[[#Headers],[TV Movie]],"*")),1,0)</f>
        <v>0</v>
      </c>
      <c r="Y702">
        <f>IF(COUNTIF($E702, _xlfn.CONCAT("*",Table13[[#Headers],[Thriller]],"*")),1,0)</f>
        <v>0</v>
      </c>
      <c r="Z702">
        <f>IF(COUNTIF($E702, _xlfn.CONCAT("*",Table13[[#Headers],[War]],"*")),1,0)</f>
        <v>0</v>
      </c>
      <c r="AA702">
        <f>IF(COUNTIF($E702, _xlfn.CONCAT("*",Table13[[#Headers],[Western]],"*")),1,0)</f>
        <v>1</v>
      </c>
    </row>
    <row r="703" spans="1:27">
      <c r="A703" t="s">
        <v>128</v>
      </c>
      <c r="B703">
        <v>18</v>
      </c>
      <c r="C703">
        <f>MAX(Table13[Rank])-Table13[[#This Row],[Rank]]</f>
        <v>246</v>
      </c>
      <c r="D703" t="s">
        <v>780</v>
      </c>
      <c r="E703" t="s">
        <v>129</v>
      </c>
      <c r="F703" s="1">
        <v>43257</v>
      </c>
      <c r="G703">
        <f>YEAR(Table13[[#This Row],[Date]])</f>
        <v>2018</v>
      </c>
      <c r="H703" t="s">
        <v>128</v>
      </c>
      <c r="I703">
        <f>IF(COUNTIF($E703, _xlfn.CONCAT("*",Table13[[#Headers],[Action]],"*")),1,0)</f>
        <v>0</v>
      </c>
      <c r="J703">
        <f>IF(COUNTIF($E703, _xlfn.CONCAT("*",Table13[[#Headers],[Adventure]],"*")),1,0)</f>
        <v>0</v>
      </c>
      <c r="K703">
        <f>IF(COUNTIF($E703, _xlfn.CONCAT("*",Table13[[#Headers],[Animation]],"*")),1,0)</f>
        <v>0</v>
      </c>
      <c r="L703">
        <f>IF(COUNTIF($E703, _xlfn.CONCAT("*",Table13[[#Headers],[Comedy]],"*")),1,0)</f>
        <v>0</v>
      </c>
      <c r="M703">
        <f>IF(COUNTIF($E703, _xlfn.CONCAT("*",Table13[[#Headers],[Crime]],"*")),1,0)</f>
        <v>0</v>
      </c>
      <c r="N703">
        <f>IF(COUNTIF($E703, _xlfn.CONCAT("*",Table13[[#Headers],[Documentary]],"*")),1,0)</f>
        <v>0</v>
      </c>
      <c r="O703">
        <f>IF(COUNTIF($E703, _xlfn.CONCAT("*",Table13[[#Headers],[Drama]],"*")),1,0)</f>
        <v>0</v>
      </c>
      <c r="P703">
        <f>IF(COUNTIF($E703, _xlfn.CONCAT("*",Table13[[#Headers],[Family]],"*")),1,0)</f>
        <v>0</v>
      </c>
      <c r="Q703">
        <f>IF(COUNTIF($E703, _xlfn.CONCAT("*",Table13[[#Headers],[Fantasy]],"*")),1,0)</f>
        <v>0</v>
      </c>
      <c r="R703">
        <f>IF(COUNTIF($E703, _xlfn.CONCAT("*",Table13[[#Headers],[History]],"*")),1,0)</f>
        <v>0</v>
      </c>
      <c r="S703">
        <f>IF(COUNTIF($E703, _xlfn.CONCAT("*",Table13[[#Headers],[Horror]],"*")),1,0)</f>
        <v>0</v>
      </c>
      <c r="T703">
        <f>IF(COUNTIF($E703, _xlfn.CONCAT("*",Table13[[#Headers],[Music]],"*")),1,0)</f>
        <v>0</v>
      </c>
      <c r="U703">
        <f>IF(COUNTIF($E703, _xlfn.CONCAT("*",Table13[[#Headers],[Mystery]],"*")),1,0)</f>
        <v>0</v>
      </c>
      <c r="V703">
        <f>IF(COUNTIF($E703, _xlfn.CONCAT("*",Table13[[#Headers],[Romance]],"*")),1,0)</f>
        <v>0</v>
      </c>
      <c r="W703">
        <f>IF(COUNTIF($E703, _xlfn.CONCAT("*",Table13[[#Headers],[Science Fiction]],"*")),1,0)</f>
        <v>0</v>
      </c>
      <c r="X703">
        <f>IF(COUNTIF($E703, _xlfn.CONCAT("*",Table13[[#Headers],[TV Movie]],"*")),1,0)</f>
        <v>0</v>
      </c>
      <c r="Y703">
        <f>IF(COUNTIF($E703, _xlfn.CONCAT("*",Table13[[#Headers],[Thriller]],"*")),1,0)</f>
        <v>0</v>
      </c>
      <c r="Z703">
        <f>IF(COUNTIF($E703, _xlfn.CONCAT("*",Table13[[#Headers],[War]],"*")),1,0)</f>
        <v>0</v>
      </c>
      <c r="AA703">
        <f>IF(COUNTIF($E703, _xlfn.CONCAT("*",Table13[[#Headers],[Western]],"*")),1,0)</f>
        <v>0</v>
      </c>
    </row>
    <row r="704" spans="1:27">
      <c r="A704" t="s">
        <v>295</v>
      </c>
      <c r="B704">
        <v>19</v>
      </c>
      <c r="C704">
        <f>MAX(Table13[Rank])-Table13[[#This Row],[Rank]]</f>
        <v>245</v>
      </c>
      <c r="D704" t="s">
        <v>780</v>
      </c>
      <c r="E704" t="s">
        <v>296</v>
      </c>
      <c r="F704" s="1">
        <v>33446</v>
      </c>
      <c r="G704">
        <f>YEAR(Table13[[#This Row],[Date]])</f>
        <v>1991</v>
      </c>
      <c r="H704" t="s">
        <v>295</v>
      </c>
      <c r="I704">
        <f>IF(COUNTIF($E704, _xlfn.CONCAT("*",Table13[[#Headers],[Action]],"*")),1,0)</f>
        <v>0</v>
      </c>
      <c r="J704">
        <f>IF(COUNTIF($E704, _xlfn.CONCAT("*",Table13[[#Headers],[Adventure]],"*")),1,0)</f>
        <v>0</v>
      </c>
      <c r="K704">
        <f>IF(COUNTIF($E704, _xlfn.CONCAT("*",Table13[[#Headers],[Animation]],"*")),1,0)</f>
        <v>0</v>
      </c>
      <c r="L704">
        <f>IF(COUNTIF($E704, _xlfn.CONCAT("*",Table13[[#Headers],[Comedy]],"*")),1,0)</f>
        <v>0</v>
      </c>
      <c r="M704">
        <f>IF(COUNTIF($E704, _xlfn.CONCAT("*",Table13[[#Headers],[Crime]],"*")),1,0)</f>
        <v>1</v>
      </c>
      <c r="N704">
        <f>IF(COUNTIF($E704, _xlfn.CONCAT("*",Table13[[#Headers],[Documentary]],"*")),1,0)</f>
        <v>0</v>
      </c>
      <c r="O704">
        <f>IF(COUNTIF($E704, _xlfn.CONCAT("*",Table13[[#Headers],[Drama]],"*")),1,0)</f>
        <v>1</v>
      </c>
      <c r="P704">
        <f>IF(COUNTIF($E704, _xlfn.CONCAT("*",Table13[[#Headers],[Family]],"*")),1,0)</f>
        <v>0</v>
      </c>
      <c r="Q704">
        <f>IF(COUNTIF($E704, _xlfn.CONCAT("*",Table13[[#Headers],[Fantasy]],"*")),1,0)</f>
        <v>0</v>
      </c>
      <c r="R704">
        <f>IF(COUNTIF($E704, _xlfn.CONCAT("*",Table13[[#Headers],[History]],"*")),1,0)</f>
        <v>0</v>
      </c>
      <c r="S704">
        <f>IF(COUNTIF($E704, _xlfn.CONCAT("*",Table13[[#Headers],[Horror]],"*")),1,0)</f>
        <v>0</v>
      </c>
      <c r="T704">
        <f>IF(COUNTIF($E704, _xlfn.CONCAT("*",Table13[[#Headers],[Music]],"*")),1,0)</f>
        <v>0</v>
      </c>
      <c r="U704">
        <f>IF(COUNTIF($E704, _xlfn.CONCAT("*",Table13[[#Headers],[Mystery]],"*")),1,0)</f>
        <v>0</v>
      </c>
      <c r="V704">
        <f>IF(COUNTIF($E704, _xlfn.CONCAT("*",Table13[[#Headers],[Romance]],"*")),1,0)</f>
        <v>1</v>
      </c>
      <c r="W704">
        <f>IF(COUNTIF($E704, _xlfn.CONCAT("*",Table13[[#Headers],[Science Fiction]],"*")),1,0)</f>
        <v>0</v>
      </c>
      <c r="X704">
        <f>IF(COUNTIF($E704, _xlfn.CONCAT("*",Table13[[#Headers],[TV Movie]],"*")),1,0)</f>
        <v>0</v>
      </c>
      <c r="Y704">
        <f>IF(COUNTIF($E704, _xlfn.CONCAT("*",Table13[[#Headers],[Thriller]],"*")),1,0)</f>
        <v>0</v>
      </c>
      <c r="Z704">
        <f>IF(COUNTIF($E704, _xlfn.CONCAT("*",Table13[[#Headers],[War]],"*")),1,0)</f>
        <v>0</v>
      </c>
      <c r="AA704">
        <f>IF(COUNTIF($E704, _xlfn.CONCAT("*",Table13[[#Headers],[Western]],"*")),1,0)</f>
        <v>0</v>
      </c>
    </row>
    <row r="705" spans="1:27">
      <c r="A705" t="s">
        <v>629</v>
      </c>
      <c r="B705">
        <v>20</v>
      </c>
      <c r="C705">
        <f>MAX(Table13[Rank])-Table13[[#This Row],[Rank]]</f>
        <v>244</v>
      </c>
      <c r="D705" t="s">
        <v>780</v>
      </c>
      <c r="E705" t="s">
        <v>618</v>
      </c>
      <c r="F705" s="1">
        <v>37956</v>
      </c>
      <c r="G705">
        <f>YEAR(Table13[[#This Row],[Date]])</f>
        <v>2003</v>
      </c>
      <c r="H705" t="s">
        <v>629</v>
      </c>
      <c r="I705">
        <f>IF(COUNTIF($E705, _xlfn.CONCAT("*",Table13[[#Headers],[Action]],"*")),1,0)</f>
        <v>1</v>
      </c>
      <c r="J705">
        <f>IF(COUNTIF($E705, _xlfn.CONCAT("*",Table13[[#Headers],[Adventure]],"*")),1,0)</f>
        <v>1</v>
      </c>
      <c r="K705">
        <f>IF(COUNTIF($E705, _xlfn.CONCAT("*",Table13[[#Headers],[Animation]],"*")),1,0)</f>
        <v>0</v>
      </c>
      <c r="L705">
        <f>IF(COUNTIF($E705, _xlfn.CONCAT("*",Table13[[#Headers],[Comedy]],"*")),1,0)</f>
        <v>0</v>
      </c>
      <c r="M705">
        <f>IF(COUNTIF($E705, _xlfn.CONCAT("*",Table13[[#Headers],[Crime]],"*")),1,0)</f>
        <v>0</v>
      </c>
      <c r="N705">
        <f>IF(COUNTIF($E705, _xlfn.CONCAT("*",Table13[[#Headers],[Documentary]],"*")),1,0)</f>
        <v>0</v>
      </c>
      <c r="O705">
        <f>IF(COUNTIF($E705, _xlfn.CONCAT("*",Table13[[#Headers],[Drama]],"*")),1,0)</f>
        <v>0</v>
      </c>
      <c r="P705">
        <f>IF(COUNTIF($E705, _xlfn.CONCAT("*",Table13[[#Headers],[Family]],"*")),1,0)</f>
        <v>0</v>
      </c>
      <c r="Q705">
        <f>IF(COUNTIF($E705, _xlfn.CONCAT("*",Table13[[#Headers],[Fantasy]],"*")),1,0)</f>
        <v>1</v>
      </c>
      <c r="R705">
        <f>IF(COUNTIF($E705, _xlfn.CONCAT("*",Table13[[#Headers],[History]],"*")),1,0)</f>
        <v>0</v>
      </c>
      <c r="S705">
        <f>IF(COUNTIF($E705, _xlfn.CONCAT("*",Table13[[#Headers],[Horror]],"*")),1,0)</f>
        <v>0</v>
      </c>
      <c r="T705">
        <f>IF(COUNTIF($E705, _xlfn.CONCAT("*",Table13[[#Headers],[Music]],"*")),1,0)</f>
        <v>0</v>
      </c>
      <c r="U705">
        <f>IF(COUNTIF($E705, _xlfn.CONCAT("*",Table13[[#Headers],[Mystery]],"*")),1,0)</f>
        <v>0</v>
      </c>
      <c r="V705">
        <f>IF(COUNTIF($E705, _xlfn.CONCAT("*",Table13[[#Headers],[Romance]],"*")),1,0)</f>
        <v>0</v>
      </c>
      <c r="W705">
        <f>IF(COUNTIF($E705, _xlfn.CONCAT("*",Table13[[#Headers],[Science Fiction]],"*")),1,0)</f>
        <v>0</v>
      </c>
      <c r="X705">
        <f>IF(COUNTIF($E705, _xlfn.CONCAT("*",Table13[[#Headers],[TV Movie]],"*")),1,0)</f>
        <v>0</v>
      </c>
      <c r="Y705">
        <f>IF(COUNTIF($E705, _xlfn.CONCAT("*",Table13[[#Headers],[Thriller]],"*")),1,0)</f>
        <v>0</v>
      </c>
      <c r="Z705">
        <f>IF(COUNTIF($E705, _xlfn.CONCAT("*",Table13[[#Headers],[War]],"*")),1,0)</f>
        <v>0</v>
      </c>
      <c r="AA705">
        <f>IF(COUNTIF($E705, _xlfn.CONCAT("*",Table13[[#Headers],[Western]],"*")),1,0)</f>
        <v>0</v>
      </c>
    </row>
    <row r="706" spans="1:27">
      <c r="A706" t="s">
        <v>316</v>
      </c>
      <c r="B706">
        <v>21</v>
      </c>
      <c r="C706">
        <f>MAX(Table13[Rank])-Table13[[#This Row],[Rank]]</f>
        <v>243</v>
      </c>
      <c r="D706" t="s">
        <v>780</v>
      </c>
      <c r="E706" t="s">
        <v>166</v>
      </c>
      <c r="F706" s="1">
        <v>33128</v>
      </c>
      <c r="G706">
        <f>YEAR(Table13[[#This Row],[Date]])</f>
        <v>1990</v>
      </c>
      <c r="H706" t="s">
        <v>316</v>
      </c>
      <c r="I706">
        <f>IF(COUNTIF($E706, _xlfn.CONCAT("*",Table13[[#Headers],[Action]],"*")),1,0)</f>
        <v>0</v>
      </c>
      <c r="J706">
        <f>IF(COUNTIF($E706, _xlfn.CONCAT("*",Table13[[#Headers],[Adventure]],"*")),1,0)</f>
        <v>0</v>
      </c>
      <c r="K706">
        <f>IF(COUNTIF($E706, _xlfn.CONCAT("*",Table13[[#Headers],[Animation]],"*")),1,0)</f>
        <v>0</v>
      </c>
      <c r="L706">
        <f>IF(COUNTIF($E706, _xlfn.CONCAT("*",Table13[[#Headers],[Comedy]],"*")),1,0)</f>
        <v>0</v>
      </c>
      <c r="M706">
        <f>IF(COUNTIF($E706, _xlfn.CONCAT("*",Table13[[#Headers],[Crime]],"*")),1,0)</f>
        <v>1</v>
      </c>
      <c r="N706">
        <f>IF(COUNTIF($E706, _xlfn.CONCAT("*",Table13[[#Headers],[Documentary]],"*")),1,0)</f>
        <v>0</v>
      </c>
      <c r="O706">
        <f>IF(COUNTIF($E706, _xlfn.CONCAT("*",Table13[[#Headers],[Drama]],"*")),1,0)</f>
        <v>1</v>
      </c>
      <c r="P706">
        <f>IF(COUNTIF($E706, _xlfn.CONCAT("*",Table13[[#Headers],[Family]],"*")),1,0)</f>
        <v>0</v>
      </c>
      <c r="Q706">
        <f>IF(COUNTIF($E706, _xlfn.CONCAT("*",Table13[[#Headers],[Fantasy]],"*")),1,0)</f>
        <v>0</v>
      </c>
      <c r="R706">
        <f>IF(COUNTIF($E706, _xlfn.CONCAT("*",Table13[[#Headers],[History]],"*")),1,0)</f>
        <v>0</v>
      </c>
      <c r="S706">
        <f>IF(COUNTIF($E706, _xlfn.CONCAT("*",Table13[[#Headers],[Horror]],"*")),1,0)</f>
        <v>0</v>
      </c>
      <c r="T706">
        <f>IF(COUNTIF($E706, _xlfn.CONCAT("*",Table13[[#Headers],[Music]],"*")),1,0)</f>
        <v>0</v>
      </c>
      <c r="U706">
        <f>IF(COUNTIF($E706, _xlfn.CONCAT("*",Table13[[#Headers],[Mystery]],"*")),1,0)</f>
        <v>0</v>
      </c>
      <c r="V706">
        <f>IF(COUNTIF($E706, _xlfn.CONCAT("*",Table13[[#Headers],[Romance]],"*")),1,0)</f>
        <v>0</v>
      </c>
      <c r="W706">
        <f>IF(COUNTIF($E706, _xlfn.CONCAT("*",Table13[[#Headers],[Science Fiction]],"*")),1,0)</f>
        <v>0</v>
      </c>
      <c r="X706">
        <f>IF(COUNTIF($E706, _xlfn.CONCAT("*",Table13[[#Headers],[TV Movie]],"*")),1,0)</f>
        <v>0</v>
      </c>
      <c r="Y706">
        <f>IF(COUNTIF($E706, _xlfn.CONCAT("*",Table13[[#Headers],[Thriller]],"*")),1,0)</f>
        <v>0</v>
      </c>
      <c r="Z706">
        <f>IF(COUNTIF($E706, _xlfn.CONCAT("*",Table13[[#Headers],[War]],"*")),1,0)</f>
        <v>0</v>
      </c>
      <c r="AA706">
        <f>IF(COUNTIF($E706, _xlfn.CONCAT("*",Table13[[#Headers],[Western]],"*")),1,0)</f>
        <v>0</v>
      </c>
    </row>
    <row r="707" spans="1:27">
      <c r="A707" t="s">
        <v>787</v>
      </c>
      <c r="B707">
        <v>22</v>
      </c>
      <c r="C707">
        <f>MAX(Table13[Rank])-Table13[[#This Row],[Rank]]</f>
        <v>242</v>
      </c>
      <c r="D707" t="s">
        <v>780</v>
      </c>
      <c r="E707" t="s">
        <v>118</v>
      </c>
      <c r="F707" s="1">
        <v>21565</v>
      </c>
      <c r="G707">
        <f>YEAR(Table13[[#This Row],[Date]])</f>
        <v>1959</v>
      </c>
      <c r="H707" t="s">
        <v>787</v>
      </c>
      <c r="I707">
        <f>IF(COUNTIF($E707, _xlfn.CONCAT("*",Table13[[#Headers],[Action]],"*")),1,0)</f>
        <v>0</v>
      </c>
      <c r="J707">
        <f>IF(COUNTIF($E707, _xlfn.CONCAT("*",Table13[[#Headers],[Adventure]],"*")),1,0)</f>
        <v>0</v>
      </c>
      <c r="K707">
        <f>IF(COUNTIF($E707, _xlfn.CONCAT("*",Table13[[#Headers],[Animation]],"*")),1,0)</f>
        <v>0</v>
      </c>
      <c r="L707">
        <f>IF(COUNTIF($E707, _xlfn.CONCAT("*",Table13[[#Headers],[Comedy]],"*")),1,0)</f>
        <v>0</v>
      </c>
      <c r="M707">
        <f>IF(COUNTIF($E707, _xlfn.CONCAT("*",Table13[[#Headers],[Crime]],"*")),1,0)</f>
        <v>0</v>
      </c>
      <c r="N707">
        <f>IF(COUNTIF($E707, _xlfn.CONCAT("*",Table13[[#Headers],[Documentary]],"*")),1,0)</f>
        <v>0</v>
      </c>
      <c r="O707">
        <f>IF(COUNTIF($E707, _xlfn.CONCAT("*",Table13[[#Headers],[Drama]],"*")),1,0)</f>
        <v>1</v>
      </c>
      <c r="P707">
        <f>IF(COUNTIF($E707, _xlfn.CONCAT("*",Table13[[#Headers],[Family]],"*")),1,0)</f>
        <v>0</v>
      </c>
      <c r="Q707">
        <f>IF(COUNTIF($E707, _xlfn.CONCAT("*",Table13[[#Headers],[Fantasy]],"*")),1,0)</f>
        <v>0</v>
      </c>
      <c r="R707">
        <f>IF(COUNTIF($E707, _xlfn.CONCAT("*",Table13[[#Headers],[History]],"*")),1,0)</f>
        <v>1</v>
      </c>
      <c r="S707">
        <f>IF(COUNTIF($E707, _xlfn.CONCAT("*",Table13[[#Headers],[Horror]],"*")),1,0)</f>
        <v>0</v>
      </c>
      <c r="T707">
        <f>IF(COUNTIF($E707, _xlfn.CONCAT("*",Table13[[#Headers],[Music]],"*")),1,0)</f>
        <v>0</v>
      </c>
      <c r="U707">
        <f>IF(COUNTIF($E707, _xlfn.CONCAT("*",Table13[[#Headers],[Mystery]],"*")),1,0)</f>
        <v>0</v>
      </c>
      <c r="V707">
        <f>IF(COUNTIF($E707, _xlfn.CONCAT("*",Table13[[#Headers],[Romance]],"*")),1,0)</f>
        <v>0</v>
      </c>
      <c r="W707">
        <f>IF(COUNTIF($E707, _xlfn.CONCAT("*",Table13[[#Headers],[Science Fiction]],"*")),1,0)</f>
        <v>0</v>
      </c>
      <c r="X707">
        <f>IF(COUNTIF($E707, _xlfn.CONCAT("*",Table13[[#Headers],[TV Movie]],"*")),1,0)</f>
        <v>0</v>
      </c>
      <c r="Y707">
        <f>IF(COUNTIF($E707, _xlfn.CONCAT("*",Table13[[#Headers],[Thriller]],"*")),1,0)</f>
        <v>0</v>
      </c>
      <c r="Z707">
        <f>IF(COUNTIF($E707, _xlfn.CONCAT("*",Table13[[#Headers],[War]],"*")),1,0)</f>
        <v>1</v>
      </c>
      <c r="AA707">
        <f>IF(COUNTIF($E707, _xlfn.CONCAT("*",Table13[[#Headers],[Western]],"*")),1,0)</f>
        <v>0</v>
      </c>
    </row>
    <row r="708" spans="1:27">
      <c r="A708" t="s">
        <v>788</v>
      </c>
      <c r="B708">
        <v>23</v>
      </c>
      <c r="C708">
        <f>MAX(Table13[Rank])-Table13[[#This Row],[Rank]]</f>
        <v>241</v>
      </c>
      <c r="D708" t="s">
        <v>780</v>
      </c>
      <c r="E708" t="s">
        <v>789</v>
      </c>
      <c r="F708" s="1">
        <v>35630</v>
      </c>
      <c r="G708">
        <f>YEAR(Table13[[#This Row],[Date]])</f>
        <v>1997</v>
      </c>
      <c r="H708" t="s">
        <v>788</v>
      </c>
      <c r="I708">
        <f>IF(COUNTIF($E708, _xlfn.CONCAT("*",Table13[[#Headers],[Action]],"*")),1,0)</f>
        <v>1</v>
      </c>
      <c r="J708">
        <f>IF(COUNTIF($E708, _xlfn.CONCAT("*",Table13[[#Headers],[Adventure]],"*")),1,0)</f>
        <v>0</v>
      </c>
      <c r="K708">
        <f>IF(COUNTIF($E708, _xlfn.CONCAT("*",Table13[[#Headers],[Animation]],"*")),1,0)</f>
        <v>1</v>
      </c>
      <c r="L708">
        <f>IF(COUNTIF($E708, _xlfn.CONCAT("*",Table13[[#Headers],[Comedy]],"*")),1,0)</f>
        <v>0</v>
      </c>
      <c r="M708">
        <f>IF(COUNTIF($E708, _xlfn.CONCAT("*",Table13[[#Headers],[Crime]],"*")),1,0)</f>
        <v>0</v>
      </c>
      <c r="N708">
        <f>IF(COUNTIF($E708, _xlfn.CONCAT("*",Table13[[#Headers],[Documentary]],"*")),1,0)</f>
        <v>0</v>
      </c>
      <c r="O708">
        <f>IF(COUNTIF($E708, _xlfn.CONCAT("*",Table13[[#Headers],[Drama]],"*")),1,0)</f>
        <v>1</v>
      </c>
      <c r="P708">
        <f>IF(COUNTIF($E708, _xlfn.CONCAT("*",Table13[[#Headers],[Family]],"*")),1,0)</f>
        <v>0</v>
      </c>
      <c r="Q708">
        <f>IF(COUNTIF($E708, _xlfn.CONCAT("*",Table13[[#Headers],[Fantasy]],"*")),1,0)</f>
        <v>0</v>
      </c>
      <c r="R708">
        <f>IF(COUNTIF($E708, _xlfn.CONCAT("*",Table13[[#Headers],[History]],"*")),1,0)</f>
        <v>0</v>
      </c>
      <c r="S708">
        <f>IF(COUNTIF($E708, _xlfn.CONCAT("*",Table13[[#Headers],[Horror]],"*")),1,0)</f>
        <v>0</v>
      </c>
      <c r="T708">
        <f>IF(COUNTIF($E708, _xlfn.CONCAT("*",Table13[[#Headers],[Music]],"*")),1,0)</f>
        <v>0</v>
      </c>
      <c r="U708">
        <f>IF(COUNTIF($E708, _xlfn.CONCAT("*",Table13[[#Headers],[Mystery]],"*")),1,0)</f>
        <v>0</v>
      </c>
      <c r="V708">
        <f>IF(COUNTIF($E708, _xlfn.CONCAT("*",Table13[[#Headers],[Romance]],"*")),1,0)</f>
        <v>0</v>
      </c>
      <c r="W708">
        <f>IF(COUNTIF($E708, _xlfn.CONCAT("*",Table13[[#Headers],[Science Fiction]],"*")),1,0)</f>
        <v>1</v>
      </c>
      <c r="X708">
        <f>IF(COUNTIF($E708, _xlfn.CONCAT("*",Table13[[#Headers],[TV Movie]],"*")),1,0)</f>
        <v>0</v>
      </c>
      <c r="Y708">
        <f>IF(COUNTIF($E708, _xlfn.CONCAT("*",Table13[[#Headers],[Thriller]],"*")),1,0)</f>
        <v>0</v>
      </c>
      <c r="Z708">
        <f>IF(COUNTIF($E708, _xlfn.CONCAT("*",Table13[[#Headers],[War]],"*")),1,0)</f>
        <v>0</v>
      </c>
      <c r="AA708">
        <f>IF(COUNTIF($E708, _xlfn.CONCAT("*",Table13[[#Headers],[Western]],"*")),1,0)</f>
        <v>0</v>
      </c>
    </row>
    <row r="709" spans="1:27">
      <c r="A709" t="s">
        <v>440</v>
      </c>
      <c r="B709">
        <v>24</v>
      </c>
      <c r="C709">
        <f>MAX(Table13[Rank])-Table13[[#This Row],[Rank]]</f>
        <v>240</v>
      </c>
      <c r="D709" t="s">
        <v>780</v>
      </c>
      <c r="E709" t="s">
        <v>441</v>
      </c>
      <c r="F709" s="1">
        <v>39645</v>
      </c>
      <c r="G709">
        <f>YEAR(Table13[[#This Row],[Date]])</f>
        <v>2008</v>
      </c>
      <c r="H709" t="s">
        <v>440</v>
      </c>
      <c r="I709">
        <f>IF(COUNTIF($E709, _xlfn.CONCAT("*",Table13[[#Headers],[Action]],"*")),1,0)</f>
        <v>1</v>
      </c>
      <c r="J709">
        <f>IF(COUNTIF($E709, _xlfn.CONCAT("*",Table13[[#Headers],[Adventure]],"*")),1,0)</f>
        <v>0</v>
      </c>
      <c r="K709">
        <f>IF(COUNTIF($E709, _xlfn.CONCAT("*",Table13[[#Headers],[Animation]],"*")),1,0)</f>
        <v>0</v>
      </c>
      <c r="L709">
        <f>IF(COUNTIF($E709, _xlfn.CONCAT("*",Table13[[#Headers],[Comedy]],"*")),1,0)</f>
        <v>0</v>
      </c>
      <c r="M709">
        <f>IF(COUNTIF($E709, _xlfn.CONCAT("*",Table13[[#Headers],[Crime]],"*")),1,0)</f>
        <v>1</v>
      </c>
      <c r="N709">
        <f>IF(COUNTIF($E709, _xlfn.CONCAT("*",Table13[[#Headers],[Documentary]],"*")),1,0)</f>
        <v>0</v>
      </c>
      <c r="O709">
        <f>IF(COUNTIF($E709, _xlfn.CONCAT("*",Table13[[#Headers],[Drama]],"*")),1,0)</f>
        <v>1</v>
      </c>
      <c r="P709">
        <f>IF(COUNTIF($E709, _xlfn.CONCAT("*",Table13[[#Headers],[Family]],"*")),1,0)</f>
        <v>0</v>
      </c>
      <c r="Q709">
        <f>IF(COUNTIF($E709, _xlfn.CONCAT("*",Table13[[#Headers],[Fantasy]],"*")),1,0)</f>
        <v>0</v>
      </c>
      <c r="R709">
        <f>IF(COUNTIF($E709, _xlfn.CONCAT("*",Table13[[#Headers],[History]],"*")),1,0)</f>
        <v>0</v>
      </c>
      <c r="S709">
        <f>IF(COUNTIF($E709, _xlfn.CONCAT("*",Table13[[#Headers],[Horror]],"*")),1,0)</f>
        <v>0</v>
      </c>
      <c r="T709">
        <f>IF(COUNTIF($E709, _xlfn.CONCAT("*",Table13[[#Headers],[Music]],"*")),1,0)</f>
        <v>0</v>
      </c>
      <c r="U709">
        <f>IF(COUNTIF($E709, _xlfn.CONCAT("*",Table13[[#Headers],[Mystery]],"*")),1,0)</f>
        <v>0</v>
      </c>
      <c r="V709">
        <f>IF(COUNTIF($E709, _xlfn.CONCAT("*",Table13[[#Headers],[Romance]],"*")),1,0)</f>
        <v>0</v>
      </c>
      <c r="W709">
        <f>IF(COUNTIF($E709, _xlfn.CONCAT("*",Table13[[#Headers],[Science Fiction]],"*")),1,0)</f>
        <v>0</v>
      </c>
      <c r="X709">
        <f>IF(COUNTIF($E709, _xlfn.CONCAT("*",Table13[[#Headers],[TV Movie]],"*")),1,0)</f>
        <v>0</v>
      </c>
      <c r="Y709">
        <f>IF(COUNTIF($E709, _xlfn.CONCAT("*",Table13[[#Headers],[Thriller]],"*")),1,0)</f>
        <v>1</v>
      </c>
      <c r="Z709">
        <f>IF(COUNTIF($E709, _xlfn.CONCAT("*",Table13[[#Headers],[War]],"*")),1,0)</f>
        <v>0</v>
      </c>
      <c r="AA709">
        <f>IF(COUNTIF($E709, _xlfn.CONCAT("*",Table13[[#Headers],[Western]],"*")),1,0)</f>
        <v>0</v>
      </c>
    </row>
    <row r="710" spans="1:27">
      <c r="A710" t="s">
        <v>298</v>
      </c>
      <c r="B710">
        <v>25</v>
      </c>
      <c r="C710">
        <f>MAX(Table13[Rank])-Table13[[#This Row],[Rank]]</f>
        <v>239</v>
      </c>
      <c r="D710" t="s">
        <v>780</v>
      </c>
      <c r="E710" t="s">
        <v>299</v>
      </c>
      <c r="F710" s="1">
        <v>37092</v>
      </c>
      <c r="G710">
        <f>YEAR(Table13[[#This Row],[Date]])</f>
        <v>2001</v>
      </c>
      <c r="H710" t="s">
        <v>298</v>
      </c>
      <c r="I710">
        <f>IF(COUNTIF($E710, _xlfn.CONCAT("*",Table13[[#Headers],[Action]],"*")),1,0)</f>
        <v>0</v>
      </c>
      <c r="J710">
        <f>IF(COUNTIF($E710, _xlfn.CONCAT("*",Table13[[#Headers],[Adventure]],"*")),1,0)</f>
        <v>0</v>
      </c>
      <c r="K710">
        <f>IF(COUNTIF($E710, _xlfn.CONCAT("*",Table13[[#Headers],[Animation]],"*")),1,0)</f>
        <v>1</v>
      </c>
      <c r="L710">
        <f>IF(COUNTIF($E710, _xlfn.CONCAT("*",Table13[[#Headers],[Comedy]],"*")),1,0)</f>
        <v>0</v>
      </c>
      <c r="M710">
        <f>IF(COUNTIF($E710, _xlfn.CONCAT("*",Table13[[#Headers],[Crime]],"*")),1,0)</f>
        <v>0</v>
      </c>
      <c r="N710">
        <f>IF(COUNTIF($E710, _xlfn.CONCAT("*",Table13[[#Headers],[Documentary]],"*")),1,0)</f>
        <v>0</v>
      </c>
      <c r="O710">
        <f>IF(COUNTIF($E710, _xlfn.CONCAT("*",Table13[[#Headers],[Drama]],"*")),1,0)</f>
        <v>0</v>
      </c>
      <c r="P710">
        <f>IF(COUNTIF($E710, _xlfn.CONCAT("*",Table13[[#Headers],[Family]],"*")),1,0)</f>
        <v>1</v>
      </c>
      <c r="Q710">
        <f>IF(COUNTIF($E710, _xlfn.CONCAT("*",Table13[[#Headers],[Fantasy]],"*")),1,0)</f>
        <v>1</v>
      </c>
      <c r="R710">
        <f>IF(COUNTIF($E710, _xlfn.CONCAT("*",Table13[[#Headers],[History]],"*")),1,0)</f>
        <v>0</v>
      </c>
      <c r="S710">
        <f>IF(COUNTIF($E710, _xlfn.CONCAT("*",Table13[[#Headers],[Horror]],"*")),1,0)</f>
        <v>0</v>
      </c>
      <c r="T710">
        <f>IF(COUNTIF($E710, _xlfn.CONCAT("*",Table13[[#Headers],[Music]],"*")),1,0)</f>
        <v>0</v>
      </c>
      <c r="U710">
        <f>IF(COUNTIF($E710, _xlfn.CONCAT("*",Table13[[#Headers],[Mystery]],"*")),1,0)</f>
        <v>0</v>
      </c>
      <c r="V710">
        <f>IF(COUNTIF($E710, _xlfn.CONCAT("*",Table13[[#Headers],[Romance]],"*")),1,0)</f>
        <v>0</v>
      </c>
      <c r="W710">
        <f>IF(COUNTIF($E710, _xlfn.CONCAT("*",Table13[[#Headers],[Science Fiction]],"*")),1,0)</f>
        <v>0</v>
      </c>
      <c r="X710">
        <f>IF(COUNTIF($E710, _xlfn.CONCAT("*",Table13[[#Headers],[TV Movie]],"*")),1,0)</f>
        <v>0</v>
      </c>
      <c r="Y710">
        <f>IF(COUNTIF($E710, _xlfn.CONCAT("*",Table13[[#Headers],[Thriller]],"*")),1,0)</f>
        <v>0</v>
      </c>
      <c r="Z710">
        <f>IF(COUNTIF($E710, _xlfn.CONCAT("*",Table13[[#Headers],[War]],"*")),1,0)</f>
        <v>0</v>
      </c>
      <c r="AA710">
        <f>IF(COUNTIF($E710, _xlfn.CONCAT("*",Table13[[#Headers],[Western]],"*")),1,0)</f>
        <v>0</v>
      </c>
    </row>
    <row r="711" spans="1:27">
      <c r="A711" t="s">
        <v>234</v>
      </c>
      <c r="B711">
        <v>26</v>
      </c>
      <c r="C711">
        <f>MAX(Table13[Rank])-Table13[[#This Row],[Rank]]</f>
        <v>238</v>
      </c>
      <c r="D711" t="s">
        <v>780</v>
      </c>
      <c r="E711" t="s">
        <v>21</v>
      </c>
      <c r="F711" s="1">
        <v>39442</v>
      </c>
      <c r="G711">
        <f>YEAR(Table13[[#This Row],[Date]])</f>
        <v>2007</v>
      </c>
      <c r="H711" t="s">
        <v>234</v>
      </c>
      <c r="I711">
        <f>IF(COUNTIF($E711, _xlfn.CONCAT("*",Table13[[#Headers],[Action]],"*")),1,0)</f>
        <v>0</v>
      </c>
      <c r="J711">
        <f>IF(COUNTIF($E711, _xlfn.CONCAT("*",Table13[[#Headers],[Adventure]],"*")),1,0)</f>
        <v>0</v>
      </c>
      <c r="K711">
        <f>IF(COUNTIF($E711, _xlfn.CONCAT("*",Table13[[#Headers],[Animation]],"*")),1,0)</f>
        <v>0</v>
      </c>
      <c r="L711">
        <f>IF(COUNTIF($E711, _xlfn.CONCAT("*",Table13[[#Headers],[Comedy]],"*")),1,0)</f>
        <v>0</v>
      </c>
      <c r="M711">
        <f>IF(COUNTIF($E711, _xlfn.CONCAT("*",Table13[[#Headers],[Crime]],"*")),1,0)</f>
        <v>0</v>
      </c>
      <c r="N711">
        <f>IF(COUNTIF($E711, _xlfn.CONCAT("*",Table13[[#Headers],[Documentary]],"*")),1,0)</f>
        <v>0</v>
      </c>
      <c r="O711">
        <f>IF(COUNTIF($E711, _xlfn.CONCAT("*",Table13[[#Headers],[Drama]],"*")),1,0)</f>
        <v>1</v>
      </c>
      <c r="P711">
        <f>IF(COUNTIF($E711, _xlfn.CONCAT("*",Table13[[#Headers],[Family]],"*")),1,0)</f>
        <v>0</v>
      </c>
      <c r="Q711">
        <f>IF(COUNTIF($E711, _xlfn.CONCAT("*",Table13[[#Headers],[Fantasy]],"*")),1,0)</f>
        <v>0</v>
      </c>
      <c r="R711">
        <f>IF(COUNTIF($E711, _xlfn.CONCAT("*",Table13[[#Headers],[History]],"*")),1,0)</f>
        <v>0</v>
      </c>
      <c r="S711">
        <f>IF(COUNTIF($E711, _xlfn.CONCAT("*",Table13[[#Headers],[Horror]],"*")),1,0)</f>
        <v>0</v>
      </c>
      <c r="T711">
        <f>IF(COUNTIF($E711, _xlfn.CONCAT("*",Table13[[#Headers],[Music]],"*")),1,0)</f>
        <v>0</v>
      </c>
      <c r="U711">
        <f>IF(COUNTIF($E711, _xlfn.CONCAT("*",Table13[[#Headers],[Mystery]],"*")),1,0)</f>
        <v>0</v>
      </c>
      <c r="V711">
        <f>IF(COUNTIF($E711, _xlfn.CONCAT("*",Table13[[#Headers],[Romance]],"*")),1,0)</f>
        <v>0</v>
      </c>
      <c r="W711">
        <f>IF(COUNTIF($E711, _xlfn.CONCAT("*",Table13[[#Headers],[Science Fiction]],"*")),1,0)</f>
        <v>0</v>
      </c>
      <c r="X711">
        <f>IF(COUNTIF($E711, _xlfn.CONCAT("*",Table13[[#Headers],[TV Movie]],"*")),1,0)</f>
        <v>0</v>
      </c>
      <c r="Y711">
        <f>IF(COUNTIF($E711, _xlfn.CONCAT("*",Table13[[#Headers],[Thriller]],"*")),1,0)</f>
        <v>0</v>
      </c>
      <c r="Z711">
        <f>IF(COUNTIF($E711, _xlfn.CONCAT("*",Table13[[#Headers],[War]],"*")),1,0)</f>
        <v>0</v>
      </c>
      <c r="AA711">
        <f>IF(COUNTIF($E711, _xlfn.CONCAT("*",Table13[[#Headers],[Western]],"*")),1,0)</f>
        <v>0</v>
      </c>
    </row>
    <row r="712" spans="1:27">
      <c r="A712" t="s">
        <v>790</v>
      </c>
      <c r="B712">
        <v>27</v>
      </c>
      <c r="C712">
        <f>MAX(Table13[Rank])-Table13[[#This Row],[Rank]]</f>
        <v>237</v>
      </c>
      <c r="D712" t="s">
        <v>780</v>
      </c>
      <c r="E712" t="s">
        <v>81</v>
      </c>
      <c r="F712" s="1">
        <v>21118</v>
      </c>
      <c r="G712">
        <f>YEAR(Table13[[#This Row],[Date]])</f>
        <v>1957</v>
      </c>
      <c r="H712" t="s">
        <v>790</v>
      </c>
      <c r="I712">
        <f>IF(COUNTIF($E712, _xlfn.CONCAT("*",Table13[[#Headers],[Action]],"*")),1,0)</f>
        <v>0</v>
      </c>
      <c r="J712">
        <f>IF(COUNTIF($E712, _xlfn.CONCAT("*",Table13[[#Headers],[Adventure]],"*")),1,0)</f>
        <v>0</v>
      </c>
      <c r="K712">
        <f>IF(COUNTIF($E712, _xlfn.CONCAT("*",Table13[[#Headers],[Animation]],"*")),1,0)</f>
        <v>0</v>
      </c>
      <c r="L712">
        <f>IF(COUNTIF($E712, _xlfn.CONCAT("*",Table13[[#Headers],[Comedy]],"*")),1,0)</f>
        <v>0</v>
      </c>
      <c r="M712">
        <f>IF(COUNTIF($E712, _xlfn.CONCAT("*",Table13[[#Headers],[Crime]],"*")),1,0)</f>
        <v>0</v>
      </c>
      <c r="N712">
        <f>IF(COUNTIF($E712, _xlfn.CONCAT("*",Table13[[#Headers],[Documentary]],"*")),1,0)</f>
        <v>0</v>
      </c>
      <c r="O712">
        <f>IF(COUNTIF($E712, _xlfn.CONCAT("*",Table13[[#Headers],[Drama]],"*")),1,0)</f>
        <v>1</v>
      </c>
      <c r="P712">
        <f>IF(COUNTIF($E712, _xlfn.CONCAT("*",Table13[[#Headers],[Family]],"*")),1,0)</f>
        <v>0</v>
      </c>
      <c r="Q712">
        <f>IF(COUNTIF($E712, _xlfn.CONCAT("*",Table13[[#Headers],[Fantasy]],"*")),1,0)</f>
        <v>0</v>
      </c>
      <c r="R712">
        <f>IF(COUNTIF($E712, _xlfn.CONCAT("*",Table13[[#Headers],[History]],"*")),1,0)</f>
        <v>0</v>
      </c>
      <c r="S712">
        <f>IF(COUNTIF($E712, _xlfn.CONCAT("*",Table13[[#Headers],[Horror]],"*")),1,0)</f>
        <v>0</v>
      </c>
      <c r="T712">
        <f>IF(COUNTIF($E712, _xlfn.CONCAT("*",Table13[[#Headers],[Music]],"*")),1,0)</f>
        <v>0</v>
      </c>
      <c r="U712">
        <f>IF(COUNTIF($E712, _xlfn.CONCAT("*",Table13[[#Headers],[Mystery]],"*")),1,0)</f>
        <v>0</v>
      </c>
      <c r="V712">
        <f>IF(COUNTIF($E712, _xlfn.CONCAT("*",Table13[[#Headers],[Romance]],"*")),1,0)</f>
        <v>0</v>
      </c>
      <c r="W712">
        <f>IF(COUNTIF($E712, _xlfn.CONCAT("*",Table13[[#Headers],[Science Fiction]],"*")),1,0)</f>
        <v>0</v>
      </c>
      <c r="X712">
        <f>IF(COUNTIF($E712, _xlfn.CONCAT("*",Table13[[#Headers],[TV Movie]],"*")),1,0)</f>
        <v>0</v>
      </c>
      <c r="Y712">
        <f>IF(COUNTIF($E712, _xlfn.CONCAT("*",Table13[[#Headers],[Thriller]],"*")),1,0)</f>
        <v>0</v>
      </c>
      <c r="Z712">
        <f>IF(COUNTIF($E712, _xlfn.CONCAT("*",Table13[[#Headers],[War]],"*")),1,0)</f>
        <v>1</v>
      </c>
      <c r="AA712">
        <f>IF(COUNTIF($E712, _xlfn.CONCAT("*",Table13[[#Headers],[Western]],"*")),1,0)</f>
        <v>0</v>
      </c>
    </row>
    <row r="713" spans="1:27">
      <c r="A713" t="s">
        <v>68</v>
      </c>
      <c r="B713">
        <v>28</v>
      </c>
      <c r="C713">
        <f>MAX(Table13[Rank])-Table13[[#This Row],[Rank]]</f>
        <v>236</v>
      </c>
      <c r="D713" t="s">
        <v>780</v>
      </c>
      <c r="E713" t="s">
        <v>21</v>
      </c>
      <c r="F713" s="1">
        <v>38657</v>
      </c>
      <c r="G713">
        <f>YEAR(Table13[[#This Row],[Date]])</f>
        <v>2005</v>
      </c>
      <c r="H713" t="s">
        <v>68</v>
      </c>
      <c r="I713">
        <f>IF(COUNTIF($E713, _xlfn.CONCAT("*",Table13[[#Headers],[Action]],"*")),1,0)</f>
        <v>0</v>
      </c>
      <c r="J713">
        <f>IF(COUNTIF($E713, _xlfn.CONCAT("*",Table13[[#Headers],[Adventure]],"*")),1,0)</f>
        <v>0</v>
      </c>
      <c r="K713">
        <f>IF(COUNTIF($E713, _xlfn.CONCAT("*",Table13[[#Headers],[Animation]],"*")),1,0)</f>
        <v>0</v>
      </c>
      <c r="L713">
        <f>IF(COUNTIF($E713, _xlfn.CONCAT("*",Table13[[#Headers],[Comedy]],"*")),1,0)</f>
        <v>0</v>
      </c>
      <c r="M713">
        <f>IF(COUNTIF($E713, _xlfn.CONCAT("*",Table13[[#Headers],[Crime]],"*")),1,0)</f>
        <v>0</v>
      </c>
      <c r="N713">
        <f>IF(COUNTIF($E713, _xlfn.CONCAT("*",Table13[[#Headers],[Documentary]],"*")),1,0)</f>
        <v>0</v>
      </c>
      <c r="O713">
        <f>IF(COUNTIF($E713, _xlfn.CONCAT("*",Table13[[#Headers],[Drama]],"*")),1,0)</f>
        <v>1</v>
      </c>
      <c r="P713">
        <f>IF(COUNTIF($E713, _xlfn.CONCAT("*",Table13[[#Headers],[Family]],"*")),1,0)</f>
        <v>0</v>
      </c>
      <c r="Q713">
        <f>IF(COUNTIF($E713, _xlfn.CONCAT("*",Table13[[#Headers],[Fantasy]],"*")),1,0)</f>
        <v>0</v>
      </c>
      <c r="R713">
        <f>IF(COUNTIF($E713, _xlfn.CONCAT("*",Table13[[#Headers],[History]],"*")),1,0)</f>
        <v>0</v>
      </c>
      <c r="S713">
        <f>IF(COUNTIF($E713, _xlfn.CONCAT("*",Table13[[#Headers],[Horror]],"*")),1,0)</f>
        <v>0</v>
      </c>
      <c r="T713">
        <f>IF(COUNTIF($E713, _xlfn.CONCAT("*",Table13[[#Headers],[Music]],"*")),1,0)</f>
        <v>0</v>
      </c>
      <c r="U713">
        <f>IF(COUNTIF($E713, _xlfn.CONCAT("*",Table13[[#Headers],[Mystery]],"*")),1,0)</f>
        <v>0</v>
      </c>
      <c r="V713">
        <f>IF(COUNTIF($E713, _xlfn.CONCAT("*",Table13[[#Headers],[Romance]],"*")),1,0)</f>
        <v>0</v>
      </c>
      <c r="W713">
        <f>IF(COUNTIF($E713, _xlfn.CONCAT("*",Table13[[#Headers],[Science Fiction]],"*")),1,0)</f>
        <v>0</v>
      </c>
      <c r="X713">
        <f>IF(COUNTIF($E713, _xlfn.CONCAT("*",Table13[[#Headers],[TV Movie]],"*")),1,0)</f>
        <v>0</v>
      </c>
      <c r="Y713">
        <f>IF(COUNTIF($E713, _xlfn.CONCAT("*",Table13[[#Headers],[Thriller]],"*")),1,0)</f>
        <v>0</v>
      </c>
      <c r="Z713">
        <f>IF(COUNTIF($E713, _xlfn.CONCAT("*",Table13[[#Headers],[War]],"*")),1,0)</f>
        <v>0</v>
      </c>
      <c r="AA713">
        <f>IF(COUNTIF($E713, _xlfn.CONCAT("*",Table13[[#Headers],[Western]],"*")),1,0)</f>
        <v>0</v>
      </c>
    </row>
    <row r="714" spans="1:27">
      <c r="A714" t="s">
        <v>376</v>
      </c>
      <c r="B714">
        <v>29</v>
      </c>
      <c r="C714">
        <f>MAX(Table13[Rank])-Table13[[#This Row],[Rank]]</f>
        <v>235</v>
      </c>
      <c r="D714" t="s">
        <v>780</v>
      </c>
      <c r="E714" t="s">
        <v>81</v>
      </c>
      <c r="F714" s="1">
        <v>29082</v>
      </c>
      <c r="G714">
        <f>YEAR(Table13[[#This Row],[Date]])</f>
        <v>1979</v>
      </c>
      <c r="H714" t="s">
        <v>376</v>
      </c>
      <c r="I714">
        <f>IF(COUNTIF($E714, _xlfn.CONCAT("*",Table13[[#Headers],[Action]],"*")),1,0)</f>
        <v>0</v>
      </c>
      <c r="J714">
        <f>IF(COUNTIF($E714, _xlfn.CONCAT("*",Table13[[#Headers],[Adventure]],"*")),1,0)</f>
        <v>0</v>
      </c>
      <c r="K714">
        <f>IF(COUNTIF($E714, _xlfn.CONCAT("*",Table13[[#Headers],[Animation]],"*")),1,0)</f>
        <v>0</v>
      </c>
      <c r="L714">
        <f>IF(COUNTIF($E714, _xlfn.CONCAT("*",Table13[[#Headers],[Comedy]],"*")),1,0)</f>
        <v>0</v>
      </c>
      <c r="M714">
        <f>IF(COUNTIF($E714, _xlfn.CONCAT("*",Table13[[#Headers],[Crime]],"*")),1,0)</f>
        <v>0</v>
      </c>
      <c r="N714">
        <f>IF(COUNTIF($E714, _xlfn.CONCAT("*",Table13[[#Headers],[Documentary]],"*")),1,0)</f>
        <v>0</v>
      </c>
      <c r="O714">
        <f>IF(COUNTIF($E714, _xlfn.CONCAT("*",Table13[[#Headers],[Drama]],"*")),1,0)</f>
        <v>1</v>
      </c>
      <c r="P714">
        <f>IF(COUNTIF($E714, _xlfn.CONCAT("*",Table13[[#Headers],[Family]],"*")),1,0)</f>
        <v>0</v>
      </c>
      <c r="Q714">
        <f>IF(COUNTIF($E714, _xlfn.CONCAT("*",Table13[[#Headers],[Fantasy]],"*")),1,0)</f>
        <v>0</v>
      </c>
      <c r="R714">
        <f>IF(COUNTIF($E714, _xlfn.CONCAT("*",Table13[[#Headers],[History]],"*")),1,0)</f>
        <v>0</v>
      </c>
      <c r="S714">
        <f>IF(COUNTIF($E714, _xlfn.CONCAT("*",Table13[[#Headers],[Horror]],"*")),1,0)</f>
        <v>0</v>
      </c>
      <c r="T714">
        <f>IF(COUNTIF($E714, _xlfn.CONCAT("*",Table13[[#Headers],[Music]],"*")),1,0)</f>
        <v>0</v>
      </c>
      <c r="U714">
        <f>IF(COUNTIF($E714, _xlfn.CONCAT("*",Table13[[#Headers],[Mystery]],"*")),1,0)</f>
        <v>0</v>
      </c>
      <c r="V714">
        <f>IF(COUNTIF($E714, _xlfn.CONCAT("*",Table13[[#Headers],[Romance]],"*")),1,0)</f>
        <v>0</v>
      </c>
      <c r="W714">
        <f>IF(COUNTIF($E714, _xlfn.CONCAT("*",Table13[[#Headers],[Science Fiction]],"*")),1,0)</f>
        <v>0</v>
      </c>
      <c r="X714">
        <f>IF(COUNTIF($E714, _xlfn.CONCAT("*",Table13[[#Headers],[TV Movie]],"*")),1,0)</f>
        <v>0</v>
      </c>
      <c r="Y714">
        <f>IF(COUNTIF($E714, _xlfn.CONCAT("*",Table13[[#Headers],[Thriller]],"*")),1,0)</f>
        <v>0</v>
      </c>
      <c r="Z714">
        <f>IF(COUNTIF($E714, _xlfn.CONCAT("*",Table13[[#Headers],[War]],"*")),1,0)</f>
        <v>1</v>
      </c>
      <c r="AA714">
        <f>IF(COUNTIF($E714, _xlfn.CONCAT("*",Table13[[#Headers],[Western]],"*")),1,0)</f>
        <v>0</v>
      </c>
    </row>
    <row r="715" spans="1:27">
      <c r="A715" t="s">
        <v>361</v>
      </c>
      <c r="B715">
        <v>30</v>
      </c>
      <c r="C715">
        <f>MAX(Table13[Rank])-Table13[[#This Row],[Rank]]</f>
        <v>234</v>
      </c>
      <c r="D715" t="s">
        <v>780</v>
      </c>
      <c r="E715" t="s">
        <v>35</v>
      </c>
      <c r="F715" s="1">
        <v>43633</v>
      </c>
      <c r="G715">
        <f>YEAR(Table13[[#This Row],[Date]])</f>
        <v>2019</v>
      </c>
      <c r="H715" t="s">
        <v>361</v>
      </c>
      <c r="I715">
        <f>IF(COUNTIF($E715, _xlfn.CONCAT("*",Table13[[#Headers],[Action]],"*")),1,0)</f>
        <v>0</v>
      </c>
      <c r="J715">
        <f>IF(COUNTIF($E715, _xlfn.CONCAT("*",Table13[[#Headers],[Adventure]],"*")),1,0)</f>
        <v>0</v>
      </c>
      <c r="K715">
        <f>IF(COUNTIF($E715, _xlfn.CONCAT("*",Table13[[#Headers],[Animation]],"*")),1,0)</f>
        <v>0</v>
      </c>
      <c r="L715">
        <f>IF(COUNTIF($E715, _xlfn.CONCAT("*",Table13[[#Headers],[Comedy]],"*")),1,0)</f>
        <v>0</v>
      </c>
      <c r="M715">
        <f>IF(COUNTIF($E715, _xlfn.CONCAT("*",Table13[[#Headers],[Crime]],"*")),1,0)</f>
        <v>0</v>
      </c>
      <c r="N715">
        <f>IF(COUNTIF($E715, _xlfn.CONCAT("*",Table13[[#Headers],[Documentary]],"*")),1,0)</f>
        <v>0</v>
      </c>
      <c r="O715">
        <f>IF(COUNTIF($E715, _xlfn.CONCAT("*",Table13[[#Headers],[Drama]],"*")),1,0)</f>
        <v>1</v>
      </c>
      <c r="P715">
        <f>IF(COUNTIF($E715, _xlfn.CONCAT("*",Table13[[#Headers],[Family]],"*")),1,0)</f>
        <v>0</v>
      </c>
      <c r="Q715">
        <f>IF(COUNTIF($E715, _xlfn.CONCAT("*",Table13[[#Headers],[Fantasy]],"*")),1,0)</f>
        <v>0</v>
      </c>
      <c r="R715">
        <f>IF(COUNTIF($E715, _xlfn.CONCAT("*",Table13[[#Headers],[History]],"*")),1,0)</f>
        <v>0</v>
      </c>
      <c r="S715">
        <f>IF(COUNTIF($E715, _xlfn.CONCAT("*",Table13[[#Headers],[Horror]],"*")),1,0)</f>
        <v>0</v>
      </c>
      <c r="T715">
        <f>IF(COUNTIF($E715, _xlfn.CONCAT("*",Table13[[#Headers],[Music]],"*")),1,0)</f>
        <v>0</v>
      </c>
      <c r="U715">
        <f>IF(COUNTIF($E715, _xlfn.CONCAT("*",Table13[[#Headers],[Mystery]],"*")),1,0)</f>
        <v>0</v>
      </c>
      <c r="V715">
        <f>IF(COUNTIF($E715, _xlfn.CONCAT("*",Table13[[#Headers],[Romance]],"*")),1,0)</f>
        <v>1</v>
      </c>
      <c r="W715">
        <f>IF(COUNTIF($E715, _xlfn.CONCAT("*",Table13[[#Headers],[Science Fiction]],"*")),1,0)</f>
        <v>0</v>
      </c>
      <c r="X715">
        <f>IF(COUNTIF($E715, _xlfn.CONCAT("*",Table13[[#Headers],[TV Movie]],"*")),1,0)</f>
        <v>0</v>
      </c>
      <c r="Y715">
        <f>IF(COUNTIF($E715, _xlfn.CONCAT("*",Table13[[#Headers],[Thriller]],"*")),1,0)</f>
        <v>0</v>
      </c>
      <c r="Z715">
        <f>IF(COUNTIF($E715, _xlfn.CONCAT("*",Table13[[#Headers],[War]],"*")),1,0)</f>
        <v>0</v>
      </c>
      <c r="AA715">
        <f>IF(COUNTIF($E715, _xlfn.CONCAT("*",Table13[[#Headers],[Western]],"*")),1,0)</f>
        <v>0</v>
      </c>
    </row>
    <row r="716" spans="1:27">
      <c r="A716" t="s">
        <v>791</v>
      </c>
      <c r="B716">
        <v>31</v>
      </c>
      <c r="C716">
        <f>MAX(Table13[Rank])-Table13[[#This Row],[Rank]]</f>
        <v>233</v>
      </c>
      <c r="D716" t="s">
        <v>780</v>
      </c>
      <c r="E716" t="s">
        <v>21</v>
      </c>
      <c r="F716" s="1">
        <v>18492</v>
      </c>
      <c r="G716">
        <f>YEAR(Table13[[#This Row],[Date]])</f>
        <v>1950</v>
      </c>
      <c r="H716" t="s">
        <v>791</v>
      </c>
      <c r="I716">
        <f>IF(COUNTIF($E716, _xlfn.CONCAT("*",Table13[[#Headers],[Action]],"*")),1,0)</f>
        <v>0</v>
      </c>
      <c r="J716">
        <f>IF(COUNTIF($E716, _xlfn.CONCAT("*",Table13[[#Headers],[Adventure]],"*")),1,0)</f>
        <v>0</v>
      </c>
      <c r="K716">
        <f>IF(COUNTIF($E716, _xlfn.CONCAT("*",Table13[[#Headers],[Animation]],"*")),1,0)</f>
        <v>0</v>
      </c>
      <c r="L716">
        <f>IF(COUNTIF($E716, _xlfn.CONCAT("*",Table13[[#Headers],[Comedy]],"*")),1,0)</f>
        <v>0</v>
      </c>
      <c r="M716">
        <f>IF(COUNTIF($E716, _xlfn.CONCAT("*",Table13[[#Headers],[Crime]],"*")),1,0)</f>
        <v>0</v>
      </c>
      <c r="N716">
        <f>IF(COUNTIF($E716, _xlfn.CONCAT("*",Table13[[#Headers],[Documentary]],"*")),1,0)</f>
        <v>0</v>
      </c>
      <c r="O716">
        <f>IF(COUNTIF($E716, _xlfn.CONCAT("*",Table13[[#Headers],[Drama]],"*")),1,0)</f>
        <v>1</v>
      </c>
      <c r="P716">
        <f>IF(COUNTIF($E716, _xlfn.CONCAT("*",Table13[[#Headers],[Family]],"*")),1,0)</f>
        <v>0</v>
      </c>
      <c r="Q716">
        <f>IF(COUNTIF($E716, _xlfn.CONCAT("*",Table13[[#Headers],[Fantasy]],"*")),1,0)</f>
        <v>0</v>
      </c>
      <c r="R716">
        <f>IF(COUNTIF($E716, _xlfn.CONCAT("*",Table13[[#Headers],[History]],"*")),1,0)</f>
        <v>0</v>
      </c>
      <c r="S716">
        <f>IF(COUNTIF($E716, _xlfn.CONCAT("*",Table13[[#Headers],[Horror]],"*")),1,0)</f>
        <v>0</v>
      </c>
      <c r="T716">
        <f>IF(COUNTIF($E716, _xlfn.CONCAT("*",Table13[[#Headers],[Music]],"*")),1,0)</f>
        <v>0</v>
      </c>
      <c r="U716">
        <f>IF(COUNTIF($E716, _xlfn.CONCAT("*",Table13[[#Headers],[Mystery]],"*")),1,0)</f>
        <v>0</v>
      </c>
      <c r="V716">
        <f>IF(COUNTIF($E716, _xlfn.CONCAT("*",Table13[[#Headers],[Romance]],"*")),1,0)</f>
        <v>0</v>
      </c>
      <c r="W716">
        <f>IF(COUNTIF($E716, _xlfn.CONCAT("*",Table13[[#Headers],[Science Fiction]],"*")),1,0)</f>
        <v>0</v>
      </c>
      <c r="X716">
        <f>IF(COUNTIF($E716, _xlfn.CONCAT("*",Table13[[#Headers],[TV Movie]],"*")),1,0)</f>
        <v>0</v>
      </c>
      <c r="Y716">
        <f>IF(COUNTIF($E716, _xlfn.CONCAT("*",Table13[[#Headers],[Thriller]],"*")),1,0)</f>
        <v>0</v>
      </c>
      <c r="Z716">
        <f>IF(COUNTIF($E716, _xlfn.CONCAT("*",Table13[[#Headers],[War]],"*")),1,0)</f>
        <v>0</v>
      </c>
      <c r="AA716">
        <f>IF(COUNTIF($E716, _xlfn.CONCAT("*",Table13[[#Headers],[Western]],"*")),1,0)</f>
        <v>0</v>
      </c>
    </row>
    <row r="717" spans="1:27">
      <c r="A717" t="s">
        <v>341</v>
      </c>
      <c r="B717">
        <v>32</v>
      </c>
      <c r="C717">
        <f>MAX(Table13[Rank])-Table13[[#This Row],[Rank]]</f>
        <v>232</v>
      </c>
      <c r="D717" t="s">
        <v>780</v>
      </c>
      <c r="E717" t="s">
        <v>8</v>
      </c>
      <c r="F717" s="16">
        <v>29000</v>
      </c>
      <c r="G717">
        <f>YEAR(Table13[[#This Row],[Date]])</f>
        <v>1979</v>
      </c>
      <c r="H717" s="15" t="s">
        <v>341</v>
      </c>
      <c r="I717">
        <f>IF(COUNTIF($E717, _xlfn.CONCAT("*",Table13[[#Headers],[Action]],"*")),1,0)</f>
        <v>0</v>
      </c>
      <c r="J717">
        <f>IF(COUNTIF($E717, _xlfn.CONCAT("*",Table13[[#Headers],[Adventure]],"*")),1,0)</f>
        <v>0</v>
      </c>
      <c r="K717">
        <f>IF(COUNTIF($E717, _xlfn.CONCAT("*",Table13[[#Headers],[Animation]],"*")),1,0)</f>
        <v>0</v>
      </c>
      <c r="L717">
        <f>IF(COUNTIF($E717, _xlfn.CONCAT("*",Table13[[#Headers],[Comedy]],"*")),1,0)</f>
        <v>0</v>
      </c>
      <c r="M717">
        <f>IF(COUNTIF($E717, _xlfn.CONCAT("*",Table13[[#Headers],[Crime]],"*")),1,0)</f>
        <v>0</v>
      </c>
      <c r="N717">
        <f>IF(COUNTIF($E717, _xlfn.CONCAT("*",Table13[[#Headers],[Documentary]],"*")),1,0)</f>
        <v>0</v>
      </c>
      <c r="O717">
        <f>IF(COUNTIF($E717, _xlfn.CONCAT("*",Table13[[#Headers],[Drama]],"*")),1,0)</f>
        <v>1</v>
      </c>
      <c r="P717">
        <f>IF(COUNTIF($E717, _xlfn.CONCAT("*",Table13[[#Headers],[Family]],"*")),1,0)</f>
        <v>0</v>
      </c>
      <c r="Q717">
        <f>IF(COUNTIF($E717, _xlfn.CONCAT("*",Table13[[#Headers],[Fantasy]],"*")),1,0)</f>
        <v>0</v>
      </c>
      <c r="R717">
        <f>IF(COUNTIF($E717, _xlfn.CONCAT("*",Table13[[#Headers],[History]],"*")),1,0)</f>
        <v>0</v>
      </c>
      <c r="S717">
        <f>IF(COUNTIF($E717, _xlfn.CONCAT("*",Table13[[#Headers],[Horror]],"*")),1,0)</f>
        <v>0</v>
      </c>
      <c r="T717">
        <f>IF(COUNTIF($E717, _xlfn.CONCAT("*",Table13[[#Headers],[Music]],"*")),1,0)</f>
        <v>0</v>
      </c>
      <c r="U717">
        <f>IF(COUNTIF($E717, _xlfn.CONCAT("*",Table13[[#Headers],[Mystery]],"*")),1,0)</f>
        <v>0</v>
      </c>
      <c r="V717">
        <f>IF(COUNTIF($E717, _xlfn.CONCAT("*",Table13[[#Headers],[Romance]],"*")),1,0)</f>
        <v>0</v>
      </c>
      <c r="W717">
        <f>IF(COUNTIF($E717, _xlfn.CONCAT("*",Table13[[#Headers],[Science Fiction]],"*")),1,0)</f>
        <v>1</v>
      </c>
      <c r="X717">
        <f>IF(COUNTIF($E717, _xlfn.CONCAT("*",Table13[[#Headers],[TV Movie]],"*")),1,0)</f>
        <v>0</v>
      </c>
      <c r="Y717">
        <f>IF(COUNTIF($E717, _xlfn.CONCAT("*",Table13[[#Headers],[Thriller]],"*")),1,0)</f>
        <v>0</v>
      </c>
      <c r="Z717">
        <f>IF(COUNTIF($E717, _xlfn.CONCAT("*",Table13[[#Headers],[War]],"*")),1,0)</f>
        <v>0</v>
      </c>
      <c r="AA717">
        <f>IF(COUNTIF($E717, _xlfn.CONCAT("*",Table13[[#Headers],[Western]],"*")),1,0)</f>
        <v>0</v>
      </c>
    </row>
    <row r="718" spans="1:27">
      <c r="A718" t="s">
        <v>592</v>
      </c>
      <c r="B718">
        <v>33</v>
      </c>
      <c r="C718">
        <f>MAX(Table13[Rank])-Table13[[#This Row],[Rank]]</f>
        <v>231</v>
      </c>
      <c r="D718" t="s">
        <v>780</v>
      </c>
      <c r="E718" t="s">
        <v>32</v>
      </c>
      <c r="F718" s="1">
        <v>41922</v>
      </c>
      <c r="G718">
        <f>YEAR(Table13[[#This Row],[Date]])</f>
        <v>2014</v>
      </c>
      <c r="H718" t="s">
        <v>592</v>
      </c>
      <c r="I718">
        <f>IF(COUNTIF($E718, _xlfn.CONCAT("*",Table13[[#Headers],[Action]],"*")),1,0)</f>
        <v>0</v>
      </c>
      <c r="J718">
        <f>IF(COUNTIF($E718, _xlfn.CONCAT("*",Table13[[#Headers],[Adventure]],"*")),1,0)</f>
        <v>0</v>
      </c>
      <c r="K718">
        <f>IF(COUNTIF($E718, _xlfn.CONCAT("*",Table13[[#Headers],[Animation]],"*")),1,0)</f>
        <v>0</v>
      </c>
      <c r="L718">
        <f>IF(COUNTIF($E718, _xlfn.CONCAT("*",Table13[[#Headers],[Comedy]],"*")),1,0)</f>
        <v>0</v>
      </c>
      <c r="M718">
        <f>IF(COUNTIF($E718, _xlfn.CONCAT("*",Table13[[#Headers],[Crime]],"*")),1,0)</f>
        <v>0</v>
      </c>
      <c r="N718">
        <f>IF(COUNTIF($E718, _xlfn.CONCAT("*",Table13[[#Headers],[Documentary]],"*")),1,0)</f>
        <v>0</v>
      </c>
      <c r="O718">
        <f>IF(COUNTIF($E718, _xlfn.CONCAT("*",Table13[[#Headers],[Drama]],"*")),1,0)</f>
        <v>1</v>
      </c>
      <c r="P718">
        <f>IF(COUNTIF($E718, _xlfn.CONCAT("*",Table13[[#Headers],[Family]],"*")),1,0)</f>
        <v>0</v>
      </c>
      <c r="Q718">
        <f>IF(COUNTIF($E718, _xlfn.CONCAT("*",Table13[[#Headers],[Fantasy]],"*")),1,0)</f>
        <v>0</v>
      </c>
      <c r="R718">
        <f>IF(COUNTIF($E718, _xlfn.CONCAT("*",Table13[[#Headers],[History]],"*")),1,0)</f>
        <v>0</v>
      </c>
      <c r="S718">
        <f>IF(COUNTIF($E718, _xlfn.CONCAT("*",Table13[[#Headers],[Horror]],"*")),1,0)</f>
        <v>0</v>
      </c>
      <c r="T718">
        <f>IF(COUNTIF($E718, _xlfn.CONCAT("*",Table13[[#Headers],[Music]],"*")),1,0)</f>
        <v>1</v>
      </c>
      <c r="U718">
        <f>IF(COUNTIF($E718, _xlfn.CONCAT("*",Table13[[#Headers],[Mystery]],"*")),1,0)</f>
        <v>0</v>
      </c>
      <c r="V718">
        <f>IF(COUNTIF($E718, _xlfn.CONCAT("*",Table13[[#Headers],[Romance]],"*")),1,0)</f>
        <v>0</v>
      </c>
      <c r="W718">
        <f>IF(COUNTIF($E718, _xlfn.CONCAT("*",Table13[[#Headers],[Science Fiction]],"*")),1,0)</f>
        <v>0</v>
      </c>
      <c r="X718">
        <f>IF(COUNTIF($E718, _xlfn.CONCAT("*",Table13[[#Headers],[TV Movie]],"*")),1,0)</f>
        <v>0</v>
      </c>
      <c r="Y718">
        <f>IF(COUNTIF($E718, _xlfn.CONCAT("*",Table13[[#Headers],[Thriller]],"*")),1,0)</f>
        <v>0</v>
      </c>
      <c r="Z718">
        <f>IF(COUNTIF($E718, _xlfn.CONCAT("*",Table13[[#Headers],[War]],"*")),1,0)</f>
        <v>0</v>
      </c>
      <c r="AA718">
        <f>IF(COUNTIF($E718, _xlfn.CONCAT("*",Table13[[#Headers],[Western]],"*")),1,0)</f>
        <v>0</v>
      </c>
    </row>
    <row r="719" spans="1:27">
      <c r="A719" t="s">
        <v>556</v>
      </c>
      <c r="B719">
        <v>34</v>
      </c>
      <c r="C719">
        <f>MAX(Table13[Rank])-Table13[[#This Row],[Rank]]</f>
        <v>230</v>
      </c>
      <c r="D719" t="s">
        <v>780</v>
      </c>
      <c r="E719" t="s">
        <v>555</v>
      </c>
      <c r="F719" s="1">
        <v>43440</v>
      </c>
      <c r="G719">
        <f>YEAR(Table13[[#This Row],[Date]])</f>
        <v>2018</v>
      </c>
      <c r="H719" t="s">
        <v>556</v>
      </c>
      <c r="I719">
        <f>IF(COUNTIF($E719, _xlfn.CONCAT("*",Table13[[#Headers],[Action]],"*")),1,0)</f>
        <v>1</v>
      </c>
      <c r="J719">
        <f>IF(COUNTIF($E719, _xlfn.CONCAT("*",Table13[[#Headers],[Adventure]],"*")),1,0)</f>
        <v>1</v>
      </c>
      <c r="K719">
        <f>IF(COUNTIF($E719, _xlfn.CONCAT("*",Table13[[#Headers],[Animation]],"*")),1,0)</f>
        <v>1</v>
      </c>
      <c r="L719">
        <f>IF(COUNTIF($E719, _xlfn.CONCAT("*",Table13[[#Headers],[Comedy]],"*")),1,0)</f>
        <v>0</v>
      </c>
      <c r="M719">
        <f>IF(COUNTIF($E719, _xlfn.CONCAT("*",Table13[[#Headers],[Crime]],"*")),1,0)</f>
        <v>0</v>
      </c>
      <c r="N719">
        <f>IF(COUNTIF($E719, _xlfn.CONCAT("*",Table13[[#Headers],[Documentary]],"*")),1,0)</f>
        <v>0</v>
      </c>
      <c r="O719">
        <f>IF(COUNTIF($E719, _xlfn.CONCAT("*",Table13[[#Headers],[Drama]],"*")),1,0)</f>
        <v>0</v>
      </c>
      <c r="P719">
        <f>IF(COUNTIF($E719, _xlfn.CONCAT("*",Table13[[#Headers],[Family]],"*")),1,0)</f>
        <v>0</v>
      </c>
      <c r="Q719">
        <f>IF(COUNTIF($E719, _xlfn.CONCAT("*",Table13[[#Headers],[Fantasy]],"*")),1,0)</f>
        <v>0</v>
      </c>
      <c r="R719">
        <f>IF(COUNTIF($E719, _xlfn.CONCAT("*",Table13[[#Headers],[History]],"*")),1,0)</f>
        <v>0</v>
      </c>
      <c r="S719">
        <f>IF(COUNTIF($E719, _xlfn.CONCAT("*",Table13[[#Headers],[Horror]],"*")),1,0)</f>
        <v>0</v>
      </c>
      <c r="T719">
        <f>IF(COUNTIF($E719, _xlfn.CONCAT("*",Table13[[#Headers],[Music]],"*")),1,0)</f>
        <v>0</v>
      </c>
      <c r="U719">
        <f>IF(COUNTIF($E719, _xlfn.CONCAT("*",Table13[[#Headers],[Mystery]],"*")),1,0)</f>
        <v>0</v>
      </c>
      <c r="V719">
        <f>IF(COUNTIF($E719, _xlfn.CONCAT("*",Table13[[#Headers],[Romance]],"*")),1,0)</f>
        <v>0</v>
      </c>
      <c r="W719">
        <f>IF(COUNTIF($E719, _xlfn.CONCAT("*",Table13[[#Headers],[Science Fiction]],"*")),1,0)</f>
        <v>1</v>
      </c>
      <c r="X719">
        <f>IF(COUNTIF($E719, _xlfn.CONCAT("*",Table13[[#Headers],[TV Movie]],"*")),1,0)</f>
        <v>0</v>
      </c>
      <c r="Y719">
        <f>IF(COUNTIF($E719, _xlfn.CONCAT("*",Table13[[#Headers],[Thriller]],"*")),1,0)</f>
        <v>0</v>
      </c>
      <c r="Z719">
        <f>IF(COUNTIF($E719, _xlfn.CONCAT("*",Table13[[#Headers],[War]],"*")),1,0)</f>
        <v>0</v>
      </c>
      <c r="AA719">
        <f>IF(COUNTIF($E719, _xlfn.CONCAT("*",Table13[[#Headers],[Western]],"*")),1,0)</f>
        <v>0</v>
      </c>
    </row>
    <row r="720" spans="1:27">
      <c r="A720" t="s">
        <v>792</v>
      </c>
      <c r="B720">
        <v>35</v>
      </c>
      <c r="C720">
        <f>MAX(Table13[Rank])-Table13[[#This Row],[Rank]]</f>
        <v>229</v>
      </c>
      <c r="D720" t="s">
        <v>780</v>
      </c>
      <c r="E720" t="s">
        <v>21</v>
      </c>
      <c r="F720" s="1">
        <v>28771</v>
      </c>
      <c r="G720">
        <f>YEAR(Table13[[#This Row],[Date]])</f>
        <v>1978</v>
      </c>
      <c r="H720" t="s">
        <v>792</v>
      </c>
      <c r="I720">
        <f>IF(COUNTIF($E720, _xlfn.CONCAT("*",Table13[[#Headers],[Action]],"*")),1,0)</f>
        <v>0</v>
      </c>
      <c r="J720">
        <f>IF(COUNTIF($E720, _xlfn.CONCAT("*",Table13[[#Headers],[Adventure]],"*")),1,0)</f>
        <v>0</v>
      </c>
      <c r="K720">
        <f>IF(COUNTIF($E720, _xlfn.CONCAT("*",Table13[[#Headers],[Animation]],"*")),1,0)</f>
        <v>0</v>
      </c>
      <c r="L720">
        <f>IF(COUNTIF($E720, _xlfn.CONCAT("*",Table13[[#Headers],[Comedy]],"*")),1,0)</f>
        <v>0</v>
      </c>
      <c r="M720">
        <f>IF(COUNTIF($E720, _xlfn.CONCAT("*",Table13[[#Headers],[Crime]],"*")),1,0)</f>
        <v>0</v>
      </c>
      <c r="N720">
        <f>IF(COUNTIF($E720, _xlfn.CONCAT("*",Table13[[#Headers],[Documentary]],"*")),1,0)</f>
        <v>0</v>
      </c>
      <c r="O720">
        <f>IF(COUNTIF($E720, _xlfn.CONCAT("*",Table13[[#Headers],[Drama]],"*")),1,0)</f>
        <v>1</v>
      </c>
      <c r="P720">
        <f>IF(COUNTIF($E720, _xlfn.CONCAT("*",Table13[[#Headers],[Family]],"*")),1,0)</f>
        <v>0</v>
      </c>
      <c r="Q720">
        <f>IF(COUNTIF($E720, _xlfn.CONCAT("*",Table13[[#Headers],[Fantasy]],"*")),1,0)</f>
        <v>0</v>
      </c>
      <c r="R720">
        <f>IF(COUNTIF($E720, _xlfn.CONCAT("*",Table13[[#Headers],[History]],"*")),1,0)</f>
        <v>0</v>
      </c>
      <c r="S720">
        <f>IF(COUNTIF($E720, _xlfn.CONCAT("*",Table13[[#Headers],[Horror]],"*")),1,0)</f>
        <v>0</v>
      </c>
      <c r="T720">
        <f>IF(COUNTIF($E720, _xlfn.CONCAT("*",Table13[[#Headers],[Music]],"*")),1,0)</f>
        <v>0</v>
      </c>
      <c r="U720">
        <f>IF(COUNTIF($E720, _xlfn.CONCAT("*",Table13[[#Headers],[Mystery]],"*")),1,0)</f>
        <v>0</v>
      </c>
      <c r="V720">
        <f>IF(COUNTIF($E720, _xlfn.CONCAT("*",Table13[[#Headers],[Romance]],"*")),1,0)</f>
        <v>0</v>
      </c>
      <c r="W720">
        <f>IF(COUNTIF($E720, _xlfn.CONCAT("*",Table13[[#Headers],[Science Fiction]],"*")),1,0)</f>
        <v>0</v>
      </c>
      <c r="X720">
        <f>IF(COUNTIF($E720, _xlfn.CONCAT("*",Table13[[#Headers],[TV Movie]],"*")),1,0)</f>
        <v>0</v>
      </c>
      <c r="Y720">
        <f>IF(COUNTIF($E720, _xlfn.CONCAT("*",Table13[[#Headers],[Thriller]],"*")),1,0)</f>
        <v>0</v>
      </c>
      <c r="Z720">
        <f>IF(COUNTIF($E720, _xlfn.CONCAT("*",Table13[[#Headers],[War]],"*")),1,0)</f>
        <v>0</v>
      </c>
      <c r="AA720">
        <f>IF(COUNTIF($E720, _xlfn.CONCAT("*",Table13[[#Headers],[Western]],"*")),1,0)</f>
        <v>0</v>
      </c>
    </row>
    <row r="721" spans="1:27">
      <c r="A721" t="s">
        <v>793</v>
      </c>
      <c r="B721">
        <v>36</v>
      </c>
      <c r="C721">
        <f>MAX(Table13[Rank])-Table13[[#This Row],[Rank]]</f>
        <v>228</v>
      </c>
      <c r="D721" t="s">
        <v>780</v>
      </c>
      <c r="E721" t="s">
        <v>105</v>
      </c>
      <c r="F721" s="1">
        <v>23422</v>
      </c>
      <c r="G721">
        <f>YEAR(Table13[[#This Row],[Date]])</f>
        <v>1964</v>
      </c>
      <c r="H721" t="s">
        <v>793</v>
      </c>
      <c r="I721">
        <f>IF(COUNTIF($E721, _xlfn.CONCAT("*",Table13[[#Headers],[Action]],"*")),1,0)</f>
        <v>0</v>
      </c>
      <c r="J721">
        <f>IF(COUNTIF($E721, _xlfn.CONCAT("*",Table13[[#Headers],[Adventure]],"*")),1,0)</f>
        <v>0</v>
      </c>
      <c r="K721">
        <f>IF(COUNTIF($E721, _xlfn.CONCAT("*",Table13[[#Headers],[Animation]],"*")),1,0)</f>
        <v>0</v>
      </c>
      <c r="L721">
        <f>IF(COUNTIF($E721, _xlfn.CONCAT("*",Table13[[#Headers],[Comedy]],"*")),1,0)</f>
        <v>0</v>
      </c>
      <c r="M721">
        <f>IF(COUNTIF($E721, _xlfn.CONCAT("*",Table13[[#Headers],[Crime]],"*")),1,0)</f>
        <v>0</v>
      </c>
      <c r="N721">
        <f>IF(COUNTIF($E721, _xlfn.CONCAT("*",Table13[[#Headers],[Documentary]],"*")),1,0)</f>
        <v>0</v>
      </c>
      <c r="O721">
        <f>IF(COUNTIF($E721, _xlfn.CONCAT("*",Table13[[#Headers],[Drama]],"*")),1,0)</f>
        <v>1</v>
      </c>
      <c r="P721">
        <f>IF(COUNTIF($E721, _xlfn.CONCAT("*",Table13[[#Headers],[Family]],"*")),1,0)</f>
        <v>0</v>
      </c>
      <c r="Q721">
        <f>IF(COUNTIF($E721, _xlfn.CONCAT("*",Table13[[#Headers],[Fantasy]],"*")),1,0)</f>
        <v>0</v>
      </c>
      <c r="R721">
        <f>IF(COUNTIF($E721, _xlfn.CONCAT("*",Table13[[#Headers],[History]],"*")),1,0)</f>
        <v>0</v>
      </c>
      <c r="S721">
        <f>IF(COUNTIF($E721, _xlfn.CONCAT("*",Table13[[#Headers],[Horror]],"*")),1,0)</f>
        <v>0</v>
      </c>
      <c r="T721">
        <f>IF(COUNTIF($E721, _xlfn.CONCAT("*",Table13[[#Headers],[Music]],"*")),1,0)</f>
        <v>0</v>
      </c>
      <c r="U721">
        <f>IF(COUNTIF($E721, _xlfn.CONCAT("*",Table13[[#Headers],[Mystery]],"*")),1,0)</f>
        <v>0</v>
      </c>
      <c r="V721">
        <f>IF(COUNTIF($E721, _xlfn.CONCAT("*",Table13[[#Headers],[Romance]],"*")),1,0)</f>
        <v>0</v>
      </c>
      <c r="W721">
        <f>IF(COUNTIF($E721, _xlfn.CONCAT("*",Table13[[#Headers],[Science Fiction]],"*")),1,0)</f>
        <v>0</v>
      </c>
      <c r="X721">
        <f>IF(COUNTIF($E721, _xlfn.CONCAT("*",Table13[[#Headers],[TV Movie]],"*")),1,0)</f>
        <v>0</v>
      </c>
      <c r="Y721">
        <f>IF(COUNTIF($E721, _xlfn.CONCAT("*",Table13[[#Headers],[Thriller]],"*")),1,0)</f>
        <v>1</v>
      </c>
      <c r="Z721">
        <f>IF(COUNTIF($E721, _xlfn.CONCAT("*",Table13[[#Headers],[War]],"*")),1,0)</f>
        <v>0</v>
      </c>
      <c r="AA721">
        <f>IF(COUNTIF($E721, _xlfn.CONCAT("*",Table13[[#Headers],[Western]],"*")),1,0)</f>
        <v>0</v>
      </c>
    </row>
    <row r="722" spans="1:27">
      <c r="A722" t="s">
        <v>394</v>
      </c>
      <c r="B722">
        <v>37</v>
      </c>
      <c r="C722">
        <f>MAX(Table13[Rank])-Table13[[#This Row],[Rank]]</f>
        <v>227</v>
      </c>
      <c r="D722" t="s">
        <v>780</v>
      </c>
      <c r="E722" t="s">
        <v>21</v>
      </c>
      <c r="F722" s="1">
        <v>19666</v>
      </c>
      <c r="G722">
        <f>YEAR(Table13[[#This Row],[Date]])</f>
        <v>1953</v>
      </c>
      <c r="H722" t="s">
        <v>394</v>
      </c>
      <c r="I722">
        <f>IF(COUNTIF($E722, _xlfn.CONCAT("*",Table13[[#Headers],[Action]],"*")),1,0)</f>
        <v>0</v>
      </c>
      <c r="J722">
        <f>IF(COUNTIF($E722, _xlfn.CONCAT("*",Table13[[#Headers],[Adventure]],"*")),1,0)</f>
        <v>0</v>
      </c>
      <c r="K722">
        <f>IF(COUNTIF($E722, _xlfn.CONCAT("*",Table13[[#Headers],[Animation]],"*")),1,0)</f>
        <v>0</v>
      </c>
      <c r="L722">
        <f>IF(COUNTIF($E722, _xlfn.CONCAT("*",Table13[[#Headers],[Comedy]],"*")),1,0)</f>
        <v>0</v>
      </c>
      <c r="M722">
        <f>IF(COUNTIF($E722, _xlfn.CONCAT("*",Table13[[#Headers],[Crime]],"*")),1,0)</f>
        <v>0</v>
      </c>
      <c r="N722">
        <f>IF(COUNTIF($E722, _xlfn.CONCAT("*",Table13[[#Headers],[Documentary]],"*")),1,0)</f>
        <v>0</v>
      </c>
      <c r="O722">
        <f>IF(COUNTIF($E722, _xlfn.CONCAT("*",Table13[[#Headers],[Drama]],"*")),1,0)</f>
        <v>1</v>
      </c>
      <c r="P722">
        <f>IF(COUNTIF($E722, _xlfn.CONCAT("*",Table13[[#Headers],[Family]],"*")),1,0)</f>
        <v>0</v>
      </c>
      <c r="Q722">
        <f>IF(COUNTIF($E722, _xlfn.CONCAT("*",Table13[[#Headers],[Fantasy]],"*")),1,0)</f>
        <v>0</v>
      </c>
      <c r="R722">
        <f>IF(COUNTIF($E722, _xlfn.CONCAT("*",Table13[[#Headers],[History]],"*")),1,0)</f>
        <v>0</v>
      </c>
      <c r="S722">
        <f>IF(COUNTIF($E722, _xlfn.CONCAT("*",Table13[[#Headers],[Horror]],"*")),1,0)</f>
        <v>0</v>
      </c>
      <c r="T722">
        <f>IF(COUNTIF($E722, _xlfn.CONCAT("*",Table13[[#Headers],[Music]],"*")),1,0)</f>
        <v>0</v>
      </c>
      <c r="U722">
        <f>IF(COUNTIF($E722, _xlfn.CONCAT("*",Table13[[#Headers],[Mystery]],"*")),1,0)</f>
        <v>0</v>
      </c>
      <c r="V722">
        <f>IF(COUNTIF($E722, _xlfn.CONCAT("*",Table13[[#Headers],[Romance]],"*")),1,0)</f>
        <v>0</v>
      </c>
      <c r="W722">
        <f>IF(COUNTIF($E722, _xlfn.CONCAT("*",Table13[[#Headers],[Science Fiction]],"*")),1,0)</f>
        <v>0</v>
      </c>
      <c r="X722">
        <f>IF(COUNTIF($E722, _xlfn.CONCAT("*",Table13[[#Headers],[TV Movie]],"*")),1,0)</f>
        <v>0</v>
      </c>
      <c r="Y722">
        <f>IF(COUNTIF($E722, _xlfn.CONCAT("*",Table13[[#Headers],[Thriller]],"*")),1,0)</f>
        <v>0</v>
      </c>
      <c r="Z722">
        <f>IF(COUNTIF($E722, _xlfn.CONCAT("*",Table13[[#Headers],[War]],"*")),1,0)</f>
        <v>0</v>
      </c>
      <c r="AA722">
        <f>IF(COUNTIF($E722, _xlfn.CONCAT("*",Table13[[#Headers],[Western]],"*")),1,0)</f>
        <v>0</v>
      </c>
    </row>
    <row r="723" spans="1:27">
      <c r="A723" t="s">
        <v>794</v>
      </c>
      <c r="B723">
        <v>38</v>
      </c>
      <c r="C723">
        <f>MAX(Table13[Rank])-Table13[[#This Row],[Rank]]</f>
        <v>226</v>
      </c>
      <c r="D723" t="s">
        <v>780</v>
      </c>
      <c r="E723" t="s">
        <v>35</v>
      </c>
      <c r="F723" s="1">
        <v>32464</v>
      </c>
      <c r="G723">
        <f>YEAR(Table13[[#This Row],[Date]])</f>
        <v>1988</v>
      </c>
      <c r="H723" t="s">
        <v>794</v>
      </c>
      <c r="I723">
        <f>IF(COUNTIF($E723, _xlfn.CONCAT("*",Table13[[#Headers],[Action]],"*")),1,0)</f>
        <v>0</v>
      </c>
      <c r="J723">
        <f>IF(COUNTIF($E723, _xlfn.CONCAT("*",Table13[[#Headers],[Adventure]],"*")),1,0)</f>
        <v>0</v>
      </c>
      <c r="K723">
        <f>IF(COUNTIF($E723, _xlfn.CONCAT("*",Table13[[#Headers],[Animation]],"*")),1,0)</f>
        <v>0</v>
      </c>
      <c r="L723">
        <f>IF(COUNTIF($E723, _xlfn.CONCAT("*",Table13[[#Headers],[Comedy]],"*")),1,0)</f>
        <v>0</v>
      </c>
      <c r="M723">
        <f>IF(COUNTIF($E723, _xlfn.CONCAT("*",Table13[[#Headers],[Crime]],"*")),1,0)</f>
        <v>0</v>
      </c>
      <c r="N723">
        <f>IF(COUNTIF($E723, _xlfn.CONCAT("*",Table13[[#Headers],[Documentary]],"*")),1,0)</f>
        <v>0</v>
      </c>
      <c r="O723">
        <f>IF(COUNTIF($E723, _xlfn.CONCAT("*",Table13[[#Headers],[Drama]],"*")),1,0)</f>
        <v>1</v>
      </c>
      <c r="P723">
        <f>IF(COUNTIF($E723, _xlfn.CONCAT("*",Table13[[#Headers],[Family]],"*")),1,0)</f>
        <v>0</v>
      </c>
      <c r="Q723">
        <f>IF(COUNTIF($E723, _xlfn.CONCAT("*",Table13[[#Headers],[Fantasy]],"*")),1,0)</f>
        <v>0</v>
      </c>
      <c r="R723">
        <f>IF(COUNTIF($E723, _xlfn.CONCAT("*",Table13[[#Headers],[History]],"*")),1,0)</f>
        <v>0</v>
      </c>
      <c r="S723">
        <f>IF(COUNTIF($E723, _xlfn.CONCAT("*",Table13[[#Headers],[Horror]],"*")),1,0)</f>
        <v>0</v>
      </c>
      <c r="T723">
        <f>IF(COUNTIF($E723, _xlfn.CONCAT("*",Table13[[#Headers],[Music]],"*")),1,0)</f>
        <v>0</v>
      </c>
      <c r="U723">
        <f>IF(COUNTIF($E723, _xlfn.CONCAT("*",Table13[[#Headers],[Mystery]],"*")),1,0)</f>
        <v>0</v>
      </c>
      <c r="V723">
        <f>IF(COUNTIF($E723, _xlfn.CONCAT("*",Table13[[#Headers],[Romance]],"*")),1,0)</f>
        <v>1</v>
      </c>
      <c r="W723">
        <f>IF(COUNTIF($E723, _xlfn.CONCAT("*",Table13[[#Headers],[Science Fiction]],"*")),1,0)</f>
        <v>0</v>
      </c>
      <c r="X723">
        <f>IF(COUNTIF($E723, _xlfn.CONCAT("*",Table13[[#Headers],[TV Movie]],"*")),1,0)</f>
        <v>0</v>
      </c>
      <c r="Y723">
        <f>IF(COUNTIF($E723, _xlfn.CONCAT("*",Table13[[#Headers],[Thriller]],"*")),1,0)</f>
        <v>0</v>
      </c>
      <c r="Z723">
        <f>IF(COUNTIF($E723, _xlfn.CONCAT("*",Table13[[#Headers],[War]],"*")),1,0)</f>
        <v>0</v>
      </c>
      <c r="AA723">
        <f>IF(COUNTIF($E723, _xlfn.CONCAT("*",Table13[[#Headers],[Western]],"*")),1,0)</f>
        <v>0</v>
      </c>
    </row>
    <row r="724" spans="1:27">
      <c r="A724" t="s">
        <v>373</v>
      </c>
      <c r="B724">
        <v>39</v>
      </c>
      <c r="C724">
        <f>MAX(Table13[Rank])-Table13[[#This Row],[Rank]]</f>
        <v>225</v>
      </c>
      <c r="D724" t="s">
        <v>780</v>
      </c>
      <c r="E724" t="s">
        <v>109</v>
      </c>
      <c r="F724" s="1">
        <v>10339</v>
      </c>
      <c r="G724">
        <f>YEAR(Table13[[#This Row],[Date]])</f>
        <v>1928</v>
      </c>
      <c r="H724" t="s">
        <v>373</v>
      </c>
      <c r="I724">
        <f>IF(COUNTIF($E724, _xlfn.CONCAT("*",Table13[[#Headers],[Action]],"*")),1,0)</f>
        <v>0</v>
      </c>
      <c r="J724">
        <f>IF(COUNTIF($E724, _xlfn.CONCAT("*",Table13[[#Headers],[Adventure]],"*")),1,0)</f>
        <v>0</v>
      </c>
      <c r="K724">
        <f>IF(COUNTIF($E724, _xlfn.CONCAT("*",Table13[[#Headers],[Animation]],"*")),1,0)</f>
        <v>0</v>
      </c>
      <c r="L724">
        <f>IF(COUNTIF($E724, _xlfn.CONCAT("*",Table13[[#Headers],[Comedy]],"*")),1,0)</f>
        <v>0</v>
      </c>
      <c r="M724">
        <f>IF(COUNTIF($E724, _xlfn.CONCAT("*",Table13[[#Headers],[Crime]],"*")),1,0)</f>
        <v>0</v>
      </c>
      <c r="N724">
        <f>IF(COUNTIF($E724, _xlfn.CONCAT("*",Table13[[#Headers],[Documentary]],"*")),1,0)</f>
        <v>0</v>
      </c>
      <c r="O724">
        <f>IF(COUNTIF($E724, _xlfn.CONCAT("*",Table13[[#Headers],[Drama]],"*")),1,0)</f>
        <v>1</v>
      </c>
      <c r="P724">
        <f>IF(COUNTIF($E724, _xlfn.CONCAT("*",Table13[[#Headers],[Family]],"*")),1,0)</f>
        <v>0</v>
      </c>
      <c r="Q724">
        <f>IF(COUNTIF($E724, _xlfn.CONCAT("*",Table13[[#Headers],[Fantasy]],"*")),1,0)</f>
        <v>0</v>
      </c>
      <c r="R724">
        <f>IF(COUNTIF($E724, _xlfn.CONCAT("*",Table13[[#Headers],[History]],"*")),1,0)</f>
        <v>1</v>
      </c>
      <c r="S724">
        <f>IF(COUNTIF($E724, _xlfn.CONCAT("*",Table13[[#Headers],[Horror]],"*")),1,0)</f>
        <v>0</v>
      </c>
      <c r="T724">
        <f>IF(COUNTIF($E724, _xlfn.CONCAT("*",Table13[[#Headers],[Music]],"*")),1,0)</f>
        <v>0</v>
      </c>
      <c r="U724">
        <f>IF(COUNTIF($E724, _xlfn.CONCAT("*",Table13[[#Headers],[Mystery]],"*")),1,0)</f>
        <v>0</v>
      </c>
      <c r="V724">
        <f>IF(COUNTIF($E724, _xlfn.CONCAT("*",Table13[[#Headers],[Romance]],"*")),1,0)</f>
        <v>0</v>
      </c>
      <c r="W724">
        <f>IF(COUNTIF($E724, _xlfn.CONCAT("*",Table13[[#Headers],[Science Fiction]],"*")),1,0)</f>
        <v>0</v>
      </c>
      <c r="X724">
        <f>IF(COUNTIF($E724, _xlfn.CONCAT("*",Table13[[#Headers],[TV Movie]],"*")),1,0)</f>
        <v>0</v>
      </c>
      <c r="Y724">
        <f>IF(COUNTIF($E724, _xlfn.CONCAT("*",Table13[[#Headers],[Thriller]],"*")),1,0)</f>
        <v>0</v>
      </c>
      <c r="Z724">
        <f>IF(COUNTIF($E724, _xlfn.CONCAT("*",Table13[[#Headers],[War]],"*")),1,0)</f>
        <v>0</v>
      </c>
      <c r="AA724">
        <f>IF(COUNTIF($E724, _xlfn.CONCAT("*",Table13[[#Headers],[Western]],"*")),1,0)</f>
        <v>0</v>
      </c>
    </row>
    <row r="725" spans="1:27">
      <c r="A725" t="s">
        <v>322</v>
      </c>
      <c r="B725">
        <v>40</v>
      </c>
      <c r="C725">
        <f>MAX(Table13[Rank])-Table13[[#This Row],[Rank]]</f>
        <v>224</v>
      </c>
      <c r="D725" t="s">
        <v>780</v>
      </c>
      <c r="E725" t="s">
        <v>15</v>
      </c>
      <c r="F725" s="1">
        <v>22088</v>
      </c>
      <c r="G725">
        <f>YEAR(Table13[[#This Row],[Date]])</f>
        <v>1960</v>
      </c>
      <c r="H725" t="s">
        <v>322</v>
      </c>
      <c r="I725">
        <f>IF(COUNTIF($E725, _xlfn.CONCAT("*",Table13[[#Headers],[Action]],"*")),1,0)</f>
        <v>0</v>
      </c>
      <c r="J725">
        <f>IF(COUNTIF($E725, _xlfn.CONCAT("*",Table13[[#Headers],[Adventure]],"*")),1,0)</f>
        <v>0</v>
      </c>
      <c r="K725">
        <f>IF(COUNTIF($E725, _xlfn.CONCAT("*",Table13[[#Headers],[Animation]],"*")),1,0)</f>
        <v>0</v>
      </c>
      <c r="L725">
        <f>IF(COUNTIF($E725, _xlfn.CONCAT("*",Table13[[#Headers],[Comedy]],"*")),1,0)</f>
        <v>1</v>
      </c>
      <c r="M725">
        <f>IF(COUNTIF($E725, _xlfn.CONCAT("*",Table13[[#Headers],[Crime]],"*")),1,0)</f>
        <v>0</v>
      </c>
      <c r="N725">
        <f>IF(COUNTIF($E725, _xlfn.CONCAT("*",Table13[[#Headers],[Documentary]],"*")),1,0)</f>
        <v>0</v>
      </c>
      <c r="O725">
        <f>IF(COUNTIF($E725, _xlfn.CONCAT("*",Table13[[#Headers],[Drama]],"*")),1,0)</f>
        <v>1</v>
      </c>
      <c r="P725">
        <f>IF(COUNTIF($E725, _xlfn.CONCAT("*",Table13[[#Headers],[Family]],"*")),1,0)</f>
        <v>0</v>
      </c>
      <c r="Q725">
        <f>IF(COUNTIF($E725, _xlfn.CONCAT("*",Table13[[#Headers],[Fantasy]],"*")),1,0)</f>
        <v>0</v>
      </c>
      <c r="R725">
        <f>IF(COUNTIF($E725, _xlfn.CONCAT("*",Table13[[#Headers],[History]],"*")),1,0)</f>
        <v>0</v>
      </c>
      <c r="S725">
        <f>IF(COUNTIF($E725, _xlfn.CONCAT("*",Table13[[#Headers],[Horror]],"*")),1,0)</f>
        <v>0</v>
      </c>
      <c r="T725">
        <f>IF(COUNTIF($E725, _xlfn.CONCAT("*",Table13[[#Headers],[Music]],"*")),1,0)</f>
        <v>0</v>
      </c>
      <c r="U725">
        <f>IF(COUNTIF($E725, _xlfn.CONCAT("*",Table13[[#Headers],[Mystery]],"*")),1,0)</f>
        <v>0</v>
      </c>
      <c r="V725">
        <f>IF(COUNTIF($E725, _xlfn.CONCAT("*",Table13[[#Headers],[Romance]],"*")),1,0)</f>
        <v>1</v>
      </c>
      <c r="W725">
        <f>IF(COUNTIF($E725, _xlfn.CONCAT("*",Table13[[#Headers],[Science Fiction]],"*")),1,0)</f>
        <v>0</v>
      </c>
      <c r="X725">
        <f>IF(COUNTIF($E725, _xlfn.CONCAT("*",Table13[[#Headers],[TV Movie]],"*")),1,0)</f>
        <v>0</v>
      </c>
      <c r="Y725">
        <f>IF(COUNTIF($E725, _xlfn.CONCAT("*",Table13[[#Headers],[Thriller]],"*")),1,0)</f>
        <v>0</v>
      </c>
      <c r="Z725">
        <f>IF(COUNTIF($E725, _xlfn.CONCAT("*",Table13[[#Headers],[War]],"*")),1,0)</f>
        <v>0</v>
      </c>
      <c r="AA725">
        <f>IF(COUNTIF($E725, _xlfn.CONCAT("*",Table13[[#Headers],[Western]],"*")),1,0)</f>
        <v>0</v>
      </c>
    </row>
    <row r="726" spans="1:27">
      <c r="A726" t="s">
        <v>377</v>
      </c>
      <c r="B726">
        <v>41</v>
      </c>
      <c r="C726">
        <f>MAX(Table13[Rank])-Table13[[#This Row],[Rank]]</f>
        <v>223</v>
      </c>
      <c r="D726" t="s">
        <v>780</v>
      </c>
      <c r="E726" t="s">
        <v>21</v>
      </c>
      <c r="F726" s="1">
        <v>24398</v>
      </c>
      <c r="G726">
        <f>YEAR(Table13[[#This Row],[Date]])</f>
        <v>1966</v>
      </c>
      <c r="H726" t="s">
        <v>377</v>
      </c>
      <c r="I726">
        <f>IF(COUNTIF($E726, _xlfn.CONCAT("*",Table13[[#Headers],[Action]],"*")),1,0)</f>
        <v>0</v>
      </c>
      <c r="J726">
        <f>IF(COUNTIF($E726, _xlfn.CONCAT("*",Table13[[#Headers],[Adventure]],"*")),1,0)</f>
        <v>0</v>
      </c>
      <c r="K726">
        <f>IF(COUNTIF($E726, _xlfn.CONCAT("*",Table13[[#Headers],[Animation]],"*")),1,0)</f>
        <v>0</v>
      </c>
      <c r="L726">
        <f>IF(COUNTIF($E726, _xlfn.CONCAT("*",Table13[[#Headers],[Comedy]],"*")),1,0)</f>
        <v>0</v>
      </c>
      <c r="M726">
        <f>IF(COUNTIF($E726, _xlfn.CONCAT("*",Table13[[#Headers],[Crime]],"*")),1,0)</f>
        <v>0</v>
      </c>
      <c r="N726">
        <f>IF(COUNTIF($E726, _xlfn.CONCAT("*",Table13[[#Headers],[Documentary]],"*")),1,0)</f>
        <v>0</v>
      </c>
      <c r="O726">
        <f>IF(COUNTIF($E726, _xlfn.CONCAT("*",Table13[[#Headers],[Drama]],"*")),1,0)</f>
        <v>1</v>
      </c>
      <c r="P726">
        <f>IF(COUNTIF($E726, _xlfn.CONCAT("*",Table13[[#Headers],[Family]],"*")),1,0)</f>
        <v>0</v>
      </c>
      <c r="Q726">
        <f>IF(COUNTIF($E726, _xlfn.CONCAT("*",Table13[[#Headers],[Fantasy]],"*")),1,0)</f>
        <v>0</v>
      </c>
      <c r="R726">
        <f>IF(COUNTIF($E726, _xlfn.CONCAT("*",Table13[[#Headers],[History]],"*")),1,0)</f>
        <v>0</v>
      </c>
      <c r="S726">
        <f>IF(COUNTIF($E726, _xlfn.CONCAT("*",Table13[[#Headers],[Horror]],"*")),1,0)</f>
        <v>0</v>
      </c>
      <c r="T726">
        <f>IF(COUNTIF($E726, _xlfn.CONCAT("*",Table13[[#Headers],[Music]],"*")),1,0)</f>
        <v>0</v>
      </c>
      <c r="U726">
        <f>IF(COUNTIF($E726, _xlfn.CONCAT("*",Table13[[#Headers],[Mystery]],"*")),1,0)</f>
        <v>0</v>
      </c>
      <c r="V726">
        <f>IF(COUNTIF($E726, _xlfn.CONCAT("*",Table13[[#Headers],[Romance]],"*")),1,0)</f>
        <v>0</v>
      </c>
      <c r="W726">
        <f>IF(COUNTIF($E726, _xlfn.CONCAT("*",Table13[[#Headers],[Science Fiction]],"*")),1,0)</f>
        <v>0</v>
      </c>
      <c r="X726">
        <f>IF(COUNTIF($E726, _xlfn.CONCAT("*",Table13[[#Headers],[TV Movie]],"*")),1,0)</f>
        <v>0</v>
      </c>
      <c r="Y726">
        <f>IF(COUNTIF($E726, _xlfn.CONCAT("*",Table13[[#Headers],[Thriller]],"*")),1,0)</f>
        <v>0</v>
      </c>
      <c r="Z726">
        <f>IF(COUNTIF($E726, _xlfn.CONCAT("*",Table13[[#Headers],[War]],"*")),1,0)</f>
        <v>0</v>
      </c>
      <c r="AA726">
        <f>IF(COUNTIF($E726, _xlfn.CONCAT("*",Table13[[#Headers],[Western]],"*")),1,0)</f>
        <v>0</v>
      </c>
    </row>
    <row r="727" spans="1:27">
      <c r="A727" t="s">
        <v>309</v>
      </c>
      <c r="B727">
        <v>42</v>
      </c>
      <c r="C727">
        <f>MAX(Table13[Rank])-Table13[[#This Row],[Rank]]</f>
        <v>222</v>
      </c>
      <c r="D727" t="s">
        <v>780</v>
      </c>
      <c r="E727" t="s">
        <v>109</v>
      </c>
      <c r="F727" s="1">
        <v>24457</v>
      </c>
      <c r="G727">
        <f>YEAR(Table13[[#This Row],[Date]])</f>
        <v>1966</v>
      </c>
      <c r="H727" t="s">
        <v>309</v>
      </c>
      <c r="I727">
        <f>IF(COUNTIF($E727, _xlfn.CONCAT("*",Table13[[#Headers],[Action]],"*")),1,0)</f>
        <v>0</v>
      </c>
      <c r="J727">
        <f>IF(COUNTIF($E727, _xlfn.CONCAT("*",Table13[[#Headers],[Adventure]],"*")),1,0)</f>
        <v>0</v>
      </c>
      <c r="K727">
        <f>IF(COUNTIF($E727, _xlfn.CONCAT("*",Table13[[#Headers],[Animation]],"*")),1,0)</f>
        <v>0</v>
      </c>
      <c r="L727">
        <f>IF(COUNTIF($E727, _xlfn.CONCAT("*",Table13[[#Headers],[Comedy]],"*")),1,0)</f>
        <v>0</v>
      </c>
      <c r="M727">
        <f>IF(COUNTIF($E727, _xlfn.CONCAT("*",Table13[[#Headers],[Crime]],"*")),1,0)</f>
        <v>0</v>
      </c>
      <c r="N727">
        <f>IF(COUNTIF($E727, _xlfn.CONCAT("*",Table13[[#Headers],[Documentary]],"*")),1,0)</f>
        <v>0</v>
      </c>
      <c r="O727">
        <f>IF(COUNTIF($E727, _xlfn.CONCAT("*",Table13[[#Headers],[Drama]],"*")),1,0)</f>
        <v>1</v>
      </c>
      <c r="P727">
        <f>IF(COUNTIF($E727, _xlfn.CONCAT("*",Table13[[#Headers],[Family]],"*")),1,0)</f>
        <v>0</v>
      </c>
      <c r="Q727">
        <f>IF(COUNTIF($E727, _xlfn.CONCAT("*",Table13[[#Headers],[Fantasy]],"*")),1,0)</f>
        <v>0</v>
      </c>
      <c r="R727">
        <f>IF(COUNTIF($E727, _xlfn.CONCAT("*",Table13[[#Headers],[History]],"*")),1,0)</f>
        <v>1</v>
      </c>
      <c r="S727">
        <f>IF(COUNTIF($E727, _xlfn.CONCAT("*",Table13[[#Headers],[Horror]],"*")),1,0)</f>
        <v>0</v>
      </c>
      <c r="T727">
        <f>IF(COUNTIF($E727, _xlfn.CONCAT("*",Table13[[#Headers],[Music]],"*")),1,0)</f>
        <v>0</v>
      </c>
      <c r="U727">
        <f>IF(COUNTIF($E727, _xlfn.CONCAT("*",Table13[[#Headers],[Mystery]],"*")),1,0)</f>
        <v>0</v>
      </c>
      <c r="V727">
        <f>IF(COUNTIF($E727, _xlfn.CONCAT("*",Table13[[#Headers],[Romance]],"*")),1,0)</f>
        <v>0</v>
      </c>
      <c r="W727">
        <f>IF(COUNTIF($E727, _xlfn.CONCAT("*",Table13[[#Headers],[Science Fiction]],"*")),1,0)</f>
        <v>0</v>
      </c>
      <c r="X727">
        <f>IF(COUNTIF($E727, _xlfn.CONCAT("*",Table13[[#Headers],[TV Movie]],"*")),1,0)</f>
        <v>0</v>
      </c>
      <c r="Y727">
        <f>IF(COUNTIF($E727, _xlfn.CONCAT("*",Table13[[#Headers],[Thriller]],"*")),1,0)</f>
        <v>0</v>
      </c>
      <c r="Z727">
        <f>IF(COUNTIF($E727, _xlfn.CONCAT("*",Table13[[#Headers],[War]],"*")),1,0)</f>
        <v>0</v>
      </c>
      <c r="AA727">
        <f>IF(COUNTIF($E727, _xlfn.CONCAT("*",Table13[[#Headers],[Western]],"*")),1,0)</f>
        <v>0</v>
      </c>
    </row>
    <row r="728" spans="1:27">
      <c r="A728" t="s">
        <v>795</v>
      </c>
      <c r="B728">
        <v>43</v>
      </c>
      <c r="C728">
        <f>MAX(Table13[Rank])-Table13[[#This Row],[Rank]]</f>
        <v>221</v>
      </c>
      <c r="D728" t="s">
        <v>780</v>
      </c>
      <c r="E728" t="s">
        <v>796</v>
      </c>
      <c r="F728" s="1">
        <v>42522</v>
      </c>
      <c r="G728">
        <f>YEAR(Table13[[#This Row],[Date]])</f>
        <v>2016</v>
      </c>
      <c r="H728" t="s">
        <v>795</v>
      </c>
      <c r="I728">
        <f>IF(COUNTIF($E728, _xlfn.CONCAT("*",Table13[[#Headers],[Action]],"*")),1,0)</f>
        <v>0</v>
      </c>
      <c r="J728">
        <f>IF(COUNTIF($E728, _xlfn.CONCAT("*",Table13[[#Headers],[Adventure]],"*")),1,0)</f>
        <v>0</v>
      </c>
      <c r="K728">
        <f>IF(COUNTIF($E728, _xlfn.CONCAT("*",Table13[[#Headers],[Animation]],"*")),1,0)</f>
        <v>0</v>
      </c>
      <c r="L728">
        <f>IF(COUNTIF($E728, _xlfn.CONCAT("*",Table13[[#Headers],[Comedy]],"*")),1,0)</f>
        <v>0</v>
      </c>
      <c r="M728">
        <f>IF(COUNTIF($E728, _xlfn.CONCAT("*",Table13[[#Headers],[Crime]],"*")),1,0)</f>
        <v>0</v>
      </c>
      <c r="N728">
        <f>IF(COUNTIF($E728, _xlfn.CONCAT("*",Table13[[#Headers],[Documentary]],"*")),1,0)</f>
        <v>0</v>
      </c>
      <c r="O728">
        <f>IF(COUNTIF($E728, _xlfn.CONCAT("*",Table13[[#Headers],[Drama]],"*")),1,0)</f>
        <v>1</v>
      </c>
      <c r="P728">
        <f>IF(COUNTIF($E728, _xlfn.CONCAT("*",Table13[[#Headers],[Family]],"*")),1,0)</f>
        <v>0</v>
      </c>
      <c r="Q728">
        <f>IF(COUNTIF($E728, _xlfn.CONCAT("*",Table13[[#Headers],[Fantasy]],"*")),1,0)</f>
        <v>0</v>
      </c>
      <c r="R728">
        <f>IF(COUNTIF($E728, _xlfn.CONCAT("*",Table13[[#Headers],[History]],"*")),1,0)</f>
        <v>0</v>
      </c>
      <c r="S728">
        <f>IF(COUNTIF($E728, _xlfn.CONCAT("*",Table13[[#Headers],[Horror]],"*")),1,0)</f>
        <v>0</v>
      </c>
      <c r="T728">
        <f>IF(COUNTIF($E728, _xlfn.CONCAT("*",Table13[[#Headers],[Music]],"*")),1,0)</f>
        <v>0</v>
      </c>
      <c r="U728">
        <f>IF(COUNTIF($E728, _xlfn.CONCAT("*",Table13[[#Headers],[Mystery]],"*")),1,0)</f>
        <v>0</v>
      </c>
      <c r="V728">
        <f>IF(COUNTIF($E728, _xlfn.CONCAT("*",Table13[[#Headers],[Romance]],"*")),1,0)</f>
        <v>1</v>
      </c>
      <c r="W728">
        <f>IF(COUNTIF($E728, _xlfn.CONCAT("*",Table13[[#Headers],[Science Fiction]],"*")),1,0)</f>
        <v>0</v>
      </c>
      <c r="X728">
        <f>IF(COUNTIF($E728, _xlfn.CONCAT("*",Table13[[#Headers],[TV Movie]],"*")),1,0)</f>
        <v>0</v>
      </c>
      <c r="Y728">
        <f>IF(COUNTIF($E728, _xlfn.CONCAT("*",Table13[[#Headers],[Thriller]],"*")),1,0)</f>
        <v>1</v>
      </c>
      <c r="Z728">
        <f>IF(COUNTIF($E728, _xlfn.CONCAT("*",Table13[[#Headers],[War]],"*")),1,0)</f>
        <v>0</v>
      </c>
      <c r="AA728">
        <f>IF(COUNTIF($E728, _xlfn.CONCAT("*",Table13[[#Headers],[Western]],"*")),1,0)</f>
        <v>0</v>
      </c>
    </row>
    <row r="729" spans="1:27">
      <c r="A729" t="s">
        <v>797</v>
      </c>
      <c r="B729">
        <v>44</v>
      </c>
      <c r="C729">
        <f>MAX(Table13[Rank])-Table13[[#This Row],[Rank]]</f>
        <v>220</v>
      </c>
      <c r="D729" t="s">
        <v>780</v>
      </c>
      <c r="E729" t="s">
        <v>687</v>
      </c>
      <c r="F729" s="1">
        <v>21993</v>
      </c>
      <c r="G729">
        <f>YEAR(Table13[[#This Row],[Date]])</f>
        <v>1960</v>
      </c>
      <c r="H729" t="s">
        <v>797</v>
      </c>
      <c r="I729">
        <f>IF(COUNTIF($E729, _xlfn.CONCAT("*",Table13[[#Headers],[Action]],"*")),1,0)</f>
        <v>0</v>
      </c>
      <c r="J729">
        <f>IF(COUNTIF($E729, _xlfn.CONCAT("*",Table13[[#Headers],[Adventure]],"*")),1,0)</f>
        <v>0</v>
      </c>
      <c r="K729">
        <f>IF(COUNTIF($E729, _xlfn.CONCAT("*",Table13[[#Headers],[Animation]],"*")),1,0)</f>
        <v>0</v>
      </c>
      <c r="L729">
        <f>IF(COUNTIF($E729, _xlfn.CONCAT("*",Table13[[#Headers],[Comedy]],"*")),1,0)</f>
        <v>0</v>
      </c>
      <c r="M729">
        <f>IF(COUNTIF($E729, _xlfn.CONCAT("*",Table13[[#Headers],[Crime]],"*")),1,0)</f>
        <v>1</v>
      </c>
      <c r="N729">
        <f>IF(COUNTIF($E729, _xlfn.CONCAT("*",Table13[[#Headers],[Documentary]],"*")),1,0)</f>
        <v>0</v>
      </c>
      <c r="O729">
        <f>IF(COUNTIF($E729, _xlfn.CONCAT("*",Table13[[#Headers],[Drama]],"*")),1,0)</f>
        <v>1</v>
      </c>
      <c r="P729">
        <f>IF(COUNTIF($E729, _xlfn.CONCAT("*",Table13[[#Headers],[Family]],"*")),1,0)</f>
        <v>0</v>
      </c>
      <c r="Q729">
        <f>IF(COUNTIF($E729, _xlfn.CONCAT("*",Table13[[#Headers],[Fantasy]],"*")),1,0)</f>
        <v>0</v>
      </c>
      <c r="R729">
        <f>IF(COUNTIF($E729, _xlfn.CONCAT("*",Table13[[#Headers],[History]],"*")),1,0)</f>
        <v>0</v>
      </c>
      <c r="S729">
        <f>IF(COUNTIF($E729, _xlfn.CONCAT("*",Table13[[#Headers],[Horror]],"*")),1,0)</f>
        <v>0</v>
      </c>
      <c r="T729">
        <f>IF(COUNTIF($E729, _xlfn.CONCAT("*",Table13[[#Headers],[Music]],"*")),1,0)</f>
        <v>0</v>
      </c>
      <c r="U729">
        <f>IF(COUNTIF($E729, _xlfn.CONCAT("*",Table13[[#Headers],[Mystery]],"*")),1,0)</f>
        <v>0</v>
      </c>
      <c r="V729">
        <f>IF(COUNTIF($E729, _xlfn.CONCAT("*",Table13[[#Headers],[Romance]],"*")),1,0)</f>
        <v>0</v>
      </c>
      <c r="W729">
        <f>IF(COUNTIF($E729, _xlfn.CONCAT("*",Table13[[#Headers],[Science Fiction]],"*")),1,0)</f>
        <v>0</v>
      </c>
      <c r="X729">
        <f>IF(COUNTIF($E729, _xlfn.CONCAT("*",Table13[[#Headers],[TV Movie]],"*")),1,0)</f>
        <v>0</v>
      </c>
      <c r="Y729">
        <f>IF(COUNTIF($E729, _xlfn.CONCAT("*",Table13[[#Headers],[Thriller]],"*")),1,0)</f>
        <v>1</v>
      </c>
      <c r="Z729">
        <f>IF(COUNTIF($E729, _xlfn.CONCAT("*",Table13[[#Headers],[War]],"*")),1,0)</f>
        <v>0</v>
      </c>
      <c r="AA729">
        <f>IF(COUNTIF($E729, _xlfn.CONCAT("*",Table13[[#Headers],[Western]],"*")),1,0)</f>
        <v>0</v>
      </c>
    </row>
    <row r="730" spans="1:27">
      <c r="A730" t="s">
        <v>478</v>
      </c>
      <c r="B730">
        <v>45</v>
      </c>
      <c r="C730">
        <f>MAX(Table13[Rank])-Table13[[#This Row],[Rank]]</f>
        <v>219</v>
      </c>
      <c r="D730" t="s">
        <v>780</v>
      </c>
      <c r="E730" t="s">
        <v>49</v>
      </c>
      <c r="F730" s="1">
        <v>29361</v>
      </c>
      <c r="G730">
        <f>YEAR(Table13[[#This Row],[Date]])</f>
        <v>1980</v>
      </c>
      <c r="H730" t="s">
        <v>478</v>
      </c>
      <c r="I730">
        <f>IF(COUNTIF($E730, _xlfn.CONCAT("*",Table13[[#Headers],[Action]],"*")),1,0)</f>
        <v>1</v>
      </c>
      <c r="J730">
        <f>IF(COUNTIF($E730, _xlfn.CONCAT("*",Table13[[#Headers],[Adventure]],"*")),1,0)</f>
        <v>1</v>
      </c>
      <c r="K730">
        <f>IF(COUNTIF($E730, _xlfn.CONCAT("*",Table13[[#Headers],[Animation]],"*")),1,0)</f>
        <v>0</v>
      </c>
      <c r="L730">
        <f>IF(COUNTIF($E730, _xlfn.CONCAT("*",Table13[[#Headers],[Comedy]],"*")),1,0)</f>
        <v>0</v>
      </c>
      <c r="M730">
        <f>IF(COUNTIF($E730, _xlfn.CONCAT("*",Table13[[#Headers],[Crime]],"*")),1,0)</f>
        <v>0</v>
      </c>
      <c r="N730">
        <f>IF(COUNTIF($E730, _xlfn.CONCAT("*",Table13[[#Headers],[Documentary]],"*")),1,0)</f>
        <v>0</v>
      </c>
      <c r="O730">
        <f>IF(COUNTIF($E730, _xlfn.CONCAT("*",Table13[[#Headers],[Drama]],"*")),1,0)</f>
        <v>0</v>
      </c>
      <c r="P730">
        <f>IF(COUNTIF($E730, _xlfn.CONCAT("*",Table13[[#Headers],[Family]],"*")),1,0)</f>
        <v>0</v>
      </c>
      <c r="Q730">
        <f>IF(COUNTIF($E730, _xlfn.CONCAT("*",Table13[[#Headers],[Fantasy]],"*")),1,0)</f>
        <v>0</v>
      </c>
      <c r="R730">
        <f>IF(COUNTIF($E730, _xlfn.CONCAT("*",Table13[[#Headers],[History]],"*")),1,0)</f>
        <v>0</v>
      </c>
      <c r="S730">
        <f>IF(COUNTIF($E730, _xlfn.CONCAT("*",Table13[[#Headers],[Horror]],"*")),1,0)</f>
        <v>0</v>
      </c>
      <c r="T730">
        <f>IF(COUNTIF($E730, _xlfn.CONCAT("*",Table13[[#Headers],[Music]],"*")),1,0)</f>
        <v>0</v>
      </c>
      <c r="U730">
        <f>IF(COUNTIF($E730, _xlfn.CONCAT("*",Table13[[#Headers],[Mystery]],"*")),1,0)</f>
        <v>0</v>
      </c>
      <c r="V730">
        <f>IF(COUNTIF($E730, _xlfn.CONCAT("*",Table13[[#Headers],[Romance]],"*")),1,0)</f>
        <v>0</v>
      </c>
      <c r="W730">
        <f>IF(COUNTIF($E730, _xlfn.CONCAT("*",Table13[[#Headers],[Science Fiction]],"*")),1,0)</f>
        <v>1</v>
      </c>
      <c r="X730">
        <f>IF(COUNTIF($E730, _xlfn.CONCAT("*",Table13[[#Headers],[TV Movie]],"*")),1,0)</f>
        <v>0</v>
      </c>
      <c r="Y730">
        <f>IF(COUNTIF($E730, _xlfn.CONCAT("*",Table13[[#Headers],[Thriller]],"*")),1,0)</f>
        <v>0</v>
      </c>
      <c r="Z730">
        <f>IF(COUNTIF($E730, _xlfn.CONCAT("*",Table13[[#Headers],[War]],"*")),1,0)</f>
        <v>0</v>
      </c>
      <c r="AA730">
        <f>IF(COUNTIF($E730, _xlfn.CONCAT("*",Table13[[#Headers],[Western]],"*")),1,0)</f>
        <v>0</v>
      </c>
    </row>
    <row r="731" spans="1:27">
      <c r="A731" t="s">
        <v>393</v>
      </c>
      <c r="B731">
        <v>46</v>
      </c>
      <c r="C731">
        <f>MAX(Table13[Rank])-Table13[[#This Row],[Rank]]</f>
        <v>218</v>
      </c>
      <c r="D731" t="s">
        <v>780</v>
      </c>
      <c r="E731" t="s">
        <v>35</v>
      </c>
      <c r="F731" s="1">
        <v>36798</v>
      </c>
      <c r="G731">
        <f>YEAR(Table13[[#This Row],[Date]])</f>
        <v>2000</v>
      </c>
      <c r="H731" t="s">
        <v>393</v>
      </c>
      <c r="I731">
        <f>IF(COUNTIF($E731, _xlfn.CONCAT("*",Table13[[#Headers],[Action]],"*")),1,0)</f>
        <v>0</v>
      </c>
      <c r="J731">
        <f>IF(COUNTIF($E731, _xlfn.CONCAT("*",Table13[[#Headers],[Adventure]],"*")),1,0)</f>
        <v>0</v>
      </c>
      <c r="K731">
        <f>IF(COUNTIF($E731, _xlfn.CONCAT("*",Table13[[#Headers],[Animation]],"*")),1,0)</f>
        <v>0</v>
      </c>
      <c r="L731">
        <f>IF(COUNTIF($E731, _xlfn.CONCAT("*",Table13[[#Headers],[Comedy]],"*")),1,0)</f>
        <v>0</v>
      </c>
      <c r="M731">
        <f>IF(COUNTIF($E731, _xlfn.CONCAT("*",Table13[[#Headers],[Crime]],"*")),1,0)</f>
        <v>0</v>
      </c>
      <c r="N731">
        <f>IF(COUNTIF($E731, _xlfn.CONCAT("*",Table13[[#Headers],[Documentary]],"*")),1,0)</f>
        <v>0</v>
      </c>
      <c r="O731">
        <f>IF(COUNTIF($E731, _xlfn.CONCAT("*",Table13[[#Headers],[Drama]],"*")),1,0)</f>
        <v>1</v>
      </c>
      <c r="P731">
        <f>IF(COUNTIF($E731, _xlfn.CONCAT("*",Table13[[#Headers],[Family]],"*")),1,0)</f>
        <v>0</v>
      </c>
      <c r="Q731">
        <f>IF(COUNTIF($E731, _xlfn.CONCAT("*",Table13[[#Headers],[Fantasy]],"*")),1,0)</f>
        <v>0</v>
      </c>
      <c r="R731">
        <f>IF(COUNTIF($E731, _xlfn.CONCAT("*",Table13[[#Headers],[History]],"*")),1,0)</f>
        <v>0</v>
      </c>
      <c r="S731">
        <f>IF(COUNTIF($E731, _xlfn.CONCAT("*",Table13[[#Headers],[Horror]],"*")),1,0)</f>
        <v>0</v>
      </c>
      <c r="T731">
        <f>IF(COUNTIF($E731, _xlfn.CONCAT("*",Table13[[#Headers],[Music]],"*")),1,0)</f>
        <v>0</v>
      </c>
      <c r="U731">
        <f>IF(COUNTIF($E731, _xlfn.CONCAT("*",Table13[[#Headers],[Mystery]],"*")),1,0)</f>
        <v>0</v>
      </c>
      <c r="V731">
        <f>IF(COUNTIF($E731, _xlfn.CONCAT("*",Table13[[#Headers],[Romance]],"*")),1,0)</f>
        <v>1</v>
      </c>
      <c r="W731">
        <f>IF(COUNTIF($E731, _xlfn.CONCAT("*",Table13[[#Headers],[Science Fiction]],"*")),1,0)</f>
        <v>0</v>
      </c>
      <c r="X731">
        <f>IF(COUNTIF($E731, _xlfn.CONCAT("*",Table13[[#Headers],[TV Movie]],"*")),1,0)</f>
        <v>0</v>
      </c>
      <c r="Y731">
        <f>IF(COUNTIF($E731, _xlfn.CONCAT("*",Table13[[#Headers],[Thriller]],"*")),1,0)</f>
        <v>0</v>
      </c>
      <c r="Z731">
        <f>IF(COUNTIF($E731, _xlfn.CONCAT("*",Table13[[#Headers],[War]],"*")),1,0)</f>
        <v>0</v>
      </c>
      <c r="AA731">
        <f>IF(COUNTIF($E731, _xlfn.CONCAT("*",Table13[[#Headers],[Western]],"*")),1,0)</f>
        <v>0</v>
      </c>
    </row>
    <row r="732" spans="1:27">
      <c r="A732" t="s">
        <v>434</v>
      </c>
      <c r="B732">
        <v>47</v>
      </c>
      <c r="C732">
        <f>MAX(Table13[Rank])-Table13[[#This Row],[Rank]]</f>
        <v>217</v>
      </c>
      <c r="D732" t="s">
        <v>780</v>
      </c>
      <c r="E732" t="s">
        <v>156</v>
      </c>
      <c r="F732" s="1">
        <v>33002</v>
      </c>
      <c r="G732">
        <f>YEAR(Table13[[#This Row],[Date]])</f>
        <v>1990</v>
      </c>
      <c r="H732" t="s">
        <v>434</v>
      </c>
      <c r="I732">
        <f>IF(COUNTIF($E732, _xlfn.CONCAT("*",Table13[[#Headers],[Action]],"*")),1,0)</f>
        <v>0</v>
      </c>
      <c r="J732">
        <f>IF(COUNTIF($E732, _xlfn.CONCAT("*",Table13[[#Headers],[Adventure]],"*")),1,0)</f>
        <v>0</v>
      </c>
      <c r="K732">
        <f>IF(COUNTIF($E732, _xlfn.CONCAT("*",Table13[[#Headers],[Animation]],"*")),1,0)</f>
        <v>0</v>
      </c>
      <c r="L732">
        <f>IF(COUNTIF($E732, _xlfn.CONCAT("*",Table13[[#Headers],[Comedy]],"*")),1,0)</f>
        <v>0</v>
      </c>
      <c r="M732">
        <f>IF(COUNTIF($E732, _xlfn.CONCAT("*",Table13[[#Headers],[Crime]],"*")),1,0)</f>
        <v>1</v>
      </c>
      <c r="N732">
        <f>IF(COUNTIF($E732, _xlfn.CONCAT("*",Table13[[#Headers],[Documentary]],"*")),1,0)</f>
        <v>0</v>
      </c>
      <c r="O732">
        <f>IF(COUNTIF($E732, _xlfn.CONCAT("*",Table13[[#Headers],[Drama]],"*")),1,0)</f>
        <v>1</v>
      </c>
      <c r="P732">
        <f>IF(COUNTIF($E732, _xlfn.CONCAT("*",Table13[[#Headers],[Family]],"*")),1,0)</f>
        <v>0</v>
      </c>
      <c r="Q732">
        <f>IF(COUNTIF($E732, _xlfn.CONCAT("*",Table13[[#Headers],[Fantasy]],"*")),1,0)</f>
        <v>0</v>
      </c>
      <c r="R732">
        <f>IF(COUNTIF($E732, _xlfn.CONCAT("*",Table13[[#Headers],[History]],"*")),1,0)</f>
        <v>0</v>
      </c>
      <c r="S732">
        <f>IF(COUNTIF($E732, _xlfn.CONCAT("*",Table13[[#Headers],[Horror]],"*")),1,0)</f>
        <v>0</v>
      </c>
      <c r="T732">
        <f>IF(COUNTIF($E732, _xlfn.CONCAT("*",Table13[[#Headers],[Music]],"*")),1,0)</f>
        <v>0</v>
      </c>
      <c r="U732">
        <f>IF(COUNTIF($E732, _xlfn.CONCAT("*",Table13[[#Headers],[Mystery]],"*")),1,0)</f>
        <v>0</v>
      </c>
      <c r="V732">
        <f>IF(COUNTIF($E732, _xlfn.CONCAT("*",Table13[[#Headers],[Romance]],"*")),1,0)</f>
        <v>0</v>
      </c>
      <c r="W732">
        <f>IF(COUNTIF($E732, _xlfn.CONCAT("*",Table13[[#Headers],[Science Fiction]],"*")),1,0)</f>
        <v>0</v>
      </c>
      <c r="X732">
        <f>IF(COUNTIF($E732, _xlfn.CONCAT("*",Table13[[#Headers],[TV Movie]],"*")),1,0)</f>
        <v>0</v>
      </c>
      <c r="Y732">
        <f>IF(COUNTIF($E732, _xlfn.CONCAT("*",Table13[[#Headers],[Thriller]],"*")),1,0)</f>
        <v>0</v>
      </c>
      <c r="Z732">
        <f>IF(COUNTIF($E732, _xlfn.CONCAT("*",Table13[[#Headers],[War]],"*")),1,0)</f>
        <v>0</v>
      </c>
      <c r="AA732">
        <f>IF(COUNTIF($E732, _xlfn.CONCAT("*",Table13[[#Headers],[Western]],"*")),1,0)</f>
        <v>0</v>
      </c>
    </row>
    <row r="733" spans="1:27">
      <c r="A733" t="s">
        <v>798</v>
      </c>
      <c r="B733">
        <v>48</v>
      </c>
      <c r="C733">
        <f>MAX(Table13[Rank])-Table13[[#This Row],[Rank]]</f>
        <v>216</v>
      </c>
      <c r="D733" t="s">
        <v>780</v>
      </c>
      <c r="E733" t="s">
        <v>367</v>
      </c>
      <c r="F733" s="1">
        <v>37743</v>
      </c>
      <c r="G733">
        <f>YEAR(Table13[[#This Row],[Date]])</f>
        <v>2003</v>
      </c>
      <c r="H733" t="s">
        <v>798</v>
      </c>
      <c r="I733">
        <f>IF(COUNTIF($E733, _xlfn.CONCAT("*",Table13[[#Headers],[Action]],"*")),1,0)</f>
        <v>0</v>
      </c>
      <c r="J733">
        <f>IF(COUNTIF($E733, _xlfn.CONCAT("*",Table13[[#Headers],[Adventure]],"*")),1,0)</f>
        <v>0</v>
      </c>
      <c r="K733">
        <f>IF(COUNTIF($E733, _xlfn.CONCAT("*",Table13[[#Headers],[Animation]],"*")),1,0)</f>
        <v>0</v>
      </c>
      <c r="L733">
        <f>IF(COUNTIF($E733, _xlfn.CONCAT("*",Table13[[#Headers],[Comedy]],"*")),1,0)</f>
        <v>0</v>
      </c>
      <c r="M733">
        <f>IF(COUNTIF($E733, _xlfn.CONCAT("*",Table13[[#Headers],[Crime]],"*")),1,0)</f>
        <v>1</v>
      </c>
      <c r="N733">
        <f>IF(COUNTIF($E733, _xlfn.CONCAT("*",Table13[[#Headers],[Documentary]],"*")),1,0)</f>
        <v>0</v>
      </c>
      <c r="O733">
        <f>IF(COUNTIF($E733, _xlfn.CONCAT("*",Table13[[#Headers],[Drama]],"*")),1,0)</f>
        <v>1</v>
      </c>
      <c r="P733">
        <f>IF(COUNTIF($E733, _xlfn.CONCAT("*",Table13[[#Headers],[Family]],"*")),1,0)</f>
        <v>0</v>
      </c>
      <c r="Q733">
        <f>IF(COUNTIF($E733, _xlfn.CONCAT("*",Table13[[#Headers],[Fantasy]],"*")),1,0)</f>
        <v>0</v>
      </c>
      <c r="R733">
        <f>IF(COUNTIF($E733, _xlfn.CONCAT("*",Table13[[#Headers],[History]],"*")),1,0)</f>
        <v>0</v>
      </c>
      <c r="S733">
        <f>IF(COUNTIF($E733, _xlfn.CONCAT("*",Table13[[#Headers],[Horror]],"*")),1,0)</f>
        <v>0</v>
      </c>
      <c r="T733">
        <f>IF(COUNTIF($E733, _xlfn.CONCAT("*",Table13[[#Headers],[Music]],"*")),1,0)</f>
        <v>0</v>
      </c>
      <c r="U733">
        <f>IF(COUNTIF($E733, _xlfn.CONCAT("*",Table13[[#Headers],[Mystery]],"*")),1,0)</f>
        <v>0</v>
      </c>
      <c r="V733">
        <f>IF(COUNTIF($E733, _xlfn.CONCAT("*",Table13[[#Headers],[Romance]],"*")),1,0)</f>
        <v>0</v>
      </c>
      <c r="W733">
        <f>IF(COUNTIF($E733, _xlfn.CONCAT("*",Table13[[#Headers],[Science Fiction]],"*")),1,0)</f>
        <v>0</v>
      </c>
      <c r="X733">
        <f>IF(COUNTIF($E733, _xlfn.CONCAT("*",Table13[[#Headers],[TV Movie]],"*")),1,0)</f>
        <v>0</v>
      </c>
      <c r="Y733">
        <f>IF(COUNTIF($E733, _xlfn.CONCAT("*",Table13[[#Headers],[Thriller]],"*")),1,0)</f>
        <v>1</v>
      </c>
      <c r="Z733">
        <f>IF(COUNTIF($E733, _xlfn.CONCAT("*",Table13[[#Headers],[War]],"*")),1,0)</f>
        <v>0</v>
      </c>
      <c r="AA733">
        <f>IF(COUNTIF($E733, _xlfn.CONCAT("*",Table13[[#Headers],[Western]],"*")),1,0)</f>
        <v>0</v>
      </c>
    </row>
    <row r="734" spans="1:27">
      <c r="A734" t="s">
        <v>799</v>
      </c>
      <c r="B734">
        <v>49</v>
      </c>
      <c r="C734">
        <f>MAX(Table13[Rank])-Table13[[#This Row],[Rank]]</f>
        <v>215</v>
      </c>
      <c r="D734" t="s">
        <v>780</v>
      </c>
      <c r="E734" t="s">
        <v>21</v>
      </c>
      <c r="F734" s="1">
        <v>31182</v>
      </c>
      <c r="G734">
        <f>YEAR(Table13[[#This Row],[Date]])</f>
        <v>1985</v>
      </c>
      <c r="H734" t="s">
        <v>799</v>
      </c>
      <c r="I734">
        <f>IF(COUNTIF($E734, _xlfn.CONCAT("*",Table13[[#Headers],[Action]],"*")),1,0)</f>
        <v>0</v>
      </c>
      <c r="J734">
        <f>IF(COUNTIF($E734, _xlfn.CONCAT("*",Table13[[#Headers],[Adventure]],"*")),1,0)</f>
        <v>0</v>
      </c>
      <c r="K734">
        <f>IF(COUNTIF($E734, _xlfn.CONCAT("*",Table13[[#Headers],[Animation]],"*")),1,0)</f>
        <v>0</v>
      </c>
      <c r="L734">
        <f>IF(COUNTIF($E734, _xlfn.CONCAT("*",Table13[[#Headers],[Comedy]],"*")),1,0)</f>
        <v>0</v>
      </c>
      <c r="M734">
        <f>IF(COUNTIF($E734, _xlfn.CONCAT("*",Table13[[#Headers],[Crime]],"*")),1,0)</f>
        <v>0</v>
      </c>
      <c r="N734">
        <f>IF(COUNTIF($E734, _xlfn.CONCAT("*",Table13[[#Headers],[Documentary]],"*")),1,0)</f>
        <v>0</v>
      </c>
      <c r="O734">
        <f>IF(COUNTIF($E734, _xlfn.CONCAT("*",Table13[[#Headers],[Drama]],"*")),1,0)</f>
        <v>1</v>
      </c>
      <c r="P734">
        <f>IF(COUNTIF($E734, _xlfn.CONCAT("*",Table13[[#Headers],[Family]],"*")),1,0)</f>
        <v>0</v>
      </c>
      <c r="Q734">
        <f>IF(COUNTIF($E734, _xlfn.CONCAT("*",Table13[[#Headers],[Fantasy]],"*")),1,0)</f>
        <v>0</v>
      </c>
      <c r="R734">
        <f>IF(COUNTIF($E734, _xlfn.CONCAT("*",Table13[[#Headers],[History]],"*")),1,0)</f>
        <v>0</v>
      </c>
      <c r="S734">
        <f>IF(COUNTIF($E734, _xlfn.CONCAT("*",Table13[[#Headers],[Horror]],"*")),1,0)</f>
        <v>0</v>
      </c>
      <c r="T734">
        <f>IF(COUNTIF($E734, _xlfn.CONCAT("*",Table13[[#Headers],[Music]],"*")),1,0)</f>
        <v>0</v>
      </c>
      <c r="U734">
        <f>IF(COUNTIF($E734, _xlfn.CONCAT("*",Table13[[#Headers],[Mystery]],"*")),1,0)</f>
        <v>0</v>
      </c>
      <c r="V734">
        <f>IF(COUNTIF($E734, _xlfn.CONCAT("*",Table13[[#Headers],[Romance]],"*")),1,0)</f>
        <v>0</v>
      </c>
      <c r="W734">
        <f>IF(COUNTIF($E734, _xlfn.CONCAT("*",Table13[[#Headers],[Science Fiction]],"*")),1,0)</f>
        <v>0</v>
      </c>
      <c r="X734">
        <f>IF(COUNTIF($E734, _xlfn.CONCAT("*",Table13[[#Headers],[TV Movie]],"*")),1,0)</f>
        <v>0</v>
      </c>
      <c r="Y734">
        <f>IF(COUNTIF($E734, _xlfn.CONCAT("*",Table13[[#Headers],[Thriller]],"*")),1,0)</f>
        <v>0</v>
      </c>
      <c r="Z734">
        <f>IF(COUNTIF($E734, _xlfn.CONCAT("*",Table13[[#Headers],[War]],"*")),1,0)</f>
        <v>0</v>
      </c>
      <c r="AA734">
        <f>IF(COUNTIF($E734, _xlfn.CONCAT("*",Table13[[#Headers],[Western]],"*")),1,0)</f>
        <v>0</v>
      </c>
    </row>
    <row r="735" spans="1:27">
      <c r="A735" t="s">
        <v>119</v>
      </c>
      <c r="B735">
        <v>50</v>
      </c>
      <c r="C735">
        <f>MAX(Table13[Rank])-Table13[[#This Row],[Rank]]</f>
        <v>214</v>
      </c>
      <c r="D735" t="s">
        <v>780</v>
      </c>
      <c r="E735" t="s">
        <v>21</v>
      </c>
      <c r="F735" s="1">
        <v>30879</v>
      </c>
      <c r="G735">
        <f>YEAR(Table13[[#This Row],[Date]])</f>
        <v>1984</v>
      </c>
      <c r="H735" t="s">
        <v>119</v>
      </c>
      <c r="I735">
        <f>IF(COUNTIF($E735, _xlfn.CONCAT("*",Table13[[#Headers],[Action]],"*")),1,0)</f>
        <v>0</v>
      </c>
      <c r="J735">
        <f>IF(COUNTIF($E735, _xlfn.CONCAT("*",Table13[[#Headers],[Adventure]],"*")),1,0)</f>
        <v>0</v>
      </c>
      <c r="K735">
        <f>IF(COUNTIF($E735, _xlfn.CONCAT("*",Table13[[#Headers],[Animation]],"*")),1,0)</f>
        <v>0</v>
      </c>
      <c r="L735">
        <f>IF(COUNTIF($E735, _xlfn.CONCAT("*",Table13[[#Headers],[Comedy]],"*")),1,0)</f>
        <v>0</v>
      </c>
      <c r="M735">
        <f>IF(COUNTIF($E735, _xlfn.CONCAT("*",Table13[[#Headers],[Crime]],"*")),1,0)</f>
        <v>0</v>
      </c>
      <c r="N735">
        <f>IF(COUNTIF($E735, _xlfn.CONCAT("*",Table13[[#Headers],[Documentary]],"*")),1,0)</f>
        <v>0</v>
      </c>
      <c r="O735">
        <f>IF(COUNTIF($E735, _xlfn.CONCAT("*",Table13[[#Headers],[Drama]],"*")),1,0)</f>
        <v>1</v>
      </c>
      <c r="P735">
        <f>IF(COUNTIF($E735, _xlfn.CONCAT("*",Table13[[#Headers],[Family]],"*")),1,0)</f>
        <v>0</v>
      </c>
      <c r="Q735">
        <f>IF(COUNTIF($E735, _xlfn.CONCAT("*",Table13[[#Headers],[Fantasy]],"*")),1,0)</f>
        <v>0</v>
      </c>
      <c r="R735">
        <f>IF(COUNTIF($E735, _xlfn.CONCAT("*",Table13[[#Headers],[History]],"*")),1,0)</f>
        <v>0</v>
      </c>
      <c r="S735">
        <f>IF(COUNTIF($E735, _xlfn.CONCAT("*",Table13[[#Headers],[Horror]],"*")),1,0)</f>
        <v>0</v>
      </c>
      <c r="T735">
        <f>IF(COUNTIF($E735, _xlfn.CONCAT("*",Table13[[#Headers],[Music]],"*")),1,0)</f>
        <v>0</v>
      </c>
      <c r="U735">
        <f>IF(COUNTIF($E735, _xlfn.CONCAT("*",Table13[[#Headers],[Mystery]],"*")),1,0)</f>
        <v>0</v>
      </c>
      <c r="V735">
        <f>IF(COUNTIF($E735, _xlfn.CONCAT("*",Table13[[#Headers],[Romance]],"*")),1,0)</f>
        <v>0</v>
      </c>
      <c r="W735">
        <f>IF(COUNTIF($E735, _xlfn.CONCAT("*",Table13[[#Headers],[Science Fiction]],"*")),1,0)</f>
        <v>0</v>
      </c>
      <c r="X735">
        <f>IF(COUNTIF($E735, _xlfn.CONCAT("*",Table13[[#Headers],[TV Movie]],"*")),1,0)</f>
        <v>0</v>
      </c>
      <c r="Y735">
        <f>IF(COUNTIF($E735, _xlfn.CONCAT("*",Table13[[#Headers],[Thriller]],"*")),1,0)</f>
        <v>0</v>
      </c>
      <c r="Z735">
        <f>IF(COUNTIF($E735, _xlfn.CONCAT("*",Table13[[#Headers],[War]],"*")),1,0)</f>
        <v>0</v>
      </c>
      <c r="AA735">
        <f>IF(COUNTIF($E735, _xlfn.CONCAT("*",Table13[[#Headers],[Western]],"*")),1,0)</f>
        <v>0</v>
      </c>
    </row>
    <row r="736" spans="1:27">
      <c r="A736" t="s">
        <v>800</v>
      </c>
      <c r="B736">
        <v>51</v>
      </c>
      <c r="C736">
        <f>MAX(Table13[Rank])-Table13[[#This Row],[Rank]]</f>
        <v>213</v>
      </c>
      <c r="D736" t="s">
        <v>780</v>
      </c>
      <c r="E736" t="s">
        <v>801</v>
      </c>
      <c r="F736" s="1">
        <v>41592</v>
      </c>
      <c r="G736">
        <f>YEAR(Table13[[#This Row],[Date]])</f>
        <v>2013</v>
      </c>
      <c r="H736" t="s">
        <v>800</v>
      </c>
      <c r="I736">
        <f>IF(COUNTIF($E736, _xlfn.CONCAT("*",Table13[[#Headers],[Action]],"*")),1,0)</f>
        <v>1</v>
      </c>
      <c r="J736">
        <f>IF(COUNTIF($E736, _xlfn.CONCAT("*",Table13[[#Headers],[Adventure]],"*")),1,0)</f>
        <v>0</v>
      </c>
      <c r="K736">
        <f>IF(COUNTIF($E736, _xlfn.CONCAT("*",Table13[[#Headers],[Animation]],"*")),1,0)</f>
        <v>0</v>
      </c>
      <c r="L736">
        <f>IF(COUNTIF($E736, _xlfn.CONCAT("*",Table13[[#Headers],[Comedy]],"*")),1,0)</f>
        <v>0</v>
      </c>
      <c r="M736">
        <f>IF(COUNTIF($E736, _xlfn.CONCAT("*",Table13[[#Headers],[Crime]],"*")),1,0)</f>
        <v>0</v>
      </c>
      <c r="N736">
        <f>IF(COUNTIF($E736, _xlfn.CONCAT("*",Table13[[#Headers],[Documentary]],"*")),1,0)</f>
        <v>0</v>
      </c>
      <c r="O736">
        <f>IF(COUNTIF($E736, _xlfn.CONCAT("*",Table13[[#Headers],[Drama]],"*")),1,0)</f>
        <v>1</v>
      </c>
      <c r="P736">
        <f>IF(COUNTIF($E736, _xlfn.CONCAT("*",Table13[[#Headers],[Family]],"*")),1,0)</f>
        <v>0</v>
      </c>
      <c r="Q736">
        <f>IF(COUNTIF($E736, _xlfn.CONCAT("*",Table13[[#Headers],[Fantasy]],"*")),1,0)</f>
        <v>0</v>
      </c>
      <c r="R736">
        <f>IF(COUNTIF($E736, _xlfn.CONCAT("*",Table13[[#Headers],[History]],"*")),1,0)</f>
        <v>0</v>
      </c>
      <c r="S736">
        <f>IF(COUNTIF($E736, _xlfn.CONCAT("*",Table13[[#Headers],[Horror]],"*")),1,0)</f>
        <v>0</v>
      </c>
      <c r="T736">
        <f>IF(COUNTIF($E736, _xlfn.CONCAT("*",Table13[[#Headers],[Music]],"*")),1,0)</f>
        <v>0</v>
      </c>
      <c r="U736">
        <f>IF(COUNTIF($E736, _xlfn.CONCAT("*",Table13[[#Headers],[Mystery]],"*")),1,0)</f>
        <v>1</v>
      </c>
      <c r="V736">
        <f>IF(COUNTIF($E736, _xlfn.CONCAT("*",Table13[[#Headers],[Romance]],"*")),1,0)</f>
        <v>0</v>
      </c>
      <c r="W736">
        <f>IF(COUNTIF($E736, _xlfn.CONCAT("*",Table13[[#Headers],[Science Fiction]],"*")),1,0)</f>
        <v>0</v>
      </c>
      <c r="X736">
        <f>IF(COUNTIF($E736, _xlfn.CONCAT("*",Table13[[#Headers],[TV Movie]],"*")),1,0)</f>
        <v>0</v>
      </c>
      <c r="Y736">
        <f>IF(COUNTIF($E736, _xlfn.CONCAT("*",Table13[[#Headers],[Thriller]],"*")),1,0)</f>
        <v>1</v>
      </c>
      <c r="Z736">
        <f>IF(COUNTIF($E736, _xlfn.CONCAT("*",Table13[[#Headers],[War]],"*")),1,0)</f>
        <v>0</v>
      </c>
      <c r="AA736">
        <f>IF(COUNTIF($E736, _xlfn.CONCAT("*",Table13[[#Headers],[Western]],"*")),1,0)</f>
        <v>0</v>
      </c>
    </row>
    <row r="737" spans="1:27">
      <c r="A737" t="s">
        <v>369</v>
      </c>
      <c r="B737">
        <v>52</v>
      </c>
      <c r="C737">
        <f>MAX(Table13[Rank])-Table13[[#This Row],[Rank]]</f>
        <v>212</v>
      </c>
      <c r="D737" t="s">
        <v>780</v>
      </c>
      <c r="E737" t="s">
        <v>21</v>
      </c>
      <c r="F737" s="1">
        <v>32673</v>
      </c>
      <c r="G737">
        <f>YEAR(Table13[[#This Row],[Date]])</f>
        <v>1989</v>
      </c>
      <c r="H737" t="s">
        <v>369</v>
      </c>
      <c r="I737">
        <f>IF(COUNTIF($E737, _xlfn.CONCAT("*",Table13[[#Headers],[Action]],"*")),1,0)</f>
        <v>0</v>
      </c>
      <c r="J737">
        <f>IF(COUNTIF($E737, _xlfn.CONCAT("*",Table13[[#Headers],[Adventure]],"*")),1,0)</f>
        <v>0</v>
      </c>
      <c r="K737">
        <f>IF(COUNTIF($E737, _xlfn.CONCAT("*",Table13[[#Headers],[Animation]],"*")),1,0)</f>
        <v>0</v>
      </c>
      <c r="L737">
        <f>IF(COUNTIF($E737, _xlfn.CONCAT("*",Table13[[#Headers],[Comedy]],"*")),1,0)</f>
        <v>0</v>
      </c>
      <c r="M737">
        <f>IF(COUNTIF($E737, _xlfn.CONCAT("*",Table13[[#Headers],[Crime]],"*")),1,0)</f>
        <v>0</v>
      </c>
      <c r="N737">
        <f>IF(COUNTIF($E737, _xlfn.CONCAT("*",Table13[[#Headers],[Documentary]],"*")),1,0)</f>
        <v>0</v>
      </c>
      <c r="O737">
        <f>IF(COUNTIF($E737, _xlfn.CONCAT("*",Table13[[#Headers],[Drama]],"*")),1,0)</f>
        <v>1</v>
      </c>
      <c r="P737">
        <f>IF(COUNTIF($E737, _xlfn.CONCAT("*",Table13[[#Headers],[Family]],"*")),1,0)</f>
        <v>0</v>
      </c>
      <c r="Q737">
        <f>IF(COUNTIF($E737, _xlfn.CONCAT("*",Table13[[#Headers],[Fantasy]],"*")),1,0)</f>
        <v>0</v>
      </c>
      <c r="R737">
        <f>IF(COUNTIF($E737, _xlfn.CONCAT("*",Table13[[#Headers],[History]],"*")),1,0)</f>
        <v>0</v>
      </c>
      <c r="S737">
        <f>IF(COUNTIF($E737, _xlfn.CONCAT("*",Table13[[#Headers],[Horror]],"*")),1,0)</f>
        <v>0</v>
      </c>
      <c r="T737">
        <f>IF(COUNTIF($E737, _xlfn.CONCAT("*",Table13[[#Headers],[Music]],"*")),1,0)</f>
        <v>0</v>
      </c>
      <c r="U737">
        <f>IF(COUNTIF($E737, _xlfn.CONCAT("*",Table13[[#Headers],[Mystery]],"*")),1,0)</f>
        <v>0</v>
      </c>
      <c r="V737">
        <f>IF(COUNTIF($E737, _xlfn.CONCAT("*",Table13[[#Headers],[Romance]],"*")),1,0)</f>
        <v>0</v>
      </c>
      <c r="W737">
        <f>IF(COUNTIF($E737, _xlfn.CONCAT("*",Table13[[#Headers],[Science Fiction]],"*")),1,0)</f>
        <v>0</v>
      </c>
      <c r="X737">
        <f>IF(COUNTIF($E737, _xlfn.CONCAT("*",Table13[[#Headers],[TV Movie]],"*")),1,0)</f>
        <v>0</v>
      </c>
      <c r="Y737">
        <f>IF(COUNTIF($E737, _xlfn.CONCAT("*",Table13[[#Headers],[Thriller]],"*")),1,0)</f>
        <v>0</v>
      </c>
      <c r="Z737">
        <f>IF(COUNTIF($E737, _xlfn.CONCAT("*",Table13[[#Headers],[War]],"*")),1,0)</f>
        <v>0</v>
      </c>
      <c r="AA737">
        <f>IF(COUNTIF($E737, _xlfn.CONCAT("*",Table13[[#Headers],[Western]],"*")),1,0)</f>
        <v>0</v>
      </c>
    </row>
    <row r="738" spans="1:27">
      <c r="A738" t="s">
        <v>221</v>
      </c>
      <c r="B738">
        <v>53</v>
      </c>
      <c r="C738">
        <f>MAX(Table13[Rank])-Table13[[#This Row],[Rank]]</f>
        <v>211</v>
      </c>
      <c r="D738" t="s">
        <v>780</v>
      </c>
      <c r="E738" t="s">
        <v>222</v>
      </c>
      <c r="F738" s="1">
        <v>30302</v>
      </c>
      <c r="G738">
        <f>YEAR(Table13[[#This Row],[Date]])</f>
        <v>1982</v>
      </c>
      <c r="H738" t="s">
        <v>221</v>
      </c>
      <c r="I738">
        <f>IF(COUNTIF($E738, _xlfn.CONCAT("*",Table13[[#Headers],[Action]],"*")),1,0)</f>
        <v>0</v>
      </c>
      <c r="J738">
        <f>IF(COUNTIF($E738, _xlfn.CONCAT("*",Table13[[#Headers],[Adventure]],"*")),1,0)</f>
        <v>0</v>
      </c>
      <c r="K738">
        <f>IF(COUNTIF($E738, _xlfn.CONCAT("*",Table13[[#Headers],[Animation]],"*")),1,0)</f>
        <v>0</v>
      </c>
      <c r="L738">
        <f>IF(COUNTIF($E738, _xlfn.CONCAT("*",Table13[[#Headers],[Comedy]],"*")),1,0)</f>
        <v>0</v>
      </c>
      <c r="M738">
        <f>IF(COUNTIF($E738, _xlfn.CONCAT("*",Table13[[#Headers],[Crime]],"*")),1,0)</f>
        <v>0</v>
      </c>
      <c r="N738">
        <f>IF(COUNTIF($E738, _xlfn.CONCAT("*",Table13[[#Headers],[Documentary]],"*")),1,0)</f>
        <v>0</v>
      </c>
      <c r="O738">
        <f>IF(COUNTIF($E738, _xlfn.CONCAT("*",Table13[[#Headers],[Drama]],"*")),1,0)</f>
        <v>1</v>
      </c>
      <c r="P738">
        <f>IF(COUNTIF($E738, _xlfn.CONCAT("*",Table13[[#Headers],[Family]],"*")),1,0)</f>
        <v>0</v>
      </c>
      <c r="Q738">
        <f>IF(COUNTIF($E738, _xlfn.CONCAT("*",Table13[[#Headers],[Fantasy]],"*")),1,0)</f>
        <v>1</v>
      </c>
      <c r="R738">
        <f>IF(COUNTIF($E738, _xlfn.CONCAT("*",Table13[[#Headers],[History]],"*")),1,0)</f>
        <v>0</v>
      </c>
      <c r="S738">
        <f>IF(COUNTIF($E738, _xlfn.CONCAT("*",Table13[[#Headers],[Horror]],"*")),1,0)</f>
        <v>0</v>
      </c>
      <c r="T738">
        <f>IF(COUNTIF($E738, _xlfn.CONCAT("*",Table13[[#Headers],[Music]],"*")),1,0)</f>
        <v>0</v>
      </c>
      <c r="U738">
        <f>IF(COUNTIF($E738, _xlfn.CONCAT("*",Table13[[#Headers],[Mystery]],"*")),1,0)</f>
        <v>1</v>
      </c>
      <c r="V738">
        <f>IF(COUNTIF($E738, _xlfn.CONCAT("*",Table13[[#Headers],[Romance]],"*")),1,0)</f>
        <v>0</v>
      </c>
      <c r="W738">
        <f>IF(COUNTIF($E738, _xlfn.CONCAT("*",Table13[[#Headers],[Science Fiction]],"*")),1,0)</f>
        <v>0</v>
      </c>
      <c r="X738">
        <f>IF(COUNTIF($E738, _xlfn.CONCAT("*",Table13[[#Headers],[TV Movie]],"*")),1,0)</f>
        <v>0</v>
      </c>
      <c r="Y738">
        <f>IF(COUNTIF($E738, _xlfn.CONCAT("*",Table13[[#Headers],[Thriller]],"*")),1,0)</f>
        <v>0</v>
      </c>
      <c r="Z738">
        <f>IF(COUNTIF($E738, _xlfn.CONCAT("*",Table13[[#Headers],[War]],"*")),1,0)</f>
        <v>0</v>
      </c>
      <c r="AA738">
        <f>IF(COUNTIF($E738, _xlfn.CONCAT("*",Table13[[#Headers],[Western]],"*")),1,0)</f>
        <v>0</v>
      </c>
    </row>
    <row r="739" spans="1:27">
      <c r="A739" t="s">
        <v>802</v>
      </c>
      <c r="B739">
        <v>54</v>
      </c>
      <c r="C739">
        <f>MAX(Table13[Rank])-Table13[[#This Row],[Rank]]</f>
        <v>210</v>
      </c>
      <c r="D739" t="s">
        <v>780</v>
      </c>
      <c r="E739" t="s">
        <v>803</v>
      </c>
      <c r="F739" s="1">
        <v>35854</v>
      </c>
      <c r="G739">
        <f>YEAR(Table13[[#This Row],[Date]])</f>
        <v>1998</v>
      </c>
      <c r="H739" t="s">
        <v>802</v>
      </c>
      <c r="I739">
        <f>IF(COUNTIF($E739, _xlfn.CONCAT("*",Table13[[#Headers],[Action]],"*")),1,0)</f>
        <v>0</v>
      </c>
      <c r="J739">
        <f>IF(COUNTIF($E739, _xlfn.CONCAT("*",Table13[[#Headers],[Adventure]],"*")),1,0)</f>
        <v>0</v>
      </c>
      <c r="K739">
        <f>IF(COUNTIF($E739, _xlfn.CONCAT("*",Table13[[#Headers],[Animation]],"*")),1,0)</f>
        <v>1</v>
      </c>
      <c r="L739">
        <f>IF(COUNTIF($E739, _xlfn.CONCAT("*",Table13[[#Headers],[Comedy]],"*")),1,0)</f>
        <v>0</v>
      </c>
      <c r="M739">
        <f>IF(COUNTIF($E739, _xlfn.CONCAT("*",Table13[[#Headers],[Crime]],"*")),1,0)</f>
        <v>0</v>
      </c>
      <c r="N739">
        <f>IF(COUNTIF($E739, _xlfn.CONCAT("*",Table13[[#Headers],[Documentary]],"*")),1,0)</f>
        <v>0</v>
      </c>
      <c r="O739">
        <f>IF(COUNTIF($E739, _xlfn.CONCAT("*",Table13[[#Headers],[Drama]],"*")),1,0)</f>
        <v>0</v>
      </c>
      <c r="P739">
        <f>IF(COUNTIF($E739, _xlfn.CONCAT("*",Table13[[#Headers],[Family]],"*")),1,0)</f>
        <v>0</v>
      </c>
      <c r="Q739">
        <f>IF(COUNTIF($E739, _xlfn.CONCAT("*",Table13[[#Headers],[Fantasy]],"*")),1,0)</f>
        <v>0</v>
      </c>
      <c r="R739">
        <f>IF(COUNTIF($E739, _xlfn.CONCAT("*",Table13[[#Headers],[History]],"*")),1,0)</f>
        <v>0</v>
      </c>
      <c r="S739">
        <f>IF(COUNTIF($E739, _xlfn.CONCAT("*",Table13[[#Headers],[Horror]],"*")),1,0)</f>
        <v>0</v>
      </c>
      <c r="T739">
        <f>IF(COUNTIF($E739, _xlfn.CONCAT("*",Table13[[#Headers],[Music]],"*")),1,0)</f>
        <v>0</v>
      </c>
      <c r="U739">
        <f>IF(COUNTIF($E739, _xlfn.CONCAT("*",Table13[[#Headers],[Mystery]],"*")),1,0)</f>
        <v>0</v>
      </c>
      <c r="V739">
        <f>IF(COUNTIF($E739, _xlfn.CONCAT("*",Table13[[#Headers],[Romance]],"*")),1,0)</f>
        <v>0</v>
      </c>
      <c r="W739">
        <f>IF(COUNTIF($E739, _xlfn.CONCAT("*",Table13[[#Headers],[Science Fiction]],"*")),1,0)</f>
        <v>0</v>
      </c>
      <c r="X739">
        <f>IF(COUNTIF($E739, _xlfn.CONCAT("*",Table13[[#Headers],[TV Movie]],"*")),1,0)</f>
        <v>0</v>
      </c>
      <c r="Y739">
        <f>IF(COUNTIF($E739, _xlfn.CONCAT("*",Table13[[#Headers],[Thriller]],"*")),1,0)</f>
        <v>1</v>
      </c>
      <c r="Z739">
        <f>IF(COUNTIF($E739, _xlfn.CONCAT("*",Table13[[#Headers],[War]],"*")),1,0)</f>
        <v>0</v>
      </c>
      <c r="AA739">
        <f>IF(COUNTIF($E739, _xlfn.CONCAT("*",Table13[[#Headers],[Western]],"*")),1,0)</f>
        <v>0</v>
      </c>
    </row>
    <row r="740" spans="1:27">
      <c r="A740" t="s">
        <v>804</v>
      </c>
      <c r="B740">
        <v>55</v>
      </c>
      <c r="C740">
        <f>MAX(Table13[Rank])-Table13[[#This Row],[Rank]]</f>
        <v>209</v>
      </c>
      <c r="D740" t="s">
        <v>780</v>
      </c>
      <c r="E740" t="s">
        <v>805</v>
      </c>
      <c r="F740" s="1">
        <v>40425</v>
      </c>
      <c r="G740">
        <f>YEAR(Table13[[#This Row],[Date]])</f>
        <v>2010</v>
      </c>
      <c r="H740" t="s">
        <v>804</v>
      </c>
      <c r="I740">
        <f>IF(COUNTIF($E740, _xlfn.CONCAT("*",Table13[[#Headers],[Action]],"*")),1,0)</f>
        <v>0</v>
      </c>
      <c r="J740">
        <f>IF(COUNTIF($E740, _xlfn.CONCAT("*",Table13[[#Headers],[Adventure]],"*")),1,0)</f>
        <v>0</v>
      </c>
      <c r="K740">
        <f>IF(COUNTIF($E740, _xlfn.CONCAT("*",Table13[[#Headers],[Animation]],"*")),1,0)</f>
        <v>0</v>
      </c>
      <c r="L740">
        <f>IF(COUNTIF($E740, _xlfn.CONCAT("*",Table13[[#Headers],[Comedy]],"*")),1,0)</f>
        <v>0</v>
      </c>
      <c r="M740">
        <f>IF(COUNTIF($E740, _xlfn.CONCAT("*",Table13[[#Headers],[Crime]],"*")),1,0)</f>
        <v>0</v>
      </c>
      <c r="N740">
        <f>IF(COUNTIF($E740, _xlfn.CONCAT("*",Table13[[#Headers],[Documentary]],"*")),1,0)</f>
        <v>0</v>
      </c>
      <c r="O740">
        <f>IF(COUNTIF($E740, _xlfn.CONCAT("*",Table13[[#Headers],[Drama]],"*")),1,0)</f>
        <v>1</v>
      </c>
      <c r="P740">
        <f>IF(COUNTIF($E740, _xlfn.CONCAT("*",Table13[[#Headers],[Family]],"*")),1,0)</f>
        <v>0</v>
      </c>
      <c r="Q740">
        <f>IF(COUNTIF($E740, _xlfn.CONCAT("*",Table13[[#Headers],[Fantasy]],"*")),1,0)</f>
        <v>0</v>
      </c>
      <c r="R740">
        <f>IF(COUNTIF($E740, _xlfn.CONCAT("*",Table13[[#Headers],[History]],"*")),1,0)</f>
        <v>0</v>
      </c>
      <c r="S740">
        <f>IF(COUNTIF($E740, _xlfn.CONCAT("*",Table13[[#Headers],[Horror]],"*")),1,0)</f>
        <v>0</v>
      </c>
      <c r="T740">
        <f>IF(COUNTIF($E740, _xlfn.CONCAT("*",Table13[[#Headers],[Music]],"*")),1,0)</f>
        <v>0</v>
      </c>
      <c r="U740">
        <f>IF(COUNTIF($E740, _xlfn.CONCAT("*",Table13[[#Headers],[Mystery]],"*")),1,0)</f>
        <v>1</v>
      </c>
      <c r="V740">
        <f>IF(COUNTIF($E740, _xlfn.CONCAT("*",Table13[[#Headers],[Romance]],"*")),1,0)</f>
        <v>0</v>
      </c>
      <c r="W740">
        <f>IF(COUNTIF($E740, _xlfn.CONCAT("*",Table13[[#Headers],[Science Fiction]],"*")),1,0)</f>
        <v>0</v>
      </c>
      <c r="X740">
        <f>IF(COUNTIF($E740, _xlfn.CONCAT("*",Table13[[#Headers],[TV Movie]],"*")),1,0)</f>
        <v>0</v>
      </c>
      <c r="Y740">
        <f>IF(COUNTIF($E740, _xlfn.CONCAT("*",Table13[[#Headers],[Thriller]],"*")),1,0)</f>
        <v>0</v>
      </c>
      <c r="Z740">
        <f>IF(COUNTIF($E740, _xlfn.CONCAT("*",Table13[[#Headers],[War]],"*")),1,0)</f>
        <v>1</v>
      </c>
      <c r="AA740">
        <f>IF(COUNTIF($E740, _xlfn.CONCAT("*",Table13[[#Headers],[Western]],"*")),1,0)</f>
        <v>0</v>
      </c>
    </row>
    <row r="741" spans="1:27">
      <c r="A741" t="s">
        <v>806</v>
      </c>
      <c r="B741">
        <v>56</v>
      </c>
      <c r="C741">
        <f>MAX(Table13[Rank])-Table13[[#This Row],[Rank]]</f>
        <v>208</v>
      </c>
      <c r="D741" t="s">
        <v>780</v>
      </c>
      <c r="E741" t="s">
        <v>118</v>
      </c>
      <c r="F741" s="1">
        <v>21874</v>
      </c>
      <c r="G741">
        <f>YEAR(Table13[[#This Row],[Date]])</f>
        <v>1959</v>
      </c>
      <c r="H741" t="s">
        <v>806</v>
      </c>
      <c r="I741">
        <f>IF(COUNTIF($E741, _xlfn.CONCAT("*",Table13[[#Headers],[Action]],"*")),1,0)</f>
        <v>0</v>
      </c>
      <c r="J741">
        <f>IF(COUNTIF($E741, _xlfn.CONCAT("*",Table13[[#Headers],[Adventure]],"*")),1,0)</f>
        <v>0</v>
      </c>
      <c r="K741">
        <f>IF(COUNTIF($E741, _xlfn.CONCAT("*",Table13[[#Headers],[Animation]],"*")),1,0)</f>
        <v>0</v>
      </c>
      <c r="L741">
        <f>IF(COUNTIF($E741, _xlfn.CONCAT("*",Table13[[#Headers],[Comedy]],"*")),1,0)</f>
        <v>0</v>
      </c>
      <c r="M741">
        <f>IF(COUNTIF($E741, _xlfn.CONCAT("*",Table13[[#Headers],[Crime]],"*")),1,0)</f>
        <v>0</v>
      </c>
      <c r="N741">
        <f>IF(COUNTIF($E741, _xlfn.CONCAT("*",Table13[[#Headers],[Documentary]],"*")),1,0)</f>
        <v>0</v>
      </c>
      <c r="O741">
        <f>IF(COUNTIF($E741, _xlfn.CONCAT("*",Table13[[#Headers],[Drama]],"*")),1,0)</f>
        <v>1</v>
      </c>
      <c r="P741">
        <f>IF(COUNTIF($E741, _xlfn.CONCAT("*",Table13[[#Headers],[Family]],"*")),1,0)</f>
        <v>0</v>
      </c>
      <c r="Q741">
        <f>IF(COUNTIF($E741, _xlfn.CONCAT("*",Table13[[#Headers],[Fantasy]],"*")),1,0)</f>
        <v>0</v>
      </c>
      <c r="R741">
        <f>IF(COUNTIF($E741, _xlfn.CONCAT("*",Table13[[#Headers],[History]],"*")),1,0)</f>
        <v>1</v>
      </c>
      <c r="S741">
        <f>IF(COUNTIF($E741, _xlfn.CONCAT("*",Table13[[#Headers],[Horror]],"*")),1,0)</f>
        <v>0</v>
      </c>
      <c r="T741">
        <f>IF(COUNTIF($E741, _xlfn.CONCAT("*",Table13[[#Headers],[Music]],"*")),1,0)</f>
        <v>0</v>
      </c>
      <c r="U741">
        <f>IF(COUNTIF($E741, _xlfn.CONCAT("*",Table13[[#Headers],[Mystery]],"*")),1,0)</f>
        <v>0</v>
      </c>
      <c r="V741">
        <f>IF(COUNTIF($E741, _xlfn.CONCAT("*",Table13[[#Headers],[Romance]],"*")),1,0)</f>
        <v>0</v>
      </c>
      <c r="W741">
        <f>IF(COUNTIF($E741, _xlfn.CONCAT("*",Table13[[#Headers],[Science Fiction]],"*")),1,0)</f>
        <v>0</v>
      </c>
      <c r="X741">
        <f>IF(COUNTIF($E741, _xlfn.CONCAT("*",Table13[[#Headers],[TV Movie]],"*")),1,0)</f>
        <v>0</v>
      </c>
      <c r="Y741">
        <f>IF(COUNTIF($E741, _xlfn.CONCAT("*",Table13[[#Headers],[Thriller]],"*")),1,0)</f>
        <v>0</v>
      </c>
      <c r="Z741">
        <f>IF(COUNTIF($E741, _xlfn.CONCAT("*",Table13[[#Headers],[War]],"*")),1,0)</f>
        <v>1</v>
      </c>
      <c r="AA741">
        <f>IF(COUNTIF($E741, _xlfn.CONCAT("*",Table13[[#Headers],[Western]],"*")),1,0)</f>
        <v>0</v>
      </c>
    </row>
    <row r="742" spans="1:27">
      <c r="A742" t="s">
        <v>335</v>
      </c>
      <c r="B742">
        <v>57</v>
      </c>
      <c r="C742">
        <f>MAX(Table13[Rank])-Table13[[#This Row],[Rank]]</f>
        <v>207</v>
      </c>
      <c r="D742" t="s">
        <v>780</v>
      </c>
      <c r="E742" t="s">
        <v>336</v>
      </c>
      <c r="F742" s="1">
        <v>27746</v>
      </c>
      <c r="G742">
        <f>YEAR(Table13[[#This Row],[Date]])</f>
        <v>1975</v>
      </c>
      <c r="H742" t="s">
        <v>335</v>
      </c>
      <c r="I742">
        <f>IF(COUNTIF($E742, _xlfn.CONCAT("*",Table13[[#Headers],[Action]],"*")),1,0)</f>
        <v>0</v>
      </c>
      <c r="J742">
        <f>IF(COUNTIF($E742, _xlfn.CONCAT("*",Table13[[#Headers],[Adventure]],"*")),1,0)</f>
        <v>0</v>
      </c>
      <c r="K742">
        <f>IF(COUNTIF($E742, _xlfn.CONCAT("*",Table13[[#Headers],[Animation]],"*")),1,0)</f>
        <v>0</v>
      </c>
      <c r="L742">
        <f>IF(COUNTIF($E742, _xlfn.CONCAT("*",Table13[[#Headers],[Comedy]],"*")),1,0)</f>
        <v>0</v>
      </c>
      <c r="M742">
        <f>IF(COUNTIF($E742, _xlfn.CONCAT("*",Table13[[#Headers],[Crime]],"*")),1,0)</f>
        <v>0</v>
      </c>
      <c r="N742">
        <f>IF(COUNTIF($E742, _xlfn.CONCAT("*",Table13[[#Headers],[Documentary]],"*")),1,0)</f>
        <v>0</v>
      </c>
      <c r="O742">
        <f>IF(COUNTIF($E742, _xlfn.CONCAT("*",Table13[[#Headers],[Drama]],"*")),1,0)</f>
        <v>1</v>
      </c>
      <c r="P742">
        <f>IF(COUNTIF($E742, _xlfn.CONCAT("*",Table13[[#Headers],[Family]],"*")),1,0)</f>
        <v>0</v>
      </c>
      <c r="Q742">
        <f>IF(COUNTIF($E742, _xlfn.CONCAT("*",Table13[[#Headers],[Fantasy]],"*")),1,0)</f>
        <v>0</v>
      </c>
      <c r="R742">
        <f>IF(COUNTIF($E742, _xlfn.CONCAT("*",Table13[[#Headers],[History]],"*")),1,0)</f>
        <v>0</v>
      </c>
      <c r="S742">
        <f>IF(COUNTIF($E742, _xlfn.CONCAT("*",Table13[[#Headers],[Horror]],"*")),1,0)</f>
        <v>0</v>
      </c>
      <c r="T742">
        <f>IF(COUNTIF($E742, _xlfn.CONCAT("*",Table13[[#Headers],[Music]],"*")),1,0)</f>
        <v>0</v>
      </c>
      <c r="U742">
        <f>IF(COUNTIF($E742, _xlfn.CONCAT("*",Table13[[#Headers],[Mystery]],"*")),1,0)</f>
        <v>0</v>
      </c>
      <c r="V742">
        <f>IF(COUNTIF($E742, _xlfn.CONCAT("*",Table13[[#Headers],[Romance]],"*")),1,0)</f>
        <v>1</v>
      </c>
      <c r="W742">
        <f>IF(COUNTIF($E742, _xlfn.CONCAT("*",Table13[[#Headers],[Science Fiction]],"*")),1,0)</f>
        <v>0</v>
      </c>
      <c r="X742">
        <f>IF(COUNTIF($E742, _xlfn.CONCAT("*",Table13[[#Headers],[TV Movie]],"*")),1,0)</f>
        <v>0</v>
      </c>
      <c r="Y742">
        <f>IF(COUNTIF($E742, _xlfn.CONCAT("*",Table13[[#Headers],[Thriller]],"*")),1,0)</f>
        <v>0</v>
      </c>
      <c r="Z742">
        <f>IF(COUNTIF($E742, _xlfn.CONCAT("*",Table13[[#Headers],[War]],"*")),1,0)</f>
        <v>1</v>
      </c>
      <c r="AA742">
        <f>IF(COUNTIF($E742, _xlfn.CONCAT("*",Table13[[#Headers],[Western]],"*")),1,0)</f>
        <v>0</v>
      </c>
    </row>
    <row r="743" spans="1:27">
      <c r="A743" t="s">
        <v>807</v>
      </c>
      <c r="B743">
        <v>58</v>
      </c>
      <c r="C743">
        <f>MAX(Table13[Rank])-Table13[[#This Row],[Rank]]</f>
        <v>206</v>
      </c>
      <c r="D743" t="s">
        <v>780</v>
      </c>
      <c r="E743" t="s">
        <v>266</v>
      </c>
      <c r="F743" s="1">
        <v>25193</v>
      </c>
      <c r="G743">
        <f>YEAR(Table13[[#This Row],[Date]])</f>
        <v>1968</v>
      </c>
      <c r="H743" t="s">
        <v>807</v>
      </c>
      <c r="I743">
        <f>IF(COUNTIF($E743, _xlfn.CONCAT("*",Table13[[#Headers],[Action]],"*")),1,0)</f>
        <v>0</v>
      </c>
      <c r="J743">
        <f>IF(COUNTIF($E743, _xlfn.CONCAT("*",Table13[[#Headers],[Adventure]],"*")),1,0)</f>
        <v>0</v>
      </c>
      <c r="K743">
        <f>IF(COUNTIF($E743, _xlfn.CONCAT("*",Table13[[#Headers],[Animation]],"*")),1,0)</f>
        <v>0</v>
      </c>
      <c r="L743">
        <f>IF(COUNTIF($E743, _xlfn.CONCAT("*",Table13[[#Headers],[Comedy]],"*")),1,0)</f>
        <v>0</v>
      </c>
      <c r="M743">
        <f>IF(COUNTIF($E743, _xlfn.CONCAT("*",Table13[[#Headers],[Crime]],"*")),1,0)</f>
        <v>0</v>
      </c>
      <c r="N743">
        <f>IF(COUNTIF($E743, _xlfn.CONCAT("*",Table13[[#Headers],[Documentary]],"*")),1,0)</f>
        <v>0</v>
      </c>
      <c r="O743">
        <f>IF(COUNTIF($E743, _xlfn.CONCAT("*",Table13[[#Headers],[Drama]],"*")),1,0)</f>
        <v>1</v>
      </c>
      <c r="P743">
        <f>IF(COUNTIF($E743, _xlfn.CONCAT("*",Table13[[#Headers],[Family]],"*")),1,0)</f>
        <v>0</v>
      </c>
      <c r="Q743">
        <f>IF(COUNTIF($E743, _xlfn.CONCAT("*",Table13[[#Headers],[Fantasy]],"*")),1,0)</f>
        <v>0</v>
      </c>
      <c r="R743">
        <f>IF(COUNTIF($E743, _xlfn.CONCAT("*",Table13[[#Headers],[History]],"*")),1,0)</f>
        <v>0</v>
      </c>
      <c r="S743">
        <f>IF(COUNTIF($E743, _xlfn.CONCAT("*",Table13[[#Headers],[Horror]],"*")),1,0)</f>
        <v>0</v>
      </c>
      <c r="T743">
        <f>IF(COUNTIF($E743, _xlfn.CONCAT("*",Table13[[#Headers],[Music]],"*")),1,0)</f>
        <v>0</v>
      </c>
      <c r="U743">
        <f>IF(COUNTIF($E743, _xlfn.CONCAT("*",Table13[[#Headers],[Mystery]],"*")),1,0)</f>
        <v>0</v>
      </c>
      <c r="V743">
        <f>IF(COUNTIF($E743, _xlfn.CONCAT("*",Table13[[#Headers],[Romance]],"*")),1,0)</f>
        <v>0</v>
      </c>
      <c r="W743">
        <f>IF(COUNTIF($E743, _xlfn.CONCAT("*",Table13[[#Headers],[Science Fiction]],"*")),1,0)</f>
        <v>0</v>
      </c>
      <c r="X743">
        <f>IF(COUNTIF($E743, _xlfn.CONCAT("*",Table13[[#Headers],[TV Movie]],"*")),1,0)</f>
        <v>0</v>
      </c>
      <c r="Y743">
        <f>IF(COUNTIF($E743, _xlfn.CONCAT("*",Table13[[#Headers],[Thriller]],"*")),1,0)</f>
        <v>0</v>
      </c>
      <c r="Z743">
        <f>IF(COUNTIF($E743, _xlfn.CONCAT("*",Table13[[#Headers],[War]],"*")),1,0)</f>
        <v>0</v>
      </c>
      <c r="AA743">
        <f>IF(COUNTIF($E743, _xlfn.CONCAT("*",Table13[[#Headers],[Western]],"*")),1,0)</f>
        <v>1</v>
      </c>
    </row>
    <row r="744" spans="1:27">
      <c r="A744" t="s">
        <v>808</v>
      </c>
      <c r="B744">
        <v>59</v>
      </c>
      <c r="C744">
        <f>MAX(Table13[Rank])-Table13[[#This Row],[Rank]]</f>
        <v>205</v>
      </c>
      <c r="D744" t="s">
        <v>780</v>
      </c>
      <c r="E744" t="s">
        <v>809</v>
      </c>
      <c r="F744" s="1">
        <v>41145</v>
      </c>
      <c r="G744">
        <f>YEAR(Table13[[#This Row],[Date]])</f>
        <v>2012</v>
      </c>
      <c r="H744" t="s">
        <v>808</v>
      </c>
      <c r="I744">
        <f>IF(COUNTIF($E744, _xlfn.CONCAT("*",Table13[[#Headers],[Action]],"*")),1,0)</f>
        <v>0</v>
      </c>
      <c r="J744">
        <f>IF(COUNTIF($E744, _xlfn.CONCAT("*",Table13[[#Headers],[Adventure]],"*")),1,0)</f>
        <v>0</v>
      </c>
      <c r="K744">
        <f>IF(COUNTIF($E744, _xlfn.CONCAT("*",Table13[[#Headers],[Animation]],"*")),1,0)</f>
        <v>1</v>
      </c>
      <c r="L744">
        <f>IF(COUNTIF($E744, _xlfn.CONCAT("*",Table13[[#Headers],[Comedy]],"*")),1,0)</f>
        <v>1</v>
      </c>
      <c r="M744">
        <f>IF(COUNTIF($E744, _xlfn.CONCAT("*",Table13[[#Headers],[Crime]],"*")),1,0)</f>
        <v>0</v>
      </c>
      <c r="N744">
        <f>IF(COUNTIF($E744, _xlfn.CONCAT("*",Table13[[#Headers],[Documentary]],"*")),1,0)</f>
        <v>0</v>
      </c>
      <c r="O744">
        <f>IF(COUNTIF($E744, _xlfn.CONCAT("*",Table13[[#Headers],[Drama]],"*")),1,0)</f>
        <v>1</v>
      </c>
      <c r="P744">
        <f>IF(COUNTIF($E744, _xlfn.CONCAT("*",Table13[[#Headers],[Family]],"*")),1,0)</f>
        <v>0</v>
      </c>
      <c r="Q744">
        <f>IF(COUNTIF($E744, _xlfn.CONCAT("*",Table13[[#Headers],[Fantasy]],"*")),1,0)</f>
        <v>0</v>
      </c>
      <c r="R744">
        <f>IF(COUNTIF($E744, _xlfn.CONCAT("*",Table13[[#Headers],[History]],"*")),1,0)</f>
        <v>0</v>
      </c>
      <c r="S744">
        <f>IF(COUNTIF($E744, _xlfn.CONCAT("*",Table13[[#Headers],[Horror]],"*")),1,0)</f>
        <v>0</v>
      </c>
      <c r="T744">
        <f>IF(COUNTIF($E744, _xlfn.CONCAT("*",Table13[[#Headers],[Music]],"*")),1,0)</f>
        <v>0</v>
      </c>
      <c r="U744">
        <f>IF(COUNTIF($E744, _xlfn.CONCAT("*",Table13[[#Headers],[Mystery]],"*")),1,0)</f>
        <v>0</v>
      </c>
      <c r="V744">
        <f>IF(COUNTIF($E744, _xlfn.CONCAT("*",Table13[[#Headers],[Romance]],"*")),1,0)</f>
        <v>0</v>
      </c>
      <c r="W744">
        <f>IF(COUNTIF($E744, _xlfn.CONCAT("*",Table13[[#Headers],[Science Fiction]],"*")),1,0)</f>
        <v>0</v>
      </c>
      <c r="X744">
        <f>IF(COUNTIF($E744, _xlfn.CONCAT("*",Table13[[#Headers],[TV Movie]],"*")),1,0)</f>
        <v>0</v>
      </c>
      <c r="Y744">
        <f>IF(COUNTIF($E744, _xlfn.CONCAT("*",Table13[[#Headers],[Thriller]],"*")),1,0)</f>
        <v>0</v>
      </c>
      <c r="Z744">
        <f>IF(COUNTIF($E744, _xlfn.CONCAT("*",Table13[[#Headers],[War]],"*")),1,0)</f>
        <v>0</v>
      </c>
      <c r="AA744">
        <f>IF(COUNTIF($E744, _xlfn.CONCAT("*",Table13[[#Headers],[Western]],"*")),1,0)</f>
        <v>0</v>
      </c>
    </row>
    <row r="745" spans="1:27">
      <c r="A745" t="s">
        <v>810</v>
      </c>
      <c r="B745">
        <v>60</v>
      </c>
      <c r="C745">
        <f>MAX(Table13[Rank])-Table13[[#This Row],[Rank]]</f>
        <v>204</v>
      </c>
      <c r="D745" t="s">
        <v>780</v>
      </c>
      <c r="E745" t="s">
        <v>336</v>
      </c>
      <c r="F745" s="1">
        <v>21105</v>
      </c>
      <c r="G745">
        <f>YEAR(Table13[[#This Row],[Date]])</f>
        <v>1957</v>
      </c>
      <c r="H745" t="s">
        <v>810</v>
      </c>
      <c r="I745">
        <f>IF(COUNTIF($E745, _xlfn.CONCAT("*",Table13[[#Headers],[Action]],"*")),1,0)</f>
        <v>0</v>
      </c>
      <c r="J745">
        <f>IF(COUNTIF($E745, _xlfn.CONCAT("*",Table13[[#Headers],[Adventure]],"*")),1,0)</f>
        <v>0</v>
      </c>
      <c r="K745">
        <f>IF(COUNTIF($E745, _xlfn.CONCAT("*",Table13[[#Headers],[Animation]],"*")),1,0)</f>
        <v>0</v>
      </c>
      <c r="L745">
        <f>IF(COUNTIF($E745, _xlfn.CONCAT("*",Table13[[#Headers],[Comedy]],"*")),1,0)</f>
        <v>0</v>
      </c>
      <c r="M745">
        <f>IF(COUNTIF($E745, _xlfn.CONCAT("*",Table13[[#Headers],[Crime]],"*")),1,0)</f>
        <v>0</v>
      </c>
      <c r="N745">
        <f>IF(COUNTIF($E745, _xlfn.CONCAT("*",Table13[[#Headers],[Documentary]],"*")),1,0)</f>
        <v>0</v>
      </c>
      <c r="O745">
        <f>IF(COUNTIF($E745, _xlfn.CONCAT("*",Table13[[#Headers],[Drama]],"*")),1,0)</f>
        <v>1</v>
      </c>
      <c r="P745">
        <f>IF(COUNTIF($E745, _xlfn.CONCAT("*",Table13[[#Headers],[Family]],"*")),1,0)</f>
        <v>0</v>
      </c>
      <c r="Q745">
        <f>IF(COUNTIF($E745, _xlfn.CONCAT("*",Table13[[#Headers],[Fantasy]],"*")),1,0)</f>
        <v>0</v>
      </c>
      <c r="R745">
        <f>IF(COUNTIF($E745, _xlfn.CONCAT("*",Table13[[#Headers],[History]],"*")),1,0)</f>
        <v>0</v>
      </c>
      <c r="S745">
        <f>IF(COUNTIF($E745, _xlfn.CONCAT("*",Table13[[#Headers],[Horror]],"*")),1,0)</f>
        <v>0</v>
      </c>
      <c r="T745">
        <f>IF(COUNTIF($E745, _xlfn.CONCAT("*",Table13[[#Headers],[Music]],"*")),1,0)</f>
        <v>0</v>
      </c>
      <c r="U745">
        <f>IF(COUNTIF($E745, _xlfn.CONCAT("*",Table13[[#Headers],[Mystery]],"*")),1,0)</f>
        <v>0</v>
      </c>
      <c r="V745">
        <f>IF(COUNTIF($E745, _xlfn.CONCAT("*",Table13[[#Headers],[Romance]],"*")),1,0)</f>
        <v>1</v>
      </c>
      <c r="W745">
        <f>IF(COUNTIF($E745, _xlfn.CONCAT("*",Table13[[#Headers],[Science Fiction]],"*")),1,0)</f>
        <v>0</v>
      </c>
      <c r="X745">
        <f>IF(COUNTIF($E745, _xlfn.CONCAT("*",Table13[[#Headers],[TV Movie]],"*")),1,0)</f>
        <v>0</v>
      </c>
      <c r="Y745">
        <f>IF(COUNTIF($E745, _xlfn.CONCAT("*",Table13[[#Headers],[Thriller]],"*")),1,0)</f>
        <v>0</v>
      </c>
      <c r="Z745">
        <f>IF(COUNTIF($E745, _xlfn.CONCAT("*",Table13[[#Headers],[War]],"*")),1,0)</f>
        <v>1</v>
      </c>
      <c r="AA745">
        <f>IF(COUNTIF($E745, _xlfn.CONCAT("*",Table13[[#Headers],[Western]],"*")),1,0)</f>
        <v>0</v>
      </c>
    </row>
    <row r="746" spans="1:27">
      <c r="A746" t="s">
        <v>246</v>
      </c>
      <c r="B746">
        <v>61</v>
      </c>
      <c r="C746">
        <f>MAX(Table13[Rank])-Table13[[#This Row],[Rank]]</f>
        <v>203</v>
      </c>
      <c r="D746" t="s">
        <v>780</v>
      </c>
      <c r="E746" t="s">
        <v>21</v>
      </c>
      <c r="F746" s="1">
        <v>27351</v>
      </c>
      <c r="G746">
        <f>YEAR(Table13[[#This Row],[Date]])</f>
        <v>1974</v>
      </c>
      <c r="H746" t="s">
        <v>246</v>
      </c>
      <c r="I746">
        <f>IF(COUNTIF($E746, _xlfn.CONCAT("*",Table13[[#Headers],[Action]],"*")),1,0)</f>
        <v>0</v>
      </c>
      <c r="J746">
        <f>IF(COUNTIF($E746, _xlfn.CONCAT("*",Table13[[#Headers],[Adventure]],"*")),1,0)</f>
        <v>0</v>
      </c>
      <c r="K746">
        <f>IF(COUNTIF($E746, _xlfn.CONCAT("*",Table13[[#Headers],[Animation]],"*")),1,0)</f>
        <v>0</v>
      </c>
      <c r="L746">
        <f>IF(COUNTIF($E746, _xlfn.CONCAT("*",Table13[[#Headers],[Comedy]],"*")),1,0)</f>
        <v>0</v>
      </c>
      <c r="M746">
        <f>IF(COUNTIF($E746, _xlfn.CONCAT("*",Table13[[#Headers],[Crime]],"*")),1,0)</f>
        <v>0</v>
      </c>
      <c r="N746">
        <f>IF(COUNTIF($E746, _xlfn.CONCAT("*",Table13[[#Headers],[Documentary]],"*")),1,0)</f>
        <v>0</v>
      </c>
      <c r="O746">
        <f>IF(COUNTIF($E746, _xlfn.CONCAT("*",Table13[[#Headers],[Drama]],"*")),1,0)</f>
        <v>1</v>
      </c>
      <c r="P746">
        <f>IF(COUNTIF($E746, _xlfn.CONCAT("*",Table13[[#Headers],[Family]],"*")),1,0)</f>
        <v>0</v>
      </c>
      <c r="Q746">
        <f>IF(COUNTIF($E746, _xlfn.CONCAT("*",Table13[[#Headers],[Fantasy]],"*")),1,0)</f>
        <v>0</v>
      </c>
      <c r="R746">
        <f>IF(COUNTIF($E746, _xlfn.CONCAT("*",Table13[[#Headers],[History]],"*")),1,0)</f>
        <v>0</v>
      </c>
      <c r="S746">
        <f>IF(COUNTIF($E746, _xlfn.CONCAT("*",Table13[[#Headers],[Horror]],"*")),1,0)</f>
        <v>0</v>
      </c>
      <c r="T746">
        <f>IF(COUNTIF($E746, _xlfn.CONCAT("*",Table13[[#Headers],[Music]],"*")),1,0)</f>
        <v>0</v>
      </c>
      <c r="U746">
        <f>IF(COUNTIF($E746, _xlfn.CONCAT("*",Table13[[#Headers],[Mystery]],"*")),1,0)</f>
        <v>0</v>
      </c>
      <c r="V746">
        <f>IF(COUNTIF($E746, _xlfn.CONCAT("*",Table13[[#Headers],[Romance]],"*")),1,0)</f>
        <v>0</v>
      </c>
      <c r="W746">
        <f>IF(COUNTIF($E746, _xlfn.CONCAT("*",Table13[[#Headers],[Science Fiction]],"*")),1,0)</f>
        <v>0</v>
      </c>
      <c r="X746">
        <f>IF(COUNTIF($E746, _xlfn.CONCAT("*",Table13[[#Headers],[TV Movie]],"*")),1,0)</f>
        <v>0</v>
      </c>
      <c r="Y746">
        <f>IF(COUNTIF($E746, _xlfn.CONCAT("*",Table13[[#Headers],[Thriller]],"*")),1,0)</f>
        <v>0</v>
      </c>
      <c r="Z746">
        <f>IF(COUNTIF($E746, _xlfn.CONCAT("*",Table13[[#Headers],[War]],"*")),1,0)</f>
        <v>0</v>
      </c>
      <c r="AA746">
        <f>IF(COUNTIF($E746, _xlfn.CONCAT("*",Table13[[#Headers],[Western]],"*")),1,0)</f>
        <v>0</v>
      </c>
    </row>
    <row r="747" spans="1:27">
      <c r="A747" t="s">
        <v>619</v>
      </c>
      <c r="B747">
        <v>62</v>
      </c>
      <c r="C747">
        <f>MAX(Table13[Rank])-Table13[[#This Row],[Rank]]</f>
        <v>202</v>
      </c>
      <c r="D747" t="s">
        <v>780</v>
      </c>
      <c r="E747" t="s">
        <v>618</v>
      </c>
      <c r="F747" s="1">
        <v>37608</v>
      </c>
      <c r="G747">
        <f>YEAR(Table13[[#This Row],[Date]])</f>
        <v>2002</v>
      </c>
      <c r="H747" t="s">
        <v>619</v>
      </c>
      <c r="I747">
        <f>IF(COUNTIF($E747, _xlfn.CONCAT("*",Table13[[#Headers],[Action]],"*")),1,0)</f>
        <v>1</v>
      </c>
      <c r="J747">
        <f>IF(COUNTIF($E747, _xlfn.CONCAT("*",Table13[[#Headers],[Adventure]],"*")),1,0)</f>
        <v>1</v>
      </c>
      <c r="K747">
        <f>IF(COUNTIF($E747, _xlfn.CONCAT("*",Table13[[#Headers],[Animation]],"*")),1,0)</f>
        <v>0</v>
      </c>
      <c r="L747">
        <f>IF(COUNTIF($E747, _xlfn.CONCAT("*",Table13[[#Headers],[Comedy]],"*")),1,0)</f>
        <v>0</v>
      </c>
      <c r="M747">
        <f>IF(COUNTIF($E747, _xlfn.CONCAT("*",Table13[[#Headers],[Crime]],"*")),1,0)</f>
        <v>0</v>
      </c>
      <c r="N747">
        <f>IF(COUNTIF($E747, _xlfn.CONCAT("*",Table13[[#Headers],[Documentary]],"*")),1,0)</f>
        <v>0</v>
      </c>
      <c r="O747">
        <f>IF(COUNTIF($E747, _xlfn.CONCAT("*",Table13[[#Headers],[Drama]],"*")),1,0)</f>
        <v>0</v>
      </c>
      <c r="P747">
        <f>IF(COUNTIF($E747, _xlfn.CONCAT("*",Table13[[#Headers],[Family]],"*")),1,0)</f>
        <v>0</v>
      </c>
      <c r="Q747">
        <f>IF(COUNTIF($E747, _xlfn.CONCAT("*",Table13[[#Headers],[Fantasy]],"*")),1,0)</f>
        <v>1</v>
      </c>
      <c r="R747">
        <f>IF(COUNTIF($E747, _xlfn.CONCAT("*",Table13[[#Headers],[History]],"*")),1,0)</f>
        <v>0</v>
      </c>
      <c r="S747">
        <f>IF(COUNTIF($E747, _xlfn.CONCAT("*",Table13[[#Headers],[Horror]],"*")),1,0)</f>
        <v>0</v>
      </c>
      <c r="T747">
        <f>IF(COUNTIF($E747, _xlfn.CONCAT("*",Table13[[#Headers],[Music]],"*")),1,0)</f>
        <v>0</v>
      </c>
      <c r="U747">
        <f>IF(COUNTIF($E747, _xlfn.CONCAT("*",Table13[[#Headers],[Mystery]],"*")),1,0)</f>
        <v>0</v>
      </c>
      <c r="V747">
        <f>IF(COUNTIF($E747, _xlfn.CONCAT("*",Table13[[#Headers],[Romance]],"*")),1,0)</f>
        <v>0</v>
      </c>
      <c r="W747">
        <f>IF(COUNTIF($E747, _xlfn.CONCAT("*",Table13[[#Headers],[Science Fiction]],"*")),1,0)</f>
        <v>0</v>
      </c>
      <c r="X747">
        <f>IF(COUNTIF($E747, _xlfn.CONCAT("*",Table13[[#Headers],[TV Movie]],"*")),1,0)</f>
        <v>0</v>
      </c>
      <c r="Y747">
        <f>IF(COUNTIF($E747, _xlfn.CONCAT("*",Table13[[#Headers],[Thriller]],"*")),1,0)</f>
        <v>0</v>
      </c>
      <c r="Z747">
        <f>IF(COUNTIF($E747, _xlfn.CONCAT("*",Table13[[#Headers],[War]],"*")),1,0)</f>
        <v>0</v>
      </c>
      <c r="AA747">
        <f>IF(COUNTIF($E747, _xlfn.CONCAT("*",Table13[[#Headers],[Western]],"*")),1,0)</f>
        <v>0</v>
      </c>
    </row>
    <row r="748" spans="1:27">
      <c r="A748" t="s">
        <v>347</v>
      </c>
      <c r="B748">
        <v>63</v>
      </c>
      <c r="C748">
        <f>MAX(Table13[Rank])-Table13[[#This Row],[Rank]]</f>
        <v>201</v>
      </c>
      <c r="D748" t="s">
        <v>780</v>
      </c>
      <c r="E748" t="s">
        <v>315</v>
      </c>
      <c r="F748" s="1">
        <v>19937</v>
      </c>
      <c r="G748">
        <f>YEAR(Table13[[#This Row],[Date]])</f>
        <v>1954</v>
      </c>
      <c r="H748" t="s">
        <v>347</v>
      </c>
      <c r="I748">
        <f>IF(COUNTIF($E748, _xlfn.CONCAT("*",Table13[[#Headers],[Action]],"*")),1,0)</f>
        <v>0</v>
      </c>
      <c r="J748">
        <f>IF(COUNTIF($E748, _xlfn.CONCAT("*",Table13[[#Headers],[Adventure]],"*")),1,0)</f>
        <v>0</v>
      </c>
      <c r="K748">
        <f>IF(COUNTIF($E748, _xlfn.CONCAT("*",Table13[[#Headers],[Animation]],"*")),1,0)</f>
        <v>0</v>
      </c>
      <c r="L748">
        <f>IF(COUNTIF($E748, _xlfn.CONCAT("*",Table13[[#Headers],[Comedy]],"*")),1,0)</f>
        <v>0</v>
      </c>
      <c r="M748">
        <f>IF(COUNTIF($E748, _xlfn.CONCAT("*",Table13[[#Headers],[Crime]],"*")),1,0)</f>
        <v>0</v>
      </c>
      <c r="N748">
        <f>IF(COUNTIF($E748, _xlfn.CONCAT("*",Table13[[#Headers],[Documentary]],"*")),1,0)</f>
        <v>0</v>
      </c>
      <c r="O748">
        <f>IF(COUNTIF($E748, _xlfn.CONCAT("*",Table13[[#Headers],[Drama]],"*")),1,0)</f>
        <v>0</v>
      </c>
      <c r="P748">
        <f>IF(COUNTIF($E748, _xlfn.CONCAT("*",Table13[[#Headers],[Family]],"*")),1,0)</f>
        <v>0</v>
      </c>
      <c r="Q748">
        <f>IF(COUNTIF($E748, _xlfn.CONCAT("*",Table13[[#Headers],[Fantasy]],"*")),1,0)</f>
        <v>0</v>
      </c>
      <c r="R748">
        <f>IF(COUNTIF($E748, _xlfn.CONCAT("*",Table13[[#Headers],[History]],"*")),1,0)</f>
        <v>0</v>
      </c>
      <c r="S748">
        <f>IF(COUNTIF($E748, _xlfn.CONCAT("*",Table13[[#Headers],[Horror]],"*")),1,0)</f>
        <v>0</v>
      </c>
      <c r="T748">
        <f>IF(COUNTIF($E748, _xlfn.CONCAT("*",Table13[[#Headers],[Music]],"*")),1,0)</f>
        <v>0</v>
      </c>
      <c r="U748">
        <f>IF(COUNTIF($E748, _xlfn.CONCAT("*",Table13[[#Headers],[Mystery]],"*")),1,0)</f>
        <v>1</v>
      </c>
      <c r="V748">
        <f>IF(COUNTIF($E748, _xlfn.CONCAT("*",Table13[[#Headers],[Romance]],"*")),1,0)</f>
        <v>0</v>
      </c>
      <c r="W748">
        <f>IF(COUNTIF($E748, _xlfn.CONCAT("*",Table13[[#Headers],[Science Fiction]],"*")),1,0)</f>
        <v>0</v>
      </c>
      <c r="X748">
        <f>IF(COUNTIF($E748, _xlfn.CONCAT("*",Table13[[#Headers],[TV Movie]],"*")),1,0)</f>
        <v>0</v>
      </c>
      <c r="Y748">
        <f>IF(COUNTIF($E748, _xlfn.CONCAT("*",Table13[[#Headers],[Thriller]],"*")),1,0)</f>
        <v>1</v>
      </c>
      <c r="Z748">
        <f>IF(COUNTIF($E748, _xlfn.CONCAT("*",Table13[[#Headers],[War]],"*")),1,0)</f>
        <v>0</v>
      </c>
      <c r="AA748">
        <f>IF(COUNTIF($E748, _xlfn.CONCAT("*",Table13[[#Headers],[Western]],"*")),1,0)</f>
        <v>0</v>
      </c>
    </row>
    <row r="749" spans="1:27">
      <c r="A749" t="s">
        <v>210</v>
      </c>
      <c r="B749">
        <v>64</v>
      </c>
      <c r="C749">
        <f>MAX(Table13[Rank])-Table13[[#This Row],[Rank]]</f>
        <v>200</v>
      </c>
      <c r="D749" t="s">
        <v>780</v>
      </c>
      <c r="E749" t="s">
        <v>211</v>
      </c>
      <c r="F749" s="1">
        <v>17156</v>
      </c>
      <c r="G749">
        <f>YEAR(Table13[[#This Row],[Date]])</f>
        <v>1946</v>
      </c>
      <c r="H749" t="s">
        <v>210</v>
      </c>
      <c r="I749">
        <f>IF(COUNTIF($E749, _xlfn.CONCAT("*",Table13[[#Headers],[Action]],"*")),1,0)</f>
        <v>0</v>
      </c>
      <c r="J749">
        <f>IF(COUNTIF($E749, _xlfn.CONCAT("*",Table13[[#Headers],[Adventure]],"*")),1,0)</f>
        <v>0</v>
      </c>
      <c r="K749">
        <f>IF(COUNTIF($E749, _xlfn.CONCAT("*",Table13[[#Headers],[Animation]],"*")),1,0)</f>
        <v>0</v>
      </c>
      <c r="L749">
        <f>IF(COUNTIF($E749, _xlfn.CONCAT("*",Table13[[#Headers],[Comedy]],"*")),1,0)</f>
        <v>0</v>
      </c>
      <c r="M749">
        <f>IF(COUNTIF($E749, _xlfn.CONCAT("*",Table13[[#Headers],[Crime]],"*")),1,0)</f>
        <v>0</v>
      </c>
      <c r="N749">
        <f>IF(COUNTIF($E749, _xlfn.CONCAT("*",Table13[[#Headers],[Documentary]],"*")),1,0)</f>
        <v>0</v>
      </c>
      <c r="O749">
        <f>IF(COUNTIF($E749, _xlfn.CONCAT("*",Table13[[#Headers],[Drama]],"*")),1,0)</f>
        <v>1</v>
      </c>
      <c r="P749">
        <f>IF(COUNTIF($E749, _xlfn.CONCAT("*",Table13[[#Headers],[Family]],"*")),1,0)</f>
        <v>1</v>
      </c>
      <c r="Q749">
        <f>IF(COUNTIF($E749, _xlfn.CONCAT("*",Table13[[#Headers],[Fantasy]],"*")),1,0)</f>
        <v>1</v>
      </c>
      <c r="R749">
        <f>IF(COUNTIF($E749, _xlfn.CONCAT("*",Table13[[#Headers],[History]],"*")),1,0)</f>
        <v>0</v>
      </c>
      <c r="S749">
        <f>IF(COUNTIF($E749, _xlfn.CONCAT("*",Table13[[#Headers],[Horror]],"*")),1,0)</f>
        <v>0</v>
      </c>
      <c r="T749">
        <f>IF(COUNTIF($E749, _xlfn.CONCAT("*",Table13[[#Headers],[Music]],"*")),1,0)</f>
        <v>0</v>
      </c>
      <c r="U749">
        <f>IF(COUNTIF($E749, _xlfn.CONCAT("*",Table13[[#Headers],[Mystery]],"*")),1,0)</f>
        <v>0</v>
      </c>
      <c r="V749">
        <f>IF(COUNTIF($E749, _xlfn.CONCAT("*",Table13[[#Headers],[Romance]],"*")),1,0)</f>
        <v>0</v>
      </c>
      <c r="W749">
        <f>IF(COUNTIF($E749, _xlfn.CONCAT("*",Table13[[#Headers],[Science Fiction]],"*")),1,0)</f>
        <v>0</v>
      </c>
      <c r="X749">
        <f>IF(COUNTIF($E749, _xlfn.CONCAT("*",Table13[[#Headers],[TV Movie]],"*")),1,0)</f>
        <v>0</v>
      </c>
      <c r="Y749">
        <f>IF(COUNTIF($E749, _xlfn.CONCAT("*",Table13[[#Headers],[Thriller]],"*")),1,0)</f>
        <v>0</v>
      </c>
      <c r="Z749">
        <f>IF(COUNTIF($E749, _xlfn.CONCAT("*",Table13[[#Headers],[War]],"*")),1,0)</f>
        <v>0</v>
      </c>
      <c r="AA749">
        <f>IF(COUNTIF($E749, _xlfn.CONCAT("*",Table13[[#Headers],[Western]],"*")),1,0)</f>
        <v>0</v>
      </c>
    </row>
    <row r="750" spans="1:27">
      <c r="A750" t="s">
        <v>339</v>
      </c>
      <c r="B750">
        <v>65</v>
      </c>
      <c r="C750">
        <f>MAX(Table13[Rank])-Table13[[#This Row],[Rank]]</f>
        <v>199</v>
      </c>
      <c r="D750" t="s">
        <v>780</v>
      </c>
      <c r="E750" t="s">
        <v>340</v>
      </c>
      <c r="F750" s="1">
        <v>24358</v>
      </c>
      <c r="G750">
        <f>YEAR(Table13[[#This Row],[Date]])</f>
        <v>1966</v>
      </c>
      <c r="H750" t="s">
        <v>339</v>
      </c>
      <c r="I750">
        <f>IF(COUNTIF($E750, _xlfn.CONCAT("*",Table13[[#Headers],[Action]],"*")),1,0)</f>
        <v>0</v>
      </c>
      <c r="J750">
        <f>IF(COUNTIF($E750, _xlfn.CONCAT("*",Table13[[#Headers],[Adventure]],"*")),1,0)</f>
        <v>0</v>
      </c>
      <c r="K750">
        <f>IF(COUNTIF($E750, _xlfn.CONCAT("*",Table13[[#Headers],[Animation]],"*")),1,0)</f>
        <v>0</v>
      </c>
      <c r="L750">
        <f>IF(COUNTIF($E750, _xlfn.CONCAT("*",Table13[[#Headers],[Comedy]],"*")),1,0)</f>
        <v>0</v>
      </c>
      <c r="M750">
        <f>IF(COUNTIF($E750, _xlfn.CONCAT("*",Table13[[#Headers],[Crime]],"*")),1,0)</f>
        <v>0</v>
      </c>
      <c r="N750">
        <f>IF(COUNTIF($E750, _xlfn.CONCAT("*",Table13[[#Headers],[Documentary]],"*")),1,0)</f>
        <v>0</v>
      </c>
      <c r="O750">
        <f>IF(COUNTIF($E750, _xlfn.CONCAT("*",Table13[[#Headers],[Drama]],"*")),1,0)</f>
        <v>1</v>
      </c>
      <c r="P750">
        <f>IF(COUNTIF($E750, _xlfn.CONCAT("*",Table13[[#Headers],[Family]],"*")),1,0)</f>
        <v>0</v>
      </c>
      <c r="Q750">
        <f>IF(COUNTIF($E750, _xlfn.CONCAT("*",Table13[[#Headers],[Fantasy]],"*")),1,0)</f>
        <v>0</v>
      </c>
      <c r="R750">
        <f>IF(COUNTIF($E750, _xlfn.CONCAT("*",Table13[[#Headers],[History]],"*")),1,0)</f>
        <v>1</v>
      </c>
      <c r="S750">
        <f>IF(COUNTIF($E750, _xlfn.CONCAT("*",Table13[[#Headers],[Horror]],"*")),1,0)</f>
        <v>0</v>
      </c>
      <c r="T750">
        <f>IF(COUNTIF($E750, _xlfn.CONCAT("*",Table13[[#Headers],[Music]],"*")),1,0)</f>
        <v>0</v>
      </c>
      <c r="U750">
        <f>IF(COUNTIF($E750, _xlfn.CONCAT("*",Table13[[#Headers],[Mystery]],"*")),1,0)</f>
        <v>0</v>
      </c>
      <c r="V750">
        <f>IF(COUNTIF($E750, _xlfn.CONCAT("*",Table13[[#Headers],[Romance]],"*")),1,0)</f>
        <v>0</v>
      </c>
      <c r="W750">
        <f>IF(COUNTIF($E750, _xlfn.CONCAT("*",Table13[[#Headers],[Science Fiction]],"*")),1,0)</f>
        <v>0</v>
      </c>
      <c r="X750">
        <f>IF(COUNTIF($E750, _xlfn.CONCAT("*",Table13[[#Headers],[TV Movie]],"*")),1,0)</f>
        <v>0</v>
      </c>
      <c r="Y750">
        <f>IF(COUNTIF($E750, _xlfn.CONCAT("*",Table13[[#Headers],[Thriller]],"*")),1,0)</f>
        <v>0</v>
      </c>
      <c r="Z750">
        <f>IF(COUNTIF($E750, _xlfn.CONCAT("*",Table13[[#Headers],[War]],"*")),1,0)</f>
        <v>1</v>
      </c>
      <c r="AA750">
        <f>IF(COUNTIF($E750, _xlfn.CONCAT("*",Table13[[#Headers],[Western]],"*")),1,0)</f>
        <v>0</v>
      </c>
    </row>
    <row r="751" spans="1:27">
      <c r="A751" t="s">
        <v>307</v>
      </c>
      <c r="B751">
        <v>66</v>
      </c>
      <c r="C751">
        <f>MAX(Table13[Rank])-Table13[[#This Row],[Rank]]</f>
        <v>198</v>
      </c>
      <c r="D751" t="s">
        <v>780</v>
      </c>
      <c r="E751" t="s">
        <v>35</v>
      </c>
      <c r="F751" s="1">
        <v>17782</v>
      </c>
      <c r="G751">
        <f>YEAR(Table13[[#This Row],[Date]])</f>
        <v>1948</v>
      </c>
      <c r="H751" t="s">
        <v>307</v>
      </c>
      <c r="I751">
        <f>IF(COUNTIF($E751, _xlfn.CONCAT("*",Table13[[#Headers],[Action]],"*")),1,0)</f>
        <v>0</v>
      </c>
      <c r="J751">
        <f>IF(COUNTIF($E751, _xlfn.CONCAT("*",Table13[[#Headers],[Adventure]],"*")),1,0)</f>
        <v>0</v>
      </c>
      <c r="K751">
        <f>IF(COUNTIF($E751, _xlfn.CONCAT("*",Table13[[#Headers],[Animation]],"*")),1,0)</f>
        <v>0</v>
      </c>
      <c r="L751">
        <f>IF(COUNTIF($E751, _xlfn.CONCAT("*",Table13[[#Headers],[Comedy]],"*")),1,0)</f>
        <v>0</v>
      </c>
      <c r="M751">
        <f>IF(COUNTIF($E751, _xlfn.CONCAT("*",Table13[[#Headers],[Crime]],"*")),1,0)</f>
        <v>0</v>
      </c>
      <c r="N751">
        <f>IF(COUNTIF($E751, _xlfn.CONCAT("*",Table13[[#Headers],[Documentary]],"*")),1,0)</f>
        <v>0</v>
      </c>
      <c r="O751">
        <f>IF(COUNTIF($E751, _xlfn.CONCAT("*",Table13[[#Headers],[Drama]],"*")),1,0)</f>
        <v>1</v>
      </c>
      <c r="P751">
        <f>IF(COUNTIF($E751, _xlfn.CONCAT("*",Table13[[#Headers],[Family]],"*")),1,0)</f>
        <v>0</v>
      </c>
      <c r="Q751">
        <f>IF(COUNTIF($E751, _xlfn.CONCAT("*",Table13[[#Headers],[Fantasy]],"*")),1,0)</f>
        <v>0</v>
      </c>
      <c r="R751">
        <f>IF(COUNTIF($E751, _xlfn.CONCAT("*",Table13[[#Headers],[History]],"*")),1,0)</f>
        <v>0</v>
      </c>
      <c r="S751">
        <f>IF(COUNTIF($E751, _xlfn.CONCAT("*",Table13[[#Headers],[Horror]],"*")),1,0)</f>
        <v>0</v>
      </c>
      <c r="T751">
        <f>IF(COUNTIF($E751, _xlfn.CONCAT("*",Table13[[#Headers],[Music]],"*")),1,0)</f>
        <v>0</v>
      </c>
      <c r="U751">
        <f>IF(COUNTIF($E751, _xlfn.CONCAT("*",Table13[[#Headers],[Mystery]],"*")),1,0)</f>
        <v>0</v>
      </c>
      <c r="V751">
        <f>IF(COUNTIF($E751, _xlfn.CONCAT("*",Table13[[#Headers],[Romance]],"*")),1,0)</f>
        <v>1</v>
      </c>
      <c r="W751">
        <f>IF(COUNTIF($E751, _xlfn.CONCAT("*",Table13[[#Headers],[Science Fiction]],"*")),1,0)</f>
        <v>0</v>
      </c>
      <c r="X751">
        <f>IF(COUNTIF($E751, _xlfn.CONCAT("*",Table13[[#Headers],[TV Movie]],"*")),1,0)</f>
        <v>0</v>
      </c>
      <c r="Y751">
        <f>IF(COUNTIF($E751, _xlfn.CONCAT("*",Table13[[#Headers],[Thriller]],"*")),1,0)</f>
        <v>0</v>
      </c>
      <c r="Z751">
        <f>IF(COUNTIF($E751, _xlfn.CONCAT("*",Table13[[#Headers],[War]],"*")),1,0)</f>
        <v>0</v>
      </c>
      <c r="AA751">
        <f>IF(COUNTIF($E751, _xlfn.CONCAT("*",Table13[[#Headers],[Western]],"*")),1,0)</f>
        <v>0</v>
      </c>
    </row>
    <row r="752" spans="1:27">
      <c r="A752" t="s">
        <v>811</v>
      </c>
      <c r="B752">
        <v>67</v>
      </c>
      <c r="C752">
        <f>MAX(Table13[Rank])-Table13[[#This Row],[Rank]]</f>
        <v>197</v>
      </c>
      <c r="D752" t="s">
        <v>780</v>
      </c>
      <c r="E752" t="s">
        <v>812</v>
      </c>
      <c r="F752" s="1">
        <v>35623</v>
      </c>
      <c r="G752">
        <f>YEAR(Table13[[#This Row],[Date]])</f>
        <v>1997</v>
      </c>
      <c r="H752" t="s">
        <v>811</v>
      </c>
      <c r="I752">
        <f>IF(COUNTIF($E752, _xlfn.CONCAT("*",Table13[[#Headers],[Action]],"*")),1,0)</f>
        <v>0</v>
      </c>
      <c r="J752">
        <f>IF(COUNTIF($E752, _xlfn.CONCAT("*",Table13[[#Headers],[Adventure]],"*")),1,0)</f>
        <v>1</v>
      </c>
      <c r="K752">
        <f>IF(COUNTIF($E752, _xlfn.CONCAT("*",Table13[[#Headers],[Animation]],"*")),1,0)</f>
        <v>1</v>
      </c>
      <c r="L752">
        <f>IF(COUNTIF($E752, _xlfn.CONCAT("*",Table13[[#Headers],[Comedy]],"*")),1,0)</f>
        <v>0</v>
      </c>
      <c r="M752">
        <f>IF(COUNTIF($E752, _xlfn.CONCAT("*",Table13[[#Headers],[Crime]],"*")),1,0)</f>
        <v>0</v>
      </c>
      <c r="N752">
        <f>IF(COUNTIF($E752, _xlfn.CONCAT("*",Table13[[#Headers],[Documentary]],"*")),1,0)</f>
        <v>0</v>
      </c>
      <c r="O752">
        <f>IF(COUNTIF($E752, _xlfn.CONCAT("*",Table13[[#Headers],[Drama]],"*")),1,0)</f>
        <v>0</v>
      </c>
      <c r="P752">
        <f>IF(COUNTIF($E752, _xlfn.CONCAT("*",Table13[[#Headers],[Family]],"*")),1,0)</f>
        <v>0</v>
      </c>
      <c r="Q752">
        <f>IF(COUNTIF($E752, _xlfn.CONCAT("*",Table13[[#Headers],[Fantasy]],"*")),1,0)</f>
        <v>1</v>
      </c>
      <c r="R752">
        <f>IF(COUNTIF($E752, _xlfn.CONCAT("*",Table13[[#Headers],[History]],"*")),1,0)</f>
        <v>0</v>
      </c>
      <c r="S752">
        <f>IF(COUNTIF($E752, _xlfn.CONCAT("*",Table13[[#Headers],[Horror]],"*")),1,0)</f>
        <v>0</v>
      </c>
      <c r="T752">
        <f>IF(COUNTIF($E752, _xlfn.CONCAT("*",Table13[[#Headers],[Music]],"*")),1,0)</f>
        <v>0</v>
      </c>
      <c r="U752">
        <f>IF(COUNTIF($E752, _xlfn.CONCAT("*",Table13[[#Headers],[Mystery]],"*")),1,0)</f>
        <v>0</v>
      </c>
      <c r="V752">
        <f>IF(COUNTIF($E752, _xlfn.CONCAT("*",Table13[[#Headers],[Romance]],"*")),1,0)</f>
        <v>0</v>
      </c>
      <c r="W752">
        <f>IF(COUNTIF($E752, _xlfn.CONCAT("*",Table13[[#Headers],[Science Fiction]],"*")),1,0)</f>
        <v>0</v>
      </c>
      <c r="X752">
        <f>IF(COUNTIF($E752, _xlfn.CONCAT("*",Table13[[#Headers],[TV Movie]],"*")),1,0)</f>
        <v>0</v>
      </c>
      <c r="Y752">
        <f>IF(COUNTIF($E752, _xlfn.CONCAT("*",Table13[[#Headers],[Thriller]],"*")),1,0)</f>
        <v>0</v>
      </c>
      <c r="Z752">
        <f>IF(COUNTIF($E752, _xlfn.CONCAT("*",Table13[[#Headers],[War]],"*")),1,0)</f>
        <v>0</v>
      </c>
      <c r="AA752">
        <f>IF(COUNTIF($E752, _xlfn.CONCAT("*",Table13[[#Headers],[Western]],"*")),1,0)</f>
        <v>0</v>
      </c>
    </row>
    <row r="753" spans="1:27">
      <c r="A753" t="s">
        <v>300</v>
      </c>
      <c r="B753">
        <v>68</v>
      </c>
      <c r="C753">
        <f>MAX(Table13[Rank])-Table13[[#This Row],[Rank]]</f>
        <v>196</v>
      </c>
      <c r="D753" t="s">
        <v>780</v>
      </c>
      <c r="E753" t="s">
        <v>21</v>
      </c>
      <c r="F753" s="1">
        <v>19814</v>
      </c>
      <c r="G753">
        <f>YEAR(Table13[[#This Row],[Date]])</f>
        <v>1954</v>
      </c>
      <c r="H753" t="s">
        <v>300</v>
      </c>
      <c r="I753">
        <f>IF(COUNTIF($E753, _xlfn.CONCAT("*",Table13[[#Headers],[Action]],"*")),1,0)</f>
        <v>0</v>
      </c>
      <c r="J753">
        <f>IF(COUNTIF($E753, _xlfn.CONCAT("*",Table13[[#Headers],[Adventure]],"*")),1,0)</f>
        <v>0</v>
      </c>
      <c r="K753">
        <f>IF(COUNTIF($E753, _xlfn.CONCAT("*",Table13[[#Headers],[Animation]],"*")),1,0)</f>
        <v>0</v>
      </c>
      <c r="L753">
        <f>IF(COUNTIF($E753, _xlfn.CONCAT("*",Table13[[#Headers],[Comedy]],"*")),1,0)</f>
        <v>0</v>
      </c>
      <c r="M753">
        <f>IF(COUNTIF($E753, _xlfn.CONCAT("*",Table13[[#Headers],[Crime]],"*")),1,0)</f>
        <v>0</v>
      </c>
      <c r="N753">
        <f>IF(COUNTIF($E753, _xlfn.CONCAT("*",Table13[[#Headers],[Documentary]],"*")),1,0)</f>
        <v>0</v>
      </c>
      <c r="O753">
        <f>IF(COUNTIF($E753, _xlfn.CONCAT("*",Table13[[#Headers],[Drama]],"*")),1,0)</f>
        <v>1</v>
      </c>
      <c r="P753">
        <f>IF(COUNTIF($E753, _xlfn.CONCAT("*",Table13[[#Headers],[Family]],"*")),1,0)</f>
        <v>0</v>
      </c>
      <c r="Q753">
        <f>IF(COUNTIF($E753, _xlfn.CONCAT("*",Table13[[#Headers],[Fantasy]],"*")),1,0)</f>
        <v>0</v>
      </c>
      <c r="R753">
        <f>IF(COUNTIF($E753, _xlfn.CONCAT("*",Table13[[#Headers],[History]],"*")),1,0)</f>
        <v>0</v>
      </c>
      <c r="S753">
        <f>IF(COUNTIF($E753, _xlfn.CONCAT("*",Table13[[#Headers],[Horror]],"*")),1,0)</f>
        <v>0</v>
      </c>
      <c r="T753">
        <f>IF(COUNTIF($E753, _xlfn.CONCAT("*",Table13[[#Headers],[Music]],"*")),1,0)</f>
        <v>0</v>
      </c>
      <c r="U753">
        <f>IF(COUNTIF($E753, _xlfn.CONCAT("*",Table13[[#Headers],[Mystery]],"*")),1,0)</f>
        <v>0</v>
      </c>
      <c r="V753">
        <f>IF(COUNTIF($E753, _xlfn.CONCAT("*",Table13[[#Headers],[Romance]],"*")),1,0)</f>
        <v>0</v>
      </c>
      <c r="W753">
        <f>IF(COUNTIF($E753, _xlfn.CONCAT("*",Table13[[#Headers],[Science Fiction]],"*")),1,0)</f>
        <v>0</v>
      </c>
      <c r="X753">
        <f>IF(COUNTIF($E753, _xlfn.CONCAT("*",Table13[[#Headers],[TV Movie]],"*")),1,0)</f>
        <v>0</v>
      </c>
      <c r="Y753">
        <f>IF(COUNTIF($E753, _xlfn.CONCAT("*",Table13[[#Headers],[Thriller]],"*")),1,0)</f>
        <v>0</v>
      </c>
      <c r="Z753">
        <f>IF(COUNTIF($E753, _xlfn.CONCAT("*",Table13[[#Headers],[War]],"*")),1,0)</f>
        <v>0</v>
      </c>
      <c r="AA753">
        <f>IF(COUNTIF($E753, _xlfn.CONCAT("*",Table13[[#Headers],[Western]],"*")),1,0)</f>
        <v>0</v>
      </c>
    </row>
    <row r="754" spans="1:27">
      <c r="A754" t="s">
        <v>223</v>
      </c>
      <c r="B754">
        <v>69</v>
      </c>
      <c r="C754">
        <f>MAX(Table13[Rank])-Table13[[#This Row],[Rank]]</f>
        <v>195</v>
      </c>
      <c r="D754" t="s">
        <v>780</v>
      </c>
      <c r="E754" t="s">
        <v>224</v>
      </c>
      <c r="F754" s="1">
        <v>43755</v>
      </c>
      <c r="G754">
        <f>YEAR(Table13[[#This Row],[Date]])</f>
        <v>2019</v>
      </c>
      <c r="H754" t="s">
        <v>223</v>
      </c>
      <c r="I754">
        <f>IF(COUNTIF($E754, _xlfn.CONCAT("*",Table13[[#Headers],[Action]],"*")),1,0)</f>
        <v>1</v>
      </c>
      <c r="J754">
        <f>IF(COUNTIF($E754, _xlfn.CONCAT("*",Table13[[#Headers],[Adventure]],"*")),1,0)</f>
        <v>0</v>
      </c>
      <c r="K754">
        <f>IF(COUNTIF($E754, _xlfn.CONCAT("*",Table13[[#Headers],[Animation]],"*")),1,0)</f>
        <v>0</v>
      </c>
      <c r="L754">
        <f>IF(COUNTIF($E754, _xlfn.CONCAT("*",Table13[[#Headers],[Comedy]],"*")),1,0)</f>
        <v>0</v>
      </c>
      <c r="M754">
        <f>IF(COUNTIF($E754, _xlfn.CONCAT("*",Table13[[#Headers],[Crime]],"*")),1,0)</f>
        <v>0</v>
      </c>
      <c r="N754">
        <f>IF(COUNTIF($E754, _xlfn.CONCAT("*",Table13[[#Headers],[Documentary]],"*")),1,0)</f>
        <v>0</v>
      </c>
      <c r="O754">
        <f>IF(COUNTIF($E754, _xlfn.CONCAT("*",Table13[[#Headers],[Drama]],"*")),1,0)</f>
        <v>0</v>
      </c>
      <c r="P754">
        <f>IF(COUNTIF($E754, _xlfn.CONCAT("*",Table13[[#Headers],[Family]],"*")),1,0)</f>
        <v>0</v>
      </c>
      <c r="Q754">
        <f>IF(COUNTIF($E754, _xlfn.CONCAT("*",Table13[[#Headers],[Fantasy]],"*")),1,0)</f>
        <v>0</v>
      </c>
      <c r="R754">
        <f>IF(COUNTIF($E754, _xlfn.CONCAT("*",Table13[[#Headers],[History]],"*")),1,0)</f>
        <v>0</v>
      </c>
      <c r="S754">
        <f>IF(COUNTIF($E754, _xlfn.CONCAT("*",Table13[[#Headers],[Horror]],"*")),1,0)</f>
        <v>1</v>
      </c>
      <c r="T754">
        <f>IF(COUNTIF($E754, _xlfn.CONCAT("*",Table13[[#Headers],[Music]],"*")),1,0)</f>
        <v>0</v>
      </c>
      <c r="U754">
        <f>IF(COUNTIF($E754, _xlfn.CONCAT("*",Table13[[#Headers],[Mystery]],"*")),1,0)</f>
        <v>0</v>
      </c>
      <c r="V754">
        <f>IF(COUNTIF($E754, _xlfn.CONCAT("*",Table13[[#Headers],[Romance]],"*")),1,0)</f>
        <v>0</v>
      </c>
      <c r="W754">
        <f>IF(COUNTIF($E754, _xlfn.CONCAT("*",Table13[[#Headers],[Science Fiction]],"*")),1,0)</f>
        <v>1</v>
      </c>
      <c r="X754">
        <f>IF(COUNTIF($E754, _xlfn.CONCAT("*",Table13[[#Headers],[TV Movie]],"*")),1,0)</f>
        <v>0</v>
      </c>
      <c r="Y754">
        <f>IF(COUNTIF($E754, _xlfn.CONCAT("*",Table13[[#Headers],[Thriller]],"*")),1,0)</f>
        <v>0</v>
      </c>
      <c r="Z754">
        <f>IF(COUNTIF($E754, _xlfn.CONCAT("*",Table13[[#Headers],[War]],"*")),1,0)</f>
        <v>0</v>
      </c>
      <c r="AA754">
        <f>IF(COUNTIF($E754, _xlfn.CONCAT("*",Table13[[#Headers],[Western]],"*")),1,0)</f>
        <v>0</v>
      </c>
    </row>
    <row r="755" spans="1:27">
      <c r="A755" t="s">
        <v>813</v>
      </c>
      <c r="B755">
        <v>70</v>
      </c>
      <c r="C755">
        <f>MAX(Table13[Rank])-Table13[[#This Row],[Rank]]</f>
        <v>194</v>
      </c>
      <c r="D755" t="s">
        <v>780</v>
      </c>
      <c r="E755" t="s">
        <v>21</v>
      </c>
      <c r="F755" s="1">
        <v>43680</v>
      </c>
      <c r="G755">
        <f>YEAR(Table13[[#This Row],[Date]])</f>
        <v>2019</v>
      </c>
      <c r="H755" t="s">
        <v>813</v>
      </c>
      <c r="I755">
        <f>IF(COUNTIF($E755, _xlfn.CONCAT("*",Table13[[#Headers],[Action]],"*")),1,0)</f>
        <v>0</v>
      </c>
      <c r="J755">
        <f>IF(COUNTIF($E755, _xlfn.CONCAT("*",Table13[[#Headers],[Adventure]],"*")),1,0)</f>
        <v>0</v>
      </c>
      <c r="K755">
        <f>IF(COUNTIF($E755, _xlfn.CONCAT("*",Table13[[#Headers],[Animation]],"*")),1,0)</f>
        <v>0</v>
      </c>
      <c r="L755">
        <f>IF(COUNTIF($E755, _xlfn.CONCAT("*",Table13[[#Headers],[Comedy]],"*")),1,0)</f>
        <v>0</v>
      </c>
      <c r="M755">
        <f>IF(COUNTIF($E755, _xlfn.CONCAT("*",Table13[[#Headers],[Crime]],"*")),1,0)</f>
        <v>0</v>
      </c>
      <c r="N755">
        <f>IF(COUNTIF($E755, _xlfn.CONCAT("*",Table13[[#Headers],[Documentary]],"*")),1,0)</f>
        <v>0</v>
      </c>
      <c r="O755">
        <f>IF(COUNTIF($E755, _xlfn.CONCAT("*",Table13[[#Headers],[Drama]],"*")),1,0)</f>
        <v>1</v>
      </c>
      <c r="P755">
        <f>IF(COUNTIF($E755, _xlfn.CONCAT("*",Table13[[#Headers],[Family]],"*")),1,0)</f>
        <v>0</v>
      </c>
      <c r="Q755">
        <f>IF(COUNTIF($E755, _xlfn.CONCAT("*",Table13[[#Headers],[Fantasy]],"*")),1,0)</f>
        <v>0</v>
      </c>
      <c r="R755">
        <f>IF(COUNTIF($E755, _xlfn.CONCAT("*",Table13[[#Headers],[History]],"*")),1,0)</f>
        <v>0</v>
      </c>
      <c r="S755">
        <f>IF(COUNTIF($E755, _xlfn.CONCAT("*",Table13[[#Headers],[Horror]],"*")),1,0)</f>
        <v>0</v>
      </c>
      <c r="T755">
        <f>IF(COUNTIF($E755, _xlfn.CONCAT("*",Table13[[#Headers],[Music]],"*")),1,0)</f>
        <v>0</v>
      </c>
      <c r="U755">
        <f>IF(COUNTIF($E755, _xlfn.CONCAT("*",Table13[[#Headers],[Mystery]],"*")),1,0)</f>
        <v>0</v>
      </c>
      <c r="V755">
        <f>IF(COUNTIF($E755, _xlfn.CONCAT("*",Table13[[#Headers],[Romance]],"*")),1,0)</f>
        <v>0</v>
      </c>
      <c r="W755">
        <f>IF(COUNTIF($E755, _xlfn.CONCAT("*",Table13[[#Headers],[Science Fiction]],"*")),1,0)</f>
        <v>0</v>
      </c>
      <c r="X755">
        <f>IF(COUNTIF($E755, _xlfn.CONCAT("*",Table13[[#Headers],[TV Movie]],"*")),1,0)</f>
        <v>0</v>
      </c>
      <c r="Y755">
        <f>IF(COUNTIF($E755, _xlfn.CONCAT("*",Table13[[#Headers],[Thriller]],"*")),1,0)</f>
        <v>0</v>
      </c>
      <c r="Z755">
        <f>IF(COUNTIF($E755, _xlfn.CONCAT("*",Table13[[#Headers],[War]],"*")),1,0)</f>
        <v>0</v>
      </c>
      <c r="AA755">
        <f>IF(COUNTIF($E755, _xlfn.CONCAT("*",Table13[[#Headers],[Western]],"*")),1,0)</f>
        <v>0</v>
      </c>
    </row>
    <row r="756" spans="1:27">
      <c r="A756" t="s">
        <v>814</v>
      </c>
      <c r="B756">
        <v>71</v>
      </c>
      <c r="C756">
        <f>MAX(Table13[Rank])-Table13[[#This Row],[Rank]]</f>
        <v>193</v>
      </c>
      <c r="D756" t="s">
        <v>780</v>
      </c>
      <c r="E756" t="s">
        <v>324</v>
      </c>
      <c r="F756" s="1">
        <v>8874</v>
      </c>
      <c r="G756">
        <f>YEAR(Table13[[#This Row],[Date]])</f>
        <v>1924</v>
      </c>
      <c r="H756" t="s">
        <v>323</v>
      </c>
      <c r="I756">
        <f>IF(COUNTIF($E756, _xlfn.CONCAT("*",Table13[[#Headers],[Action]],"*")),1,0)</f>
        <v>1</v>
      </c>
      <c r="J756">
        <f>IF(COUNTIF($E756, _xlfn.CONCAT("*",Table13[[#Headers],[Adventure]],"*")),1,0)</f>
        <v>0</v>
      </c>
      <c r="K756">
        <f>IF(COUNTIF($E756, _xlfn.CONCAT("*",Table13[[#Headers],[Animation]],"*")),1,0)</f>
        <v>0</v>
      </c>
      <c r="L756">
        <f>IF(COUNTIF($E756, _xlfn.CONCAT("*",Table13[[#Headers],[Comedy]],"*")),1,0)</f>
        <v>1</v>
      </c>
      <c r="M756">
        <f>IF(COUNTIF($E756, _xlfn.CONCAT("*",Table13[[#Headers],[Crime]],"*")),1,0)</f>
        <v>0</v>
      </c>
      <c r="N756">
        <f>IF(COUNTIF($E756, _xlfn.CONCAT("*",Table13[[#Headers],[Documentary]],"*")),1,0)</f>
        <v>0</v>
      </c>
      <c r="O756">
        <f>IF(COUNTIF($E756, _xlfn.CONCAT("*",Table13[[#Headers],[Drama]],"*")),1,0)</f>
        <v>0</v>
      </c>
      <c r="P756">
        <f>IF(COUNTIF($E756, _xlfn.CONCAT("*",Table13[[#Headers],[Family]],"*")),1,0)</f>
        <v>0</v>
      </c>
      <c r="Q756">
        <f>IF(COUNTIF($E756, _xlfn.CONCAT("*",Table13[[#Headers],[Fantasy]],"*")),1,0)</f>
        <v>0</v>
      </c>
      <c r="R756">
        <f>IF(COUNTIF($E756, _xlfn.CONCAT("*",Table13[[#Headers],[History]],"*")),1,0)</f>
        <v>0</v>
      </c>
      <c r="S756">
        <f>IF(COUNTIF($E756, _xlfn.CONCAT("*",Table13[[#Headers],[Horror]],"*")),1,0)</f>
        <v>0</v>
      </c>
      <c r="T756">
        <f>IF(COUNTIF($E756, _xlfn.CONCAT("*",Table13[[#Headers],[Music]],"*")),1,0)</f>
        <v>0</v>
      </c>
      <c r="U756">
        <f>IF(COUNTIF($E756, _xlfn.CONCAT("*",Table13[[#Headers],[Mystery]],"*")),1,0)</f>
        <v>1</v>
      </c>
      <c r="V756">
        <f>IF(COUNTIF($E756, _xlfn.CONCAT("*",Table13[[#Headers],[Romance]],"*")),1,0)</f>
        <v>0</v>
      </c>
      <c r="W756">
        <f>IF(COUNTIF($E756, _xlfn.CONCAT("*",Table13[[#Headers],[Science Fiction]],"*")),1,0)</f>
        <v>0</v>
      </c>
      <c r="X756">
        <f>IF(COUNTIF($E756, _xlfn.CONCAT("*",Table13[[#Headers],[TV Movie]],"*")),1,0)</f>
        <v>0</v>
      </c>
      <c r="Y756">
        <f>IF(COUNTIF($E756, _xlfn.CONCAT("*",Table13[[#Headers],[Thriller]],"*")),1,0)</f>
        <v>0</v>
      </c>
      <c r="Z756">
        <f>IF(COUNTIF($E756, _xlfn.CONCAT("*",Table13[[#Headers],[War]],"*")),1,0)</f>
        <v>0</v>
      </c>
      <c r="AA756">
        <f>IF(COUNTIF($E756, _xlfn.CONCAT("*",Table13[[#Headers],[Western]],"*")),1,0)</f>
        <v>0</v>
      </c>
    </row>
    <row r="757" spans="1:27">
      <c r="A757" t="s">
        <v>673</v>
      </c>
      <c r="B757">
        <v>72</v>
      </c>
      <c r="C757">
        <f>MAX(Table13[Rank])-Table13[[#This Row],[Rank]]</f>
        <v>192</v>
      </c>
      <c r="D757" t="s">
        <v>780</v>
      </c>
      <c r="E757" t="s">
        <v>618</v>
      </c>
      <c r="F757" s="1">
        <v>37243</v>
      </c>
      <c r="G757">
        <f>YEAR(Table13[[#This Row],[Date]])</f>
        <v>2001</v>
      </c>
      <c r="H757" t="s">
        <v>673</v>
      </c>
      <c r="I757">
        <f>IF(COUNTIF($E757, _xlfn.CONCAT("*",Table13[[#Headers],[Action]],"*")),1,0)</f>
        <v>1</v>
      </c>
      <c r="J757">
        <f>IF(COUNTIF($E757, _xlfn.CONCAT("*",Table13[[#Headers],[Adventure]],"*")),1,0)</f>
        <v>1</v>
      </c>
      <c r="K757">
        <f>IF(COUNTIF($E757, _xlfn.CONCAT("*",Table13[[#Headers],[Animation]],"*")),1,0)</f>
        <v>0</v>
      </c>
      <c r="L757">
        <f>IF(COUNTIF($E757, _xlfn.CONCAT("*",Table13[[#Headers],[Comedy]],"*")),1,0)</f>
        <v>0</v>
      </c>
      <c r="M757">
        <f>IF(COUNTIF($E757, _xlfn.CONCAT("*",Table13[[#Headers],[Crime]],"*")),1,0)</f>
        <v>0</v>
      </c>
      <c r="N757">
        <f>IF(COUNTIF($E757, _xlfn.CONCAT("*",Table13[[#Headers],[Documentary]],"*")),1,0)</f>
        <v>0</v>
      </c>
      <c r="O757">
        <f>IF(COUNTIF($E757, _xlfn.CONCAT("*",Table13[[#Headers],[Drama]],"*")),1,0)</f>
        <v>0</v>
      </c>
      <c r="P757">
        <f>IF(COUNTIF($E757, _xlfn.CONCAT("*",Table13[[#Headers],[Family]],"*")),1,0)</f>
        <v>0</v>
      </c>
      <c r="Q757">
        <f>IF(COUNTIF($E757, _xlfn.CONCAT("*",Table13[[#Headers],[Fantasy]],"*")),1,0)</f>
        <v>1</v>
      </c>
      <c r="R757">
        <f>IF(COUNTIF($E757, _xlfn.CONCAT("*",Table13[[#Headers],[History]],"*")),1,0)</f>
        <v>0</v>
      </c>
      <c r="S757">
        <f>IF(COUNTIF($E757, _xlfn.CONCAT("*",Table13[[#Headers],[Horror]],"*")),1,0)</f>
        <v>0</v>
      </c>
      <c r="T757">
        <f>IF(COUNTIF($E757, _xlfn.CONCAT("*",Table13[[#Headers],[Music]],"*")),1,0)</f>
        <v>0</v>
      </c>
      <c r="U757">
        <f>IF(COUNTIF($E757, _xlfn.CONCAT("*",Table13[[#Headers],[Mystery]],"*")),1,0)</f>
        <v>0</v>
      </c>
      <c r="V757">
        <f>IF(COUNTIF($E757, _xlfn.CONCAT("*",Table13[[#Headers],[Romance]],"*")),1,0)</f>
        <v>0</v>
      </c>
      <c r="W757">
        <f>IF(COUNTIF($E757, _xlfn.CONCAT("*",Table13[[#Headers],[Science Fiction]],"*")),1,0)</f>
        <v>0</v>
      </c>
      <c r="X757">
        <f>IF(COUNTIF($E757, _xlfn.CONCAT("*",Table13[[#Headers],[TV Movie]],"*")),1,0)</f>
        <v>0</v>
      </c>
      <c r="Y757">
        <f>IF(COUNTIF($E757, _xlfn.CONCAT("*",Table13[[#Headers],[Thriller]],"*")),1,0)</f>
        <v>0</v>
      </c>
      <c r="Z757">
        <f>IF(COUNTIF($E757, _xlfn.CONCAT("*",Table13[[#Headers],[War]],"*")),1,0)</f>
        <v>0</v>
      </c>
      <c r="AA757">
        <f>IF(COUNTIF($E757, _xlfn.CONCAT("*",Table13[[#Headers],[Western]],"*")),1,0)</f>
        <v>0</v>
      </c>
    </row>
    <row r="758" spans="1:27">
      <c r="A758" t="s">
        <v>563</v>
      </c>
      <c r="B758">
        <v>73</v>
      </c>
      <c r="C758">
        <f>MAX(Table13[Rank])-Table13[[#This Row],[Rank]]</f>
        <v>191</v>
      </c>
      <c r="D758" t="s">
        <v>780</v>
      </c>
      <c r="E758" t="s">
        <v>21</v>
      </c>
      <c r="F758" s="1">
        <v>27717</v>
      </c>
      <c r="G758">
        <f>YEAR(Table13[[#This Row],[Date]])</f>
        <v>1975</v>
      </c>
      <c r="H758" t="s">
        <v>563</v>
      </c>
      <c r="I758">
        <f>IF(COUNTIF($E758, _xlfn.CONCAT("*",Table13[[#Headers],[Action]],"*")),1,0)</f>
        <v>0</v>
      </c>
      <c r="J758">
        <f>IF(COUNTIF($E758, _xlfn.CONCAT("*",Table13[[#Headers],[Adventure]],"*")),1,0)</f>
        <v>0</v>
      </c>
      <c r="K758">
        <f>IF(COUNTIF($E758, _xlfn.CONCAT("*",Table13[[#Headers],[Animation]],"*")),1,0)</f>
        <v>0</v>
      </c>
      <c r="L758">
        <f>IF(COUNTIF($E758, _xlfn.CONCAT("*",Table13[[#Headers],[Comedy]],"*")),1,0)</f>
        <v>0</v>
      </c>
      <c r="M758">
        <f>IF(COUNTIF($E758, _xlfn.CONCAT("*",Table13[[#Headers],[Crime]],"*")),1,0)</f>
        <v>0</v>
      </c>
      <c r="N758">
        <f>IF(COUNTIF($E758, _xlfn.CONCAT("*",Table13[[#Headers],[Documentary]],"*")),1,0)</f>
        <v>0</v>
      </c>
      <c r="O758">
        <f>IF(COUNTIF($E758, _xlfn.CONCAT("*",Table13[[#Headers],[Drama]],"*")),1,0)</f>
        <v>1</v>
      </c>
      <c r="P758">
        <f>IF(COUNTIF($E758, _xlfn.CONCAT("*",Table13[[#Headers],[Family]],"*")),1,0)</f>
        <v>0</v>
      </c>
      <c r="Q758">
        <f>IF(COUNTIF($E758, _xlfn.CONCAT("*",Table13[[#Headers],[Fantasy]],"*")),1,0)</f>
        <v>0</v>
      </c>
      <c r="R758">
        <f>IF(COUNTIF($E758, _xlfn.CONCAT("*",Table13[[#Headers],[History]],"*")),1,0)</f>
        <v>0</v>
      </c>
      <c r="S758">
        <f>IF(COUNTIF($E758, _xlfn.CONCAT("*",Table13[[#Headers],[Horror]],"*")),1,0)</f>
        <v>0</v>
      </c>
      <c r="T758">
        <f>IF(COUNTIF($E758, _xlfn.CONCAT("*",Table13[[#Headers],[Music]],"*")),1,0)</f>
        <v>0</v>
      </c>
      <c r="U758">
        <f>IF(COUNTIF($E758, _xlfn.CONCAT("*",Table13[[#Headers],[Mystery]],"*")),1,0)</f>
        <v>0</v>
      </c>
      <c r="V758">
        <f>IF(COUNTIF($E758, _xlfn.CONCAT("*",Table13[[#Headers],[Romance]],"*")),1,0)</f>
        <v>0</v>
      </c>
      <c r="W758">
        <f>IF(COUNTIF($E758, _xlfn.CONCAT("*",Table13[[#Headers],[Science Fiction]],"*")),1,0)</f>
        <v>0</v>
      </c>
      <c r="X758">
        <f>IF(COUNTIF($E758, _xlfn.CONCAT("*",Table13[[#Headers],[TV Movie]],"*")),1,0)</f>
        <v>0</v>
      </c>
      <c r="Y758">
        <f>IF(COUNTIF($E758, _xlfn.CONCAT("*",Table13[[#Headers],[Thriller]],"*")),1,0)</f>
        <v>0</v>
      </c>
      <c r="Z758">
        <f>IF(COUNTIF($E758, _xlfn.CONCAT("*",Table13[[#Headers],[War]],"*")),1,0)</f>
        <v>0</v>
      </c>
      <c r="AA758">
        <f>IF(COUNTIF($E758, _xlfn.CONCAT("*",Table13[[#Headers],[Western]],"*")),1,0)</f>
        <v>0</v>
      </c>
    </row>
    <row r="759" spans="1:27">
      <c r="A759" t="s">
        <v>815</v>
      </c>
      <c r="B759">
        <v>74</v>
      </c>
      <c r="C759">
        <f>MAX(Table13[Rank])-Table13[[#This Row],[Rank]]</f>
        <v>190</v>
      </c>
      <c r="D759" t="s">
        <v>780</v>
      </c>
      <c r="E759" t="s">
        <v>35</v>
      </c>
      <c r="F759" s="1">
        <v>38154</v>
      </c>
      <c r="G759">
        <f>YEAR(Table13[[#This Row],[Date]])</f>
        <v>2004</v>
      </c>
      <c r="H759" t="s">
        <v>815</v>
      </c>
      <c r="I759">
        <f>IF(COUNTIF($E759, _xlfn.CONCAT("*",Table13[[#Headers],[Action]],"*")),1,0)</f>
        <v>0</v>
      </c>
      <c r="J759">
        <f>IF(COUNTIF($E759, _xlfn.CONCAT("*",Table13[[#Headers],[Adventure]],"*")),1,0)</f>
        <v>0</v>
      </c>
      <c r="K759">
        <f>IF(COUNTIF($E759, _xlfn.CONCAT("*",Table13[[#Headers],[Animation]],"*")),1,0)</f>
        <v>0</v>
      </c>
      <c r="L759">
        <f>IF(COUNTIF($E759, _xlfn.CONCAT("*",Table13[[#Headers],[Comedy]],"*")),1,0)</f>
        <v>0</v>
      </c>
      <c r="M759">
        <f>IF(COUNTIF($E759, _xlfn.CONCAT("*",Table13[[#Headers],[Crime]],"*")),1,0)</f>
        <v>0</v>
      </c>
      <c r="N759">
        <f>IF(COUNTIF($E759, _xlfn.CONCAT("*",Table13[[#Headers],[Documentary]],"*")),1,0)</f>
        <v>0</v>
      </c>
      <c r="O759">
        <f>IF(COUNTIF($E759, _xlfn.CONCAT("*",Table13[[#Headers],[Drama]],"*")),1,0)</f>
        <v>1</v>
      </c>
      <c r="P759">
        <f>IF(COUNTIF($E759, _xlfn.CONCAT("*",Table13[[#Headers],[Family]],"*")),1,0)</f>
        <v>0</v>
      </c>
      <c r="Q759">
        <f>IF(COUNTIF($E759, _xlfn.CONCAT("*",Table13[[#Headers],[Fantasy]],"*")),1,0)</f>
        <v>0</v>
      </c>
      <c r="R759">
        <f>IF(COUNTIF($E759, _xlfn.CONCAT("*",Table13[[#Headers],[History]],"*")),1,0)</f>
        <v>0</v>
      </c>
      <c r="S759">
        <f>IF(COUNTIF($E759, _xlfn.CONCAT("*",Table13[[#Headers],[Horror]],"*")),1,0)</f>
        <v>0</v>
      </c>
      <c r="T759">
        <f>IF(COUNTIF($E759, _xlfn.CONCAT("*",Table13[[#Headers],[Music]],"*")),1,0)</f>
        <v>0</v>
      </c>
      <c r="U759">
        <f>IF(COUNTIF($E759, _xlfn.CONCAT("*",Table13[[#Headers],[Mystery]],"*")),1,0)</f>
        <v>0</v>
      </c>
      <c r="V759">
        <f>IF(COUNTIF($E759, _xlfn.CONCAT("*",Table13[[#Headers],[Romance]],"*")),1,0)</f>
        <v>1</v>
      </c>
      <c r="W759">
        <f>IF(COUNTIF($E759, _xlfn.CONCAT("*",Table13[[#Headers],[Science Fiction]],"*")),1,0)</f>
        <v>0</v>
      </c>
      <c r="X759">
        <f>IF(COUNTIF($E759, _xlfn.CONCAT("*",Table13[[#Headers],[TV Movie]],"*")),1,0)</f>
        <v>0</v>
      </c>
      <c r="Y759">
        <f>IF(COUNTIF($E759, _xlfn.CONCAT("*",Table13[[#Headers],[Thriller]],"*")),1,0)</f>
        <v>0</v>
      </c>
      <c r="Z759">
        <f>IF(COUNTIF($E759, _xlfn.CONCAT("*",Table13[[#Headers],[War]],"*")),1,0)</f>
        <v>0</v>
      </c>
      <c r="AA759">
        <f>IF(COUNTIF($E759, _xlfn.CONCAT("*",Table13[[#Headers],[Western]],"*")),1,0)</f>
        <v>0</v>
      </c>
    </row>
    <row r="760" spans="1:27">
      <c r="A760" t="s">
        <v>816</v>
      </c>
      <c r="B760">
        <v>75</v>
      </c>
      <c r="C760">
        <f>MAX(Table13[Rank])-Table13[[#This Row],[Rank]]</f>
        <v>189</v>
      </c>
      <c r="D760" t="s">
        <v>780</v>
      </c>
      <c r="E760" t="s">
        <v>21</v>
      </c>
      <c r="F760" s="1">
        <v>34373</v>
      </c>
      <c r="G760">
        <f>YEAR(Table13[[#This Row],[Date]])</f>
        <v>1994</v>
      </c>
      <c r="H760" t="s">
        <v>816</v>
      </c>
      <c r="I760">
        <f>IF(COUNTIF($E760, _xlfn.CONCAT("*",Table13[[#Headers],[Action]],"*")),1,0)</f>
        <v>0</v>
      </c>
      <c r="J760">
        <f>IF(COUNTIF($E760, _xlfn.CONCAT("*",Table13[[#Headers],[Adventure]],"*")),1,0)</f>
        <v>0</v>
      </c>
      <c r="K760">
        <f>IF(COUNTIF($E760, _xlfn.CONCAT("*",Table13[[#Headers],[Animation]],"*")),1,0)</f>
        <v>0</v>
      </c>
      <c r="L760">
        <f>IF(COUNTIF($E760, _xlfn.CONCAT("*",Table13[[#Headers],[Comedy]],"*")),1,0)</f>
        <v>0</v>
      </c>
      <c r="M760">
        <f>IF(COUNTIF($E760, _xlfn.CONCAT("*",Table13[[#Headers],[Crime]],"*")),1,0)</f>
        <v>0</v>
      </c>
      <c r="N760">
        <f>IF(COUNTIF($E760, _xlfn.CONCAT("*",Table13[[#Headers],[Documentary]],"*")),1,0)</f>
        <v>0</v>
      </c>
      <c r="O760">
        <f>IF(COUNTIF($E760, _xlfn.CONCAT("*",Table13[[#Headers],[Drama]],"*")),1,0)</f>
        <v>1</v>
      </c>
      <c r="P760">
        <f>IF(COUNTIF($E760, _xlfn.CONCAT("*",Table13[[#Headers],[Family]],"*")),1,0)</f>
        <v>0</v>
      </c>
      <c r="Q760">
        <f>IF(COUNTIF($E760, _xlfn.CONCAT("*",Table13[[#Headers],[Fantasy]],"*")),1,0)</f>
        <v>0</v>
      </c>
      <c r="R760">
        <f>IF(COUNTIF($E760, _xlfn.CONCAT("*",Table13[[#Headers],[History]],"*")),1,0)</f>
        <v>0</v>
      </c>
      <c r="S760">
        <f>IF(COUNTIF($E760, _xlfn.CONCAT("*",Table13[[#Headers],[Horror]],"*")),1,0)</f>
        <v>0</v>
      </c>
      <c r="T760">
        <f>IF(COUNTIF($E760, _xlfn.CONCAT("*",Table13[[#Headers],[Music]],"*")),1,0)</f>
        <v>0</v>
      </c>
      <c r="U760">
        <f>IF(COUNTIF($E760, _xlfn.CONCAT("*",Table13[[#Headers],[Mystery]],"*")),1,0)</f>
        <v>0</v>
      </c>
      <c r="V760">
        <f>IF(COUNTIF($E760, _xlfn.CONCAT("*",Table13[[#Headers],[Romance]],"*")),1,0)</f>
        <v>0</v>
      </c>
      <c r="W760">
        <f>IF(COUNTIF($E760, _xlfn.CONCAT("*",Table13[[#Headers],[Science Fiction]],"*")),1,0)</f>
        <v>0</v>
      </c>
      <c r="X760">
        <f>IF(COUNTIF($E760, _xlfn.CONCAT("*",Table13[[#Headers],[TV Movie]],"*")),1,0)</f>
        <v>0</v>
      </c>
      <c r="Y760">
        <f>IF(COUNTIF($E760, _xlfn.CONCAT("*",Table13[[#Headers],[Thriller]],"*")),1,0)</f>
        <v>0</v>
      </c>
      <c r="Z760">
        <f>IF(COUNTIF($E760, _xlfn.CONCAT("*",Table13[[#Headers],[War]],"*")),1,0)</f>
        <v>0</v>
      </c>
      <c r="AA760">
        <f>IF(COUNTIF($E760, _xlfn.CONCAT("*",Table13[[#Headers],[Western]],"*")),1,0)</f>
        <v>0</v>
      </c>
    </row>
    <row r="761" spans="1:27">
      <c r="A761" t="s">
        <v>743</v>
      </c>
      <c r="B761">
        <v>76</v>
      </c>
      <c r="C761">
        <f>MAX(Table13[Rank])-Table13[[#This Row],[Rank]]</f>
        <v>188</v>
      </c>
      <c r="D761" t="s">
        <v>780</v>
      </c>
      <c r="E761" t="s">
        <v>81</v>
      </c>
      <c r="F761" s="1">
        <v>37516</v>
      </c>
      <c r="G761">
        <f>YEAR(Table13[[#This Row],[Date]])</f>
        <v>2002</v>
      </c>
      <c r="H761" t="s">
        <v>743</v>
      </c>
      <c r="I761">
        <f>IF(COUNTIF($E761, _xlfn.CONCAT("*",Table13[[#Headers],[Action]],"*")),1,0)</f>
        <v>0</v>
      </c>
      <c r="J761">
        <f>IF(COUNTIF($E761, _xlfn.CONCAT("*",Table13[[#Headers],[Adventure]],"*")),1,0)</f>
        <v>0</v>
      </c>
      <c r="K761">
        <f>IF(COUNTIF($E761, _xlfn.CONCAT("*",Table13[[#Headers],[Animation]],"*")),1,0)</f>
        <v>0</v>
      </c>
      <c r="L761">
        <f>IF(COUNTIF($E761, _xlfn.CONCAT("*",Table13[[#Headers],[Comedy]],"*")),1,0)</f>
        <v>0</v>
      </c>
      <c r="M761">
        <f>IF(COUNTIF($E761, _xlfn.CONCAT("*",Table13[[#Headers],[Crime]],"*")),1,0)</f>
        <v>0</v>
      </c>
      <c r="N761">
        <f>IF(COUNTIF($E761, _xlfn.CONCAT("*",Table13[[#Headers],[Documentary]],"*")),1,0)</f>
        <v>0</v>
      </c>
      <c r="O761">
        <f>IF(COUNTIF($E761, _xlfn.CONCAT("*",Table13[[#Headers],[Drama]],"*")),1,0)</f>
        <v>1</v>
      </c>
      <c r="P761">
        <f>IF(COUNTIF($E761, _xlfn.CONCAT("*",Table13[[#Headers],[Family]],"*")),1,0)</f>
        <v>0</v>
      </c>
      <c r="Q761">
        <f>IF(COUNTIF($E761, _xlfn.CONCAT("*",Table13[[#Headers],[Fantasy]],"*")),1,0)</f>
        <v>0</v>
      </c>
      <c r="R761">
        <f>IF(COUNTIF($E761, _xlfn.CONCAT("*",Table13[[#Headers],[History]],"*")),1,0)</f>
        <v>0</v>
      </c>
      <c r="S761">
        <f>IF(COUNTIF($E761, _xlfn.CONCAT("*",Table13[[#Headers],[Horror]],"*")),1,0)</f>
        <v>0</v>
      </c>
      <c r="T761">
        <f>IF(COUNTIF($E761, _xlfn.CONCAT("*",Table13[[#Headers],[Music]],"*")),1,0)</f>
        <v>0</v>
      </c>
      <c r="U761">
        <f>IF(COUNTIF($E761, _xlfn.CONCAT("*",Table13[[#Headers],[Mystery]],"*")),1,0)</f>
        <v>0</v>
      </c>
      <c r="V761">
        <f>IF(COUNTIF($E761, _xlfn.CONCAT("*",Table13[[#Headers],[Romance]],"*")),1,0)</f>
        <v>0</v>
      </c>
      <c r="W761">
        <f>IF(COUNTIF($E761, _xlfn.CONCAT("*",Table13[[#Headers],[Science Fiction]],"*")),1,0)</f>
        <v>0</v>
      </c>
      <c r="X761">
        <f>IF(COUNTIF($E761, _xlfn.CONCAT("*",Table13[[#Headers],[TV Movie]],"*")),1,0)</f>
        <v>0</v>
      </c>
      <c r="Y761">
        <f>IF(COUNTIF($E761, _xlfn.CONCAT("*",Table13[[#Headers],[Thriller]],"*")),1,0)</f>
        <v>0</v>
      </c>
      <c r="Z761">
        <f>IF(COUNTIF($E761, _xlfn.CONCAT("*",Table13[[#Headers],[War]],"*")),1,0)</f>
        <v>1</v>
      </c>
      <c r="AA761">
        <f>IF(COUNTIF($E761, _xlfn.CONCAT("*",Table13[[#Headers],[Western]],"*")),1,0)</f>
        <v>0</v>
      </c>
    </row>
    <row r="762" spans="1:27">
      <c r="A762" t="s">
        <v>235</v>
      </c>
      <c r="B762">
        <v>77</v>
      </c>
      <c r="C762">
        <f>MAX(Table13[Rank])-Table13[[#This Row],[Rank]]</f>
        <v>187</v>
      </c>
      <c r="D762" t="s">
        <v>780</v>
      </c>
      <c r="E762" t="s">
        <v>236</v>
      </c>
      <c r="F762" s="1">
        <v>30127</v>
      </c>
      <c r="G762">
        <f>YEAR(Table13[[#This Row],[Date]])</f>
        <v>1982</v>
      </c>
      <c r="H762" t="s">
        <v>235</v>
      </c>
      <c r="I762">
        <f>IF(COUNTIF($E762, _xlfn.CONCAT("*",Table13[[#Headers],[Action]],"*")),1,0)</f>
        <v>0</v>
      </c>
      <c r="J762">
        <f>IF(COUNTIF($E762, _xlfn.CONCAT("*",Table13[[#Headers],[Adventure]],"*")),1,0)</f>
        <v>0</v>
      </c>
      <c r="K762">
        <f>IF(COUNTIF($E762, _xlfn.CONCAT("*",Table13[[#Headers],[Animation]],"*")),1,0)</f>
        <v>0</v>
      </c>
      <c r="L762">
        <f>IF(COUNTIF($E762, _xlfn.CONCAT("*",Table13[[#Headers],[Comedy]],"*")),1,0)</f>
        <v>0</v>
      </c>
      <c r="M762">
        <f>IF(COUNTIF($E762, _xlfn.CONCAT("*",Table13[[#Headers],[Crime]],"*")),1,0)</f>
        <v>0</v>
      </c>
      <c r="N762">
        <f>IF(COUNTIF($E762, _xlfn.CONCAT("*",Table13[[#Headers],[Documentary]],"*")),1,0)</f>
        <v>0</v>
      </c>
      <c r="O762">
        <f>IF(COUNTIF($E762, _xlfn.CONCAT("*",Table13[[#Headers],[Drama]],"*")),1,0)</f>
        <v>0</v>
      </c>
      <c r="P762">
        <f>IF(COUNTIF($E762, _xlfn.CONCAT("*",Table13[[#Headers],[Family]],"*")),1,0)</f>
        <v>0</v>
      </c>
      <c r="Q762">
        <f>IF(COUNTIF($E762, _xlfn.CONCAT("*",Table13[[#Headers],[Fantasy]],"*")),1,0)</f>
        <v>0</v>
      </c>
      <c r="R762">
        <f>IF(COUNTIF($E762, _xlfn.CONCAT("*",Table13[[#Headers],[History]],"*")),1,0)</f>
        <v>0</v>
      </c>
      <c r="S762">
        <f>IF(COUNTIF($E762, _xlfn.CONCAT("*",Table13[[#Headers],[Horror]],"*")),1,0)</f>
        <v>1</v>
      </c>
      <c r="T762">
        <f>IF(COUNTIF($E762, _xlfn.CONCAT("*",Table13[[#Headers],[Music]],"*")),1,0)</f>
        <v>0</v>
      </c>
      <c r="U762">
        <f>IF(COUNTIF($E762, _xlfn.CONCAT("*",Table13[[#Headers],[Mystery]],"*")),1,0)</f>
        <v>1</v>
      </c>
      <c r="V762">
        <f>IF(COUNTIF($E762, _xlfn.CONCAT("*",Table13[[#Headers],[Romance]],"*")),1,0)</f>
        <v>0</v>
      </c>
      <c r="W762">
        <f>IF(COUNTIF($E762, _xlfn.CONCAT("*",Table13[[#Headers],[Science Fiction]],"*")),1,0)</f>
        <v>1</v>
      </c>
      <c r="X762">
        <f>IF(COUNTIF($E762, _xlfn.CONCAT("*",Table13[[#Headers],[TV Movie]],"*")),1,0)</f>
        <v>0</v>
      </c>
      <c r="Y762">
        <f>IF(COUNTIF($E762, _xlfn.CONCAT("*",Table13[[#Headers],[Thriller]],"*")),1,0)</f>
        <v>0</v>
      </c>
      <c r="Z762">
        <f>IF(COUNTIF($E762, _xlfn.CONCAT("*",Table13[[#Headers],[War]],"*")),1,0)</f>
        <v>0</v>
      </c>
      <c r="AA762">
        <f>IF(COUNTIF($E762, _xlfn.CONCAT("*",Table13[[#Headers],[Western]],"*")),1,0)</f>
        <v>0</v>
      </c>
    </row>
    <row r="763" spans="1:27">
      <c r="A763" t="s">
        <v>817</v>
      </c>
      <c r="B763">
        <v>78</v>
      </c>
      <c r="C763">
        <f>MAX(Table13[Rank])-Table13[[#This Row],[Rank]]</f>
        <v>186</v>
      </c>
      <c r="D763" t="s">
        <v>780</v>
      </c>
      <c r="E763" t="s">
        <v>818</v>
      </c>
      <c r="F763" s="1">
        <v>39844</v>
      </c>
      <c r="G763">
        <f>YEAR(Table13[[#This Row],[Date]])</f>
        <v>2009</v>
      </c>
      <c r="H763" t="s">
        <v>817</v>
      </c>
      <c r="I763">
        <f>IF(COUNTIF($E763, _xlfn.CONCAT("*",Table13[[#Headers],[Action]],"*")),1,0)</f>
        <v>1</v>
      </c>
      <c r="J763">
        <f>IF(COUNTIF($E763, _xlfn.CONCAT("*",Table13[[#Headers],[Adventure]],"*")),1,0)</f>
        <v>0</v>
      </c>
      <c r="K763">
        <f>IF(COUNTIF($E763, _xlfn.CONCAT("*",Table13[[#Headers],[Animation]],"*")),1,0)</f>
        <v>0</v>
      </c>
      <c r="L763">
        <f>IF(COUNTIF($E763, _xlfn.CONCAT("*",Table13[[#Headers],[Comedy]],"*")),1,0)</f>
        <v>1</v>
      </c>
      <c r="M763">
        <f>IF(COUNTIF($E763, _xlfn.CONCAT("*",Table13[[#Headers],[Crime]],"*")),1,0)</f>
        <v>0</v>
      </c>
      <c r="N763">
        <f>IF(COUNTIF($E763, _xlfn.CONCAT("*",Table13[[#Headers],[Documentary]],"*")),1,0)</f>
        <v>0</v>
      </c>
      <c r="O763">
        <f>IF(COUNTIF($E763, _xlfn.CONCAT("*",Table13[[#Headers],[Drama]],"*")),1,0)</f>
        <v>1</v>
      </c>
      <c r="P763">
        <f>IF(COUNTIF($E763, _xlfn.CONCAT("*",Table13[[#Headers],[Family]],"*")),1,0)</f>
        <v>0</v>
      </c>
      <c r="Q763">
        <f>IF(COUNTIF($E763, _xlfn.CONCAT("*",Table13[[#Headers],[Fantasy]],"*")),1,0)</f>
        <v>0</v>
      </c>
      <c r="R763">
        <f>IF(COUNTIF($E763, _xlfn.CONCAT("*",Table13[[#Headers],[History]],"*")),1,0)</f>
        <v>0</v>
      </c>
      <c r="S763">
        <f>IF(COUNTIF($E763, _xlfn.CONCAT("*",Table13[[#Headers],[Horror]],"*")),1,0)</f>
        <v>0</v>
      </c>
      <c r="T763">
        <f>IF(COUNTIF($E763, _xlfn.CONCAT("*",Table13[[#Headers],[Music]],"*")),1,0)</f>
        <v>0</v>
      </c>
      <c r="U763">
        <f>IF(COUNTIF($E763, _xlfn.CONCAT("*",Table13[[#Headers],[Mystery]],"*")),1,0)</f>
        <v>0</v>
      </c>
      <c r="V763">
        <f>IF(COUNTIF($E763, _xlfn.CONCAT("*",Table13[[#Headers],[Romance]],"*")),1,0)</f>
        <v>1</v>
      </c>
      <c r="W763">
        <f>IF(COUNTIF($E763, _xlfn.CONCAT("*",Table13[[#Headers],[Science Fiction]],"*")),1,0)</f>
        <v>0</v>
      </c>
      <c r="X763">
        <f>IF(COUNTIF($E763, _xlfn.CONCAT("*",Table13[[#Headers],[TV Movie]],"*")),1,0)</f>
        <v>0</v>
      </c>
      <c r="Y763">
        <f>IF(COUNTIF($E763, _xlfn.CONCAT("*",Table13[[#Headers],[Thriller]],"*")),1,0)</f>
        <v>0</v>
      </c>
      <c r="Z763">
        <f>IF(COUNTIF($E763, _xlfn.CONCAT("*",Table13[[#Headers],[War]],"*")),1,0)</f>
        <v>0</v>
      </c>
      <c r="AA763">
        <f>IF(COUNTIF($E763, _xlfn.CONCAT("*",Table13[[#Headers],[Western]],"*")),1,0)</f>
        <v>0</v>
      </c>
    </row>
    <row r="764" spans="1:27">
      <c r="A764" t="s">
        <v>214</v>
      </c>
      <c r="B764">
        <v>79</v>
      </c>
      <c r="C764">
        <f>MAX(Table13[Rank])-Table13[[#This Row],[Rank]]</f>
        <v>185</v>
      </c>
      <c r="D764" t="s">
        <v>780</v>
      </c>
      <c r="E764" t="s">
        <v>215</v>
      </c>
      <c r="F764" s="1">
        <v>22991</v>
      </c>
      <c r="G764">
        <f>YEAR(Table13[[#This Row],[Date]])</f>
        <v>1962</v>
      </c>
      <c r="H764" t="s">
        <v>214</v>
      </c>
      <c r="I764">
        <f>IF(COUNTIF($E764, _xlfn.CONCAT("*",Table13[[#Headers],[Action]],"*")),1,0)</f>
        <v>0</v>
      </c>
      <c r="J764">
        <f>IF(COUNTIF($E764, _xlfn.CONCAT("*",Table13[[#Headers],[Adventure]],"*")),1,0)</f>
        <v>1</v>
      </c>
      <c r="K764">
        <f>IF(COUNTIF($E764, _xlfn.CONCAT("*",Table13[[#Headers],[Animation]],"*")),1,0)</f>
        <v>0</v>
      </c>
      <c r="L764">
        <f>IF(COUNTIF($E764, _xlfn.CONCAT("*",Table13[[#Headers],[Comedy]],"*")),1,0)</f>
        <v>0</v>
      </c>
      <c r="M764">
        <f>IF(COUNTIF($E764, _xlfn.CONCAT("*",Table13[[#Headers],[Crime]],"*")),1,0)</f>
        <v>0</v>
      </c>
      <c r="N764">
        <f>IF(COUNTIF($E764, _xlfn.CONCAT("*",Table13[[#Headers],[Documentary]],"*")),1,0)</f>
        <v>0</v>
      </c>
      <c r="O764">
        <f>IF(COUNTIF($E764, _xlfn.CONCAT("*",Table13[[#Headers],[Drama]],"*")),1,0)</f>
        <v>1</v>
      </c>
      <c r="P764">
        <f>IF(COUNTIF($E764, _xlfn.CONCAT("*",Table13[[#Headers],[Family]],"*")),1,0)</f>
        <v>0</v>
      </c>
      <c r="Q764">
        <f>IF(COUNTIF($E764, _xlfn.CONCAT("*",Table13[[#Headers],[Fantasy]],"*")),1,0)</f>
        <v>0</v>
      </c>
      <c r="R764">
        <f>IF(COUNTIF($E764, _xlfn.CONCAT("*",Table13[[#Headers],[History]],"*")),1,0)</f>
        <v>1</v>
      </c>
      <c r="S764">
        <f>IF(COUNTIF($E764, _xlfn.CONCAT("*",Table13[[#Headers],[Horror]],"*")),1,0)</f>
        <v>0</v>
      </c>
      <c r="T764">
        <f>IF(COUNTIF($E764, _xlfn.CONCAT("*",Table13[[#Headers],[Music]],"*")),1,0)</f>
        <v>0</v>
      </c>
      <c r="U764">
        <f>IF(COUNTIF($E764, _xlfn.CONCAT("*",Table13[[#Headers],[Mystery]],"*")),1,0)</f>
        <v>0</v>
      </c>
      <c r="V764">
        <f>IF(COUNTIF($E764, _xlfn.CONCAT("*",Table13[[#Headers],[Romance]],"*")),1,0)</f>
        <v>0</v>
      </c>
      <c r="W764">
        <f>IF(COUNTIF($E764, _xlfn.CONCAT("*",Table13[[#Headers],[Science Fiction]],"*")),1,0)</f>
        <v>0</v>
      </c>
      <c r="X764">
        <f>IF(COUNTIF($E764, _xlfn.CONCAT("*",Table13[[#Headers],[TV Movie]],"*")),1,0)</f>
        <v>0</v>
      </c>
      <c r="Y764">
        <f>IF(COUNTIF($E764, _xlfn.CONCAT("*",Table13[[#Headers],[Thriller]],"*")),1,0)</f>
        <v>0</v>
      </c>
      <c r="Z764">
        <f>IF(COUNTIF($E764, _xlfn.CONCAT("*",Table13[[#Headers],[War]],"*")),1,0)</f>
        <v>1</v>
      </c>
      <c r="AA764">
        <f>IF(COUNTIF($E764, _xlfn.CONCAT("*",Table13[[#Headers],[Western]],"*")),1,0)</f>
        <v>0</v>
      </c>
    </row>
    <row r="765" spans="1:27">
      <c r="A765" t="s">
        <v>819</v>
      </c>
      <c r="B765">
        <v>80</v>
      </c>
      <c r="C765">
        <f>MAX(Table13[Rank])-Table13[[#This Row],[Rank]]</f>
        <v>184</v>
      </c>
      <c r="D765" t="s">
        <v>780</v>
      </c>
      <c r="E765" t="s">
        <v>35</v>
      </c>
      <c r="F765" s="1">
        <v>27287</v>
      </c>
      <c r="G765">
        <f>YEAR(Table13[[#This Row],[Date]])</f>
        <v>1974</v>
      </c>
      <c r="H765" t="s">
        <v>819</v>
      </c>
      <c r="I765">
        <f>IF(COUNTIF($E765, _xlfn.CONCAT("*",Table13[[#Headers],[Action]],"*")),1,0)</f>
        <v>0</v>
      </c>
      <c r="J765">
        <f>IF(COUNTIF($E765, _xlfn.CONCAT("*",Table13[[#Headers],[Adventure]],"*")),1,0)</f>
        <v>0</v>
      </c>
      <c r="K765">
        <f>IF(COUNTIF($E765, _xlfn.CONCAT("*",Table13[[#Headers],[Animation]],"*")),1,0)</f>
        <v>0</v>
      </c>
      <c r="L765">
        <f>IF(COUNTIF($E765, _xlfn.CONCAT("*",Table13[[#Headers],[Comedy]],"*")),1,0)</f>
        <v>0</v>
      </c>
      <c r="M765">
        <f>IF(COUNTIF($E765, _xlfn.CONCAT("*",Table13[[#Headers],[Crime]],"*")),1,0)</f>
        <v>0</v>
      </c>
      <c r="N765">
        <f>IF(COUNTIF($E765, _xlfn.CONCAT("*",Table13[[#Headers],[Documentary]],"*")),1,0)</f>
        <v>0</v>
      </c>
      <c r="O765">
        <f>IF(COUNTIF($E765, _xlfn.CONCAT("*",Table13[[#Headers],[Drama]],"*")),1,0)</f>
        <v>1</v>
      </c>
      <c r="P765">
        <f>IF(COUNTIF($E765, _xlfn.CONCAT("*",Table13[[#Headers],[Family]],"*")),1,0)</f>
        <v>0</v>
      </c>
      <c r="Q765">
        <f>IF(COUNTIF($E765, _xlfn.CONCAT("*",Table13[[#Headers],[Fantasy]],"*")),1,0)</f>
        <v>0</v>
      </c>
      <c r="R765">
        <f>IF(COUNTIF($E765, _xlfn.CONCAT("*",Table13[[#Headers],[History]],"*")),1,0)</f>
        <v>0</v>
      </c>
      <c r="S765">
        <f>IF(COUNTIF($E765, _xlfn.CONCAT("*",Table13[[#Headers],[Horror]],"*")),1,0)</f>
        <v>0</v>
      </c>
      <c r="T765">
        <f>IF(COUNTIF($E765, _xlfn.CONCAT("*",Table13[[#Headers],[Music]],"*")),1,0)</f>
        <v>0</v>
      </c>
      <c r="U765">
        <f>IF(COUNTIF($E765, _xlfn.CONCAT("*",Table13[[#Headers],[Mystery]],"*")),1,0)</f>
        <v>0</v>
      </c>
      <c r="V765">
        <f>IF(COUNTIF($E765, _xlfn.CONCAT("*",Table13[[#Headers],[Romance]],"*")),1,0)</f>
        <v>1</v>
      </c>
      <c r="W765">
        <f>IF(COUNTIF($E765, _xlfn.CONCAT("*",Table13[[#Headers],[Science Fiction]],"*")),1,0)</f>
        <v>0</v>
      </c>
      <c r="X765">
        <f>IF(COUNTIF($E765, _xlfn.CONCAT("*",Table13[[#Headers],[TV Movie]],"*")),1,0)</f>
        <v>0</v>
      </c>
      <c r="Y765">
        <f>IF(COUNTIF($E765, _xlfn.CONCAT("*",Table13[[#Headers],[Thriller]],"*")),1,0)</f>
        <v>0</v>
      </c>
      <c r="Z765">
        <f>IF(COUNTIF($E765, _xlfn.CONCAT("*",Table13[[#Headers],[War]],"*")),1,0)</f>
        <v>0</v>
      </c>
      <c r="AA765">
        <f>IF(COUNTIF($E765, _xlfn.CONCAT("*",Table13[[#Headers],[Western]],"*")),1,0)</f>
        <v>0</v>
      </c>
    </row>
    <row r="766" spans="1:27">
      <c r="A766" t="s">
        <v>820</v>
      </c>
      <c r="B766">
        <v>81</v>
      </c>
      <c r="C766">
        <f>MAX(Table13[Rank])-Table13[[#This Row],[Rank]]</f>
        <v>183</v>
      </c>
      <c r="D766" t="s">
        <v>780</v>
      </c>
      <c r="E766" t="s">
        <v>21</v>
      </c>
      <c r="F766" s="1">
        <v>21096</v>
      </c>
      <c r="G766">
        <f>YEAR(Table13[[#This Row],[Date]])</f>
        <v>1957</v>
      </c>
      <c r="H766" t="s">
        <v>820</v>
      </c>
      <c r="I766">
        <f>IF(COUNTIF($E766, _xlfn.CONCAT("*",Table13[[#Headers],[Action]],"*")),1,0)</f>
        <v>0</v>
      </c>
      <c r="J766">
        <f>IF(COUNTIF($E766, _xlfn.CONCAT("*",Table13[[#Headers],[Adventure]],"*")),1,0)</f>
        <v>0</v>
      </c>
      <c r="K766">
        <f>IF(COUNTIF($E766, _xlfn.CONCAT("*",Table13[[#Headers],[Animation]],"*")),1,0)</f>
        <v>0</v>
      </c>
      <c r="L766">
        <f>IF(COUNTIF($E766, _xlfn.CONCAT("*",Table13[[#Headers],[Comedy]],"*")),1,0)</f>
        <v>0</v>
      </c>
      <c r="M766">
        <f>IF(COUNTIF($E766, _xlfn.CONCAT("*",Table13[[#Headers],[Crime]],"*")),1,0)</f>
        <v>0</v>
      </c>
      <c r="N766">
        <f>IF(COUNTIF($E766, _xlfn.CONCAT("*",Table13[[#Headers],[Documentary]],"*")),1,0)</f>
        <v>0</v>
      </c>
      <c r="O766">
        <f>IF(COUNTIF($E766, _xlfn.CONCAT("*",Table13[[#Headers],[Drama]],"*")),1,0)</f>
        <v>1</v>
      </c>
      <c r="P766">
        <f>IF(COUNTIF($E766, _xlfn.CONCAT("*",Table13[[#Headers],[Family]],"*")),1,0)</f>
        <v>0</v>
      </c>
      <c r="Q766">
        <f>IF(COUNTIF($E766, _xlfn.CONCAT("*",Table13[[#Headers],[Fantasy]],"*")),1,0)</f>
        <v>0</v>
      </c>
      <c r="R766">
        <f>IF(COUNTIF($E766, _xlfn.CONCAT("*",Table13[[#Headers],[History]],"*")),1,0)</f>
        <v>0</v>
      </c>
      <c r="S766">
        <f>IF(COUNTIF($E766, _xlfn.CONCAT("*",Table13[[#Headers],[Horror]],"*")),1,0)</f>
        <v>0</v>
      </c>
      <c r="T766">
        <f>IF(COUNTIF($E766, _xlfn.CONCAT("*",Table13[[#Headers],[Music]],"*")),1,0)</f>
        <v>0</v>
      </c>
      <c r="U766">
        <f>IF(COUNTIF($E766, _xlfn.CONCAT("*",Table13[[#Headers],[Mystery]],"*")),1,0)</f>
        <v>0</v>
      </c>
      <c r="V766">
        <f>IF(COUNTIF($E766, _xlfn.CONCAT("*",Table13[[#Headers],[Romance]],"*")),1,0)</f>
        <v>0</v>
      </c>
      <c r="W766">
        <f>IF(COUNTIF($E766, _xlfn.CONCAT("*",Table13[[#Headers],[Science Fiction]],"*")),1,0)</f>
        <v>0</v>
      </c>
      <c r="X766">
        <f>IF(COUNTIF($E766, _xlfn.CONCAT("*",Table13[[#Headers],[TV Movie]],"*")),1,0)</f>
        <v>0</v>
      </c>
      <c r="Y766">
        <f>IF(COUNTIF($E766, _xlfn.CONCAT("*",Table13[[#Headers],[Thriller]],"*")),1,0)</f>
        <v>0</v>
      </c>
      <c r="Z766">
        <f>IF(COUNTIF($E766, _xlfn.CONCAT("*",Table13[[#Headers],[War]],"*")),1,0)</f>
        <v>0</v>
      </c>
      <c r="AA766">
        <f>IF(COUNTIF($E766, _xlfn.CONCAT("*",Table13[[#Headers],[Western]],"*")),1,0)</f>
        <v>0</v>
      </c>
    </row>
    <row r="767" spans="1:27">
      <c r="A767" t="s">
        <v>200</v>
      </c>
      <c r="B767">
        <v>82</v>
      </c>
      <c r="C767">
        <f>MAX(Table13[Rank])-Table13[[#This Row],[Rank]]</f>
        <v>182</v>
      </c>
      <c r="D767" t="s">
        <v>780</v>
      </c>
      <c r="E767" t="s">
        <v>201</v>
      </c>
      <c r="F767" s="1">
        <v>20867</v>
      </c>
      <c r="G767">
        <f>YEAR(Table13[[#This Row],[Date]])</f>
        <v>1957</v>
      </c>
      <c r="H767" t="s">
        <v>200</v>
      </c>
      <c r="I767">
        <f>IF(COUNTIF($E767, _xlfn.CONCAT("*",Table13[[#Headers],[Action]],"*")),1,0)</f>
        <v>0</v>
      </c>
      <c r="J767">
        <f>IF(COUNTIF($E767, _xlfn.CONCAT("*",Table13[[#Headers],[Adventure]],"*")),1,0)</f>
        <v>0</v>
      </c>
      <c r="K767">
        <f>IF(COUNTIF($E767, _xlfn.CONCAT("*",Table13[[#Headers],[Animation]],"*")),1,0)</f>
        <v>0</v>
      </c>
      <c r="L767">
        <f>IF(COUNTIF($E767, _xlfn.CONCAT("*",Table13[[#Headers],[Comedy]],"*")),1,0)</f>
        <v>0</v>
      </c>
      <c r="M767">
        <f>IF(COUNTIF($E767, _xlfn.CONCAT("*",Table13[[#Headers],[Crime]],"*")),1,0)</f>
        <v>0</v>
      </c>
      <c r="N767">
        <f>IF(COUNTIF($E767, _xlfn.CONCAT("*",Table13[[#Headers],[Documentary]],"*")),1,0)</f>
        <v>0</v>
      </c>
      <c r="O767">
        <f>IF(COUNTIF($E767, _xlfn.CONCAT("*",Table13[[#Headers],[Drama]],"*")),1,0)</f>
        <v>1</v>
      </c>
      <c r="P767">
        <f>IF(COUNTIF($E767, _xlfn.CONCAT("*",Table13[[#Headers],[Family]],"*")),1,0)</f>
        <v>0</v>
      </c>
      <c r="Q767">
        <f>IF(COUNTIF($E767, _xlfn.CONCAT("*",Table13[[#Headers],[Fantasy]],"*")),1,0)</f>
        <v>1</v>
      </c>
      <c r="R767">
        <f>IF(COUNTIF($E767, _xlfn.CONCAT("*",Table13[[#Headers],[History]],"*")),1,0)</f>
        <v>0</v>
      </c>
      <c r="S767">
        <f>IF(COUNTIF($E767, _xlfn.CONCAT("*",Table13[[#Headers],[Horror]],"*")),1,0)</f>
        <v>0</v>
      </c>
      <c r="T767">
        <f>IF(COUNTIF($E767, _xlfn.CONCAT("*",Table13[[#Headers],[Music]],"*")),1,0)</f>
        <v>0</v>
      </c>
      <c r="U767">
        <f>IF(COUNTIF($E767, _xlfn.CONCAT("*",Table13[[#Headers],[Mystery]],"*")),1,0)</f>
        <v>0</v>
      </c>
      <c r="V767">
        <f>IF(COUNTIF($E767, _xlfn.CONCAT("*",Table13[[#Headers],[Romance]],"*")),1,0)</f>
        <v>0</v>
      </c>
      <c r="W767">
        <f>IF(COUNTIF($E767, _xlfn.CONCAT("*",Table13[[#Headers],[Science Fiction]],"*")),1,0)</f>
        <v>0</v>
      </c>
      <c r="X767">
        <f>IF(COUNTIF($E767, _xlfn.CONCAT("*",Table13[[#Headers],[TV Movie]],"*")),1,0)</f>
        <v>0</v>
      </c>
      <c r="Y767">
        <f>IF(COUNTIF($E767, _xlfn.CONCAT("*",Table13[[#Headers],[Thriller]],"*")),1,0)</f>
        <v>0</v>
      </c>
      <c r="Z767">
        <f>IF(COUNTIF($E767, _xlfn.CONCAT("*",Table13[[#Headers],[War]],"*")),1,0)</f>
        <v>0</v>
      </c>
      <c r="AA767">
        <f>IF(COUNTIF($E767, _xlfn.CONCAT("*",Table13[[#Headers],[Western]],"*")),1,0)</f>
        <v>0</v>
      </c>
    </row>
    <row r="768" spans="1:27">
      <c r="A768" t="s">
        <v>359</v>
      </c>
      <c r="B768">
        <v>83</v>
      </c>
      <c r="C768">
        <f>MAX(Table13[Rank])-Table13[[#This Row],[Rank]]</f>
        <v>181</v>
      </c>
      <c r="D768" t="s">
        <v>780</v>
      </c>
      <c r="E768" t="s">
        <v>360</v>
      </c>
      <c r="F768" s="1">
        <v>42931</v>
      </c>
      <c r="G768">
        <f>YEAR(Table13[[#This Row],[Date]])</f>
        <v>2017</v>
      </c>
      <c r="H768" t="s">
        <v>359</v>
      </c>
      <c r="I768">
        <f>IF(COUNTIF($E768, _xlfn.CONCAT("*",Table13[[#Headers],[Action]],"*")),1,0)</f>
        <v>0</v>
      </c>
      <c r="J768">
        <f>IF(COUNTIF($E768, _xlfn.CONCAT("*",Table13[[#Headers],[Adventure]],"*")),1,0)</f>
        <v>0</v>
      </c>
      <c r="K768">
        <f>IF(COUNTIF($E768, _xlfn.CONCAT("*",Table13[[#Headers],[Animation]],"*")),1,0)</f>
        <v>0</v>
      </c>
      <c r="L768">
        <f>IF(COUNTIF($E768, _xlfn.CONCAT("*",Table13[[#Headers],[Comedy]],"*")),1,0)</f>
        <v>0</v>
      </c>
      <c r="M768">
        <f>IF(COUNTIF($E768, _xlfn.CONCAT("*",Table13[[#Headers],[Crime]],"*")),1,0)</f>
        <v>0</v>
      </c>
      <c r="N768">
        <f>IF(COUNTIF($E768, _xlfn.CONCAT("*",Table13[[#Headers],[Documentary]],"*")),1,0)</f>
        <v>0</v>
      </c>
      <c r="O768">
        <f>IF(COUNTIF($E768, _xlfn.CONCAT("*",Table13[[#Headers],[Drama]],"*")),1,0)</f>
        <v>1</v>
      </c>
      <c r="P768">
        <f>IF(COUNTIF($E768, _xlfn.CONCAT("*",Table13[[#Headers],[Family]],"*")),1,0)</f>
        <v>0</v>
      </c>
      <c r="Q768">
        <f>IF(COUNTIF($E768, _xlfn.CONCAT("*",Table13[[#Headers],[Fantasy]],"*")),1,0)</f>
        <v>0</v>
      </c>
      <c r="R768">
        <f>IF(COUNTIF($E768, _xlfn.CONCAT("*",Table13[[#Headers],[History]],"*")),1,0)</f>
        <v>0</v>
      </c>
      <c r="S768">
        <f>IF(COUNTIF($E768, _xlfn.CONCAT("*",Table13[[#Headers],[Horror]],"*")),1,0)</f>
        <v>0</v>
      </c>
      <c r="T768">
        <f>IF(COUNTIF($E768, _xlfn.CONCAT("*",Table13[[#Headers],[Music]],"*")),1,0)</f>
        <v>0</v>
      </c>
      <c r="U768">
        <f>IF(COUNTIF($E768, _xlfn.CONCAT("*",Table13[[#Headers],[Mystery]],"*")),1,0)</f>
        <v>0</v>
      </c>
      <c r="V768">
        <f>IF(COUNTIF($E768, _xlfn.CONCAT("*",Table13[[#Headers],[Romance]],"*")),1,0)</f>
        <v>1</v>
      </c>
      <c r="W768">
        <f>IF(COUNTIF($E768, _xlfn.CONCAT("*",Table13[[#Headers],[Science Fiction]],"*")),1,0)</f>
        <v>1</v>
      </c>
      <c r="X768">
        <f>IF(COUNTIF($E768, _xlfn.CONCAT("*",Table13[[#Headers],[TV Movie]],"*")),1,0)</f>
        <v>0</v>
      </c>
      <c r="Y768">
        <f>IF(COUNTIF($E768, _xlfn.CONCAT("*",Table13[[#Headers],[Thriller]],"*")),1,0)</f>
        <v>0</v>
      </c>
      <c r="Z768">
        <f>IF(COUNTIF($E768, _xlfn.CONCAT("*",Table13[[#Headers],[War]],"*")),1,0)</f>
        <v>0</v>
      </c>
      <c r="AA768">
        <f>IF(COUNTIF($E768, _xlfn.CONCAT("*",Table13[[#Headers],[Western]],"*")),1,0)</f>
        <v>0</v>
      </c>
    </row>
    <row r="769" spans="1:27">
      <c r="A769" t="s">
        <v>821</v>
      </c>
      <c r="B769">
        <v>84</v>
      </c>
      <c r="C769">
        <f>MAX(Table13[Rank])-Table13[[#This Row],[Rank]]</f>
        <v>180</v>
      </c>
      <c r="D769" t="s">
        <v>780</v>
      </c>
      <c r="E769" t="s">
        <v>35</v>
      </c>
      <c r="F769" s="1">
        <v>34726</v>
      </c>
      <c r="G769">
        <f>YEAR(Table13[[#This Row],[Date]])</f>
        <v>1995</v>
      </c>
      <c r="H769" t="s">
        <v>821</v>
      </c>
      <c r="I769">
        <f>IF(COUNTIF($E769, _xlfn.CONCAT("*",Table13[[#Headers],[Action]],"*")),1,0)</f>
        <v>0</v>
      </c>
      <c r="J769">
        <f>IF(COUNTIF($E769, _xlfn.CONCAT("*",Table13[[#Headers],[Adventure]],"*")),1,0)</f>
        <v>0</v>
      </c>
      <c r="K769">
        <f>IF(COUNTIF($E769, _xlfn.CONCAT("*",Table13[[#Headers],[Animation]],"*")),1,0)</f>
        <v>0</v>
      </c>
      <c r="L769">
        <f>IF(COUNTIF($E769, _xlfn.CONCAT("*",Table13[[#Headers],[Comedy]],"*")),1,0)</f>
        <v>0</v>
      </c>
      <c r="M769">
        <f>IF(COUNTIF($E769, _xlfn.CONCAT("*",Table13[[#Headers],[Crime]],"*")),1,0)</f>
        <v>0</v>
      </c>
      <c r="N769">
        <f>IF(COUNTIF($E769, _xlfn.CONCAT("*",Table13[[#Headers],[Documentary]],"*")),1,0)</f>
        <v>0</v>
      </c>
      <c r="O769">
        <f>IF(COUNTIF($E769, _xlfn.CONCAT("*",Table13[[#Headers],[Drama]],"*")),1,0)</f>
        <v>1</v>
      </c>
      <c r="P769">
        <f>IF(COUNTIF($E769, _xlfn.CONCAT("*",Table13[[#Headers],[Family]],"*")),1,0)</f>
        <v>0</v>
      </c>
      <c r="Q769">
        <f>IF(COUNTIF($E769, _xlfn.CONCAT("*",Table13[[#Headers],[Fantasy]],"*")),1,0)</f>
        <v>0</v>
      </c>
      <c r="R769">
        <f>IF(COUNTIF($E769, _xlfn.CONCAT("*",Table13[[#Headers],[History]],"*")),1,0)</f>
        <v>0</v>
      </c>
      <c r="S769">
        <f>IF(COUNTIF($E769, _xlfn.CONCAT("*",Table13[[#Headers],[Horror]],"*")),1,0)</f>
        <v>0</v>
      </c>
      <c r="T769">
        <f>IF(COUNTIF($E769, _xlfn.CONCAT("*",Table13[[#Headers],[Music]],"*")),1,0)</f>
        <v>0</v>
      </c>
      <c r="U769">
        <f>IF(COUNTIF($E769, _xlfn.CONCAT("*",Table13[[#Headers],[Mystery]],"*")),1,0)</f>
        <v>0</v>
      </c>
      <c r="V769">
        <f>IF(COUNTIF($E769, _xlfn.CONCAT("*",Table13[[#Headers],[Romance]],"*")),1,0)</f>
        <v>1</v>
      </c>
      <c r="W769">
        <f>IF(COUNTIF($E769, _xlfn.CONCAT("*",Table13[[#Headers],[Science Fiction]],"*")),1,0)</f>
        <v>0</v>
      </c>
      <c r="X769">
        <f>IF(COUNTIF($E769, _xlfn.CONCAT("*",Table13[[#Headers],[TV Movie]],"*")),1,0)</f>
        <v>0</v>
      </c>
      <c r="Y769">
        <f>IF(COUNTIF($E769, _xlfn.CONCAT("*",Table13[[#Headers],[Thriller]],"*")),1,0)</f>
        <v>0</v>
      </c>
      <c r="Z769">
        <f>IF(COUNTIF($E769, _xlfn.CONCAT("*",Table13[[#Headers],[War]],"*")),1,0)</f>
        <v>0</v>
      </c>
      <c r="AA769">
        <f>IF(COUNTIF($E769, _xlfn.CONCAT("*",Table13[[#Headers],[Western]],"*")),1,0)</f>
        <v>0</v>
      </c>
    </row>
    <row r="770" spans="1:27">
      <c r="A770" t="s">
        <v>822</v>
      </c>
      <c r="B770">
        <v>85</v>
      </c>
      <c r="C770">
        <f>MAX(Table13[Rank])-Table13[[#This Row],[Rank]]</f>
        <v>179</v>
      </c>
      <c r="D770" t="s">
        <v>780</v>
      </c>
      <c r="E770" t="s">
        <v>823</v>
      </c>
      <c r="F770" s="1">
        <v>34466</v>
      </c>
      <c r="G770">
        <f>YEAR(Table13[[#This Row],[Date]])</f>
        <v>1994</v>
      </c>
      <c r="H770" t="s">
        <v>1020</v>
      </c>
      <c r="I770">
        <f>IF(COUNTIF($E770, _xlfn.CONCAT("*",Table13[[#Headers],[Action]],"*")),1,0)</f>
        <v>0</v>
      </c>
      <c r="J770">
        <f>IF(COUNTIF($E770, _xlfn.CONCAT("*",Table13[[#Headers],[Adventure]],"*")),1,0)</f>
        <v>0</v>
      </c>
      <c r="K770">
        <f>IF(COUNTIF($E770, _xlfn.CONCAT("*",Table13[[#Headers],[Animation]],"*")),1,0)</f>
        <v>0</v>
      </c>
      <c r="L770">
        <f>IF(COUNTIF($E770, _xlfn.CONCAT("*",Table13[[#Headers],[Comedy]],"*")),1,0)</f>
        <v>0</v>
      </c>
      <c r="M770">
        <f>IF(COUNTIF($E770, _xlfn.CONCAT("*",Table13[[#Headers],[Crime]],"*")),1,0)</f>
        <v>0</v>
      </c>
      <c r="N770">
        <f>IF(COUNTIF($E770, _xlfn.CONCAT("*",Table13[[#Headers],[Documentary]],"*")),1,0)</f>
        <v>0</v>
      </c>
      <c r="O770">
        <f>IF(COUNTIF($E770, _xlfn.CONCAT("*",Table13[[#Headers],[Drama]],"*")),1,0)</f>
        <v>1</v>
      </c>
      <c r="P770">
        <f>IF(COUNTIF($E770, _xlfn.CONCAT("*",Table13[[#Headers],[Family]],"*")),1,0)</f>
        <v>0</v>
      </c>
      <c r="Q770">
        <f>IF(COUNTIF($E770, _xlfn.CONCAT("*",Table13[[#Headers],[Fantasy]],"*")),1,0)</f>
        <v>0</v>
      </c>
      <c r="R770">
        <f>IF(COUNTIF($E770, _xlfn.CONCAT("*",Table13[[#Headers],[History]],"*")),1,0)</f>
        <v>0</v>
      </c>
      <c r="S770">
        <f>IF(COUNTIF($E770, _xlfn.CONCAT("*",Table13[[#Headers],[Horror]],"*")),1,0)</f>
        <v>0</v>
      </c>
      <c r="T770">
        <f>IF(COUNTIF($E770, _xlfn.CONCAT("*",Table13[[#Headers],[Music]],"*")),1,0)</f>
        <v>0</v>
      </c>
      <c r="U770">
        <f>IF(COUNTIF($E770, _xlfn.CONCAT("*",Table13[[#Headers],[Mystery]],"*")),1,0)</f>
        <v>1</v>
      </c>
      <c r="V770">
        <f>IF(COUNTIF($E770, _xlfn.CONCAT("*",Table13[[#Headers],[Romance]],"*")),1,0)</f>
        <v>1</v>
      </c>
      <c r="W770">
        <f>IF(COUNTIF($E770, _xlfn.CONCAT("*",Table13[[#Headers],[Science Fiction]],"*")),1,0)</f>
        <v>0</v>
      </c>
      <c r="X770">
        <f>IF(COUNTIF($E770, _xlfn.CONCAT("*",Table13[[#Headers],[TV Movie]],"*")),1,0)</f>
        <v>0</v>
      </c>
      <c r="Y770">
        <f>IF(COUNTIF($E770, _xlfn.CONCAT("*",Table13[[#Headers],[Thriller]],"*")),1,0)</f>
        <v>0</v>
      </c>
      <c r="Z770">
        <f>IF(COUNTIF($E770, _xlfn.CONCAT("*",Table13[[#Headers],[War]],"*")),1,0)</f>
        <v>0</v>
      </c>
      <c r="AA770">
        <f>IF(COUNTIF($E770, _xlfn.CONCAT("*",Table13[[#Headers],[Western]],"*")),1,0)</f>
        <v>0</v>
      </c>
    </row>
    <row r="771" spans="1:27">
      <c r="A771" t="s">
        <v>352</v>
      </c>
      <c r="B771">
        <v>86</v>
      </c>
      <c r="C771">
        <f>MAX(Table13[Rank])-Table13[[#This Row],[Rank]]</f>
        <v>178</v>
      </c>
      <c r="D771" t="s">
        <v>780</v>
      </c>
      <c r="E771" t="s">
        <v>353</v>
      </c>
      <c r="F771" s="1">
        <v>11355</v>
      </c>
      <c r="G771">
        <f>YEAR(Table13[[#This Row],[Date]])</f>
        <v>1931</v>
      </c>
      <c r="H771" t="s">
        <v>352</v>
      </c>
      <c r="I771">
        <f>IF(COUNTIF($E771, _xlfn.CONCAT("*",Table13[[#Headers],[Action]],"*")),1,0)</f>
        <v>0</v>
      </c>
      <c r="J771">
        <f>IF(COUNTIF($E771, _xlfn.CONCAT("*",Table13[[#Headers],[Adventure]],"*")),1,0)</f>
        <v>0</v>
      </c>
      <c r="K771">
        <f>IF(COUNTIF($E771, _xlfn.CONCAT("*",Table13[[#Headers],[Animation]],"*")),1,0)</f>
        <v>0</v>
      </c>
      <c r="L771">
        <f>IF(COUNTIF($E771, _xlfn.CONCAT("*",Table13[[#Headers],[Comedy]],"*")),1,0)</f>
        <v>1</v>
      </c>
      <c r="M771">
        <f>IF(COUNTIF($E771, _xlfn.CONCAT("*",Table13[[#Headers],[Crime]],"*")),1,0)</f>
        <v>0</v>
      </c>
      <c r="N771">
        <f>IF(COUNTIF($E771, _xlfn.CONCAT("*",Table13[[#Headers],[Documentary]],"*")),1,0)</f>
        <v>0</v>
      </c>
      <c r="O771">
        <f>IF(COUNTIF($E771, _xlfn.CONCAT("*",Table13[[#Headers],[Drama]],"*")),1,0)</f>
        <v>1</v>
      </c>
      <c r="P771">
        <f>IF(COUNTIF($E771, _xlfn.CONCAT("*",Table13[[#Headers],[Family]],"*")),1,0)</f>
        <v>0</v>
      </c>
      <c r="Q771">
        <f>IF(COUNTIF($E771, _xlfn.CONCAT("*",Table13[[#Headers],[Fantasy]],"*")),1,0)</f>
        <v>0</v>
      </c>
      <c r="R771">
        <f>IF(COUNTIF($E771, _xlfn.CONCAT("*",Table13[[#Headers],[History]],"*")),1,0)</f>
        <v>0</v>
      </c>
      <c r="S771">
        <f>IF(COUNTIF($E771, _xlfn.CONCAT("*",Table13[[#Headers],[Horror]],"*")),1,0)</f>
        <v>0</v>
      </c>
      <c r="T771">
        <f>IF(COUNTIF($E771, _xlfn.CONCAT("*",Table13[[#Headers],[Music]],"*")),1,0)</f>
        <v>0</v>
      </c>
      <c r="U771">
        <f>IF(COUNTIF($E771, _xlfn.CONCAT("*",Table13[[#Headers],[Mystery]],"*")),1,0)</f>
        <v>0</v>
      </c>
      <c r="V771">
        <f>IF(COUNTIF($E771, _xlfn.CONCAT("*",Table13[[#Headers],[Romance]],"*")),1,0)</f>
        <v>1</v>
      </c>
      <c r="W771">
        <f>IF(COUNTIF($E771, _xlfn.CONCAT("*",Table13[[#Headers],[Science Fiction]],"*")),1,0)</f>
        <v>0</v>
      </c>
      <c r="X771">
        <f>IF(COUNTIF($E771, _xlfn.CONCAT("*",Table13[[#Headers],[TV Movie]],"*")),1,0)</f>
        <v>0</v>
      </c>
      <c r="Y771">
        <f>IF(COUNTIF($E771, _xlfn.CONCAT("*",Table13[[#Headers],[Thriller]],"*")),1,0)</f>
        <v>0</v>
      </c>
      <c r="Z771">
        <f>IF(COUNTIF($E771, _xlfn.CONCAT("*",Table13[[#Headers],[War]],"*")),1,0)</f>
        <v>0</v>
      </c>
      <c r="AA771">
        <f>IF(COUNTIF($E771, _xlfn.CONCAT("*",Table13[[#Headers],[Western]],"*")),1,0)</f>
        <v>0</v>
      </c>
    </row>
    <row r="772" spans="1:27">
      <c r="A772" t="s">
        <v>559</v>
      </c>
      <c r="B772">
        <v>87</v>
      </c>
      <c r="C772">
        <f>MAX(Table13[Rank])-Table13[[#This Row],[Rank]]</f>
        <v>177</v>
      </c>
      <c r="D772" t="s">
        <v>780</v>
      </c>
      <c r="E772" t="s">
        <v>558</v>
      </c>
      <c r="F772" s="1">
        <v>40044</v>
      </c>
      <c r="G772">
        <f>YEAR(Table13[[#This Row],[Date]])</f>
        <v>2009</v>
      </c>
      <c r="H772" t="s">
        <v>559</v>
      </c>
      <c r="I772">
        <f>IF(COUNTIF($E772, _xlfn.CONCAT("*",Table13[[#Headers],[Action]],"*")),1,0)</f>
        <v>0</v>
      </c>
      <c r="J772">
        <f>IF(COUNTIF($E772, _xlfn.CONCAT("*",Table13[[#Headers],[Adventure]],"*")),1,0)</f>
        <v>0</v>
      </c>
      <c r="K772">
        <f>IF(COUNTIF($E772, _xlfn.CONCAT("*",Table13[[#Headers],[Animation]],"*")),1,0)</f>
        <v>0</v>
      </c>
      <c r="L772">
        <f>IF(COUNTIF($E772, _xlfn.CONCAT("*",Table13[[#Headers],[Comedy]],"*")),1,0)</f>
        <v>0</v>
      </c>
      <c r="M772">
        <f>IF(COUNTIF($E772, _xlfn.CONCAT("*",Table13[[#Headers],[Crime]],"*")),1,0)</f>
        <v>0</v>
      </c>
      <c r="N772">
        <f>IF(COUNTIF($E772, _xlfn.CONCAT("*",Table13[[#Headers],[Documentary]],"*")),1,0)</f>
        <v>0</v>
      </c>
      <c r="O772">
        <f>IF(COUNTIF($E772, _xlfn.CONCAT("*",Table13[[#Headers],[Drama]],"*")),1,0)</f>
        <v>1</v>
      </c>
      <c r="P772">
        <f>IF(COUNTIF($E772, _xlfn.CONCAT("*",Table13[[#Headers],[Family]],"*")),1,0)</f>
        <v>0</v>
      </c>
      <c r="Q772">
        <f>IF(COUNTIF($E772, _xlfn.CONCAT("*",Table13[[#Headers],[Fantasy]],"*")),1,0)</f>
        <v>0</v>
      </c>
      <c r="R772">
        <f>IF(COUNTIF($E772, _xlfn.CONCAT("*",Table13[[#Headers],[History]],"*")),1,0)</f>
        <v>0</v>
      </c>
      <c r="S772">
        <f>IF(COUNTIF($E772, _xlfn.CONCAT("*",Table13[[#Headers],[Horror]],"*")),1,0)</f>
        <v>0</v>
      </c>
      <c r="T772">
        <f>IF(COUNTIF($E772, _xlfn.CONCAT("*",Table13[[#Headers],[Music]],"*")),1,0)</f>
        <v>0</v>
      </c>
      <c r="U772">
        <f>IF(COUNTIF($E772, _xlfn.CONCAT("*",Table13[[#Headers],[Mystery]],"*")),1,0)</f>
        <v>0</v>
      </c>
      <c r="V772">
        <f>IF(COUNTIF($E772, _xlfn.CONCAT("*",Table13[[#Headers],[Romance]],"*")),1,0)</f>
        <v>0</v>
      </c>
      <c r="W772">
        <f>IF(COUNTIF($E772, _xlfn.CONCAT("*",Table13[[#Headers],[Science Fiction]],"*")),1,0)</f>
        <v>0</v>
      </c>
      <c r="X772">
        <f>IF(COUNTIF($E772, _xlfn.CONCAT("*",Table13[[#Headers],[TV Movie]],"*")),1,0)</f>
        <v>0</v>
      </c>
      <c r="Y772">
        <f>IF(COUNTIF($E772, _xlfn.CONCAT("*",Table13[[#Headers],[Thriller]],"*")),1,0)</f>
        <v>1</v>
      </c>
      <c r="Z772">
        <f>IF(COUNTIF($E772, _xlfn.CONCAT("*",Table13[[#Headers],[War]],"*")),1,0)</f>
        <v>1</v>
      </c>
      <c r="AA772">
        <f>IF(COUNTIF($E772, _xlfn.CONCAT("*",Table13[[#Headers],[Western]],"*")),1,0)</f>
        <v>0</v>
      </c>
    </row>
    <row r="773" spans="1:27">
      <c r="A773" t="s">
        <v>824</v>
      </c>
      <c r="B773">
        <v>88</v>
      </c>
      <c r="C773">
        <f>MAX(Table13[Rank])-Table13[[#This Row],[Rank]]</f>
        <v>176</v>
      </c>
      <c r="D773" t="s">
        <v>780</v>
      </c>
      <c r="E773" t="s">
        <v>21</v>
      </c>
      <c r="F773" s="1">
        <v>23676</v>
      </c>
      <c r="G773">
        <f>YEAR(Table13[[#This Row],[Date]])</f>
        <v>1964</v>
      </c>
      <c r="H773" t="s">
        <v>824</v>
      </c>
      <c r="I773">
        <f>IF(COUNTIF($E773, _xlfn.CONCAT("*",Table13[[#Headers],[Action]],"*")),1,0)</f>
        <v>0</v>
      </c>
      <c r="J773">
        <f>IF(COUNTIF($E773, _xlfn.CONCAT("*",Table13[[#Headers],[Adventure]],"*")),1,0)</f>
        <v>0</v>
      </c>
      <c r="K773">
        <f>IF(COUNTIF($E773, _xlfn.CONCAT("*",Table13[[#Headers],[Animation]],"*")),1,0)</f>
        <v>0</v>
      </c>
      <c r="L773">
        <f>IF(COUNTIF($E773, _xlfn.CONCAT("*",Table13[[#Headers],[Comedy]],"*")),1,0)</f>
        <v>0</v>
      </c>
      <c r="M773">
        <f>IF(COUNTIF($E773, _xlfn.CONCAT("*",Table13[[#Headers],[Crime]],"*")),1,0)</f>
        <v>0</v>
      </c>
      <c r="N773">
        <f>IF(COUNTIF($E773, _xlfn.CONCAT("*",Table13[[#Headers],[Documentary]],"*")),1,0)</f>
        <v>0</v>
      </c>
      <c r="O773">
        <f>IF(COUNTIF($E773, _xlfn.CONCAT("*",Table13[[#Headers],[Drama]],"*")),1,0)</f>
        <v>1</v>
      </c>
      <c r="P773">
        <f>IF(COUNTIF($E773, _xlfn.CONCAT("*",Table13[[#Headers],[Family]],"*")),1,0)</f>
        <v>0</v>
      </c>
      <c r="Q773">
        <f>IF(COUNTIF($E773, _xlfn.CONCAT("*",Table13[[#Headers],[Fantasy]],"*")),1,0)</f>
        <v>0</v>
      </c>
      <c r="R773">
        <f>IF(COUNTIF($E773, _xlfn.CONCAT("*",Table13[[#Headers],[History]],"*")),1,0)</f>
        <v>0</v>
      </c>
      <c r="S773">
        <f>IF(COUNTIF($E773, _xlfn.CONCAT("*",Table13[[#Headers],[Horror]],"*")),1,0)</f>
        <v>0</v>
      </c>
      <c r="T773">
        <f>IF(COUNTIF($E773, _xlfn.CONCAT("*",Table13[[#Headers],[Music]],"*")),1,0)</f>
        <v>0</v>
      </c>
      <c r="U773">
        <f>IF(COUNTIF($E773, _xlfn.CONCAT("*",Table13[[#Headers],[Mystery]],"*")),1,0)</f>
        <v>0</v>
      </c>
      <c r="V773">
        <f>IF(COUNTIF($E773, _xlfn.CONCAT("*",Table13[[#Headers],[Romance]],"*")),1,0)</f>
        <v>0</v>
      </c>
      <c r="W773">
        <f>IF(COUNTIF($E773, _xlfn.CONCAT("*",Table13[[#Headers],[Science Fiction]],"*")),1,0)</f>
        <v>0</v>
      </c>
      <c r="X773">
        <f>IF(COUNTIF($E773, _xlfn.CONCAT("*",Table13[[#Headers],[TV Movie]],"*")),1,0)</f>
        <v>0</v>
      </c>
      <c r="Y773">
        <f>IF(COUNTIF($E773, _xlfn.CONCAT("*",Table13[[#Headers],[Thriller]],"*")),1,0)</f>
        <v>0</v>
      </c>
      <c r="Z773">
        <f>IF(COUNTIF($E773, _xlfn.CONCAT("*",Table13[[#Headers],[War]],"*")),1,0)</f>
        <v>0</v>
      </c>
      <c r="AA773">
        <f>IF(COUNTIF($E773, _xlfn.CONCAT("*",Table13[[#Headers],[Western]],"*")),1,0)</f>
        <v>0</v>
      </c>
    </row>
    <row r="774" spans="1:27">
      <c r="A774" t="s">
        <v>825</v>
      </c>
      <c r="B774">
        <v>89</v>
      </c>
      <c r="C774">
        <f>MAX(Table13[Rank])-Table13[[#This Row],[Rank]]</f>
        <v>175</v>
      </c>
      <c r="D774" t="s">
        <v>780</v>
      </c>
      <c r="E774" t="s">
        <v>111</v>
      </c>
      <c r="F774" s="1">
        <v>44644</v>
      </c>
      <c r="G774">
        <f>YEAR(Table13[[#This Row],[Date]])</f>
        <v>2022</v>
      </c>
      <c r="H774" t="s">
        <v>825</v>
      </c>
      <c r="I774">
        <f>IF(COUNTIF($E774, _xlfn.CONCAT("*",Table13[[#Headers],[Action]],"*")),1,0)</f>
        <v>1</v>
      </c>
      <c r="J774">
        <f>IF(COUNTIF($E774, _xlfn.CONCAT("*",Table13[[#Headers],[Adventure]],"*")),1,0)</f>
        <v>1</v>
      </c>
      <c r="K774">
        <f>IF(COUNTIF($E774, _xlfn.CONCAT("*",Table13[[#Headers],[Animation]],"*")),1,0)</f>
        <v>0</v>
      </c>
      <c r="L774">
        <f>IF(COUNTIF($E774, _xlfn.CONCAT("*",Table13[[#Headers],[Comedy]],"*")),1,0)</f>
        <v>0</v>
      </c>
      <c r="M774">
        <f>IF(COUNTIF($E774, _xlfn.CONCAT("*",Table13[[#Headers],[Crime]],"*")),1,0)</f>
        <v>0</v>
      </c>
      <c r="N774">
        <f>IF(COUNTIF($E774, _xlfn.CONCAT("*",Table13[[#Headers],[Documentary]],"*")),1,0)</f>
        <v>0</v>
      </c>
      <c r="O774">
        <f>IF(COUNTIF($E774, _xlfn.CONCAT("*",Table13[[#Headers],[Drama]],"*")),1,0)</f>
        <v>0</v>
      </c>
      <c r="P774">
        <f>IF(COUNTIF($E774, _xlfn.CONCAT("*",Table13[[#Headers],[Family]],"*")),1,0)</f>
        <v>0</v>
      </c>
      <c r="Q774">
        <f>IF(COUNTIF($E774, _xlfn.CONCAT("*",Table13[[#Headers],[Fantasy]],"*")),1,0)</f>
        <v>0</v>
      </c>
      <c r="R774">
        <f>IF(COUNTIF($E774, _xlfn.CONCAT("*",Table13[[#Headers],[History]],"*")),1,0)</f>
        <v>0</v>
      </c>
      <c r="S774">
        <f>IF(COUNTIF($E774, _xlfn.CONCAT("*",Table13[[#Headers],[Horror]],"*")),1,0)</f>
        <v>0</v>
      </c>
      <c r="T774">
        <f>IF(COUNTIF($E774, _xlfn.CONCAT("*",Table13[[#Headers],[Music]],"*")),1,0)</f>
        <v>0</v>
      </c>
      <c r="U774">
        <f>IF(COUNTIF($E774, _xlfn.CONCAT("*",Table13[[#Headers],[Mystery]],"*")),1,0)</f>
        <v>0</v>
      </c>
      <c r="V774">
        <f>IF(COUNTIF($E774, _xlfn.CONCAT("*",Table13[[#Headers],[Romance]],"*")),1,0)</f>
        <v>0</v>
      </c>
      <c r="W774">
        <f>IF(COUNTIF($E774, _xlfn.CONCAT("*",Table13[[#Headers],[Science Fiction]],"*")),1,0)</f>
        <v>1</v>
      </c>
      <c r="X774">
        <f>IF(COUNTIF($E774, _xlfn.CONCAT("*",Table13[[#Headers],[TV Movie]],"*")),1,0)</f>
        <v>0</v>
      </c>
      <c r="Y774">
        <f>IF(COUNTIF($E774, _xlfn.CONCAT("*",Table13[[#Headers],[Thriller]],"*")),1,0)</f>
        <v>0</v>
      </c>
      <c r="Z774">
        <f>IF(COUNTIF($E774, _xlfn.CONCAT("*",Table13[[#Headers],[War]],"*")),1,0)</f>
        <v>0</v>
      </c>
      <c r="AA774">
        <f>IF(COUNTIF($E774, _xlfn.CONCAT("*",Table13[[#Headers],[Western]],"*")),1,0)</f>
        <v>0</v>
      </c>
    </row>
    <row r="775" spans="1:27">
      <c r="A775" t="s">
        <v>267</v>
      </c>
      <c r="B775">
        <v>90</v>
      </c>
      <c r="C775">
        <f>MAX(Table13[Rank])-Table13[[#This Row],[Rank]]</f>
        <v>174</v>
      </c>
      <c r="D775" t="s">
        <v>780</v>
      </c>
      <c r="E775" t="s">
        <v>105</v>
      </c>
      <c r="F775" s="1">
        <v>20770</v>
      </c>
      <c r="G775">
        <f>YEAR(Table13[[#This Row],[Date]])</f>
        <v>1956</v>
      </c>
      <c r="H775" t="s">
        <v>267</v>
      </c>
      <c r="I775">
        <f>IF(COUNTIF($E775, _xlfn.CONCAT("*",Table13[[#Headers],[Action]],"*")),1,0)</f>
        <v>0</v>
      </c>
      <c r="J775">
        <f>IF(COUNTIF($E775, _xlfn.CONCAT("*",Table13[[#Headers],[Adventure]],"*")),1,0)</f>
        <v>0</v>
      </c>
      <c r="K775">
        <f>IF(COUNTIF($E775, _xlfn.CONCAT("*",Table13[[#Headers],[Animation]],"*")),1,0)</f>
        <v>0</v>
      </c>
      <c r="L775">
        <f>IF(COUNTIF($E775, _xlfn.CONCAT("*",Table13[[#Headers],[Comedy]],"*")),1,0)</f>
        <v>0</v>
      </c>
      <c r="M775">
        <f>IF(COUNTIF($E775, _xlfn.CONCAT("*",Table13[[#Headers],[Crime]],"*")),1,0)</f>
        <v>0</v>
      </c>
      <c r="N775">
        <f>IF(COUNTIF($E775, _xlfn.CONCAT("*",Table13[[#Headers],[Documentary]],"*")),1,0)</f>
        <v>0</v>
      </c>
      <c r="O775">
        <f>IF(COUNTIF($E775, _xlfn.CONCAT("*",Table13[[#Headers],[Drama]],"*")),1,0)</f>
        <v>1</v>
      </c>
      <c r="P775">
        <f>IF(COUNTIF($E775, _xlfn.CONCAT("*",Table13[[#Headers],[Family]],"*")),1,0)</f>
        <v>0</v>
      </c>
      <c r="Q775">
        <f>IF(COUNTIF($E775, _xlfn.CONCAT("*",Table13[[#Headers],[Fantasy]],"*")),1,0)</f>
        <v>0</v>
      </c>
      <c r="R775">
        <f>IF(COUNTIF($E775, _xlfn.CONCAT("*",Table13[[#Headers],[History]],"*")),1,0)</f>
        <v>0</v>
      </c>
      <c r="S775">
        <f>IF(COUNTIF($E775, _xlfn.CONCAT("*",Table13[[#Headers],[Horror]],"*")),1,0)</f>
        <v>0</v>
      </c>
      <c r="T775">
        <f>IF(COUNTIF($E775, _xlfn.CONCAT("*",Table13[[#Headers],[Music]],"*")),1,0)</f>
        <v>0</v>
      </c>
      <c r="U775">
        <f>IF(COUNTIF($E775, _xlfn.CONCAT("*",Table13[[#Headers],[Mystery]],"*")),1,0)</f>
        <v>0</v>
      </c>
      <c r="V775">
        <f>IF(COUNTIF($E775, _xlfn.CONCAT("*",Table13[[#Headers],[Romance]],"*")),1,0)</f>
        <v>0</v>
      </c>
      <c r="W775">
        <f>IF(COUNTIF($E775, _xlfn.CONCAT("*",Table13[[#Headers],[Science Fiction]],"*")),1,0)</f>
        <v>0</v>
      </c>
      <c r="X775">
        <f>IF(COUNTIF($E775, _xlfn.CONCAT("*",Table13[[#Headers],[TV Movie]],"*")),1,0)</f>
        <v>0</v>
      </c>
      <c r="Y775">
        <f>IF(COUNTIF($E775, _xlfn.CONCAT("*",Table13[[#Headers],[Thriller]],"*")),1,0)</f>
        <v>1</v>
      </c>
      <c r="Z775">
        <f>IF(COUNTIF($E775, _xlfn.CONCAT("*",Table13[[#Headers],[War]],"*")),1,0)</f>
        <v>0</v>
      </c>
      <c r="AA775">
        <f>IF(COUNTIF($E775, _xlfn.CONCAT("*",Table13[[#Headers],[Western]],"*")),1,0)</f>
        <v>0</v>
      </c>
    </row>
    <row r="776" spans="1:27">
      <c r="A776" t="s">
        <v>474</v>
      </c>
      <c r="B776">
        <v>91</v>
      </c>
      <c r="C776">
        <f>MAX(Table13[Rank])-Table13[[#This Row],[Rank]]</f>
        <v>173</v>
      </c>
      <c r="D776" t="s">
        <v>780</v>
      </c>
      <c r="E776" t="s">
        <v>367</v>
      </c>
      <c r="F776" s="1">
        <v>33283</v>
      </c>
      <c r="G776">
        <f>YEAR(Table13[[#This Row],[Date]])</f>
        <v>1991</v>
      </c>
      <c r="H776" t="s">
        <v>474</v>
      </c>
      <c r="I776">
        <f>IF(COUNTIF($E776, _xlfn.CONCAT("*",Table13[[#Headers],[Action]],"*")),1,0)</f>
        <v>0</v>
      </c>
      <c r="J776">
        <f>IF(COUNTIF($E776, _xlfn.CONCAT("*",Table13[[#Headers],[Adventure]],"*")),1,0)</f>
        <v>0</v>
      </c>
      <c r="K776">
        <f>IF(COUNTIF($E776, _xlfn.CONCAT("*",Table13[[#Headers],[Animation]],"*")),1,0)</f>
        <v>0</v>
      </c>
      <c r="L776">
        <f>IF(COUNTIF($E776, _xlfn.CONCAT("*",Table13[[#Headers],[Comedy]],"*")),1,0)</f>
        <v>0</v>
      </c>
      <c r="M776">
        <f>IF(COUNTIF($E776, _xlfn.CONCAT("*",Table13[[#Headers],[Crime]],"*")),1,0)</f>
        <v>1</v>
      </c>
      <c r="N776">
        <f>IF(COUNTIF($E776, _xlfn.CONCAT("*",Table13[[#Headers],[Documentary]],"*")),1,0)</f>
        <v>0</v>
      </c>
      <c r="O776">
        <f>IF(COUNTIF($E776, _xlfn.CONCAT("*",Table13[[#Headers],[Drama]],"*")),1,0)</f>
        <v>1</v>
      </c>
      <c r="P776">
        <f>IF(COUNTIF($E776, _xlfn.CONCAT("*",Table13[[#Headers],[Family]],"*")),1,0)</f>
        <v>0</v>
      </c>
      <c r="Q776">
        <f>IF(COUNTIF($E776, _xlfn.CONCAT("*",Table13[[#Headers],[Fantasy]],"*")),1,0)</f>
        <v>0</v>
      </c>
      <c r="R776">
        <f>IF(COUNTIF($E776, _xlfn.CONCAT("*",Table13[[#Headers],[History]],"*")),1,0)</f>
        <v>0</v>
      </c>
      <c r="S776">
        <f>IF(COUNTIF($E776, _xlfn.CONCAT("*",Table13[[#Headers],[Horror]],"*")),1,0)</f>
        <v>0</v>
      </c>
      <c r="T776">
        <f>IF(COUNTIF($E776, _xlfn.CONCAT("*",Table13[[#Headers],[Music]],"*")),1,0)</f>
        <v>0</v>
      </c>
      <c r="U776">
        <f>IF(COUNTIF($E776, _xlfn.CONCAT("*",Table13[[#Headers],[Mystery]],"*")),1,0)</f>
        <v>0</v>
      </c>
      <c r="V776">
        <f>IF(COUNTIF($E776, _xlfn.CONCAT("*",Table13[[#Headers],[Romance]],"*")),1,0)</f>
        <v>0</v>
      </c>
      <c r="W776">
        <f>IF(COUNTIF($E776, _xlfn.CONCAT("*",Table13[[#Headers],[Science Fiction]],"*")),1,0)</f>
        <v>0</v>
      </c>
      <c r="X776">
        <f>IF(COUNTIF($E776, _xlfn.CONCAT("*",Table13[[#Headers],[TV Movie]],"*")),1,0)</f>
        <v>0</v>
      </c>
      <c r="Y776">
        <f>IF(COUNTIF($E776, _xlfn.CONCAT("*",Table13[[#Headers],[Thriller]],"*")),1,0)</f>
        <v>1</v>
      </c>
      <c r="Z776">
        <f>IF(COUNTIF($E776, _xlfn.CONCAT("*",Table13[[#Headers],[War]],"*")),1,0)</f>
        <v>0</v>
      </c>
      <c r="AA776">
        <f>IF(COUNTIF($E776, _xlfn.CONCAT("*",Table13[[#Headers],[Western]],"*")),1,0)</f>
        <v>0</v>
      </c>
    </row>
    <row r="777" spans="1:27">
      <c r="A777" t="s">
        <v>826</v>
      </c>
      <c r="B777">
        <v>92</v>
      </c>
      <c r="C777">
        <f>MAX(Table13[Rank])-Table13[[#This Row],[Rank]]</f>
        <v>172</v>
      </c>
      <c r="D777" t="s">
        <v>780</v>
      </c>
      <c r="E777" t="s">
        <v>21</v>
      </c>
      <c r="F777" s="1">
        <v>36040</v>
      </c>
      <c r="G777">
        <f>YEAR(Table13[[#This Row],[Date]])</f>
        <v>1998</v>
      </c>
      <c r="H777" t="s">
        <v>826</v>
      </c>
      <c r="I777">
        <f>IF(COUNTIF($E777, _xlfn.CONCAT("*",Table13[[#Headers],[Action]],"*")),1,0)</f>
        <v>0</v>
      </c>
      <c r="J777">
        <f>IF(COUNTIF($E777, _xlfn.CONCAT("*",Table13[[#Headers],[Adventure]],"*")),1,0)</f>
        <v>0</v>
      </c>
      <c r="K777">
        <f>IF(COUNTIF($E777, _xlfn.CONCAT("*",Table13[[#Headers],[Animation]],"*")),1,0)</f>
        <v>0</v>
      </c>
      <c r="L777">
        <f>IF(COUNTIF($E777, _xlfn.CONCAT("*",Table13[[#Headers],[Comedy]],"*")),1,0)</f>
        <v>0</v>
      </c>
      <c r="M777">
        <f>IF(COUNTIF($E777, _xlfn.CONCAT("*",Table13[[#Headers],[Crime]],"*")),1,0)</f>
        <v>0</v>
      </c>
      <c r="N777">
        <f>IF(COUNTIF($E777, _xlfn.CONCAT("*",Table13[[#Headers],[Documentary]],"*")),1,0)</f>
        <v>0</v>
      </c>
      <c r="O777">
        <f>IF(COUNTIF($E777, _xlfn.CONCAT("*",Table13[[#Headers],[Drama]],"*")),1,0)</f>
        <v>1</v>
      </c>
      <c r="P777">
        <f>IF(COUNTIF($E777, _xlfn.CONCAT("*",Table13[[#Headers],[Family]],"*")),1,0)</f>
        <v>0</v>
      </c>
      <c r="Q777">
        <f>IF(COUNTIF($E777, _xlfn.CONCAT("*",Table13[[#Headers],[Fantasy]],"*")),1,0)</f>
        <v>0</v>
      </c>
      <c r="R777">
        <f>IF(COUNTIF($E777, _xlfn.CONCAT("*",Table13[[#Headers],[History]],"*")),1,0)</f>
        <v>0</v>
      </c>
      <c r="S777">
        <f>IF(COUNTIF($E777, _xlfn.CONCAT("*",Table13[[#Headers],[Horror]],"*")),1,0)</f>
        <v>0</v>
      </c>
      <c r="T777">
        <f>IF(COUNTIF($E777, _xlfn.CONCAT("*",Table13[[#Headers],[Music]],"*")),1,0)</f>
        <v>0</v>
      </c>
      <c r="U777">
        <f>IF(COUNTIF($E777, _xlfn.CONCAT("*",Table13[[#Headers],[Mystery]],"*")),1,0)</f>
        <v>0</v>
      </c>
      <c r="V777">
        <f>IF(COUNTIF($E777, _xlfn.CONCAT("*",Table13[[#Headers],[Romance]],"*")),1,0)</f>
        <v>0</v>
      </c>
      <c r="W777">
        <f>IF(COUNTIF($E777, _xlfn.CONCAT("*",Table13[[#Headers],[Science Fiction]],"*")),1,0)</f>
        <v>0</v>
      </c>
      <c r="X777">
        <f>IF(COUNTIF($E777, _xlfn.CONCAT("*",Table13[[#Headers],[TV Movie]],"*")),1,0)</f>
        <v>0</v>
      </c>
      <c r="Y777">
        <f>IF(COUNTIF($E777, _xlfn.CONCAT("*",Table13[[#Headers],[Thriller]],"*")),1,0)</f>
        <v>0</v>
      </c>
      <c r="Z777">
        <f>IF(COUNTIF($E777, _xlfn.CONCAT("*",Table13[[#Headers],[War]],"*")),1,0)</f>
        <v>0</v>
      </c>
      <c r="AA777">
        <f>IF(COUNTIF($E777, _xlfn.CONCAT("*",Table13[[#Headers],[Western]],"*")),1,0)</f>
        <v>0</v>
      </c>
    </row>
    <row r="778" spans="1:27">
      <c r="A778" t="s">
        <v>357</v>
      </c>
      <c r="B778">
        <v>93</v>
      </c>
      <c r="C778">
        <f>MAX(Table13[Rank])-Table13[[#This Row],[Rank]]</f>
        <v>171</v>
      </c>
      <c r="D778" t="s">
        <v>780</v>
      </c>
      <c r="E778" t="s">
        <v>358</v>
      </c>
      <c r="F778" s="1">
        <v>22089</v>
      </c>
      <c r="G778">
        <f>YEAR(Table13[[#This Row],[Date]])</f>
        <v>1960</v>
      </c>
      <c r="H778" t="s">
        <v>357</v>
      </c>
      <c r="I778">
        <f>IF(COUNTIF($E778, _xlfn.CONCAT("*",Table13[[#Headers],[Action]],"*")),1,0)</f>
        <v>0</v>
      </c>
      <c r="J778">
        <f>IF(COUNTIF($E778, _xlfn.CONCAT("*",Table13[[#Headers],[Adventure]],"*")),1,0)</f>
        <v>0</v>
      </c>
      <c r="K778">
        <f>IF(COUNTIF($E778, _xlfn.CONCAT("*",Table13[[#Headers],[Animation]],"*")),1,0)</f>
        <v>0</v>
      </c>
      <c r="L778">
        <f>IF(COUNTIF($E778, _xlfn.CONCAT("*",Table13[[#Headers],[Comedy]],"*")),1,0)</f>
        <v>0</v>
      </c>
      <c r="M778">
        <f>IF(COUNTIF($E778, _xlfn.CONCAT("*",Table13[[#Headers],[Crime]],"*")),1,0)</f>
        <v>0</v>
      </c>
      <c r="N778">
        <f>IF(COUNTIF($E778, _xlfn.CONCAT("*",Table13[[#Headers],[Documentary]],"*")),1,0)</f>
        <v>0</v>
      </c>
      <c r="O778">
        <f>IF(COUNTIF($E778, _xlfn.CONCAT("*",Table13[[#Headers],[Drama]],"*")),1,0)</f>
        <v>1</v>
      </c>
      <c r="P778">
        <f>IF(COUNTIF($E778, _xlfn.CONCAT("*",Table13[[#Headers],[Family]],"*")),1,0)</f>
        <v>0</v>
      </c>
      <c r="Q778">
        <f>IF(COUNTIF($E778, _xlfn.CONCAT("*",Table13[[#Headers],[Fantasy]],"*")),1,0)</f>
        <v>0</v>
      </c>
      <c r="R778">
        <f>IF(COUNTIF($E778, _xlfn.CONCAT("*",Table13[[#Headers],[History]],"*")),1,0)</f>
        <v>0</v>
      </c>
      <c r="S778">
        <f>IF(COUNTIF($E778, _xlfn.CONCAT("*",Table13[[#Headers],[Horror]],"*")),1,0)</f>
        <v>1</v>
      </c>
      <c r="T778">
        <f>IF(COUNTIF($E778, _xlfn.CONCAT("*",Table13[[#Headers],[Music]],"*")),1,0)</f>
        <v>0</v>
      </c>
      <c r="U778">
        <f>IF(COUNTIF($E778, _xlfn.CONCAT("*",Table13[[#Headers],[Mystery]],"*")),1,0)</f>
        <v>0</v>
      </c>
      <c r="V778">
        <f>IF(COUNTIF($E778, _xlfn.CONCAT("*",Table13[[#Headers],[Romance]],"*")),1,0)</f>
        <v>0</v>
      </c>
      <c r="W778">
        <f>IF(COUNTIF($E778, _xlfn.CONCAT("*",Table13[[#Headers],[Science Fiction]],"*")),1,0)</f>
        <v>0</v>
      </c>
      <c r="X778">
        <f>IF(COUNTIF($E778, _xlfn.CONCAT("*",Table13[[#Headers],[TV Movie]],"*")),1,0)</f>
        <v>0</v>
      </c>
      <c r="Y778">
        <f>IF(COUNTIF($E778, _xlfn.CONCAT("*",Table13[[#Headers],[Thriller]],"*")),1,0)</f>
        <v>1</v>
      </c>
      <c r="Z778">
        <f>IF(COUNTIF($E778, _xlfn.CONCAT("*",Table13[[#Headers],[War]],"*")),1,0)</f>
        <v>0</v>
      </c>
      <c r="AA778">
        <f>IF(COUNTIF($E778, _xlfn.CONCAT("*",Table13[[#Headers],[Western]],"*")),1,0)</f>
        <v>0</v>
      </c>
    </row>
    <row r="779" spans="1:27">
      <c r="A779" t="s">
        <v>252</v>
      </c>
      <c r="B779">
        <v>94</v>
      </c>
      <c r="C779">
        <f>MAX(Table13[Rank])-Table13[[#This Row],[Rank]]</f>
        <v>170</v>
      </c>
      <c r="D779" t="s">
        <v>780</v>
      </c>
      <c r="E779" t="s">
        <v>21</v>
      </c>
      <c r="F779" s="1">
        <v>21180</v>
      </c>
      <c r="G779">
        <f>YEAR(Table13[[#This Row],[Date]])</f>
        <v>1957</v>
      </c>
      <c r="H779" t="s">
        <v>252</v>
      </c>
      <c r="I779">
        <f>IF(COUNTIF($E779, _xlfn.CONCAT("*",Table13[[#Headers],[Action]],"*")),1,0)</f>
        <v>0</v>
      </c>
      <c r="J779">
        <f>IF(COUNTIF($E779, _xlfn.CONCAT("*",Table13[[#Headers],[Adventure]],"*")),1,0)</f>
        <v>0</v>
      </c>
      <c r="K779">
        <f>IF(COUNTIF($E779, _xlfn.CONCAT("*",Table13[[#Headers],[Animation]],"*")),1,0)</f>
        <v>0</v>
      </c>
      <c r="L779">
        <f>IF(COUNTIF($E779, _xlfn.CONCAT("*",Table13[[#Headers],[Comedy]],"*")),1,0)</f>
        <v>0</v>
      </c>
      <c r="M779">
        <f>IF(COUNTIF($E779, _xlfn.CONCAT("*",Table13[[#Headers],[Crime]],"*")),1,0)</f>
        <v>0</v>
      </c>
      <c r="N779">
        <f>IF(COUNTIF($E779, _xlfn.CONCAT("*",Table13[[#Headers],[Documentary]],"*")),1,0)</f>
        <v>0</v>
      </c>
      <c r="O779">
        <f>IF(COUNTIF($E779, _xlfn.CONCAT("*",Table13[[#Headers],[Drama]],"*")),1,0)</f>
        <v>1</v>
      </c>
      <c r="P779">
        <f>IF(COUNTIF($E779, _xlfn.CONCAT("*",Table13[[#Headers],[Family]],"*")),1,0)</f>
        <v>0</v>
      </c>
      <c r="Q779">
        <f>IF(COUNTIF($E779, _xlfn.CONCAT("*",Table13[[#Headers],[Fantasy]],"*")),1,0)</f>
        <v>0</v>
      </c>
      <c r="R779">
        <f>IF(COUNTIF($E779, _xlfn.CONCAT("*",Table13[[#Headers],[History]],"*")),1,0)</f>
        <v>0</v>
      </c>
      <c r="S779">
        <f>IF(COUNTIF($E779, _xlfn.CONCAT("*",Table13[[#Headers],[Horror]],"*")),1,0)</f>
        <v>0</v>
      </c>
      <c r="T779">
        <f>IF(COUNTIF($E779, _xlfn.CONCAT("*",Table13[[#Headers],[Music]],"*")),1,0)</f>
        <v>0</v>
      </c>
      <c r="U779">
        <f>IF(COUNTIF($E779, _xlfn.CONCAT("*",Table13[[#Headers],[Mystery]],"*")),1,0)</f>
        <v>0</v>
      </c>
      <c r="V779">
        <f>IF(COUNTIF($E779, _xlfn.CONCAT("*",Table13[[#Headers],[Romance]],"*")),1,0)</f>
        <v>0</v>
      </c>
      <c r="W779">
        <f>IF(COUNTIF($E779, _xlfn.CONCAT("*",Table13[[#Headers],[Science Fiction]],"*")),1,0)</f>
        <v>0</v>
      </c>
      <c r="X779">
        <f>IF(COUNTIF($E779, _xlfn.CONCAT("*",Table13[[#Headers],[TV Movie]],"*")),1,0)</f>
        <v>0</v>
      </c>
      <c r="Y779">
        <f>IF(COUNTIF($E779, _xlfn.CONCAT("*",Table13[[#Headers],[Thriller]],"*")),1,0)</f>
        <v>0</v>
      </c>
      <c r="Z779">
        <f>IF(COUNTIF($E779, _xlfn.CONCAT("*",Table13[[#Headers],[War]],"*")),1,0)</f>
        <v>0</v>
      </c>
      <c r="AA779">
        <f>IF(COUNTIF($E779, _xlfn.CONCAT("*",Table13[[#Headers],[Western]],"*")),1,0)</f>
        <v>0</v>
      </c>
    </row>
    <row r="780" spans="1:27">
      <c r="A780" t="s">
        <v>515</v>
      </c>
      <c r="B780">
        <v>95</v>
      </c>
      <c r="C780">
        <f>MAX(Table13[Rank])-Table13[[#This Row],[Rank]]</f>
        <v>169</v>
      </c>
      <c r="D780" t="s">
        <v>780</v>
      </c>
      <c r="E780" t="s">
        <v>367</v>
      </c>
      <c r="F780" s="1">
        <v>39246</v>
      </c>
      <c r="G780">
        <f>YEAR(Table13[[#This Row],[Date]])</f>
        <v>2007</v>
      </c>
      <c r="H780" t="s">
        <v>515</v>
      </c>
      <c r="I780">
        <f>IF(COUNTIF($E780, _xlfn.CONCAT("*",Table13[[#Headers],[Action]],"*")),1,0)</f>
        <v>0</v>
      </c>
      <c r="J780">
        <f>IF(COUNTIF($E780, _xlfn.CONCAT("*",Table13[[#Headers],[Adventure]],"*")),1,0)</f>
        <v>0</v>
      </c>
      <c r="K780">
        <f>IF(COUNTIF($E780, _xlfn.CONCAT("*",Table13[[#Headers],[Animation]],"*")),1,0)</f>
        <v>0</v>
      </c>
      <c r="L780">
        <f>IF(COUNTIF($E780, _xlfn.CONCAT("*",Table13[[#Headers],[Comedy]],"*")),1,0)</f>
        <v>0</v>
      </c>
      <c r="M780">
        <f>IF(COUNTIF($E780, _xlfn.CONCAT("*",Table13[[#Headers],[Crime]],"*")),1,0)</f>
        <v>1</v>
      </c>
      <c r="N780">
        <f>IF(COUNTIF($E780, _xlfn.CONCAT("*",Table13[[#Headers],[Documentary]],"*")),1,0)</f>
        <v>0</v>
      </c>
      <c r="O780">
        <f>IF(COUNTIF($E780, _xlfn.CONCAT("*",Table13[[#Headers],[Drama]],"*")),1,0)</f>
        <v>1</v>
      </c>
      <c r="P780">
        <f>IF(COUNTIF($E780, _xlfn.CONCAT("*",Table13[[#Headers],[Family]],"*")),1,0)</f>
        <v>0</v>
      </c>
      <c r="Q780">
        <f>IF(COUNTIF($E780, _xlfn.CONCAT("*",Table13[[#Headers],[Fantasy]],"*")),1,0)</f>
        <v>0</v>
      </c>
      <c r="R780">
        <f>IF(COUNTIF($E780, _xlfn.CONCAT("*",Table13[[#Headers],[History]],"*")),1,0)</f>
        <v>0</v>
      </c>
      <c r="S780">
        <f>IF(COUNTIF($E780, _xlfn.CONCAT("*",Table13[[#Headers],[Horror]],"*")),1,0)</f>
        <v>0</v>
      </c>
      <c r="T780">
        <f>IF(COUNTIF($E780, _xlfn.CONCAT("*",Table13[[#Headers],[Music]],"*")),1,0)</f>
        <v>0</v>
      </c>
      <c r="U780">
        <f>IF(COUNTIF($E780, _xlfn.CONCAT("*",Table13[[#Headers],[Mystery]],"*")),1,0)</f>
        <v>0</v>
      </c>
      <c r="V780">
        <f>IF(COUNTIF($E780, _xlfn.CONCAT("*",Table13[[#Headers],[Romance]],"*")),1,0)</f>
        <v>0</v>
      </c>
      <c r="W780">
        <f>IF(COUNTIF($E780, _xlfn.CONCAT("*",Table13[[#Headers],[Science Fiction]],"*")),1,0)</f>
        <v>0</v>
      </c>
      <c r="X780">
        <f>IF(COUNTIF($E780, _xlfn.CONCAT("*",Table13[[#Headers],[TV Movie]],"*")),1,0)</f>
        <v>0</v>
      </c>
      <c r="Y780">
        <f>IF(COUNTIF($E780, _xlfn.CONCAT("*",Table13[[#Headers],[Thriller]],"*")),1,0)</f>
        <v>1</v>
      </c>
      <c r="Z780">
        <f>IF(COUNTIF($E780, _xlfn.CONCAT("*",Table13[[#Headers],[War]],"*")),1,0)</f>
        <v>0</v>
      </c>
      <c r="AA780">
        <f>IF(COUNTIF($E780, _xlfn.CONCAT("*",Table13[[#Headers],[Western]],"*")),1,0)</f>
        <v>0</v>
      </c>
    </row>
    <row r="781" spans="1:27">
      <c r="A781" t="s">
        <v>170</v>
      </c>
      <c r="B781">
        <v>96</v>
      </c>
      <c r="C781">
        <f>MAX(Table13[Rank])-Table13[[#This Row],[Rank]]</f>
        <v>168</v>
      </c>
      <c r="D781" t="s">
        <v>780</v>
      </c>
      <c r="E781" t="s">
        <v>171</v>
      </c>
      <c r="F781" s="1">
        <v>31959</v>
      </c>
      <c r="G781">
        <f>YEAR(Table13[[#This Row],[Date]])</f>
        <v>1987</v>
      </c>
      <c r="H781" t="s">
        <v>1276</v>
      </c>
      <c r="I781">
        <f>IF(COUNTIF($E781, _xlfn.CONCAT("*",Table13[[#Headers],[Action]],"*")),1,0)</f>
        <v>0</v>
      </c>
      <c r="J781">
        <f>IF(COUNTIF($E781, _xlfn.CONCAT("*",Table13[[#Headers],[Adventure]],"*")),1,0)</f>
        <v>0</v>
      </c>
      <c r="K781">
        <f>IF(COUNTIF($E781, _xlfn.CONCAT("*",Table13[[#Headers],[Animation]],"*")),1,0)</f>
        <v>0</v>
      </c>
      <c r="L781">
        <f>IF(COUNTIF($E781, _xlfn.CONCAT("*",Table13[[#Headers],[Comedy]],"*")),1,0)</f>
        <v>0</v>
      </c>
      <c r="M781">
        <f>IF(COUNTIF($E781, _xlfn.CONCAT("*",Table13[[#Headers],[Crime]],"*")),1,0)</f>
        <v>0</v>
      </c>
      <c r="N781">
        <f>IF(COUNTIF($E781, _xlfn.CONCAT("*",Table13[[#Headers],[Documentary]],"*")),1,0)</f>
        <v>0</v>
      </c>
      <c r="O781">
        <f>IF(COUNTIF($E781, _xlfn.CONCAT("*",Table13[[#Headers],[Drama]],"*")),1,0)</f>
        <v>1</v>
      </c>
      <c r="P781">
        <f>IF(COUNTIF($E781, _xlfn.CONCAT("*",Table13[[#Headers],[Family]],"*")),1,0)</f>
        <v>1</v>
      </c>
      <c r="Q781">
        <f>IF(COUNTIF($E781, _xlfn.CONCAT("*",Table13[[#Headers],[Fantasy]],"*")),1,0)</f>
        <v>0</v>
      </c>
      <c r="R781">
        <f>IF(COUNTIF($E781, _xlfn.CONCAT("*",Table13[[#Headers],[History]],"*")),1,0)</f>
        <v>0</v>
      </c>
      <c r="S781">
        <f>IF(COUNTIF($E781, _xlfn.CONCAT("*",Table13[[#Headers],[Horror]],"*")),1,0)</f>
        <v>0</v>
      </c>
      <c r="T781">
        <f>IF(COUNTIF($E781, _xlfn.CONCAT("*",Table13[[#Headers],[Music]],"*")),1,0)</f>
        <v>0</v>
      </c>
      <c r="U781">
        <f>IF(COUNTIF($E781, _xlfn.CONCAT("*",Table13[[#Headers],[Mystery]],"*")),1,0)</f>
        <v>0</v>
      </c>
      <c r="V781">
        <f>IF(COUNTIF($E781, _xlfn.CONCAT("*",Table13[[#Headers],[Romance]],"*")),1,0)</f>
        <v>0</v>
      </c>
      <c r="W781">
        <f>IF(COUNTIF($E781, _xlfn.CONCAT("*",Table13[[#Headers],[Science Fiction]],"*")),1,0)</f>
        <v>0</v>
      </c>
      <c r="X781">
        <f>IF(COUNTIF($E781, _xlfn.CONCAT("*",Table13[[#Headers],[TV Movie]],"*")),1,0)</f>
        <v>0</v>
      </c>
      <c r="Y781">
        <f>IF(COUNTIF($E781, _xlfn.CONCAT("*",Table13[[#Headers],[Thriller]],"*")),1,0)</f>
        <v>0</v>
      </c>
      <c r="Z781">
        <f>IF(COUNTIF($E781, _xlfn.CONCAT("*",Table13[[#Headers],[War]],"*")),1,0)</f>
        <v>0</v>
      </c>
      <c r="AA781">
        <f>IF(COUNTIF($E781, _xlfn.CONCAT("*",Table13[[#Headers],[Western]],"*")),1,0)</f>
        <v>0</v>
      </c>
    </row>
    <row r="782" spans="1:27">
      <c r="A782" t="s">
        <v>351</v>
      </c>
      <c r="B782">
        <v>97</v>
      </c>
      <c r="C782">
        <f>MAX(Table13[Rank])-Table13[[#This Row],[Rank]]</f>
        <v>167</v>
      </c>
      <c r="D782" t="s">
        <v>780</v>
      </c>
      <c r="E782" t="s">
        <v>35</v>
      </c>
      <c r="F782" s="1">
        <v>45085</v>
      </c>
      <c r="G782">
        <f>YEAR(Table13[[#This Row],[Date]])</f>
        <v>2023</v>
      </c>
      <c r="H782" t="s">
        <v>1290</v>
      </c>
      <c r="I782">
        <f>IF(COUNTIF($E782, _xlfn.CONCAT("*",Table13[[#Headers],[Action]],"*")),1,0)</f>
        <v>0</v>
      </c>
      <c r="J782">
        <f>IF(COUNTIF($E782, _xlfn.CONCAT("*",Table13[[#Headers],[Adventure]],"*")),1,0)</f>
        <v>0</v>
      </c>
      <c r="K782">
        <f>IF(COUNTIF($E782, _xlfn.CONCAT("*",Table13[[#Headers],[Animation]],"*")),1,0)</f>
        <v>0</v>
      </c>
      <c r="L782">
        <f>IF(COUNTIF($E782, _xlfn.CONCAT("*",Table13[[#Headers],[Comedy]],"*")),1,0)</f>
        <v>0</v>
      </c>
      <c r="M782">
        <f>IF(COUNTIF($E782, _xlfn.CONCAT("*",Table13[[#Headers],[Crime]],"*")),1,0)</f>
        <v>0</v>
      </c>
      <c r="N782">
        <f>IF(COUNTIF($E782, _xlfn.CONCAT("*",Table13[[#Headers],[Documentary]],"*")),1,0)</f>
        <v>0</v>
      </c>
      <c r="O782">
        <f>IF(COUNTIF($E782, _xlfn.CONCAT("*",Table13[[#Headers],[Drama]],"*")),1,0)</f>
        <v>1</v>
      </c>
      <c r="P782">
        <f>IF(COUNTIF($E782, _xlfn.CONCAT("*",Table13[[#Headers],[Family]],"*")),1,0)</f>
        <v>0</v>
      </c>
      <c r="Q782">
        <f>IF(COUNTIF($E782, _xlfn.CONCAT("*",Table13[[#Headers],[Fantasy]],"*")),1,0)</f>
        <v>0</v>
      </c>
      <c r="R782">
        <f>IF(COUNTIF($E782, _xlfn.CONCAT("*",Table13[[#Headers],[History]],"*")),1,0)</f>
        <v>0</v>
      </c>
      <c r="S782">
        <f>IF(COUNTIF($E782, _xlfn.CONCAT("*",Table13[[#Headers],[Horror]],"*")),1,0)</f>
        <v>0</v>
      </c>
      <c r="T782">
        <f>IF(COUNTIF($E782, _xlfn.CONCAT("*",Table13[[#Headers],[Music]],"*")),1,0)</f>
        <v>0</v>
      </c>
      <c r="U782">
        <f>IF(COUNTIF($E782, _xlfn.CONCAT("*",Table13[[#Headers],[Mystery]],"*")),1,0)</f>
        <v>0</v>
      </c>
      <c r="V782">
        <f>IF(COUNTIF($E782, _xlfn.CONCAT("*",Table13[[#Headers],[Romance]],"*")),1,0)</f>
        <v>1</v>
      </c>
      <c r="W782">
        <f>IF(COUNTIF($E782, _xlfn.CONCAT("*",Table13[[#Headers],[Science Fiction]],"*")),1,0)</f>
        <v>0</v>
      </c>
      <c r="X782">
        <f>IF(COUNTIF($E782, _xlfn.CONCAT("*",Table13[[#Headers],[TV Movie]],"*")),1,0)</f>
        <v>0</v>
      </c>
      <c r="Y782">
        <f>IF(COUNTIF($E782, _xlfn.CONCAT("*",Table13[[#Headers],[Thriller]],"*")),1,0)</f>
        <v>0</v>
      </c>
      <c r="Z782">
        <f>IF(COUNTIF($E782, _xlfn.CONCAT("*",Table13[[#Headers],[War]],"*")),1,0)</f>
        <v>0</v>
      </c>
      <c r="AA782">
        <f>IF(COUNTIF($E782, _xlfn.CONCAT("*",Table13[[#Headers],[Western]],"*")),1,0)</f>
        <v>0</v>
      </c>
    </row>
    <row r="783" spans="1:27">
      <c r="A783" t="s">
        <v>75</v>
      </c>
      <c r="B783">
        <v>98</v>
      </c>
      <c r="C783">
        <f>MAX(Table13[Rank])-Table13[[#This Row],[Rank]]</f>
        <v>166</v>
      </c>
      <c r="D783" t="s">
        <v>780</v>
      </c>
      <c r="E783" t="s">
        <v>21</v>
      </c>
      <c r="F783" s="1">
        <v>18576</v>
      </c>
      <c r="G783">
        <f>YEAR(Table13[[#This Row],[Date]])</f>
        <v>1950</v>
      </c>
      <c r="H783" t="s">
        <v>75</v>
      </c>
      <c r="I783">
        <f>IF(COUNTIF($E783, _xlfn.CONCAT("*",Table13[[#Headers],[Action]],"*")),1,0)</f>
        <v>0</v>
      </c>
      <c r="J783">
        <f>IF(COUNTIF($E783, _xlfn.CONCAT("*",Table13[[#Headers],[Adventure]],"*")),1,0)</f>
        <v>0</v>
      </c>
      <c r="K783">
        <f>IF(COUNTIF($E783, _xlfn.CONCAT("*",Table13[[#Headers],[Animation]],"*")),1,0)</f>
        <v>0</v>
      </c>
      <c r="L783">
        <f>IF(COUNTIF($E783, _xlfn.CONCAT("*",Table13[[#Headers],[Comedy]],"*")),1,0)</f>
        <v>0</v>
      </c>
      <c r="M783">
        <f>IF(COUNTIF($E783, _xlfn.CONCAT("*",Table13[[#Headers],[Crime]],"*")),1,0)</f>
        <v>0</v>
      </c>
      <c r="N783">
        <f>IF(COUNTIF($E783, _xlfn.CONCAT("*",Table13[[#Headers],[Documentary]],"*")),1,0)</f>
        <v>0</v>
      </c>
      <c r="O783">
        <f>IF(COUNTIF($E783, _xlfn.CONCAT("*",Table13[[#Headers],[Drama]],"*")),1,0)</f>
        <v>1</v>
      </c>
      <c r="P783">
        <f>IF(COUNTIF($E783, _xlfn.CONCAT("*",Table13[[#Headers],[Family]],"*")),1,0)</f>
        <v>0</v>
      </c>
      <c r="Q783">
        <f>IF(COUNTIF($E783, _xlfn.CONCAT("*",Table13[[#Headers],[Fantasy]],"*")),1,0)</f>
        <v>0</v>
      </c>
      <c r="R783">
        <f>IF(COUNTIF($E783, _xlfn.CONCAT("*",Table13[[#Headers],[History]],"*")),1,0)</f>
        <v>0</v>
      </c>
      <c r="S783">
        <f>IF(COUNTIF($E783, _xlfn.CONCAT("*",Table13[[#Headers],[Horror]],"*")),1,0)</f>
        <v>0</v>
      </c>
      <c r="T783">
        <f>IF(COUNTIF($E783, _xlfn.CONCAT("*",Table13[[#Headers],[Music]],"*")),1,0)</f>
        <v>0</v>
      </c>
      <c r="U783">
        <f>IF(COUNTIF($E783, _xlfn.CONCAT("*",Table13[[#Headers],[Mystery]],"*")),1,0)</f>
        <v>0</v>
      </c>
      <c r="V783">
        <f>IF(COUNTIF($E783, _xlfn.CONCAT("*",Table13[[#Headers],[Romance]],"*")),1,0)</f>
        <v>0</v>
      </c>
      <c r="W783">
        <f>IF(COUNTIF($E783, _xlfn.CONCAT("*",Table13[[#Headers],[Science Fiction]],"*")),1,0)</f>
        <v>0</v>
      </c>
      <c r="X783">
        <f>IF(COUNTIF($E783, _xlfn.CONCAT("*",Table13[[#Headers],[TV Movie]],"*")),1,0)</f>
        <v>0</v>
      </c>
      <c r="Y783">
        <f>IF(COUNTIF($E783, _xlfn.CONCAT("*",Table13[[#Headers],[Thriller]],"*")),1,0)</f>
        <v>0</v>
      </c>
      <c r="Z783">
        <f>IF(COUNTIF($E783, _xlfn.CONCAT("*",Table13[[#Headers],[War]],"*")),1,0)</f>
        <v>0</v>
      </c>
      <c r="AA783">
        <f>IF(COUNTIF($E783, _xlfn.CONCAT("*",Table13[[#Headers],[Western]],"*")),1,0)</f>
        <v>0</v>
      </c>
    </row>
    <row r="784" spans="1:27">
      <c r="A784" t="s">
        <v>332</v>
      </c>
      <c r="B784">
        <v>99</v>
      </c>
      <c r="C784">
        <f>MAX(Table13[Rank])-Table13[[#This Row],[Rank]]</f>
        <v>165</v>
      </c>
      <c r="D784" t="s">
        <v>780</v>
      </c>
      <c r="E784" t="s">
        <v>21</v>
      </c>
      <c r="F784" s="1">
        <v>21704</v>
      </c>
      <c r="G784">
        <f>YEAR(Table13[[#This Row],[Date]])</f>
        <v>1959</v>
      </c>
      <c r="H784" t="s">
        <v>332</v>
      </c>
      <c r="I784">
        <f>IF(COUNTIF($E784, _xlfn.CONCAT("*",Table13[[#Headers],[Action]],"*")),1,0)</f>
        <v>0</v>
      </c>
      <c r="J784">
        <f>IF(COUNTIF($E784, _xlfn.CONCAT("*",Table13[[#Headers],[Adventure]],"*")),1,0)</f>
        <v>0</v>
      </c>
      <c r="K784">
        <f>IF(COUNTIF($E784, _xlfn.CONCAT("*",Table13[[#Headers],[Animation]],"*")),1,0)</f>
        <v>0</v>
      </c>
      <c r="L784">
        <f>IF(COUNTIF($E784, _xlfn.CONCAT("*",Table13[[#Headers],[Comedy]],"*")),1,0)</f>
        <v>0</v>
      </c>
      <c r="M784">
        <f>IF(COUNTIF($E784, _xlfn.CONCAT("*",Table13[[#Headers],[Crime]],"*")),1,0)</f>
        <v>0</v>
      </c>
      <c r="N784">
        <f>IF(COUNTIF($E784, _xlfn.CONCAT("*",Table13[[#Headers],[Documentary]],"*")),1,0)</f>
        <v>0</v>
      </c>
      <c r="O784">
        <f>IF(COUNTIF($E784, _xlfn.CONCAT("*",Table13[[#Headers],[Drama]],"*")),1,0)</f>
        <v>1</v>
      </c>
      <c r="P784">
        <f>IF(COUNTIF($E784, _xlfn.CONCAT("*",Table13[[#Headers],[Family]],"*")),1,0)</f>
        <v>0</v>
      </c>
      <c r="Q784">
        <f>IF(COUNTIF($E784, _xlfn.CONCAT("*",Table13[[#Headers],[Fantasy]],"*")),1,0)</f>
        <v>0</v>
      </c>
      <c r="R784">
        <f>IF(COUNTIF($E784, _xlfn.CONCAT("*",Table13[[#Headers],[History]],"*")),1,0)</f>
        <v>0</v>
      </c>
      <c r="S784">
        <f>IF(COUNTIF($E784, _xlfn.CONCAT("*",Table13[[#Headers],[Horror]],"*")),1,0)</f>
        <v>0</v>
      </c>
      <c r="T784">
        <f>IF(COUNTIF($E784, _xlfn.CONCAT("*",Table13[[#Headers],[Music]],"*")),1,0)</f>
        <v>0</v>
      </c>
      <c r="U784">
        <f>IF(COUNTIF($E784, _xlfn.CONCAT("*",Table13[[#Headers],[Mystery]],"*")),1,0)</f>
        <v>0</v>
      </c>
      <c r="V784">
        <f>IF(COUNTIF($E784, _xlfn.CONCAT("*",Table13[[#Headers],[Romance]],"*")),1,0)</f>
        <v>0</v>
      </c>
      <c r="W784">
        <f>IF(COUNTIF($E784, _xlfn.CONCAT("*",Table13[[#Headers],[Science Fiction]],"*")),1,0)</f>
        <v>0</v>
      </c>
      <c r="X784">
        <f>IF(COUNTIF($E784, _xlfn.CONCAT("*",Table13[[#Headers],[TV Movie]],"*")),1,0)</f>
        <v>0</v>
      </c>
      <c r="Y784">
        <f>IF(COUNTIF($E784, _xlfn.CONCAT("*",Table13[[#Headers],[Thriller]],"*")),1,0)</f>
        <v>0</v>
      </c>
      <c r="Z784">
        <f>IF(COUNTIF($E784, _xlfn.CONCAT("*",Table13[[#Headers],[War]],"*")),1,0)</f>
        <v>0</v>
      </c>
      <c r="AA784">
        <f>IF(COUNTIF($E784, _xlfn.CONCAT("*",Table13[[#Headers],[Western]],"*")),1,0)</f>
        <v>0</v>
      </c>
    </row>
    <row r="785" spans="1:27">
      <c r="A785" t="s">
        <v>82</v>
      </c>
      <c r="B785">
        <v>100</v>
      </c>
      <c r="C785">
        <f>MAX(Table13[Rank])-Table13[[#This Row],[Rank]]</f>
        <v>164</v>
      </c>
      <c r="D785" t="s">
        <v>780</v>
      </c>
      <c r="E785" t="s">
        <v>83</v>
      </c>
      <c r="F785" s="1">
        <v>25456</v>
      </c>
      <c r="G785">
        <f>YEAR(Table13[[#This Row],[Date]])</f>
        <v>1969</v>
      </c>
      <c r="H785" t="s">
        <v>82</v>
      </c>
      <c r="I785">
        <f>IF(COUNTIF($E785, _xlfn.CONCAT("*",Table13[[#Headers],[Action]],"*")),1,0)</f>
        <v>0</v>
      </c>
      <c r="J785">
        <f>IF(COUNTIF($E785, _xlfn.CONCAT("*",Table13[[#Headers],[Adventure]],"*")),1,0)</f>
        <v>0</v>
      </c>
      <c r="K785">
        <f>IF(COUNTIF($E785, _xlfn.CONCAT("*",Table13[[#Headers],[Animation]],"*")),1,0)</f>
        <v>0</v>
      </c>
      <c r="L785">
        <f>IF(COUNTIF($E785, _xlfn.CONCAT("*",Table13[[#Headers],[Comedy]],"*")),1,0)</f>
        <v>0</v>
      </c>
      <c r="M785">
        <f>IF(COUNTIF($E785, _xlfn.CONCAT("*",Table13[[#Headers],[Crime]],"*")),1,0)</f>
        <v>0</v>
      </c>
      <c r="N785">
        <f>IF(COUNTIF($E785, _xlfn.CONCAT("*",Table13[[#Headers],[Documentary]],"*")),1,0)</f>
        <v>0</v>
      </c>
      <c r="O785">
        <f>IF(COUNTIF($E785, _xlfn.CONCAT("*",Table13[[#Headers],[Drama]],"*")),1,0)</f>
        <v>1</v>
      </c>
      <c r="P785">
        <f>IF(COUNTIF($E785, _xlfn.CONCAT("*",Table13[[#Headers],[Family]],"*")),1,0)</f>
        <v>0</v>
      </c>
      <c r="Q785">
        <f>IF(COUNTIF($E785, _xlfn.CONCAT("*",Table13[[#Headers],[Fantasy]],"*")),1,0)</f>
        <v>0</v>
      </c>
      <c r="R785">
        <f>IF(COUNTIF($E785, _xlfn.CONCAT("*",Table13[[#Headers],[History]],"*")),1,0)</f>
        <v>0</v>
      </c>
      <c r="S785">
        <f>IF(COUNTIF($E785, _xlfn.CONCAT("*",Table13[[#Headers],[Horror]],"*")),1,0)</f>
        <v>0</v>
      </c>
      <c r="T785">
        <f>IF(COUNTIF($E785, _xlfn.CONCAT("*",Table13[[#Headers],[Music]],"*")),1,0)</f>
        <v>0</v>
      </c>
      <c r="U785">
        <f>IF(COUNTIF($E785, _xlfn.CONCAT("*",Table13[[#Headers],[Mystery]],"*")),1,0)</f>
        <v>0</v>
      </c>
      <c r="V785">
        <f>IF(COUNTIF($E785, _xlfn.CONCAT("*",Table13[[#Headers],[Romance]],"*")),1,0)</f>
        <v>0</v>
      </c>
      <c r="W785">
        <f>IF(COUNTIF($E785, _xlfn.CONCAT("*",Table13[[#Headers],[Science Fiction]],"*")),1,0)</f>
        <v>0</v>
      </c>
      <c r="X785">
        <f>IF(COUNTIF($E785, _xlfn.CONCAT("*",Table13[[#Headers],[TV Movie]],"*")),1,0)</f>
        <v>0</v>
      </c>
      <c r="Y785">
        <f>IF(COUNTIF($E785, _xlfn.CONCAT("*",Table13[[#Headers],[Thriller]],"*")),1,0)</f>
        <v>1</v>
      </c>
      <c r="Z785">
        <f>IF(COUNTIF($E785, _xlfn.CONCAT("*",Table13[[#Headers],[War]],"*")),1,0)</f>
        <v>1</v>
      </c>
      <c r="AA785">
        <f>IF(COUNTIF($E785, _xlfn.CONCAT("*",Table13[[#Headers],[Western]],"*")),1,0)</f>
        <v>0</v>
      </c>
    </row>
    <row r="786" spans="1:27">
      <c r="A786" t="s">
        <v>372</v>
      </c>
      <c r="B786">
        <v>101</v>
      </c>
      <c r="C786">
        <f>MAX(Table13[Rank])-Table13[[#This Row],[Rank]]</f>
        <v>163</v>
      </c>
      <c r="D786" t="s">
        <v>780</v>
      </c>
      <c r="E786" t="s">
        <v>21</v>
      </c>
      <c r="F786" s="1">
        <v>18154</v>
      </c>
      <c r="G786">
        <f>YEAR(Table13[[#This Row],[Date]])</f>
        <v>1949</v>
      </c>
      <c r="H786" t="s">
        <v>372</v>
      </c>
      <c r="I786">
        <f>IF(COUNTIF($E786, _xlfn.CONCAT("*",Table13[[#Headers],[Action]],"*")),1,0)</f>
        <v>0</v>
      </c>
      <c r="J786">
        <f>IF(COUNTIF($E786, _xlfn.CONCAT("*",Table13[[#Headers],[Adventure]],"*")),1,0)</f>
        <v>0</v>
      </c>
      <c r="K786">
        <f>IF(COUNTIF($E786, _xlfn.CONCAT("*",Table13[[#Headers],[Animation]],"*")),1,0)</f>
        <v>0</v>
      </c>
      <c r="L786">
        <f>IF(COUNTIF($E786, _xlfn.CONCAT("*",Table13[[#Headers],[Comedy]],"*")),1,0)</f>
        <v>0</v>
      </c>
      <c r="M786">
        <f>IF(COUNTIF($E786, _xlfn.CONCAT("*",Table13[[#Headers],[Crime]],"*")),1,0)</f>
        <v>0</v>
      </c>
      <c r="N786">
        <f>IF(COUNTIF($E786, _xlfn.CONCAT("*",Table13[[#Headers],[Documentary]],"*")),1,0)</f>
        <v>0</v>
      </c>
      <c r="O786">
        <f>IF(COUNTIF($E786, _xlfn.CONCAT("*",Table13[[#Headers],[Drama]],"*")),1,0)</f>
        <v>1</v>
      </c>
      <c r="P786">
        <f>IF(COUNTIF($E786, _xlfn.CONCAT("*",Table13[[#Headers],[Family]],"*")),1,0)</f>
        <v>0</v>
      </c>
      <c r="Q786">
        <f>IF(COUNTIF($E786, _xlfn.CONCAT("*",Table13[[#Headers],[Fantasy]],"*")),1,0)</f>
        <v>0</v>
      </c>
      <c r="R786">
        <f>IF(COUNTIF($E786, _xlfn.CONCAT("*",Table13[[#Headers],[History]],"*")),1,0)</f>
        <v>0</v>
      </c>
      <c r="S786">
        <f>IF(COUNTIF($E786, _xlfn.CONCAT("*",Table13[[#Headers],[Horror]],"*")),1,0)</f>
        <v>0</v>
      </c>
      <c r="T786">
        <f>IF(COUNTIF($E786, _xlfn.CONCAT("*",Table13[[#Headers],[Music]],"*")),1,0)</f>
        <v>0</v>
      </c>
      <c r="U786">
        <f>IF(COUNTIF($E786, _xlfn.CONCAT("*",Table13[[#Headers],[Mystery]],"*")),1,0)</f>
        <v>0</v>
      </c>
      <c r="V786">
        <f>IF(COUNTIF($E786, _xlfn.CONCAT("*",Table13[[#Headers],[Romance]],"*")),1,0)</f>
        <v>0</v>
      </c>
      <c r="W786">
        <f>IF(COUNTIF($E786, _xlfn.CONCAT("*",Table13[[#Headers],[Science Fiction]],"*")),1,0)</f>
        <v>0</v>
      </c>
      <c r="X786">
        <f>IF(COUNTIF($E786, _xlfn.CONCAT("*",Table13[[#Headers],[TV Movie]],"*")),1,0)</f>
        <v>0</v>
      </c>
      <c r="Y786">
        <f>IF(COUNTIF($E786, _xlfn.CONCAT("*",Table13[[#Headers],[Thriller]],"*")),1,0)</f>
        <v>0</v>
      </c>
      <c r="Z786">
        <f>IF(COUNTIF($E786, _xlfn.CONCAT("*",Table13[[#Headers],[War]],"*")),1,0)</f>
        <v>0</v>
      </c>
      <c r="AA786">
        <f>IF(COUNTIF($E786, _xlfn.CONCAT("*",Table13[[#Headers],[Western]],"*")),1,0)</f>
        <v>0</v>
      </c>
    </row>
    <row r="787" spans="1:27">
      <c r="A787" t="s">
        <v>827</v>
      </c>
      <c r="B787">
        <v>102</v>
      </c>
      <c r="C787">
        <f>MAX(Table13[Rank])-Table13[[#This Row],[Rank]]</f>
        <v>162</v>
      </c>
      <c r="D787" t="s">
        <v>780</v>
      </c>
      <c r="E787" t="s">
        <v>828</v>
      </c>
      <c r="F787" s="1">
        <v>21171</v>
      </c>
      <c r="G787">
        <f>YEAR(Table13[[#This Row],[Date]])</f>
        <v>1957</v>
      </c>
      <c r="H787" t="s">
        <v>827</v>
      </c>
      <c r="I787">
        <f>IF(COUNTIF($E787, _xlfn.CONCAT("*",Table13[[#Headers],[Action]],"*")),1,0)</f>
        <v>0</v>
      </c>
      <c r="J787">
        <f>IF(COUNTIF($E787, _xlfn.CONCAT("*",Table13[[#Headers],[Adventure]],"*")),1,0)</f>
        <v>0</v>
      </c>
      <c r="K787">
        <f>IF(COUNTIF($E787, _xlfn.CONCAT("*",Table13[[#Headers],[Animation]],"*")),1,0)</f>
        <v>0</v>
      </c>
      <c r="L787">
        <f>IF(COUNTIF($E787, _xlfn.CONCAT("*",Table13[[#Headers],[Comedy]],"*")),1,0)</f>
        <v>0</v>
      </c>
      <c r="M787">
        <f>IF(COUNTIF($E787, _xlfn.CONCAT("*",Table13[[#Headers],[Crime]],"*")),1,0)</f>
        <v>1</v>
      </c>
      <c r="N787">
        <f>IF(COUNTIF($E787, _xlfn.CONCAT("*",Table13[[#Headers],[Documentary]],"*")),1,0)</f>
        <v>0</v>
      </c>
      <c r="O787">
        <f>IF(COUNTIF($E787, _xlfn.CONCAT("*",Table13[[#Headers],[Drama]],"*")),1,0)</f>
        <v>1</v>
      </c>
      <c r="P787">
        <f>IF(COUNTIF($E787, _xlfn.CONCAT("*",Table13[[#Headers],[Family]],"*")),1,0)</f>
        <v>0</v>
      </c>
      <c r="Q787">
        <f>IF(COUNTIF($E787, _xlfn.CONCAT("*",Table13[[#Headers],[Fantasy]],"*")),1,0)</f>
        <v>0</v>
      </c>
      <c r="R787">
        <f>IF(COUNTIF($E787, _xlfn.CONCAT("*",Table13[[#Headers],[History]],"*")),1,0)</f>
        <v>0</v>
      </c>
      <c r="S787">
        <f>IF(COUNTIF($E787, _xlfn.CONCAT("*",Table13[[#Headers],[Horror]],"*")),1,0)</f>
        <v>0</v>
      </c>
      <c r="T787">
        <f>IF(COUNTIF($E787, _xlfn.CONCAT("*",Table13[[#Headers],[Music]],"*")),1,0)</f>
        <v>0</v>
      </c>
      <c r="U787">
        <f>IF(COUNTIF($E787, _xlfn.CONCAT("*",Table13[[#Headers],[Mystery]],"*")),1,0)</f>
        <v>1</v>
      </c>
      <c r="V787">
        <f>IF(COUNTIF($E787, _xlfn.CONCAT("*",Table13[[#Headers],[Romance]],"*")),1,0)</f>
        <v>0</v>
      </c>
      <c r="W787">
        <f>IF(COUNTIF($E787, _xlfn.CONCAT("*",Table13[[#Headers],[Science Fiction]],"*")),1,0)</f>
        <v>0</v>
      </c>
      <c r="X787">
        <f>IF(COUNTIF($E787, _xlfn.CONCAT("*",Table13[[#Headers],[TV Movie]],"*")),1,0)</f>
        <v>0</v>
      </c>
      <c r="Y787">
        <f>IF(COUNTIF($E787, _xlfn.CONCAT("*",Table13[[#Headers],[Thriller]],"*")),1,0)</f>
        <v>0</v>
      </c>
      <c r="Z787">
        <f>IF(COUNTIF($E787, _xlfn.CONCAT("*",Table13[[#Headers],[War]],"*")),1,0)</f>
        <v>0</v>
      </c>
      <c r="AA787">
        <f>IF(COUNTIF($E787, _xlfn.CONCAT("*",Table13[[#Headers],[Western]],"*")),1,0)</f>
        <v>0</v>
      </c>
    </row>
    <row r="788" spans="1:27">
      <c r="A788" t="s">
        <v>613</v>
      </c>
      <c r="B788">
        <v>103</v>
      </c>
      <c r="C788">
        <f>MAX(Table13[Rank])-Table13[[#This Row],[Rank]]</f>
        <v>161</v>
      </c>
      <c r="D788" t="s">
        <v>780</v>
      </c>
      <c r="E788" t="s">
        <v>533</v>
      </c>
      <c r="F788" s="1">
        <v>34964</v>
      </c>
      <c r="G788">
        <f>YEAR(Table13[[#This Row],[Date]])</f>
        <v>1995</v>
      </c>
      <c r="H788" t="s">
        <v>613</v>
      </c>
      <c r="I788">
        <f>IF(COUNTIF($E788, _xlfn.CONCAT("*",Table13[[#Headers],[Action]],"*")),1,0)</f>
        <v>0</v>
      </c>
      <c r="J788">
        <f>IF(COUNTIF($E788, _xlfn.CONCAT("*",Table13[[#Headers],[Adventure]],"*")),1,0)</f>
        <v>0</v>
      </c>
      <c r="K788">
        <f>IF(COUNTIF($E788, _xlfn.CONCAT("*",Table13[[#Headers],[Animation]],"*")),1,0)</f>
        <v>0</v>
      </c>
      <c r="L788">
        <f>IF(COUNTIF($E788, _xlfn.CONCAT("*",Table13[[#Headers],[Comedy]],"*")),1,0)</f>
        <v>0</v>
      </c>
      <c r="M788">
        <f>IF(COUNTIF($E788, _xlfn.CONCAT("*",Table13[[#Headers],[Crime]],"*")),1,0)</f>
        <v>1</v>
      </c>
      <c r="N788">
        <f>IF(COUNTIF($E788, _xlfn.CONCAT("*",Table13[[#Headers],[Documentary]],"*")),1,0)</f>
        <v>0</v>
      </c>
      <c r="O788">
        <f>IF(COUNTIF($E788, _xlfn.CONCAT("*",Table13[[#Headers],[Drama]],"*")),1,0)</f>
        <v>0</v>
      </c>
      <c r="P788">
        <f>IF(COUNTIF($E788, _xlfn.CONCAT("*",Table13[[#Headers],[Family]],"*")),1,0)</f>
        <v>0</v>
      </c>
      <c r="Q788">
        <f>IF(COUNTIF($E788, _xlfn.CONCAT("*",Table13[[#Headers],[Fantasy]],"*")),1,0)</f>
        <v>0</v>
      </c>
      <c r="R788">
        <f>IF(COUNTIF($E788, _xlfn.CONCAT("*",Table13[[#Headers],[History]],"*")),1,0)</f>
        <v>0</v>
      </c>
      <c r="S788">
        <f>IF(COUNTIF($E788, _xlfn.CONCAT("*",Table13[[#Headers],[Horror]],"*")),1,0)</f>
        <v>0</v>
      </c>
      <c r="T788">
        <f>IF(COUNTIF($E788, _xlfn.CONCAT("*",Table13[[#Headers],[Music]],"*")),1,0)</f>
        <v>0</v>
      </c>
      <c r="U788">
        <f>IF(COUNTIF($E788, _xlfn.CONCAT("*",Table13[[#Headers],[Mystery]],"*")),1,0)</f>
        <v>1</v>
      </c>
      <c r="V788">
        <f>IF(COUNTIF($E788, _xlfn.CONCAT("*",Table13[[#Headers],[Romance]],"*")),1,0)</f>
        <v>0</v>
      </c>
      <c r="W788">
        <f>IF(COUNTIF($E788, _xlfn.CONCAT("*",Table13[[#Headers],[Science Fiction]],"*")),1,0)</f>
        <v>0</v>
      </c>
      <c r="X788">
        <f>IF(COUNTIF($E788, _xlfn.CONCAT("*",Table13[[#Headers],[TV Movie]],"*")),1,0)</f>
        <v>0</v>
      </c>
      <c r="Y788">
        <f>IF(COUNTIF($E788, _xlfn.CONCAT("*",Table13[[#Headers],[Thriller]],"*")),1,0)</f>
        <v>1</v>
      </c>
      <c r="Z788">
        <f>IF(COUNTIF($E788, _xlfn.CONCAT("*",Table13[[#Headers],[War]],"*")),1,0)</f>
        <v>0</v>
      </c>
      <c r="AA788">
        <f>IF(COUNTIF($E788, _xlfn.CONCAT("*",Table13[[#Headers],[Western]],"*")),1,0)</f>
        <v>0</v>
      </c>
    </row>
    <row r="789" spans="1:27">
      <c r="A789" t="s">
        <v>386</v>
      </c>
      <c r="B789">
        <v>104</v>
      </c>
      <c r="C789">
        <f>MAX(Table13[Rank])-Table13[[#This Row],[Rank]]</f>
        <v>160</v>
      </c>
      <c r="D789" t="s">
        <v>780</v>
      </c>
      <c r="E789" t="s">
        <v>220</v>
      </c>
      <c r="F789" s="1">
        <v>19093</v>
      </c>
      <c r="G789">
        <f>YEAR(Table13[[#This Row],[Date]])</f>
        <v>1952</v>
      </c>
      <c r="H789" t="s">
        <v>386</v>
      </c>
      <c r="I789">
        <f>IF(COUNTIF($E789, _xlfn.CONCAT("*",Table13[[#Headers],[Action]],"*")),1,0)</f>
        <v>0</v>
      </c>
      <c r="J789">
        <f>IF(COUNTIF($E789, _xlfn.CONCAT("*",Table13[[#Headers],[Adventure]],"*")),1,0)</f>
        <v>0</v>
      </c>
      <c r="K789">
        <f>IF(COUNTIF($E789, _xlfn.CONCAT("*",Table13[[#Headers],[Animation]],"*")),1,0)</f>
        <v>0</v>
      </c>
      <c r="L789">
        <f>IF(COUNTIF($E789, _xlfn.CONCAT("*",Table13[[#Headers],[Comedy]],"*")),1,0)</f>
        <v>1</v>
      </c>
      <c r="M789">
        <f>IF(COUNTIF($E789, _xlfn.CONCAT("*",Table13[[#Headers],[Crime]],"*")),1,0)</f>
        <v>0</v>
      </c>
      <c r="N789">
        <f>IF(COUNTIF($E789, _xlfn.CONCAT("*",Table13[[#Headers],[Documentary]],"*")),1,0)</f>
        <v>0</v>
      </c>
      <c r="O789">
        <f>IF(COUNTIF($E789, _xlfn.CONCAT("*",Table13[[#Headers],[Drama]],"*")),1,0)</f>
        <v>0</v>
      </c>
      <c r="P789">
        <f>IF(COUNTIF($E789, _xlfn.CONCAT("*",Table13[[#Headers],[Family]],"*")),1,0)</f>
        <v>0</v>
      </c>
      <c r="Q789">
        <f>IF(COUNTIF($E789, _xlfn.CONCAT("*",Table13[[#Headers],[Fantasy]],"*")),1,0)</f>
        <v>0</v>
      </c>
      <c r="R789">
        <f>IF(COUNTIF($E789, _xlfn.CONCAT("*",Table13[[#Headers],[History]],"*")),1,0)</f>
        <v>0</v>
      </c>
      <c r="S789">
        <f>IF(COUNTIF($E789, _xlfn.CONCAT("*",Table13[[#Headers],[Horror]],"*")),1,0)</f>
        <v>0</v>
      </c>
      <c r="T789">
        <f>IF(COUNTIF($E789, _xlfn.CONCAT("*",Table13[[#Headers],[Music]],"*")),1,0)</f>
        <v>0</v>
      </c>
      <c r="U789">
        <f>IF(COUNTIF($E789, _xlfn.CONCAT("*",Table13[[#Headers],[Mystery]],"*")),1,0)</f>
        <v>0</v>
      </c>
      <c r="V789">
        <f>IF(COUNTIF($E789, _xlfn.CONCAT("*",Table13[[#Headers],[Romance]],"*")),1,0)</f>
        <v>1</v>
      </c>
      <c r="W789">
        <f>IF(COUNTIF($E789, _xlfn.CONCAT("*",Table13[[#Headers],[Science Fiction]],"*")),1,0)</f>
        <v>0</v>
      </c>
      <c r="X789">
        <f>IF(COUNTIF($E789, _xlfn.CONCAT("*",Table13[[#Headers],[TV Movie]],"*")),1,0)</f>
        <v>0</v>
      </c>
      <c r="Y789">
        <f>IF(COUNTIF($E789, _xlfn.CONCAT("*",Table13[[#Headers],[Thriller]],"*")),1,0)</f>
        <v>0</v>
      </c>
      <c r="Z789">
        <f>IF(COUNTIF($E789, _xlfn.CONCAT("*",Table13[[#Headers],[War]],"*")),1,0)</f>
        <v>0</v>
      </c>
      <c r="AA789">
        <f>IF(COUNTIF($E789, _xlfn.CONCAT("*",Table13[[#Headers],[Western]],"*")),1,0)</f>
        <v>0</v>
      </c>
    </row>
    <row r="790" spans="1:27">
      <c r="A790" t="s">
        <v>333</v>
      </c>
      <c r="B790">
        <v>105</v>
      </c>
      <c r="C790">
        <f>MAX(Table13[Rank])-Table13[[#This Row],[Rank]]</f>
        <v>159</v>
      </c>
      <c r="D790" t="s">
        <v>780</v>
      </c>
      <c r="E790" t="s">
        <v>21</v>
      </c>
      <c r="F790" s="1">
        <v>20098</v>
      </c>
      <c r="G790">
        <f>YEAR(Table13[[#This Row],[Date]])</f>
        <v>1955</v>
      </c>
      <c r="H790" t="s">
        <v>333</v>
      </c>
      <c r="I790">
        <f>IF(COUNTIF($E790, _xlfn.CONCAT("*",Table13[[#Headers],[Action]],"*")),1,0)</f>
        <v>0</v>
      </c>
      <c r="J790">
        <f>IF(COUNTIF($E790, _xlfn.CONCAT("*",Table13[[#Headers],[Adventure]],"*")),1,0)</f>
        <v>0</v>
      </c>
      <c r="K790">
        <f>IF(COUNTIF($E790, _xlfn.CONCAT("*",Table13[[#Headers],[Animation]],"*")),1,0)</f>
        <v>0</v>
      </c>
      <c r="L790">
        <f>IF(COUNTIF($E790, _xlfn.CONCAT("*",Table13[[#Headers],[Comedy]],"*")),1,0)</f>
        <v>0</v>
      </c>
      <c r="M790">
        <f>IF(COUNTIF($E790, _xlfn.CONCAT("*",Table13[[#Headers],[Crime]],"*")),1,0)</f>
        <v>0</v>
      </c>
      <c r="N790">
        <f>IF(COUNTIF($E790, _xlfn.CONCAT("*",Table13[[#Headers],[Documentary]],"*")),1,0)</f>
        <v>0</v>
      </c>
      <c r="O790">
        <f>IF(COUNTIF($E790, _xlfn.CONCAT("*",Table13[[#Headers],[Drama]],"*")),1,0)</f>
        <v>1</v>
      </c>
      <c r="P790">
        <f>IF(COUNTIF($E790, _xlfn.CONCAT("*",Table13[[#Headers],[Family]],"*")),1,0)</f>
        <v>0</v>
      </c>
      <c r="Q790">
        <f>IF(COUNTIF($E790, _xlfn.CONCAT("*",Table13[[#Headers],[Fantasy]],"*")),1,0)</f>
        <v>0</v>
      </c>
      <c r="R790">
        <f>IF(COUNTIF($E790, _xlfn.CONCAT("*",Table13[[#Headers],[History]],"*")),1,0)</f>
        <v>0</v>
      </c>
      <c r="S790">
        <f>IF(COUNTIF($E790, _xlfn.CONCAT("*",Table13[[#Headers],[Horror]],"*")),1,0)</f>
        <v>0</v>
      </c>
      <c r="T790">
        <f>IF(COUNTIF($E790, _xlfn.CONCAT("*",Table13[[#Headers],[Music]],"*")),1,0)</f>
        <v>0</v>
      </c>
      <c r="U790">
        <f>IF(COUNTIF($E790, _xlfn.CONCAT("*",Table13[[#Headers],[Mystery]],"*")),1,0)</f>
        <v>0</v>
      </c>
      <c r="V790">
        <f>IF(COUNTIF($E790, _xlfn.CONCAT("*",Table13[[#Headers],[Romance]],"*")),1,0)</f>
        <v>0</v>
      </c>
      <c r="W790">
        <f>IF(COUNTIF($E790, _xlfn.CONCAT("*",Table13[[#Headers],[Science Fiction]],"*")),1,0)</f>
        <v>0</v>
      </c>
      <c r="X790">
        <f>IF(COUNTIF($E790, _xlfn.CONCAT("*",Table13[[#Headers],[TV Movie]],"*")),1,0)</f>
        <v>0</v>
      </c>
      <c r="Y790">
        <f>IF(COUNTIF($E790, _xlfn.CONCAT("*",Table13[[#Headers],[Thriller]],"*")),1,0)</f>
        <v>0</v>
      </c>
      <c r="Z790">
        <f>IF(COUNTIF($E790, _xlfn.CONCAT("*",Table13[[#Headers],[War]],"*")),1,0)</f>
        <v>0</v>
      </c>
      <c r="AA790">
        <f>IF(COUNTIF($E790, _xlfn.CONCAT("*",Table13[[#Headers],[Western]],"*")),1,0)</f>
        <v>0</v>
      </c>
    </row>
    <row r="791" spans="1:27">
      <c r="A791" t="s">
        <v>829</v>
      </c>
      <c r="B791">
        <v>106</v>
      </c>
      <c r="C791">
        <f>MAX(Table13[Rank])-Table13[[#This Row],[Rank]]</f>
        <v>158</v>
      </c>
      <c r="D791" t="s">
        <v>780</v>
      </c>
      <c r="E791" t="s">
        <v>164</v>
      </c>
      <c r="F791" s="1">
        <v>35784</v>
      </c>
      <c r="G791">
        <f>YEAR(Table13[[#This Row],[Date]])</f>
        <v>1997</v>
      </c>
      <c r="H791" t="s">
        <v>829</v>
      </c>
      <c r="I791">
        <f>IF(COUNTIF($E791, _xlfn.CONCAT("*",Table13[[#Headers],[Action]],"*")),1,0)</f>
        <v>0</v>
      </c>
      <c r="J791">
        <f>IF(COUNTIF($E791, _xlfn.CONCAT("*",Table13[[#Headers],[Adventure]],"*")),1,0)</f>
        <v>0</v>
      </c>
      <c r="K791">
        <f>IF(COUNTIF($E791, _xlfn.CONCAT("*",Table13[[#Headers],[Animation]],"*")),1,0)</f>
        <v>0</v>
      </c>
      <c r="L791">
        <f>IF(COUNTIF($E791, _xlfn.CONCAT("*",Table13[[#Headers],[Comedy]],"*")),1,0)</f>
        <v>1</v>
      </c>
      <c r="M791">
        <f>IF(COUNTIF($E791, _xlfn.CONCAT("*",Table13[[#Headers],[Crime]],"*")),1,0)</f>
        <v>0</v>
      </c>
      <c r="N791">
        <f>IF(COUNTIF($E791, _xlfn.CONCAT("*",Table13[[#Headers],[Documentary]],"*")),1,0)</f>
        <v>0</v>
      </c>
      <c r="O791">
        <f>IF(COUNTIF($E791, _xlfn.CONCAT("*",Table13[[#Headers],[Drama]],"*")),1,0)</f>
        <v>1</v>
      </c>
      <c r="P791">
        <f>IF(COUNTIF($E791, _xlfn.CONCAT("*",Table13[[#Headers],[Family]],"*")),1,0)</f>
        <v>0</v>
      </c>
      <c r="Q791">
        <f>IF(COUNTIF($E791, _xlfn.CONCAT("*",Table13[[#Headers],[Fantasy]],"*")),1,0)</f>
        <v>0</v>
      </c>
      <c r="R791">
        <f>IF(COUNTIF($E791, _xlfn.CONCAT("*",Table13[[#Headers],[History]],"*")),1,0)</f>
        <v>0</v>
      </c>
      <c r="S791">
        <f>IF(COUNTIF($E791, _xlfn.CONCAT("*",Table13[[#Headers],[Horror]],"*")),1,0)</f>
        <v>0</v>
      </c>
      <c r="T791">
        <f>IF(COUNTIF($E791, _xlfn.CONCAT("*",Table13[[#Headers],[Music]],"*")),1,0)</f>
        <v>0</v>
      </c>
      <c r="U791">
        <f>IF(COUNTIF($E791, _xlfn.CONCAT("*",Table13[[#Headers],[Mystery]],"*")),1,0)</f>
        <v>0</v>
      </c>
      <c r="V791">
        <f>IF(COUNTIF($E791, _xlfn.CONCAT("*",Table13[[#Headers],[Romance]],"*")),1,0)</f>
        <v>0</v>
      </c>
      <c r="W791">
        <f>IF(COUNTIF($E791, _xlfn.CONCAT("*",Table13[[#Headers],[Science Fiction]],"*")),1,0)</f>
        <v>0</v>
      </c>
      <c r="X791">
        <f>IF(COUNTIF($E791, _xlfn.CONCAT("*",Table13[[#Headers],[TV Movie]],"*")),1,0)</f>
        <v>0</v>
      </c>
      <c r="Y791">
        <f>IF(COUNTIF($E791, _xlfn.CONCAT("*",Table13[[#Headers],[Thriller]],"*")),1,0)</f>
        <v>0</v>
      </c>
      <c r="Z791">
        <f>IF(COUNTIF($E791, _xlfn.CONCAT("*",Table13[[#Headers],[War]],"*")),1,0)</f>
        <v>0</v>
      </c>
      <c r="AA791">
        <f>IF(COUNTIF($E791, _xlfn.CONCAT("*",Table13[[#Headers],[Western]],"*")),1,0)</f>
        <v>0</v>
      </c>
    </row>
    <row r="792" spans="1:27">
      <c r="A792" t="s">
        <v>391</v>
      </c>
      <c r="B792">
        <v>107</v>
      </c>
      <c r="C792">
        <f>MAX(Table13[Rank])-Table13[[#This Row],[Rank]]</f>
        <v>157</v>
      </c>
      <c r="D792" t="s">
        <v>780</v>
      </c>
      <c r="E792" t="s">
        <v>392</v>
      </c>
      <c r="F792" s="1">
        <v>24930</v>
      </c>
      <c r="G792">
        <f>YEAR(Table13[[#This Row],[Date]])</f>
        <v>1968</v>
      </c>
      <c r="H792" t="s">
        <v>391</v>
      </c>
      <c r="I792">
        <f>IF(COUNTIF($E792, _xlfn.CONCAT("*",Table13[[#Headers],[Action]],"*")),1,0)</f>
        <v>0</v>
      </c>
      <c r="J792">
        <f>IF(COUNTIF($E792, _xlfn.CONCAT("*",Table13[[#Headers],[Adventure]],"*")),1,0)</f>
        <v>1</v>
      </c>
      <c r="K792">
        <f>IF(COUNTIF($E792, _xlfn.CONCAT("*",Table13[[#Headers],[Animation]],"*")),1,0)</f>
        <v>0</v>
      </c>
      <c r="L792">
        <f>IF(COUNTIF($E792, _xlfn.CONCAT("*",Table13[[#Headers],[Comedy]],"*")),1,0)</f>
        <v>0</v>
      </c>
      <c r="M792">
        <f>IF(COUNTIF($E792, _xlfn.CONCAT("*",Table13[[#Headers],[Crime]],"*")),1,0)</f>
        <v>0</v>
      </c>
      <c r="N792">
        <f>IF(COUNTIF($E792, _xlfn.CONCAT("*",Table13[[#Headers],[Documentary]],"*")),1,0)</f>
        <v>0</v>
      </c>
      <c r="O792">
        <f>IF(COUNTIF($E792, _xlfn.CONCAT("*",Table13[[#Headers],[Drama]],"*")),1,0)</f>
        <v>0</v>
      </c>
      <c r="P792">
        <f>IF(COUNTIF($E792, _xlfn.CONCAT("*",Table13[[#Headers],[Family]],"*")),1,0)</f>
        <v>0</v>
      </c>
      <c r="Q792">
        <f>IF(COUNTIF($E792, _xlfn.CONCAT("*",Table13[[#Headers],[Fantasy]],"*")),1,0)</f>
        <v>0</v>
      </c>
      <c r="R792">
        <f>IF(COUNTIF($E792, _xlfn.CONCAT("*",Table13[[#Headers],[History]],"*")),1,0)</f>
        <v>0</v>
      </c>
      <c r="S792">
        <f>IF(COUNTIF($E792, _xlfn.CONCAT("*",Table13[[#Headers],[Horror]],"*")),1,0)</f>
        <v>0</v>
      </c>
      <c r="T792">
        <f>IF(COUNTIF($E792, _xlfn.CONCAT("*",Table13[[#Headers],[Music]],"*")),1,0)</f>
        <v>0</v>
      </c>
      <c r="U792">
        <f>IF(COUNTIF($E792, _xlfn.CONCAT("*",Table13[[#Headers],[Mystery]],"*")),1,0)</f>
        <v>1</v>
      </c>
      <c r="V792">
        <f>IF(COUNTIF($E792, _xlfn.CONCAT("*",Table13[[#Headers],[Romance]],"*")),1,0)</f>
        <v>0</v>
      </c>
      <c r="W792">
        <f>IF(COUNTIF($E792, _xlfn.CONCAT("*",Table13[[#Headers],[Science Fiction]],"*")),1,0)</f>
        <v>1</v>
      </c>
      <c r="X792">
        <f>IF(COUNTIF($E792, _xlfn.CONCAT("*",Table13[[#Headers],[TV Movie]],"*")),1,0)</f>
        <v>0</v>
      </c>
      <c r="Y792">
        <f>IF(COUNTIF($E792, _xlfn.CONCAT("*",Table13[[#Headers],[Thriller]],"*")),1,0)</f>
        <v>0</v>
      </c>
      <c r="Z792">
        <f>IF(COUNTIF($E792, _xlfn.CONCAT("*",Table13[[#Headers],[War]],"*")),1,0)</f>
        <v>0</v>
      </c>
      <c r="AA792">
        <f>IF(COUNTIF($E792, _xlfn.CONCAT("*",Table13[[#Headers],[Western]],"*")),1,0)</f>
        <v>0</v>
      </c>
    </row>
    <row r="793" spans="1:27">
      <c r="A793" t="s">
        <v>830</v>
      </c>
      <c r="B793">
        <v>108</v>
      </c>
      <c r="C793">
        <f>MAX(Table13[Rank])-Table13[[#This Row],[Rank]]</f>
        <v>156</v>
      </c>
      <c r="D793" t="s">
        <v>780</v>
      </c>
      <c r="E793" t="s">
        <v>21</v>
      </c>
      <c r="F793" s="1">
        <v>41901</v>
      </c>
      <c r="G793">
        <f>YEAR(Table13[[#This Row],[Date]])</f>
        <v>2014</v>
      </c>
      <c r="H793" t="s">
        <v>830</v>
      </c>
      <c r="I793">
        <f>IF(COUNTIF($E793, _xlfn.CONCAT("*",Table13[[#Headers],[Action]],"*")),1,0)</f>
        <v>0</v>
      </c>
      <c r="J793">
        <f>IF(COUNTIF($E793, _xlfn.CONCAT("*",Table13[[#Headers],[Adventure]],"*")),1,0)</f>
        <v>0</v>
      </c>
      <c r="K793">
        <f>IF(COUNTIF($E793, _xlfn.CONCAT("*",Table13[[#Headers],[Animation]],"*")),1,0)</f>
        <v>0</v>
      </c>
      <c r="L793">
        <f>IF(COUNTIF($E793, _xlfn.CONCAT("*",Table13[[#Headers],[Comedy]],"*")),1,0)</f>
        <v>0</v>
      </c>
      <c r="M793">
        <f>IF(COUNTIF($E793, _xlfn.CONCAT("*",Table13[[#Headers],[Crime]],"*")),1,0)</f>
        <v>0</v>
      </c>
      <c r="N793">
        <f>IF(COUNTIF($E793, _xlfn.CONCAT("*",Table13[[#Headers],[Documentary]],"*")),1,0)</f>
        <v>0</v>
      </c>
      <c r="O793">
        <f>IF(COUNTIF($E793, _xlfn.CONCAT("*",Table13[[#Headers],[Drama]],"*")),1,0)</f>
        <v>1</v>
      </c>
      <c r="P793">
        <f>IF(COUNTIF($E793, _xlfn.CONCAT("*",Table13[[#Headers],[Family]],"*")),1,0)</f>
        <v>0</v>
      </c>
      <c r="Q793">
        <f>IF(COUNTIF($E793, _xlfn.CONCAT("*",Table13[[#Headers],[Fantasy]],"*")),1,0)</f>
        <v>0</v>
      </c>
      <c r="R793">
        <f>IF(COUNTIF($E793, _xlfn.CONCAT("*",Table13[[#Headers],[History]],"*")),1,0)</f>
        <v>0</v>
      </c>
      <c r="S793">
        <f>IF(COUNTIF($E793, _xlfn.CONCAT("*",Table13[[#Headers],[Horror]],"*")),1,0)</f>
        <v>0</v>
      </c>
      <c r="T793">
        <f>IF(COUNTIF($E793, _xlfn.CONCAT("*",Table13[[#Headers],[Music]],"*")),1,0)</f>
        <v>0</v>
      </c>
      <c r="U793">
        <f>IF(COUNTIF($E793, _xlfn.CONCAT("*",Table13[[#Headers],[Mystery]],"*")),1,0)</f>
        <v>0</v>
      </c>
      <c r="V793">
        <f>IF(COUNTIF($E793, _xlfn.CONCAT("*",Table13[[#Headers],[Romance]],"*")),1,0)</f>
        <v>0</v>
      </c>
      <c r="W793">
        <f>IF(COUNTIF($E793, _xlfn.CONCAT("*",Table13[[#Headers],[Science Fiction]],"*")),1,0)</f>
        <v>0</v>
      </c>
      <c r="X793">
        <f>IF(COUNTIF($E793, _xlfn.CONCAT("*",Table13[[#Headers],[TV Movie]],"*")),1,0)</f>
        <v>0</v>
      </c>
      <c r="Y793">
        <f>IF(COUNTIF($E793, _xlfn.CONCAT("*",Table13[[#Headers],[Thriller]],"*")),1,0)</f>
        <v>0</v>
      </c>
      <c r="Z793">
        <f>IF(COUNTIF($E793, _xlfn.CONCAT("*",Table13[[#Headers],[War]],"*")),1,0)</f>
        <v>0</v>
      </c>
      <c r="AA793">
        <f>IF(COUNTIF($E793, _xlfn.CONCAT("*",Table13[[#Headers],[Western]],"*")),1,0)</f>
        <v>0</v>
      </c>
    </row>
    <row r="794" spans="1:27">
      <c r="A794" t="s">
        <v>756</v>
      </c>
      <c r="B794">
        <v>109</v>
      </c>
      <c r="C794">
        <f>MAX(Table13[Rank])-Table13[[#This Row],[Rank]]</f>
        <v>155</v>
      </c>
      <c r="D794" t="s">
        <v>780</v>
      </c>
      <c r="E794" t="s">
        <v>757</v>
      </c>
      <c r="F794" s="1">
        <v>30944</v>
      </c>
      <c r="G794">
        <f>YEAR(Table13[[#This Row],[Date]])</f>
        <v>1984</v>
      </c>
      <c r="H794" t="s">
        <v>756</v>
      </c>
      <c r="I794">
        <f>IF(COUNTIF($E794, _xlfn.CONCAT("*",Table13[[#Headers],[Action]],"*")),1,0)</f>
        <v>0</v>
      </c>
      <c r="J794">
        <f>IF(COUNTIF($E794, _xlfn.CONCAT("*",Table13[[#Headers],[Adventure]],"*")),1,0)</f>
        <v>0</v>
      </c>
      <c r="K794">
        <f>IF(COUNTIF($E794, _xlfn.CONCAT("*",Table13[[#Headers],[Animation]],"*")),1,0)</f>
        <v>0</v>
      </c>
      <c r="L794">
        <f>IF(COUNTIF($E794, _xlfn.CONCAT("*",Table13[[#Headers],[Comedy]],"*")),1,0)</f>
        <v>0</v>
      </c>
      <c r="M794">
        <f>IF(COUNTIF($E794, _xlfn.CONCAT("*",Table13[[#Headers],[Crime]],"*")),1,0)</f>
        <v>0</v>
      </c>
      <c r="N794">
        <f>IF(COUNTIF($E794, _xlfn.CONCAT("*",Table13[[#Headers],[Documentary]],"*")),1,0)</f>
        <v>0</v>
      </c>
      <c r="O794">
        <f>IF(COUNTIF($E794, _xlfn.CONCAT("*",Table13[[#Headers],[Drama]],"*")),1,0)</f>
        <v>1</v>
      </c>
      <c r="P794">
        <f>IF(COUNTIF($E794, _xlfn.CONCAT("*",Table13[[#Headers],[Family]],"*")),1,0)</f>
        <v>0</v>
      </c>
      <c r="Q794">
        <f>IF(COUNTIF($E794, _xlfn.CONCAT("*",Table13[[#Headers],[Fantasy]],"*")),1,0)</f>
        <v>0</v>
      </c>
      <c r="R794">
        <f>IF(COUNTIF($E794, _xlfn.CONCAT("*",Table13[[#Headers],[History]],"*")),1,0)</f>
        <v>1</v>
      </c>
      <c r="S794">
        <f>IF(COUNTIF($E794, _xlfn.CONCAT("*",Table13[[#Headers],[Horror]],"*")),1,0)</f>
        <v>0</v>
      </c>
      <c r="T794">
        <f>IF(COUNTIF($E794, _xlfn.CONCAT("*",Table13[[#Headers],[Music]],"*")),1,0)</f>
        <v>1</v>
      </c>
      <c r="U794">
        <f>IF(COUNTIF($E794, _xlfn.CONCAT("*",Table13[[#Headers],[Mystery]],"*")),1,0)</f>
        <v>0</v>
      </c>
      <c r="V794">
        <f>IF(COUNTIF($E794, _xlfn.CONCAT("*",Table13[[#Headers],[Romance]],"*")),1,0)</f>
        <v>0</v>
      </c>
      <c r="W794">
        <f>IF(COUNTIF($E794, _xlfn.CONCAT("*",Table13[[#Headers],[Science Fiction]],"*")),1,0)</f>
        <v>0</v>
      </c>
      <c r="X794">
        <f>IF(COUNTIF($E794, _xlfn.CONCAT("*",Table13[[#Headers],[TV Movie]],"*")),1,0)</f>
        <v>0</v>
      </c>
      <c r="Y794">
        <f>IF(COUNTIF($E794, _xlfn.CONCAT("*",Table13[[#Headers],[Thriller]],"*")),1,0)</f>
        <v>0</v>
      </c>
      <c r="Z794">
        <f>IF(COUNTIF($E794, _xlfn.CONCAT("*",Table13[[#Headers],[War]],"*")),1,0)</f>
        <v>0</v>
      </c>
      <c r="AA794">
        <f>IF(COUNTIF($E794, _xlfn.CONCAT("*",Table13[[#Headers],[Western]],"*")),1,0)</f>
        <v>0</v>
      </c>
    </row>
    <row r="795" spans="1:27">
      <c r="A795" t="s">
        <v>346</v>
      </c>
      <c r="B795">
        <v>110</v>
      </c>
      <c r="C795">
        <f>MAX(Table13[Rank])-Table13[[#This Row],[Rank]]</f>
        <v>154</v>
      </c>
      <c r="D795" t="s">
        <v>780</v>
      </c>
      <c r="E795" t="s">
        <v>21</v>
      </c>
      <c r="F795" s="1">
        <v>17861</v>
      </c>
      <c r="G795">
        <f>YEAR(Table13[[#This Row],[Date]])</f>
        <v>1948</v>
      </c>
      <c r="H795" t="s">
        <v>346</v>
      </c>
      <c r="I795">
        <f>IF(COUNTIF($E795, _xlfn.CONCAT("*",Table13[[#Headers],[Action]],"*")),1,0)</f>
        <v>0</v>
      </c>
      <c r="J795">
        <f>IF(COUNTIF($E795, _xlfn.CONCAT("*",Table13[[#Headers],[Adventure]],"*")),1,0)</f>
        <v>0</v>
      </c>
      <c r="K795">
        <f>IF(COUNTIF($E795, _xlfn.CONCAT("*",Table13[[#Headers],[Animation]],"*")),1,0)</f>
        <v>0</v>
      </c>
      <c r="L795">
        <f>IF(COUNTIF($E795, _xlfn.CONCAT("*",Table13[[#Headers],[Comedy]],"*")),1,0)</f>
        <v>0</v>
      </c>
      <c r="M795">
        <f>IF(COUNTIF($E795, _xlfn.CONCAT("*",Table13[[#Headers],[Crime]],"*")),1,0)</f>
        <v>0</v>
      </c>
      <c r="N795">
        <f>IF(COUNTIF($E795, _xlfn.CONCAT("*",Table13[[#Headers],[Documentary]],"*")),1,0)</f>
        <v>0</v>
      </c>
      <c r="O795">
        <f>IF(COUNTIF($E795, _xlfn.CONCAT("*",Table13[[#Headers],[Drama]],"*")),1,0)</f>
        <v>1</v>
      </c>
      <c r="P795">
        <f>IF(COUNTIF($E795, _xlfn.CONCAT("*",Table13[[#Headers],[Family]],"*")),1,0)</f>
        <v>0</v>
      </c>
      <c r="Q795">
        <f>IF(COUNTIF($E795, _xlfn.CONCAT("*",Table13[[#Headers],[Fantasy]],"*")),1,0)</f>
        <v>0</v>
      </c>
      <c r="R795">
        <f>IF(COUNTIF($E795, _xlfn.CONCAT("*",Table13[[#Headers],[History]],"*")),1,0)</f>
        <v>0</v>
      </c>
      <c r="S795">
        <f>IF(COUNTIF($E795, _xlfn.CONCAT("*",Table13[[#Headers],[Horror]],"*")),1,0)</f>
        <v>0</v>
      </c>
      <c r="T795">
        <f>IF(COUNTIF($E795, _xlfn.CONCAT("*",Table13[[#Headers],[Music]],"*")),1,0)</f>
        <v>0</v>
      </c>
      <c r="U795">
        <f>IF(COUNTIF($E795, _xlfn.CONCAT("*",Table13[[#Headers],[Mystery]],"*")),1,0)</f>
        <v>0</v>
      </c>
      <c r="V795">
        <f>IF(COUNTIF($E795, _xlfn.CONCAT("*",Table13[[#Headers],[Romance]],"*")),1,0)</f>
        <v>0</v>
      </c>
      <c r="W795">
        <f>IF(COUNTIF($E795, _xlfn.CONCAT("*",Table13[[#Headers],[Science Fiction]],"*")),1,0)</f>
        <v>0</v>
      </c>
      <c r="X795">
        <f>IF(COUNTIF($E795, _xlfn.CONCAT("*",Table13[[#Headers],[TV Movie]],"*")),1,0)</f>
        <v>0</v>
      </c>
      <c r="Y795">
        <f>IF(COUNTIF($E795, _xlfn.CONCAT("*",Table13[[#Headers],[Thriller]],"*")),1,0)</f>
        <v>0</v>
      </c>
      <c r="Z795">
        <f>IF(COUNTIF($E795, _xlfn.CONCAT("*",Table13[[#Headers],[War]],"*")),1,0)</f>
        <v>0</v>
      </c>
      <c r="AA795">
        <f>IF(COUNTIF($E795, _xlfn.CONCAT("*",Table13[[#Headers],[Western]],"*")),1,0)</f>
        <v>0</v>
      </c>
    </row>
    <row r="796" spans="1:27">
      <c r="A796" t="s">
        <v>831</v>
      </c>
      <c r="B796">
        <v>111</v>
      </c>
      <c r="C796">
        <f>MAX(Table13[Rank])-Table13[[#This Row],[Rank]]</f>
        <v>153</v>
      </c>
      <c r="D796" t="s">
        <v>780</v>
      </c>
      <c r="E796" t="s">
        <v>21</v>
      </c>
      <c r="F796" s="1">
        <v>43167</v>
      </c>
      <c r="G796">
        <f>YEAR(Table13[[#This Row],[Date]])</f>
        <v>2018</v>
      </c>
      <c r="H796" t="s">
        <v>831</v>
      </c>
      <c r="I796">
        <f>IF(COUNTIF($E796, _xlfn.CONCAT("*",Table13[[#Headers],[Action]],"*")),1,0)</f>
        <v>0</v>
      </c>
      <c r="J796">
        <f>IF(COUNTIF($E796, _xlfn.CONCAT("*",Table13[[#Headers],[Adventure]],"*")),1,0)</f>
        <v>0</v>
      </c>
      <c r="K796">
        <f>IF(COUNTIF($E796, _xlfn.CONCAT("*",Table13[[#Headers],[Animation]],"*")),1,0)</f>
        <v>0</v>
      </c>
      <c r="L796">
        <f>IF(COUNTIF($E796, _xlfn.CONCAT("*",Table13[[#Headers],[Comedy]],"*")),1,0)</f>
        <v>0</v>
      </c>
      <c r="M796">
        <f>IF(COUNTIF($E796, _xlfn.CONCAT("*",Table13[[#Headers],[Crime]],"*")),1,0)</f>
        <v>0</v>
      </c>
      <c r="N796">
        <f>IF(COUNTIF($E796, _xlfn.CONCAT("*",Table13[[#Headers],[Documentary]],"*")),1,0)</f>
        <v>0</v>
      </c>
      <c r="O796">
        <f>IF(COUNTIF($E796, _xlfn.CONCAT("*",Table13[[#Headers],[Drama]],"*")),1,0)</f>
        <v>1</v>
      </c>
      <c r="P796">
        <f>IF(COUNTIF($E796, _xlfn.CONCAT("*",Table13[[#Headers],[Family]],"*")),1,0)</f>
        <v>0</v>
      </c>
      <c r="Q796">
        <f>IF(COUNTIF($E796, _xlfn.CONCAT("*",Table13[[#Headers],[Fantasy]],"*")),1,0)</f>
        <v>0</v>
      </c>
      <c r="R796">
        <f>IF(COUNTIF($E796, _xlfn.CONCAT("*",Table13[[#Headers],[History]],"*")),1,0)</f>
        <v>0</v>
      </c>
      <c r="S796">
        <f>IF(COUNTIF($E796, _xlfn.CONCAT("*",Table13[[#Headers],[Horror]],"*")),1,0)</f>
        <v>0</v>
      </c>
      <c r="T796">
        <f>IF(COUNTIF($E796, _xlfn.CONCAT("*",Table13[[#Headers],[Music]],"*")),1,0)</f>
        <v>0</v>
      </c>
      <c r="U796">
        <f>IF(COUNTIF($E796, _xlfn.CONCAT("*",Table13[[#Headers],[Mystery]],"*")),1,0)</f>
        <v>0</v>
      </c>
      <c r="V796">
        <f>IF(COUNTIF($E796, _xlfn.CONCAT("*",Table13[[#Headers],[Romance]],"*")),1,0)</f>
        <v>0</v>
      </c>
      <c r="W796">
        <f>IF(COUNTIF($E796, _xlfn.CONCAT("*",Table13[[#Headers],[Science Fiction]],"*")),1,0)</f>
        <v>0</v>
      </c>
      <c r="X796">
        <f>IF(COUNTIF($E796, _xlfn.CONCAT("*",Table13[[#Headers],[TV Movie]],"*")),1,0)</f>
        <v>0</v>
      </c>
      <c r="Y796">
        <f>IF(COUNTIF($E796, _xlfn.CONCAT("*",Table13[[#Headers],[Thriller]],"*")),1,0)</f>
        <v>0</v>
      </c>
      <c r="Z796">
        <f>IF(COUNTIF($E796, _xlfn.CONCAT("*",Table13[[#Headers],[War]],"*")),1,0)</f>
        <v>0</v>
      </c>
      <c r="AA796">
        <f>IF(COUNTIF($E796, _xlfn.CONCAT("*",Table13[[#Headers],[Western]],"*")),1,0)</f>
        <v>0</v>
      </c>
    </row>
    <row r="797" spans="1:27">
      <c r="A797" t="s">
        <v>832</v>
      </c>
      <c r="B797">
        <v>112</v>
      </c>
      <c r="C797">
        <f>MAX(Table13[Rank])-Table13[[#This Row],[Rank]]</f>
        <v>152</v>
      </c>
      <c r="D797" t="s">
        <v>780</v>
      </c>
      <c r="E797" t="s">
        <v>21</v>
      </c>
      <c r="F797" s="1">
        <v>38206</v>
      </c>
      <c r="G797">
        <f>YEAR(Table13[[#This Row],[Date]])</f>
        <v>2004</v>
      </c>
      <c r="H797" t="s">
        <v>832</v>
      </c>
      <c r="I797">
        <f>IF(COUNTIF($E797, _xlfn.CONCAT("*",Table13[[#Headers],[Action]],"*")),1,0)</f>
        <v>0</v>
      </c>
      <c r="J797">
        <f>IF(COUNTIF($E797, _xlfn.CONCAT("*",Table13[[#Headers],[Adventure]],"*")),1,0)</f>
        <v>0</v>
      </c>
      <c r="K797">
        <f>IF(COUNTIF($E797, _xlfn.CONCAT("*",Table13[[#Headers],[Animation]],"*")),1,0)</f>
        <v>0</v>
      </c>
      <c r="L797">
        <f>IF(COUNTIF($E797, _xlfn.CONCAT("*",Table13[[#Headers],[Comedy]],"*")),1,0)</f>
        <v>0</v>
      </c>
      <c r="M797">
        <f>IF(COUNTIF($E797, _xlfn.CONCAT("*",Table13[[#Headers],[Crime]],"*")),1,0)</f>
        <v>0</v>
      </c>
      <c r="N797">
        <f>IF(COUNTIF($E797, _xlfn.CONCAT("*",Table13[[#Headers],[Documentary]],"*")),1,0)</f>
        <v>0</v>
      </c>
      <c r="O797">
        <f>IF(COUNTIF($E797, _xlfn.CONCAT("*",Table13[[#Headers],[Drama]],"*")),1,0)</f>
        <v>1</v>
      </c>
      <c r="P797">
        <f>IF(COUNTIF($E797, _xlfn.CONCAT("*",Table13[[#Headers],[Family]],"*")),1,0)</f>
        <v>0</v>
      </c>
      <c r="Q797">
        <f>IF(COUNTIF($E797, _xlfn.CONCAT("*",Table13[[#Headers],[Fantasy]],"*")),1,0)</f>
        <v>0</v>
      </c>
      <c r="R797">
        <f>IF(COUNTIF($E797, _xlfn.CONCAT("*",Table13[[#Headers],[History]],"*")),1,0)</f>
        <v>0</v>
      </c>
      <c r="S797">
        <f>IF(COUNTIF($E797, _xlfn.CONCAT("*",Table13[[#Headers],[Horror]],"*")),1,0)</f>
        <v>0</v>
      </c>
      <c r="T797">
        <f>IF(COUNTIF($E797, _xlfn.CONCAT("*",Table13[[#Headers],[Music]],"*")),1,0)</f>
        <v>0</v>
      </c>
      <c r="U797">
        <f>IF(COUNTIF($E797, _xlfn.CONCAT("*",Table13[[#Headers],[Mystery]],"*")),1,0)</f>
        <v>0</v>
      </c>
      <c r="V797">
        <f>IF(COUNTIF($E797, _xlfn.CONCAT("*",Table13[[#Headers],[Romance]],"*")),1,0)</f>
        <v>0</v>
      </c>
      <c r="W797">
        <f>IF(COUNTIF($E797, _xlfn.CONCAT("*",Table13[[#Headers],[Science Fiction]],"*")),1,0)</f>
        <v>0</v>
      </c>
      <c r="X797">
        <f>IF(COUNTIF($E797, _xlfn.CONCAT("*",Table13[[#Headers],[TV Movie]],"*")),1,0)</f>
        <v>0</v>
      </c>
      <c r="Y797">
        <f>IF(COUNTIF($E797, _xlfn.CONCAT("*",Table13[[#Headers],[Thriller]],"*")),1,0)</f>
        <v>0</v>
      </c>
      <c r="Z797">
        <f>IF(COUNTIF($E797, _xlfn.CONCAT("*",Table13[[#Headers],[War]],"*")),1,0)</f>
        <v>0</v>
      </c>
      <c r="AA797">
        <f>IF(COUNTIF($E797, _xlfn.CONCAT("*",Table13[[#Headers],[Western]],"*")),1,0)</f>
        <v>0</v>
      </c>
    </row>
    <row r="798" spans="1:27">
      <c r="A798" t="s">
        <v>833</v>
      </c>
      <c r="B798">
        <v>113</v>
      </c>
      <c r="C798">
        <f>MAX(Table13[Rank])-Table13[[#This Row],[Rank]]</f>
        <v>151</v>
      </c>
      <c r="D798" t="s">
        <v>780</v>
      </c>
      <c r="E798" t="s">
        <v>21</v>
      </c>
      <c r="F798" s="1">
        <v>21671</v>
      </c>
      <c r="G798">
        <f>YEAR(Table13[[#This Row],[Date]])</f>
        <v>1959</v>
      </c>
      <c r="H798" t="s">
        <v>833</v>
      </c>
      <c r="I798">
        <f>IF(COUNTIF($E798, _xlfn.CONCAT("*",Table13[[#Headers],[Action]],"*")),1,0)</f>
        <v>0</v>
      </c>
      <c r="J798">
        <f>IF(COUNTIF($E798, _xlfn.CONCAT("*",Table13[[#Headers],[Adventure]],"*")),1,0)</f>
        <v>0</v>
      </c>
      <c r="K798">
        <f>IF(COUNTIF($E798, _xlfn.CONCAT("*",Table13[[#Headers],[Animation]],"*")),1,0)</f>
        <v>0</v>
      </c>
      <c r="L798">
        <f>IF(COUNTIF($E798, _xlfn.CONCAT("*",Table13[[#Headers],[Comedy]],"*")),1,0)</f>
        <v>0</v>
      </c>
      <c r="M798">
        <f>IF(COUNTIF($E798, _xlfn.CONCAT("*",Table13[[#Headers],[Crime]],"*")),1,0)</f>
        <v>0</v>
      </c>
      <c r="N798">
        <f>IF(COUNTIF($E798, _xlfn.CONCAT("*",Table13[[#Headers],[Documentary]],"*")),1,0)</f>
        <v>0</v>
      </c>
      <c r="O798">
        <f>IF(COUNTIF($E798, _xlfn.CONCAT("*",Table13[[#Headers],[Drama]],"*")),1,0)</f>
        <v>1</v>
      </c>
      <c r="P798">
        <f>IF(COUNTIF($E798, _xlfn.CONCAT("*",Table13[[#Headers],[Family]],"*")),1,0)</f>
        <v>0</v>
      </c>
      <c r="Q798">
        <f>IF(COUNTIF($E798, _xlfn.CONCAT("*",Table13[[#Headers],[Fantasy]],"*")),1,0)</f>
        <v>0</v>
      </c>
      <c r="R798">
        <f>IF(COUNTIF($E798, _xlfn.CONCAT("*",Table13[[#Headers],[History]],"*")),1,0)</f>
        <v>0</v>
      </c>
      <c r="S798">
        <f>IF(COUNTIF($E798, _xlfn.CONCAT("*",Table13[[#Headers],[Horror]],"*")),1,0)</f>
        <v>0</v>
      </c>
      <c r="T798">
        <f>IF(COUNTIF($E798, _xlfn.CONCAT("*",Table13[[#Headers],[Music]],"*")),1,0)</f>
        <v>0</v>
      </c>
      <c r="U798">
        <f>IF(COUNTIF($E798, _xlfn.CONCAT("*",Table13[[#Headers],[Mystery]],"*")),1,0)</f>
        <v>0</v>
      </c>
      <c r="V798">
        <f>IF(COUNTIF($E798, _xlfn.CONCAT("*",Table13[[#Headers],[Romance]],"*")),1,0)</f>
        <v>0</v>
      </c>
      <c r="W798">
        <f>IF(COUNTIF($E798, _xlfn.CONCAT("*",Table13[[#Headers],[Science Fiction]],"*")),1,0)</f>
        <v>0</v>
      </c>
      <c r="X798">
        <f>IF(COUNTIF($E798, _xlfn.CONCAT("*",Table13[[#Headers],[TV Movie]],"*")),1,0)</f>
        <v>0</v>
      </c>
      <c r="Y798">
        <f>IF(COUNTIF($E798, _xlfn.CONCAT("*",Table13[[#Headers],[Thriller]],"*")),1,0)</f>
        <v>0</v>
      </c>
      <c r="Z798">
        <f>IF(COUNTIF($E798, _xlfn.CONCAT("*",Table13[[#Headers],[War]],"*")),1,0)</f>
        <v>0</v>
      </c>
      <c r="AA798">
        <f>IF(COUNTIF($E798, _xlfn.CONCAT("*",Table13[[#Headers],[Western]],"*")),1,0)</f>
        <v>0</v>
      </c>
    </row>
    <row r="799" spans="1:27">
      <c r="A799" t="s">
        <v>834</v>
      </c>
      <c r="B799">
        <v>114</v>
      </c>
      <c r="C799">
        <f>MAX(Table13[Rank])-Table13[[#This Row],[Rank]]</f>
        <v>150</v>
      </c>
      <c r="D799" t="s">
        <v>780</v>
      </c>
      <c r="E799" t="s">
        <v>415</v>
      </c>
      <c r="F799" s="1">
        <v>26793</v>
      </c>
      <c r="G799">
        <f>YEAR(Table13[[#This Row],[Date]])</f>
        <v>1973</v>
      </c>
      <c r="H799" t="s">
        <v>834</v>
      </c>
      <c r="I799">
        <f>IF(COUNTIF($E799, _xlfn.CONCAT("*",Table13[[#Headers],[Action]],"*")),1,0)</f>
        <v>0</v>
      </c>
      <c r="J799">
        <f>IF(COUNTIF($E799, _xlfn.CONCAT("*",Table13[[#Headers],[Adventure]],"*")),1,0)</f>
        <v>0</v>
      </c>
      <c r="K799">
        <f>IF(COUNTIF($E799, _xlfn.CONCAT("*",Table13[[#Headers],[Animation]],"*")),1,0)</f>
        <v>0</v>
      </c>
      <c r="L799">
        <f>IF(COUNTIF($E799, _xlfn.CONCAT("*",Table13[[#Headers],[Comedy]],"*")),1,0)</f>
        <v>1</v>
      </c>
      <c r="M799">
        <f>IF(COUNTIF($E799, _xlfn.CONCAT("*",Table13[[#Headers],[Crime]],"*")),1,0)</f>
        <v>1</v>
      </c>
      <c r="N799">
        <f>IF(COUNTIF($E799, _xlfn.CONCAT("*",Table13[[#Headers],[Documentary]],"*")),1,0)</f>
        <v>0</v>
      </c>
      <c r="O799">
        <f>IF(COUNTIF($E799, _xlfn.CONCAT("*",Table13[[#Headers],[Drama]],"*")),1,0)</f>
        <v>1</v>
      </c>
      <c r="P799">
        <f>IF(COUNTIF($E799, _xlfn.CONCAT("*",Table13[[#Headers],[Family]],"*")),1,0)</f>
        <v>0</v>
      </c>
      <c r="Q799">
        <f>IF(COUNTIF($E799, _xlfn.CONCAT("*",Table13[[#Headers],[Fantasy]],"*")),1,0)</f>
        <v>0</v>
      </c>
      <c r="R799">
        <f>IF(COUNTIF($E799, _xlfn.CONCAT("*",Table13[[#Headers],[History]],"*")),1,0)</f>
        <v>0</v>
      </c>
      <c r="S799">
        <f>IF(COUNTIF($E799, _xlfn.CONCAT("*",Table13[[#Headers],[Horror]],"*")),1,0)</f>
        <v>0</v>
      </c>
      <c r="T799">
        <f>IF(COUNTIF($E799, _xlfn.CONCAT("*",Table13[[#Headers],[Music]],"*")),1,0)</f>
        <v>0</v>
      </c>
      <c r="U799">
        <f>IF(COUNTIF($E799, _xlfn.CONCAT("*",Table13[[#Headers],[Mystery]],"*")),1,0)</f>
        <v>0</v>
      </c>
      <c r="V799">
        <f>IF(COUNTIF($E799, _xlfn.CONCAT("*",Table13[[#Headers],[Romance]],"*")),1,0)</f>
        <v>0</v>
      </c>
      <c r="W799">
        <f>IF(COUNTIF($E799, _xlfn.CONCAT("*",Table13[[#Headers],[Science Fiction]],"*")),1,0)</f>
        <v>0</v>
      </c>
      <c r="X799">
        <f>IF(COUNTIF($E799, _xlfn.CONCAT("*",Table13[[#Headers],[TV Movie]],"*")),1,0)</f>
        <v>0</v>
      </c>
      <c r="Y799">
        <f>IF(COUNTIF($E799, _xlfn.CONCAT("*",Table13[[#Headers],[Thriller]],"*")),1,0)</f>
        <v>0</v>
      </c>
      <c r="Z799">
        <f>IF(COUNTIF($E799, _xlfn.CONCAT("*",Table13[[#Headers],[War]],"*")),1,0)</f>
        <v>0</v>
      </c>
      <c r="AA799">
        <f>IF(COUNTIF($E799, _xlfn.CONCAT("*",Table13[[#Headers],[Western]],"*")),1,0)</f>
        <v>0</v>
      </c>
    </row>
    <row r="800" spans="1:27">
      <c r="A800" t="s">
        <v>103</v>
      </c>
      <c r="B800">
        <v>115</v>
      </c>
      <c r="C800">
        <f>MAX(Table13[Rank])-Table13[[#This Row],[Rank]]</f>
        <v>149</v>
      </c>
      <c r="D800" t="s">
        <v>780</v>
      </c>
      <c r="E800" t="s">
        <v>73</v>
      </c>
      <c r="F800" s="1">
        <v>23405</v>
      </c>
      <c r="G800">
        <f>YEAR(Table13[[#This Row],[Date]])</f>
        <v>1964</v>
      </c>
      <c r="H800" t="s">
        <v>103</v>
      </c>
      <c r="I800">
        <f>IF(COUNTIF($E800, _xlfn.CONCAT("*",Table13[[#Headers],[Action]],"*")),1,0)</f>
        <v>0</v>
      </c>
      <c r="J800">
        <f>IF(COUNTIF($E800, _xlfn.CONCAT("*",Table13[[#Headers],[Adventure]],"*")),1,0)</f>
        <v>0</v>
      </c>
      <c r="K800">
        <f>IF(COUNTIF($E800, _xlfn.CONCAT("*",Table13[[#Headers],[Animation]],"*")),1,0)</f>
        <v>0</v>
      </c>
      <c r="L800">
        <f>IF(COUNTIF($E800, _xlfn.CONCAT("*",Table13[[#Headers],[Comedy]],"*")),1,0)</f>
        <v>1</v>
      </c>
      <c r="M800">
        <f>IF(COUNTIF($E800, _xlfn.CONCAT("*",Table13[[#Headers],[Crime]],"*")),1,0)</f>
        <v>0</v>
      </c>
      <c r="N800">
        <f>IF(COUNTIF($E800, _xlfn.CONCAT("*",Table13[[#Headers],[Documentary]],"*")),1,0)</f>
        <v>0</v>
      </c>
      <c r="O800">
        <f>IF(COUNTIF($E800, _xlfn.CONCAT("*",Table13[[#Headers],[Drama]],"*")),1,0)</f>
        <v>0</v>
      </c>
      <c r="P800">
        <f>IF(COUNTIF($E800, _xlfn.CONCAT("*",Table13[[#Headers],[Family]],"*")),1,0)</f>
        <v>0</v>
      </c>
      <c r="Q800">
        <f>IF(COUNTIF($E800, _xlfn.CONCAT("*",Table13[[#Headers],[Fantasy]],"*")),1,0)</f>
        <v>0</v>
      </c>
      <c r="R800">
        <f>IF(COUNTIF($E800, _xlfn.CONCAT("*",Table13[[#Headers],[History]],"*")),1,0)</f>
        <v>0</v>
      </c>
      <c r="S800">
        <f>IF(COUNTIF($E800, _xlfn.CONCAT("*",Table13[[#Headers],[Horror]],"*")),1,0)</f>
        <v>0</v>
      </c>
      <c r="T800">
        <f>IF(COUNTIF($E800, _xlfn.CONCAT("*",Table13[[#Headers],[Music]],"*")),1,0)</f>
        <v>0</v>
      </c>
      <c r="U800">
        <f>IF(COUNTIF($E800, _xlfn.CONCAT("*",Table13[[#Headers],[Mystery]],"*")),1,0)</f>
        <v>0</v>
      </c>
      <c r="V800">
        <f>IF(COUNTIF($E800, _xlfn.CONCAT("*",Table13[[#Headers],[Romance]],"*")),1,0)</f>
        <v>0</v>
      </c>
      <c r="W800">
        <f>IF(COUNTIF($E800, _xlfn.CONCAT("*",Table13[[#Headers],[Science Fiction]],"*")),1,0)</f>
        <v>0</v>
      </c>
      <c r="X800">
        <f>IF(COUNTIF($E800, _xlfn.CONCAT("*",Table13[[#Headers],[TV Movie]],"*")),1,0)</f>
        <v>0</v>
      </c>
      <c r="Y800">
        <f>IF(COUNTIF($E800, _xlfn.CONCAT("*",Table13[[#Headers],[Thriller]],"*")),1,0)</f>
        <v>0</v>
      </c>
      <c r="Z800">
        <f>IF(COUNTIF($E800, _xlfn.CONCAT("*",Table13[[#Headers],[War]],"*")),1,0)</f>
        <v>1</v>
      </c>
      <c r="AA800">
        <f>IF(COUNTIF($E800, _xlfn.CONCAT("*",Table13[[#Headers],[Western]],"*")),1,0)</f>
        <v>0</v>
      </c>
    </row>
    <row r="801" spans="1:27">
      <c r="A801" t="s">
        <v>835</v>
      </c>
      <c r="B801">
        <v>116</v>
      </c>
      <c r="C801">
        <f>MAX(Table13[Rank])-Table13[[#This Row],[Rank]]</f>
        <v>148</v>
      </c>
      <c r="D801" t="s">
        <v>780</v>
      </c>
      <c r="E801" t="s">
        <v>367</v>
      </c>
      <c r="F801" s="1">
        <v>27658</v>
      </c>
      <c r="G801">
        <f>YEAR(Table13[[#This Row],[Date]])</f>
        <v>1975</v>
      </c>
      <c r="H801" t="s">
        <v>835</v>
      </c>
      <c r="I801">
        <f>IF(COUNTIF($E801, _xlfn.CONCAT("*",Table13[[#Headers],[Action]],"*")),1,0)</f>
        <v>0</v>
      </c>
      <c r="J801">
        <f>IF(COUNTIF($E801, _xlfn.CONCAT("*",Table13[[#Headers],[Adventure]],"*")),1,0)</f>
        <v>0</v>
      </c>
      <c r="K801">
        <f>IF(COUNTIF($E801, _xlfn.CONCAT("*",Table13[[#Headers],[Animation]],"*")),1,0)</f>
        <v>0</v>
      </c>
      <c r="L801">
        <f>IF(COUNTIF($E801, _xlfn.CONCAT("*",Table13[[#Headers],[Comedy]],"*")),1,0)</f>
        <v>0</v>
      </c>
      <c r="M801">
        <f>IF(COUNTIF($E801, _xlfn.CONCAT("*",Table13[[#Headers],[Crime]],"*")),1,0)</f>
        <v>1</v>
      </c>
      <c r="N801">
        <f>IF(COUNTIF($E801, _xlfn.CONCAT("*",Table13[[#Headers],[Documentary]],"*")),1,0)</f>
        <v>0</v>
      </c>
      <c r="O801">
        <f>IF(COUNTIF($E801, _xlfn.CONCAT("*",Table13[[#Headers],[Drama]],"*")),1,0)</f>
        <v>1</v>
      </c>
      <c r="P801">
        <f>IF(COUNTIF($E801, _xlfn.CONCAT("*",Table13[[#Headers],[Family]],"*")),1,0)</f>
        <v>0</v>
      </c>
      <c r="Q801">
        <f>IF(COUNTIF($E801, _xlfn.CONCAT("*",Table13[[#Headers],[Fantasy]],"*")),1,0)</f>
        <v>0</v>
      </c>
      <c r="R801">
        <f>IF(COUNTIF($E801, _xlfn.CONCAT("*",Table13[[#Headers],[History]],"*")),1,0)</f>
        <v>0</v>
      </c>
      <c r="S801">
        <f>IF(COUNTIF($E801, _xlfn.CONCAT("*",Table13[[#Headers],[Horror]],"*")),1,0)</f>
        <v>0</v>
      </c>
      <c r="T801">
        <f>IF(COUNTIF($E801, _xlfn.CONCAT("*",Table13[[#Headers],[Music]],"*")),1,0)</f>
        <v>0</v>
      </c>
      <c r="U801">
        <f>IF(COUNTIF($E801, _xlfn.CONCAT("*",Table13[[#Headers],[Mystery]],"*")),1,0)</f>
        <v>0</v>
      </c>
      <c r="V801">
        <f>IF(COUNTIF($E801, _xlfn.CONCAT("*",Table13[[#Headers],[Romance]],"*")),1,0)</f>
        <v>0</v>
      </c>
      <c r="W801">
        <f>IF(COUNTIF($E801, _xlfn.CONCAT("*",Table13[[#Headers],[Science Fiction]],"*")),1,0)</f>
        <v>0</v>
      </c>
      <c r="X801">
        <f>IF(COUNTIF($E801, _xlfn.CONCAT("*",Table13[[#Headers],[TV Movie]],"*")),1,0)</f>
        <v>0</v>
      </c>
      <c r="Y801">
        <f>IF(COUNTIF($E801, _xlfn.CONCAT("*",Table13[[#Headers],[Thriller]],"*")),1,0)</f>
        <v>1</v>
      </c>
      <c r="Z801">
        <f>IF(COUNTIF($E801, _xlfn.CONCAT("*",Table13[[#Headers],[War]],"*")),1,0)</f>
        <v>0</v>
      </c>
      <c r="AA801">
        <f>IF(COUNTIF($E801, _xlfn.CONCAT("*",Table13[[#Headers],[Western]],"*")),1,0)</f>
        <v>0</v>
      </c>
    </row>
    <row r="802" spans="1:27">
      <c r="A802" t="s">
        <v>836</v>
      </c>
      <c r="B802">
        <v>117</v>
      </c>
      <c r="C802">
        <f>MAX(Table13[Rank])-Table13[[#This Row],[Rank]]</f>
        <v>147</v>
      </c>
      <c r="D802" t="s">
        <v>780</v>
      </c>
      <c r="E802" t="s">
        <v>171</v>
      </c>
      <c r="F802" s="1">
        <v>39627</v>
      </c>
      <c r="G802">
        <f>YEAR(Table13[[#This Row],[Date]])</f>
        <v>2008</v>
      </c>
      <c r="H802" t="s">
        <v>836</v>
      </c>
      <c r="I802">
        <f>IF(COUNTIF($E802, _xlfn.CONCAT("*",Table13[[#Headers],[Action]],"*")),1,0)</f>
        <v>0</v>
      </c>
      <c r="J802">
        <f>IF(COUNTIF($E802, _xlfn.CONCAT("*",Table13[[#Headers],[Adventure]],"*")),1,0)</f>
        <v>0</v>
      </c>
      <c r="K802">
        <f>IF(COUNTIF($E802, _xlfn.CONCAT("*",Table13[[#Headers],[Animation]],"*")),1,0)</f>
        <v>0</v>
      </c>
      <c r="L802">
        <f>IF(COUNTIF($E802, _xlfn.CONCAT("*",Table13[[#Headers],[Comedy]],"*")),1,0)</f>
        <v>0</v>
      </c>
      <c r="M802">
        <f>IF(COUNTIF($E802, _xlfn.CONCAT("*",Table13[[#Headers],[Crime]],"*")),1,0)</f>
        <v>0</v>
      </c>
      <c r="N802">
        <f>IF(COUNTIF($E802, _xlfn.CONCAT("*",Table13[[#Headers],[Documentary]],"*")),1,0)</f>
        <v>0</v>
      </c>
      <c r="O802">
        <f>IF(COUNTIF($E802, _xlfn.CONCAT("*",Table13[[#Headers],[Drama]],"*")),1,0)</f>
        <v>1</v>
      </c>
      <c r="P802">
        <f>IF(COUNTIF($E802, _xlfn.CONCAT("*",Table13[[#Headers],[Family]],"*")),1,0)</f>
        <v>1</v>
      </c>
      <c r="Q802">
        <f>IF(COUNTIF($E802, _xlfn.CONCAT("*",Table13[[#Headers],[Fantasy]],"*")),1,0)</f>
        <v>0</v>
      </c>
      <c r="R802">
        <f>IF(COUNTIF($E802, _xlfn.CONCAT("*",Table13[[#Headers],[History]],"*")),1,0)</f>
        <v>0</v>
      </c>
      <c r="S802">
        <f>IF(COUNTIF($E802, _xlfn.CONCAT("*",Table13[[#Headers],[Horror]],"*")),1,0)</f>
        <v>0</v>
      </c>
      <c r="T802">
        <f>IF(COUNTIF($E802, _xlfn.CONCAT("*",Table13[[#Headers],[Music]],"*")),1,0)</f>
        <v>0</v>
      </c>
      <c r="U802">
        <f>IF(COUNTIF($E802, _xlfn.CONCAT("*",Table13[[#Headers],[Mystery]],"*")),1,0)</f>
        <v>0</v>
      </c>
      <c r="V802">
        <f>IF(COUNTIF($E802, _xlfn.CONCAT("*",Table13[[#Headers],[Romance]],"*")),1,0)</f>
        <v>0</v>
      </c>
      <c r="W802">
        <f>IF(COUNTIF($E802, _xlfn.CONCAT("*",Table13[[#Headers],[Science Fiction]],"*")),1,0)</f>
        <v>0</v>
      </c>
      <c r="X802">
        <f>IF(COUNTIF($E802, _xlfn.CONCAT("*",Table13[[#Headers],[TV Movie]],"*")),1,0)</f>
        <v>0</v>
      </c>
      <c r="Y802">
        <f>IF(COUNTIF($E802, _xlfn.CONCAT("*",Table13[[#Headers],[Thriller]],"*")),1,0)</f>
        <v>0</v>
      </c>
      <c r="Z802">
        <f>IF(COUNTIF($E802, _xlfn.CONCAT("*",Table13[[#Headers],[War]],"*")),1,0)</f>
        <v>0</v>
      </c>
      <c r="AA802">
        <f>IF(COUNTIF($E802, _xlfn.CONCAT("*",Table13[[#Headers],[Western]],"*")),1,0)</f>
        <v>0</v>
      </c>
    </row>
    <row r="803" spans="1:27">
      <c r="A803" t="s">
        <v>837</v>
      </c>
      <c r="B803">
        <v>118</v>
      </c>
      <c r="C803">
        <f>MAX(Table13[Rank])-Table13[[#This Row],[Rank]]</f>
        <v>146</v>
      </c>
      <c r="D803" t="s">
        <v>780</v>
      </c>
      <c r="E803" t="s">
        <v>838</v>
      </c>
      <c r="F803" s="1">
        <v>38239</v>
      </c>
      <c r="G803">
        <f>YEAR(Table13[[#This Row],[Date]])</f>
        <v>2004</v>
      </c>
      <c r="H803" t="s">
        <v>837</v>
      </c>
      <c r="I803">
        <f>IF(COUNTIF($E803, _xlfn.CONCAT("*",Table13[[#Headers],[Action]],"*")),1,0)</f>
        <v>0</v>
      </c>
      <c r="J803">
        <f>IF(COUNTIF($E803, _xlfn.CONCAT("*",Table13[[#Headers],[Adventure]],"*")),1,0)</f>
        <v>1</v>
      </c>
      <c r="K803">
        <f>IF(COUNTIF($E803, _xlfn.CONCAT("*",Table13[[#Headers],[Animation]],"*")),1,0)</f>
        <v>1</v>
      </c>
      <c r="L803">
        <f>IF(COUNTIF($E803, _xlfn.CONCAT("*",Table13[[#Headers],[Comedy]],"*")),1,0)</f>
        <v>0</v>
      </c>
      <c r="M803">
        <f>IF(COUNTIF($E803, _xlfn.CONCAT("*",Table13[[#Headers],[Crime]],"*")),1,0)</f>
        <v>0</v>
      </c>
      <c r="N803">
        <f>IF(COUNTIF($E803, _xlfn.CONCAT("*",Table13[[#Headers],[Documentary]],"*")),1,0)</f>
        <v>0</v>
      </c>
      <c r="O803">
        <f>IF(COUNTIF($E803, _xlfn.CONCAT("*",Table13[[#Headers],[Drama]],"*")),1,0)</f>
        <v>0</v>
      </c>
      <c r="P803">
        <f>IF(COUNTIF($E803, _xlfn.CONCAT("*",Table13[[#Headers],[Family]],"*")),1,0)</f>
        <v>0</v>
      </c>
      <c r="Q803">
        <f>IF(COUNTIF($E803, _xlfn.CONCAT("*",Table13[[#Headers],[Fantasy]],"*")),1,0)</f>
        <v>1</v>
      </c>
      <c r="R803">
        <f>IF(COUNTIF($E803, _xlfn.CONCAT("*",Table13[[#Headers],[History]],"*")),1,0)</f>
        <v>0</v>
      </c>
      <c r="S803">
        <f>IF(COUNTIF($E803, _xlfn.CONCAT("*",Table13[[#Headers],[Horror]],"*")),1,0)</f>
        <v>0</v>
      </c>
      <c r="T803">
        <f>IF(COUNTIF($E803, _xlfn.CONCAT("*",Table13[[#Headers],[Music]],"*")),1,0)</f>
        <v>0</v>
      </c>
      <c r="U803">
        <f>IF(COUNTIF($E803, _xlfn.CONCAT("*",Table13[[#Headers],[Mystery]],"*")),1,0)</f>
        <v>0</v>
      </c>
      <c r="V803">
        <f>IF(COUNTIF($E803, _xlfn.CONCAT("*",Table13[[#Headers],[Romance]],"*")),1,0)</f>
        <v>0</v>
      </c>
      <c r="W803">
        <f>IF(COUNTIF($E803, _xlfn.CONCAT("*",Table13[[#Headers],[Science Fiction]],"*")),1,0)</f>
        <v>0</v>
      </c>
      <c r="X803">
        <f>IF(COUNTIF($E803, _xlfn.CONCAT("*",Table13[[#Headers],[TV Movie]],"*")),1,0)</f>
        <v>0</v>
      </c>
      <c r="Y803">
        <f>IF(COUNTIF($E803, _xlfn.CONCAT("*",Table13[[#Headers],[Thriller]],"*")),1,0)</f>
        <v>0</v>
      </c>
      <c r="Z803">
        <f>IF(COUNTIF($E803, _xlfn.CONCAT("*",Table13[[#Headers],[War]],"*")),1,0)</f>
        <v>0</v>
      </c>
      <c r="AA803">
        <f>IF(COUNTIF($E803, _xlfn.CONCAT("*",Table13[[#Headers],[Western]],"*")),1,0)</f>
        <v>0</v>
      </c>
    </row>
    <row r="804" spans="1:27">
      <c r="A804" t="s">
        <v>839</v>
      </c>
      <c r="B804">
        <v>119</v>
      </c>
      <c r="C804">
        <f>MAX(Table13[Rank])-Table13[[#This Row],[Rank]]</f>
        <v>145</v>
      </c>
      <c r="D804" t="s">
        <v>780</v>
      </c>
      <c r="E804" t="s">
        <v>840</v>
      </c>
      <c r="F804" s="1">
        <v>19471</v>
      </c>
      <c r="G804">
        <f>YEAR(Table13[[#This Row],[Date]])</f>
        <v>1953</v>
      </c>
      <c r="H804" t="s">
        <v>839</v>
      </c>
      <c r="I804">
        <f>IF(COUNTIF($E804, _xlfn.CONCAT("*",Table13[[#Headers],[Action]],"*")),1,0)</f>
        <v>0</v>
      </c>
      <c r="J804">
        <f>IF(COUNTIF($E804, _xlfn.CONCAT("*",Table13[[#Headers],[Adventure]],"*")),1,0)</f>
        <v>1</v>
      </c>
      <c r="K804">
        <f>IF(COUNTIF($E804, _xlfn.CONCAT("*",Table13[[#Headers],[Animation]],"*")),1,0)</f>
        <v>0</v>
      </c>
      <c r="L804">
        <f>IF(COUNTIF($E804, _xlfn.CONCAT("*",Table13[[#Headers],[Comedy]],"*")),1,0)</f>
        <v>0</v>
      </c>
      <c r="M804">
        <f>IF(COUNTIF($E804, _xlfn.CONCAT("*",Table13[[#Headers],[Crime]],"*")),1,0)</f>
        <v>0</v>
      </c>
      <c r="N804">
        <f>IF(COUNTIF($E804, _xlfn.CONCAT("*",Table13[[#Headers],[Documentary]],"*")),1,0)</f>
        <v>0</v>
      </c>
      <c r="O804">
        <f>IF(COUNTIF($E804, _xlfn.CONCAT("*",Table13[[#Headers],[Drama]],"*")),1,0)</f>
        <v>1</v>
      </c>
      <c r="P804">
        <f>IF(COUNTIF($E804, _xlfn.CONCAT("*",Table13[[#Headers],[Family]],"*")),1,0)</f>
        <v>0</v>
      </c>
      <c r="Q804">
        <f>IF(COUNTIF($E804, _xlfn.CONCAT("*",Table13[[#Headers],[Fantasy]],"*")),1,0)</f>
        <v>0</v>
      </c>
      <c r="R804">
        <f>IF(COUNTIF($E804, _xlfn.CONCAT("*",Table13[[#Headers],[History]],"*")),1,0)</f>
        <v>0</v>
      </c>
      <c r="S804">
        <f>IF(COUNTIF($E804, _xlfn.CONCAT("*",Table13[[#Headers],[Horror]],"*")),1,0)</f>
        <v>0</v>
      </c>
      <c r="T804">
        <f>IF(COUNTIF($E804, _xlfn.CONCAT("*",Table13[[#Headers],[Music]],"*")),1,0)</f>
        <v>0</v>
      </c>
      <c r="U804">
        <f>IF(COUNTIF($E804, _xlfn.CONCAT("*",Table13[[#Headers],[Mystery]],"*")),1,0)</f>
        <v>0</v>
      </c>
      <c r="V804">
        <f>IF(COUNTIF($E804, _xlfn.CONCAT("*",Table13[[#Headers],[Romance]],"*")),1,0)</f>
        <v>0</v>
      </c>
      <c r="W804">
        <f>IF(COUNTIF($E804, _xlfn.CONCAT("*",Table13[[#Headers],[Science Fiction]],"*")),1,0)</f>
        <v>0</v>
      </c>
      <c r="X804">
        <f>IF(COUNTIF($E804, _xlfn.CONCAT("*",Table13[[#Headers],[TV Movie]],"*")),1,0)</f>
        <v>0</v>
      </c>
      <c r="Y804">
        <f>IF(COUNTIF($E804, _xlfn.CONCAT("*",Table13[[#Headers],[Thriller]],"*")),1,0)</f>
        <v>1</v>
      </c>
      <c r="Z804">
        <f>IF(COUNTIF($E804, _xlfn.CONCAT("*",Table13[[#Headers],[War]],"*")),1,0)</f>
        <v>0</v>
      </c>
      <c r="AA804">
        <f>IF(COUNTIF($E804, _xlfn.CONCAT("*",Table13[[#Headers],[Western]],"*")),1,0)</f>
        <v>0</v>
      </c>
    </row>
    <row r="805" spans="1:27">
      <c r="A805" t="s">
        <v>624</v>
      </c>
      <c r="B805">
        <v>120</v>
      </c>
      <c r="C805">
        <f>MAX(Table13[Rank])-Table13[[#This Row],[Rank]]</f>
        <v>144</v>
      </c>
      <c r="D805" t="s">
        <v>780</v>
      </c>
      <c r="E805" t="s">
        <v>623</v>
      </c>
      <c r="F805" s="1">
        <v>41948</v>
      </c>
      <c r="G805">
        <f>YEAR(Table13[[#This Row],[Date]])</f>
        <v>2014</v>
      </c>
      <c r="H805" t="s">
        <v>624</v>
      </c>
      <c r="I805">
        <f>IF(COUNTIF($E805, _xlfn.CONCAT("*",Table13[[#Headers],[Action]],"*")),1,0)</f>
        <v>0</v>
      </c>
      <c r="J805">
        <f>IF(COUNTIF($E805, _xlfn.CONCAT("*",Table13[[#Headers],[Adventure]],"*")),1,0)</f>
        <v>1</v>
      </c>
      <c r="K805">
        <f>IF(COUNTIF($E805, _xlfn.CONCAT("*",Table13[[#Headers],[Animation]],"*")),1,0)</f>
        <v>0</v>
      </c>
      <c r="L805">
        <f>IF(COUNTIF($E805, _xlfn.CONCAT("*",Table13[[#Headers],[Comedy]],"*")),1,0)</f>
        <v>0</v>
      </c>
      <c r="M805">
        <f>IF(COUNTIF($E805, _xlfn.CONCAT("*",Table13[[#Headers],[Crime]],"*")),1,0)</f>
        <v>0</v>
      </c>
      <c r="N805">
        <f>IF(COUNTIF($E805, _xlfn.CONCAT("*",Table13[[#Headers],[Documentary]],"*")),1,0)</f>
        <v>0</v>
      </c>
      <c r="O805">
        <f>IF(COUNTIF($E805, _xlfn.CONCAT("*",Table13[[#Headers],[Drama]],"*")),1,0)</f>
        <v>1</v>
      </c>
      <c r="P805">
        <f>IF(COUNTIF($E805, _xlfn.CONCAT("*",Table13[[#Headers],[Family]],"*")),1,0)</f>
        <v>0</v>
      </c>
      <c r="Q805">
        <f>IF(COUNTIF($E805, _xlfn.CONCAT("*",Table13[[#Headers],[Fantasy]],"*")),1,0)</f>
        <v>0</v>
      </c>
      <c r="R805">
        <f>IF(COUNTIF($E805, _xlfn.CONCAT("*",Table13[[#Headers],[History]],"*")),1,0)</f>
        <v>0</v>
      </c>
      <c r="S805">
        <f>IF(COUNTIF($E805, _xlfn.CONCAT("*",Table13[[#Headers],[Horror]],"*")),1,0)</f>
        <v>0</v>
      </c>
      <c r="T805">
        <f>IF(COUNTIF($E805, _xlfn.CONCAT("*",Table13[[#Headers],[Music]],"*")),1,0)</f>
        <v>0</v>
      </c>
      <c r="U805">
        <f>IF(COUNTIF($E805, _xlfn.CONCAT("*",Table13[[#Headers],[Mystery]],"*")),1,0)</f>
        <v>0</v>
      </c>
      <c r="V805">
        <f>IF(COUNTIF($E805, _xlfn.CONCAT("*",Table13[[#Headers],[Romance]],"*")),1,0)</f>
        <v>0</v>
      </c>
      <c r="W805">
        <f>IF(COUNTIF($E805, _xlfn.CONCAT("*",Table13[[#Headers],[Science Fiction]],"*")),1,0)</f>
        <v>1</v>
      </c>
      <c r="X805">
        <f>IF(COUNTIF($E805, _xlfn.CONCAT("*",Table13[[#Headers],[TV Movie]],"*")),1,0)</f>
        <v>0</v>
      </c>
      <c r="Y805">
        <f>IF(COUNTIF($E805, _xlfn.CONCAT("*",Table13[[#Headers],[Thriller]],"*")),1,0)</f>
        <v>0</v>
      </c>
      <c r="Z805">
        <f>IF(COUNTIF($E805, _xlfn.CONCAT("*",Table13[[#Headers],[War]],"*")),1,0)</f>
        <v>0</v>
      </c>
      <c r="AA805">
        <f>IF(COUNTIF($E805, _xlfn.CONCAT("*",Table13[[#Headers],[Western]],"*")),1,0)</f>
        <v>0</v>
      </c>
    </row>
    <row r="806" spans="1:27">
      <c r="A806" t="s">
        <v>841</v>
      </c>
      <c r="B806">
        <v>121</v>
      </c>
      <c r="C806">
        <f>MAX(Table13[Rank])-Table13[[#This Row],[Rank]]</f>
        <v>143</v>
      </c>
      <c r="D806" t="s">
        <v>780</v>
      </c>
      <c r="E806" t="s">
        <v>842</v>
      </c>
      <c r="F806" s="1">
        <v>38982</v>
      </c>
      <c r="G806">
        <f>YEAR(Table13[[#This Row],[Date]])</f>
        <v>2006</v>
      </c>
      <c r="H806" t="s">
        <v>841</v>
      </c>
      <c r="I806">
        <f>IF(COUNTIF($E806, _xlfn.CONCAT("*",Table13[[#Headers],[Action]],"*")),1,0)</f>
        <v>1</v>
      </c>
      <c r="J806">
        <f>IF(COUNTIF($E806, _xlfn.CONCAT("*",Table13[[#Headers],[Adventure]],"*")),1,0)</f>
        <v>0</v>
      </c>
      <c r="K806">
        <f>IF(COUNTIF($E806, _xlfn.CONCAT("*",Table13[[#Headers],[Animation]],"*")),1,0)</f>
        <v>0</v>
      </c>
      <c r="L806">
        <f>IF(COUNTIF($E806, _xlfn.CONCAT("*",Table13[[#Headers],[Comedy]],"*")),1,0)</f>
        <v>0</v>
      </c>
      <c r="M806">
        <f>IF(COUNTIF($E806, _xlfn.CONCAT("*",Table13[[#Headers],[Crime]],"*")),1,0)</f>
        <v>0</v>
      </c>
      <c r="N806">
        <f>IF(COUNTIF($E806, _xlfn.CONCAT("*",Table13[[#Headers],[Documentary]],"*")),1,0)</f>
        <v>0</v>
      </c>
      <c r="O806">
        <f>IF(COUNTIF($E806, _xlfn.CONCAT("*",Table13[[#Headers],[Drama]],"*")),1,0)</f>
        <v>1</v>
      </c>
      <c r="P806">
        <f>IF(COUNTIF($E806, _xlfn.CONCAT("*",Table13[[#Headers],[Family]],"*")),1,0)</f>
        <v>0</v>
      </c>
      <c r="Q806">
        <f>IF(COUNTIF($E806, _xlfn.CONCAT("*",Table13[[#Headers],[Fantasy]],"*")),1,0)</f>
        <v>0</v>
      </c>
      <c r="R806">
        <f>IF(COUNTIF($E806, _xlfn.CONCAT("*",Table13[[#Headers],[History]],"*")),1,0)</f>
        <v>0</v>
      </c>
      <c r="S806">
        <f>IF(COUNTIF($E806, _xlfn.CONCAT("*",Table13[[#Headers],[Horror]],"*")),1,0)</f>
        <v>0</v>
      </c>
      <c r="T806">
        <f>IF(COUNTIF($E806, _xlfn.CONCAT("*",Table13[[#Headers],[Music]],"*")),1,0)</f>
        <v>0</v>
      </c>
      <c r="U806">
        <f>IF(COUNTIF($E806, _xlfn.CONCAT("*",Table13[[#Headers],[Mystery]],"*")),1,0)</f>
        <v>0</v>
      </c>
      <c r="V806">
        <f>IF(COUNTIF($E806, _xlfn.CONCAT("*",Table13[[#Headers],[Romance]],"*")),1,0)</f>
        <v>0</v>
      </c>
      <c r="W806">
        <f>IF(COUNTIF($E806, _xlfn.CONCAT("*",Table13[[#Headers],[Science Fiction]],"*")),1,0)</f>
        <v>1</v>
      </c>
      <c r="X806">
        <f>IF(COUNTIF($E806, _xlfn.CONCAT("*",Table13[[#Headers],[TV Movie]],"*")),1,0)</f>
        <v>0</v>
      </c>
      <c r="Y806">
        <f>IF(COUNTIF($E806, _xlfn.CONCAT("*",Table13[[#Headers],[Thriller]],"*")),1,0)</f>
        <v>1</v>
      </c>
      <c r="Z806">
        <f>IF(COUNTIF($E806, _xlfn.CONCAT("*",Table13[[#Headers],[War]],"*")),1,0)</f>
        <v>0</v>
      </c>
      <c r="AA806">
        <f>IF(COUNTIF($E806, _xlfn.CONCAT("*",Table13[[#Headers],[Western]],"*")),1,0)</f>
        <v>0</v>
      </c>
    </row>
    <row r="807" spans="1:27">
      <c r="A807" t="s">
        <v>843</v>
      </c>
      <c r="B807">
        <v>122</v>
      </c>
      <c r="C807">
        <f>MAX(Table13[Rank])-Table13[[#This Row],[Rank]]</f>
        <v>142</v>
      </c>
      <c r="D807" t="s">
        <v>780</v>
      </c>
      <c r="E807" t="s">
        <v>105</v>
      </c>
      <c r="F807" s="1">
        <v>22396</v>
      </c>
      <c r="G807">
        <f>YEAR(Table13[[#This Row],[Date]])</f>
        <v>1961</v>
      </c>
      <c r="H807" t="s">
        <v>843</v>
      </c>
      <c r="I807">
        <f>IF(COUNTIF($E807, _xlfn.CONCAT("*",Table13[[#Headers],[Action]],"*")),1,0)</f>
        <v>0</v>
      </c>
      <c r="J807">
        <f>IF(COUNTIF($E807, _xlfn.CONCAT("*",Table13[[#Headers],[Adventure]],"*")),1,0)</f>
        <v>0</v>
      </c>
      <c r="K807">
        <f>IF(COUNTIF($E807, _xlfn.CONCAT("*",Table13[[#Headers],[Animation]],"*")),1,0)</f>
        <v>0</v>
      </c>
      <c r="L807">
        <f>IF(COUNTIF($E807, _xlfn.CONCAT("*",Table13[[#Headers],[Comedy]],"*")),1,0)</f>
        <v>0</v>
      </c>
      <c r="M807">
        <f>IF(COUNTIF($E807, _xlfn.CONCAT("*",Table13[[#Headers],[Crime]],"*")),1,0)</f>
        <v>0</v>
      </c>
      <c r="N807">
        <f>IF(COUNTIF($E807, _xlfn.CONCAT("*",Table13[[#Headers],[Documentary]],"*")),1,0)</f>
        <v>0</v>
      </c>
      <c r="O807">
        <f>IF(COUNTIF($E807, _xlfn.CONCAT("*",Table13[[#Headers],[Drama]],"*")),1,0)</f>
        <v>1</v>
      </c>
      <c r="P807">
        <f>IF(COUNTIF($E807, _xlfn.CONCAT("*",Table13[[#Headers],[Family]],"*")),1,0)</f>
        <v>0</v>
      </c>
      <c r="Q807">
        <f>IF(COUNTIF($E807, _xlfn.CONCAT("*",Table13[[#Headers],[Fantasy]],"*")),1,0)</f>
        <v>0</v>
      </c>
      <c r="R807">
        <f>IF(COUNTIF($E807, _xlfn.CONCAT("*",Table13[[#Headers],[History]],"*")),1,0)</f>
        <v>0</v>
      </c>
      <c r="S807">
        <f>IF(COUNTIF($E807, _xlfn.CONCAT("*",Table13[[#Headers],[Horror]],"*")),1,0)</f>
        <v>0</v>
      </c>
      <c r="T807">
        <f>IF(COUNTIF($E807, _xlfn.CONCAT("*",Table13[[#Headers],[Music]],"*")),1,0)</f>
        <v>0</v>
      </c>
      <c r="U807">
        <f>IF(COUNTIF($E807, _xlfn.CONCAT("*",Table13[[#Headers],[Mystery]],"*")),1,0)</f>
        <v>0</v>
      </c>
      <c r="V807">
        <f>IF(COUNTIF($E807, _xlfn.CONCAT("*",Table13[[#Headers],[Romance]],"*")),1,0)</f>
        <v>0</v>
      </c>
      <c r="W807">
        <f>IF(COUNTIF($E807, _xlfn.CONCAT("*",Table13[[#Headers],[Science Fiction]],"*")),1,0)</f>
        <v>0</v>
      </c>
      <c r="X807">
        <f>IF(COUNTIF($E807, _xlfn.CONCAT("*",Table13[[#Headers],[TV Movie]],"*")),1,0)</f>
        <v>0</v>
      </c>
      <c r="Y807">
        <f>IF(COUNTIF($E807, _xlfn.CONCAT("*",Table13[[#Headers],[Thriller]],"*")),1,0)</f>
        <v>1</v>
      </c>
      <c r="Z807">
        <f>IF(COUNTIF($E807, _xlfn.CONCAT("*",Table13[[#Headers],[War]],"*")),1,0)</f>
        <v>0</v>
      </c>
      <c r="AA807">
        <f>IF(COUNTIF($E807, _xlfn.CONCAT("*",Table13[[#Headers],[Western]],"*")),1,0)</f>
        <v>0</v>
      </c>
    </row>
    <row r="808" spans="1:27">
      <c r="A808" t="s">
        <v>356</v>
      </c>
      <c r="B808">
        <v>123</v>
      </c>
      <c r="C808">
        <f>MAX(Table13[Rank])-Table13[[#This Row],[Rank]]</f>
        <v>141</v>
      </c>
      <c r="D808" t="s">
        <v>780</v>
      </c>
      <c r="E808" t="s">
        <v>21</v>
      </c>
      <c r="F808" s="1">
        <v>23056</v>
      </c>
      <c r="G808">
        <f>YEAR(Table13[[#This Row],[Date]])</f>
        <v>1963</v>
      </c>
      <c r="H808" t="s">
        <v>356</v>
      </c>
      <c r="I808">
        <f>IF(COUNTIF($E808, _xlfn.CONCAT("*",Table13[[#Headers],[Action]],"*")),1,0)</f>
        <v>0</v>
      </c>
      <c r="J808">
        <f>IF(COUNTIF($E808, _xlfn.CONCAT("*",Table13[[#Headers],[Adventure]],"*")),1,0)</f>
        <v>0</v>
      </c>
      <c r="K808">
        <f>IF(COUNTIF($E808, _xlfn.CONCAT("*",Table13[[#Headers],[Animation]],"*")),1,0)</f>
        <v>0</v>
      </c>
      <c r="L808">
        <f>IF(COUNTIF($E808, _xlfn.CONCAT("*",Table13[[#Headers],[Comedy]],"*")),1,0)</f>
        <v>0</v>
      </c>
      <c r="M808">
        <f>IF(COUNTIF($E808, _xlfn.CONCAT("*",Table13[[#Headers],[Crime]],"*")),1,0)</f>
        <v>0</v>
      </c>
      <c r="N808">
        <f>IF(COUNTIF($E808, _xlfn.CONCAT("*",Table13[[#Headers],[Documentary]],"*")),1,0)</f>
        <v>0</v>
      </c>
      <c r="O808">
        <f>IF(COUNTIF($E808, _xlfn.CONCAT("*",Table13[[#Headers],[Drama]],"*")),1,0)</f>
        <v>1</v>
      </c>
      <c r="P808">
        <f>IF(COUNTIF($E808, _xlfn.CONCAT("*",Table13[[#Headers],[Family]],"*")),1,0)</f>
        <v>0</v>
      </c>
      <c r="Q808">
        <f>IF(COUNTIF($E808, _xlfn.CONCAT("*",Table13[[#Headers],[Fantasy]],"*")),1,0)</f>
        <v>0</v>
      </c>
      <c r="R808">
        <f>IF(COUNTIF($E808, _xlfn.CONCAT("*",Table13[[#Headers],[History]],"*")),1,0)</f>
        <v>0</v>
      </c>
      <c r="S808">
        <f>IF(COUNTIF($E808, _xlfn.CONCAT("*",Table13[[#Headers],[Horror]],"*")),1,0)</f>
        <v>0</v>
      </c>
      <c r="T808">
        <f>IF(COUNTIF($E808, _xlfn.CONCAT("*",Table13[[#Headers],[Music]],"*")),1,0)</f>
        <v>0</v>
      </c>
      <c r="U808">
        <f>IF(COUNTIF($E808, _xlfn.CONCAT("*",Table13[[#Headers],[Mystery]],"*")),1,0)</f>
        <v>0</v>
      </c>
      <c r="V808">
        <f>IF(COUNTIF($E808, _xlfn.CONCAT("*",Table13[[#Headers],[Romance]],"*")),1,0)</f>
        <v>0</v>
      </c>
      <c r="W808">
        <f>IF(COUNTIF($E808, _xlfn.CONCAT("*",Table13[[#Headers],[Science Fiction]],"*")),1,0)</f>
        <v>0</v>
      </c>
      <c r="X808">
        <f>IF(COUNTIF($E808, _xlfn.CONCAT("*",Table13[[#Headers],[TV Movie]],"*")),1,0)</f>
        <v>0</v>
      </c>
      <c r="Y808">
        <f>IF(COUNTIF($E808, _xlfn.CONCAT("*",Table13[[#Headers],[Thriller]],"*")),1,0)</f>
        <v>0</v>
      </c>
      <c r="Z808">
        <f>IF(COUNTIF($E808, _xlfn.CONCAT("*",Table13[[#Headers],[War]],"*")),1,0)</f>
        <v>0</v>
      </c>
      <c r="AA808">
        <f>IF(COUNTIF($E808, _xlfn.CONCAT("*",Table13[[#Headers],[Western]],"*")),1,0)</f>
        <v>0</v>
      </c>
    </row>
    <row r="809" spans="1:27">
      <c r="A809" t="s">
        <v>844</v>
      </c>
      <c r="B809">
        <v>124</v>
      </c>
      <c r="C809">
        <f>MAX(Table13[Rank])-Table13[[#This Row],[Rank]]</f>
        <v>140</v>
      </c>
      <c r="D809" t="s">
        <v>780</v>
      </c>
      <c r="E809" t="s">
        <v>21</v>
      </c>
      <c r="F809" s="1">
        <v>32396</v>
      </c>
      <c r="G809">
        <f>YEAR(Table13[[#This Row],[Date]])</f>
        <v>1988</v>
      </c>
      <c r="H809" t="s">
        <v>844</v>
      </c>
      <c r="I809">
        <f>IF(COUNTIF($E809, _xlfn.CONCAT("*",Table13[[#Headers],[Action]],"*")),1,0)</f>
        <v>0</v>
      </c>
      <c r="J809">
        <f>IF(COUNTIF($E809, _xlfn.CONCAT("*",Table13[[#Headers],[Adventure]],"*")),1,0)</f>
        <v>0</v>
      </c>
      <c r="K809">
        <f>IF(COUNTIF($E809, _xlfn.CONCAT("*",Table13[[#Headers],[Animation]],"*")),1,0)</f>
        <v>0</v>
      </c>
      <c r="L809">
        <f>IF(COUNTIF($E809, _xlfn.CONCAT("*",Table13[[#Headers],[Comedy]],"*")),1,0)</f>
        <v>0</v>
      </c>
      <c r="M809">
        <f>IF(COUNTIF($E809, _xlfn.CONCAT("*",Table13[[#Headers],[Crime]],"*")),1,0)</f>
        <v>0</v>
      </c>
      <c r="N809">
        <f>IF(COUNTIF($E809, _xlfn.CONCAT("*",Table13[[#Headers],[Documentary]],"*")),1,0)</f>
        <v>0</v>
      </c>
      <c r="O809">
        <f>IF(COUNTIF($E809, _xlfn.CONCAT("*",Table13[[#Headers],[Drama]],"*")),1,0)</f>
        <v>1</v>
      </c>
      <c r="P809">
        <f>IF(COUNTIF($E809, _xlfn.CONCAT("*",Table13[[#Headers],[Family]],"*")),1,0)</f>
        <v>0</v>
      </c>
      <c r="Q809">
        <f>IF(COUNTIF($E809, _xlfn.CONCAT("*",Table13[[#Headers],[Fantasy]],"*")),1,0)</f>
        <v>0</v>
      </c>
      <c r="R809">
        <f>IF(COUNTIF($E809, _xlfn.CONCAT("*",Table13[[#Headers],[History]],"*")),1,0)</f>
        <v>0</v>
      </c>
      <c r="S809">
        <f>IF(COUNTIF($E809, _xlfn.CONCAT("*",Table13[[#Headers],[Horror]],"*")),1,0)</f>
        <v>0</v>
      </c>
      <c r="T809">
        <f>IF(COUNTIF($E809, _xlfn.CONCAT("*",Table13[[#Headers],[Music]],"*")),1,0)</f>
        <v>0</v>
      </c>
      <c r="U809">
        <f>IF(COUNTIF($E809, _xlfn.CONCAT("*",Table13[[#Headers],[Mystery]],"*")),1,0)</f>
        <v>0</v>
      </c>
      <c r="V809">
        <f>IF(COUNTIF($E809, _xlfn.CONCAT("*",Table13[[#Headers],[Romance]],"*")),1,0)</f>
        <v>0</v>
      </c>
      <c r="W809">
        <f>IF(COUNTIF($E809, _xlfn.CONCAT("*",Table13[[#Headers],[Science Fiction]],"*")),1,0)</f>
        <v>0</v>
      </c>
      <c r="X809">
        <f>IF(COUNTIF($E809, _xlfn.CONCAT("*",Table13[[#Headers],[TV Movie]],"*")),1,0)</f>
        <v>0</v>
      </c>
      <c r="Y809">
        <f>IF(COUNTIF($E809, _xlfn.CONCAT("*",Table13[[#Headers],[Thriller]],"*")),1,0)</f>
        <v>0</v>
      </c>
      <c r="Z809">
        <f>IF(COUNTIF($E809, _xlfn.CONCAT("*",Table13[[#Headers],[War]],"*")),1,0)</f>
        <v>0</v>
      </c>
      <c r="AA809">
        <f>IF(COUNTIF($E809, _xlfn.CONCAT("*",Table13[[#Headers],[Western]],"*")),1,0)</f>
        <v>0</v>
      </c>
    </row>
    <row r="810" spans="1:27">
      <c r="A810" t="s">
        <v>845</v>
      </c>
      <c r="B810">
        <v>125</v>
      </c>
      <c r="C810">
        <f>MAX(Table13[Rank])-Table13[[#This Row],[Rank]]</f>
        <v>139</v>
      </c>
      <c r="D810" t="s">
        <v>780</v>
      </c>
      <c r="E810" t="s">
        <v>194</v>
      </c>
      <c r="F810" s="1">
        <v>34529</v>
      </c>
      <c r="G810">
        <f>YEAR(Table13[[#This Row],[Date]])</f>
        <v>1994</v>
      </c>
      <c r="H810" t="s">
        <v>845</v>
      </c>
      <c r="I810">
        <f>IF(COUNTIF($E810, _xlfn.CONCAT("*",Table13[[#Headers],[Action]],"*")),1,0)</f>
        <v>0</v>
      </c>
      <c r="J810">
        <f>IF(COUNTIF($E810, _xlfn.CONCAT("*",Table13[[#Headers],[Adventure]],"*")),1,0)</f>
        <v>0</v>
      </c>
      <c r="K810">
        <f>IF(COUNTIF($E810, _xlfn.CONCAT("*",Table13[[#Headers],[Animation]],"*")),1,0)</f>
        <v>0</v>
      </c>
      <c r="L810">
        <f>IF(COUNTIF($E810, _xlfn.CONCAT("*",Table13[[#Headers],[Comedy]],"*")),1,0)</f>
        <v>1</v>
      </c>
      <c r="M810">
        <f>IF(COUNTIF($E810, _xlfn.CONCAT("*",Table13[[#Headers],[Crime]],"*")),1,0)</f>
        <v>0</v>
      </c>
      <c r="N810">
        <f>IF(COUNTIF($E810, _xlfn.CONCAT("*",Table13[[#Headers],[Documentary]],"*")),1,0)</f>
        <v>0</v>
      </c>
      <c r="O810">
        <f>IF(COUNTIF($E810, _xlfn.CONCAT("*",Table13[[#Headers],[Drama]],"*")),1,0)</f>
        <v>1</v>
      </c>
      <c r="P810">
        <f>IF(COUNTIF($E810, _xlfn.CONCAT("*",Table13[[#Headers],[Family]],"*")),1,0)</f>
        <v>0</v>
      </c>
      <c r="Q810">
        <f>IF(COUNTIF($E810, _xlfn.CONCAT("*",Table13[[#Headers],[Fantasy]],"*")),1,0)</f>
        <v>0</v>
      </c>
      <c r="R810">
        <f>IF(COUNTIF($E810, _xlfn.CONCAT("*",Table13[[#Headers],[History]],"*")),1,0)</f>
        <v>0</v>
      </c>
      <c r="S810">
        <f>IF(COUNTIF($E810, _xlfn.CONCAT("*",Table13[[#Headers],[Horror]],"*")),1,0)</f>
        <v>0</v>
      </c>
      <c r="T810">
        <f>IF(COUNTIF($E810, _xlfn.CONCAT("*",Table13[[#Headers],[Music]],"*")),1,0)</f>
        <v>0</v>
      </c>
      <c r="U810">
        <f>IF(COUNTIF($E810, _xlfn.CONCAT("*",Table13[[#Headers],[Mystery]],"*")),1,0)</f>
        <v>0</v>
      </c>
      <c r="V810">
        <f>IF(COUNTIF($E810, _xlfn.CONCAT("*",Table13[[#Headers],[Romance]],"*")),1,0)</f>
        <v>1</v>
      </c>
      <c r="W810">
        <f>IF(COUNTIF($E810, _xlfn.CONCAT("*",Table13[[#Headers],[Science Fiction]],"*")),1,0)</f>
        <v>0</v>
      </c>
      <c r="X810">
        <f>IF(COUNTIF($E810, _xlfn.CONCAT("*",Table13[[#Headers],[TV Movie]],"*")),1,0)</f>
        <v>0</v>
      </c>
      <c r="Y810">
        <f>IF(COUNTIF($E810, _xlfn.CONCAT("*",Table13[[#Headers],[Thriller]],"*")),1,0)</f>
        <v>0</v>
      </c>
      <c r="Z810">
        <f>IF(COUNTIF($E810, _xlfn.CONCAT("*",Table13[[#Headers],[War]],"*")),1,0)</f>
        <v>0</v>
      </c>
      <c r="AA810">
        <f>IF(COUNTIF($E810, _xlfn.CONCAT("*",Table13[[#Headers],[Western]],"*")),1,0)</f>
        <v>0</v>
      </c>
    </row>
    <row r="811" spans="1:27">
      <c r="A811" t="s">
        <v>41</v>
      </c>
      <c r="B811">
        <v>126</v>
      </c>
      <c r="C811">
        <f>MAX(Table13[Rank])-Table13[[#This Row],[Rank]]</f>
        <v>138</v>
      </c>
      <c r="D811" t="s">
        <v>780</v>
      </c>
      <c r="E811" t="s">
        <v>21</v>
      </c>
      <c r="F811" s="1">
        <v>35701</v>
      </c>
      <c r="G811">
        <f>YEAR(Table13[[#This Row],[Date]])</f>
        <v>1997</v>
      </c>
      <c r="H811" t="s">
        <v>41</v>
      </c>
      <c r="I811">
        <f>IF(COUNTIF($E811, _xlfn.CONCAT("*",Table13[[#Headers],[Action]],"*")),1,0)</f>
        <v>0</v>
      </c>
      <c r="J811">
        <f>IF(COUNTIF($E811, _xlfn.CONCAT("*",Table13[[#Headers],[Adventure]],"*")),1,0)</f>
        <v>0</v>
      </c>
      <c r="K811">
        <f>IF(COUNTIF($E811, _xlfn.CONCAT("*",Table13[[#Headers],[Animation]],"*")),1,0)</f>
        <v>0</v>
      </c>
      <c r="L811">
        <f>IF(COUNTIF($E811, _xlfn.CONCAT("*",Table13[[#Headers],[Comedy]],"*")),1,0)</f>
        <v>0</v>
      </c>
      <c r="M811">
        <f>IF(COUNTIF($E811, _xlfn.CONCAT("*",Table13[[#Headers],[Crime]],"*")),1,0)</f>
        <v>0</v>
      </c>
      <c r="N811">
        <f>IF(COUNTIF($E811, _xlfn.CONCAT("*",Table13[[#Headers],[Documentary]],"*")),1,0)</f>
        <v>0</v>
      </c>
      <c r="O811">
        <f>IF(COUNTIF($E811, _xlfn.CONCAT("*",Table13[[#Headers],[Drama]],"*")),1,0)</f>
        <v>1</v>
      </c>
      <c r="P811">
        <f>IF(COUNTIF($E811, _xlfn.CONCAT("*",Table13[[#Headers],[Family]],"*")),1,0)</f>
        <v>0</v>
      </c>
      <c r="Q811">
        <f>IF(COUNTIF($E811, _xlfn.CONCAT("*",Table13[[#Headers],[Fantasy]],"*")),1,0)</f>
        <v>0</v>
      </c>
      <c r="R811">
        <f>IF(COUNTIF($E811, _xlfn.CONCAT("*",Table13[[#Headers],[History]],"*")),1,0)</f>
        <v>0</v>
      </c>
      <c r="S811">
        <f>IF(COUNTIF($E811, _xlfn.CONCAT("*",Table13[[#Headers],[Horror]],"*")),1,0)</f>
        <v>0</v>
      </c>
      <c r="T811">
        <f>IF(COUNTIF($E811, _xlfn.CONCAT("*",Table13[[#Headers],[Music]],"*")),1,0)</f>
        <v>0</v>
      </c>
      <c r="U811">
        <f>IF(COUNTIF($E811, _xlfn.CONCAT("*",Table13[[#Headers],[Mystery]],"*")),1,0)</f>
        <v>0</v>
      </c>
      <c r="V811">
        <f>IF(COUNTIF($E811, _xlfn.CONCAT("*",Table13[[#Headers],[Romance]],"*")),1,0)</f>
        <v>0</v>
      </c>
      <c r="W811">
        <f>IF(COUNTIF($E811, _xlfn.CONCAT("*",Table13[[#Headers],[Science Fiction]],"*")),1,0)</f>
        <v>0</v>
      </c>
      <c r="X811">
        <f>IF(COUNTIF($E811, _xlfn.CONCAT("*",Table13[[#Headers],[TV Movie]],"*")),1,0)</f>
        <v>0</v>
      </c>
      <c r="Y811">
        <f>IF(COUNTIF($E811, _xlfn.CONCAT("*",Table13[[#Headers],[Thriller]],"*")),1,0)</f>
        <v>0</v>
      </c>
      <c r="Z811">
        <f>IF(COUNTIF($E811, _xlfn.CONCAT("*",Table13[[#Headers],[War]],"*")),1,0)</f>
        <v>0</v>
      </c>
      <c r="AA811">
        <f>IF(COUNTIF($E811, _xlfn.CONCAT("*",Table13[[#Headers],[Western]],"*")),1,0)</f>
        <v>0</v>
      </c>
    </row>
    <row r="812" spans="1:27">
      <c r="A812" t="s">
        <v>846</v>
      </c>
      <c r="B812">
        <v>127</v>
      </c>
      <c r="C812">
        <f>MAX(Table13[Rank])-Table13[[#This Row],[Rank]]</f>
        <v>137</v>
      </c>
      <c r="D812" t="s">
        <v>780</v>
      </c>
      <c r="E812" t="s">
        <v>73</v>
      </c>
      <c r="F812" s="1">
        <v>14899</v>
      </c>
      <c r="G812">
        <f>YEAR(Table13[[#This Row],[Date]])</f>
        <v>1940</v>
      </c>
      <c r="H812" t="s">
        <v>846</v>
      </c>
      <c r="I812">
        <f>IF(COUNTIF($E812, _xlfn.CONCAT("*",Table13[[#Headers],[Action]],"*")),1,0)</f>
        <v>0</v>
      </c>
      <c r="J812">
        <f>IF(COUNTIF($E812, _xlfn.CONCAT("*",Table13[[#Headers],[Adventure]],"*")),1,0)</f>
        <v>0</v>
      </c>
      <c r="K812">
        <f>IF(COUNTIF($E812, _xlfn.CONCAT("*",Table13[[#Headers],[Animation]],"*")),1,0)</f>
        <v>0</v>
      </c>
      <c r="L812">
        <f>IF(COUNTIF($E812, _xlfn.CONCAT("*",Table13[[#Headers],[Comedy]],"*")),1,0)</f>
        <v>1</v>
      </c>
      <c r="M812">
        <f>IF(COUNTIF($E812, _xlfn.CONCAT("*",Table13[[#Headers],[Crime]],"*")),1,0)</f>
        <v>0</v>
      </c>
      <c r="N812">
        <f>IF(COUNTIF($E812, _xlfn.CONCAT("*",Table13[[#Headers],[Documentary]],"*")),1,0)</f>
        <v>0</v>
      </c>
      <c r="O812">
        <f>IF(COUNTIF($E812, _xlfn.CONCAT("*",Table13[[#Headers],[Drama]],"*")),1,0)</f>
        <v>0</v>
      </c>
      <c r="P812">
        <f>IF(COUNTIF($E812, _xlfn.CONCAT("*",Table13[[#Headers],[Family]],"*")),1,0)</f>
        <v>0</v>
      </c>
      <c r="Q812">
        <f>IF(COUNTIF($E812, _xlfn.CONCAT("*",Table13[[#Headers],[Fantasy]],"*")),1,0)</f>
        <v>0</v>
      </c>
      <c r="R812">
        <f>IF(COUNTIF($E812, _xlfn.CONCAT("*",Table13[[#Headers],[History]],"*")),1,0)</f>
        <v>0</v>
      </c>
      <c r="S812">
        <f>IF(COUNTIF($E812, _xlfn.CONCAT("*",Table13[[#Headers],[Horror]],"*")),1,0)</f>
        <v>0</v>
      </c>
      <c r="T812">
        <f>IF(COUNTIF($E812, _xlfn.CONCAT("*",Table13[[#Headers],[Music]],"*")),1,0)</f>
        <v>0</v>
      </c>
      <c r="U812">
        <f>IF(COUNTIF($E812, _xlfn.CONCAT("*",Table13[[#Headers],[Mystery]],"*")),1,0)</f>
        <v>0</v>
      </c>
      <c r="V812">
        <f>IF(COUNTIF($E812, _xlfn.CONCAT("*",Table13[[#Headers],[Romance]],"*")),1,0)</f>
        <v>0</v>
      </c>
      <c r="W812">
        <f>IF(COUNTIF($E812, _xlfn.CONCAT("*",Table13[[#Headers],[Science Fiction]],"*")),1,0)</f>
        <v>0</v>
      </c>
      <c r="X812">
        <f>IF(COUNTIF($E812, _xlfn.CONCAT("*",Table13[[#Headers],[TV Movie]],"*")),1,0)</f>
        <v>0</v>
      </c>
      <c r="Y812">
        <f>IF(COUNTIF($E812, _xlfn.CONCAT("*",Table13[[#Headers],[Thriller]],"*")),1,0)</f>
        <v>0</v>
      </c>
      <c r="Z812">
        <f>IF(COUNTIF($E812, _xlfn.CONCAT("*",Table13[[#Headers],[War]],"*")),1,0)</f>
        <v>1</v>
      </c>
      <c r="AA812">
        <f>IF(COUNTIF($E812, _xlfn.CONCAT("*",Table13[[#Headers],[Western]],"*")),1,0)</f>
        <v>0</v>
      </c>
    </row>
    <row r="813" spans="1:27">
      <c r="A813" t="s">
        <v>40</v>
      </c>
      <c r="B813">
        <v>128</v>
      </c>
      <c r="C813">
        <f>MAX(Table13[Rank])-Table13[[#This Row],[Rank]]</f>
        <v>136</v>
      </c>
      <c r="D813" t="s">
        <v>780</v>
      </c>
      <c r="E813" t="s">
        <v>21</v>
      </c>
      <c r="F813" s="1">
        <v>36923</v>
      </c>
      <c r="G813">
        <f>YEAR(Table13[[#This Row],[Date]])</f>
        <v>2001</v>
      </c>
      <c r="H813" t="s">
        <v>40</v>
      </c>
      <c r="I813">
        <f>IF(COUNTIF($E813, _xlfn.CONCAT("*",Table13[[#Headers],[Action]],"*")),1,0)</f>
        <v>0</v>
      </c>
      <c r="J813">
        <f>IF(COUNTIF($E813, _xlfn.CONCAT("*",Table13[[#Headers],[Adventure]],"*")),1,0)</f>
        <v>0</v>
      </c>
      <c r="K813">
        <f>IF(COUNTIF($E813, _xlfn.CONCAT("*",Table13[[#Headers],[Animation]],"*")),1,0)</f>
        <v>0</v>
      </c>
      <c r="L813">
        <f>IF(COUNTIF($E813, _xlfn.CONCAT("*",Table13[[#Headers],[Comedy]],"*")),1,0)</f>
        <v>0</v>
      </c>
      <c r="M813">
        <f>IF(COUNTIF($E813, _xlfn.CONCAT("*",Table13[[#Headers],[Crime]],"*")),1,0)</f>
        <v>0</v>
      </c>
      <c r="N813">
        <f>IF(COUNTIF($E813, _xlfn.CONCAT("*",Table13[[#Headers],[Documentary]],"*")),1,0)</f>
        <v>0</v>
      </c>
      <c r="O813">
        <f>IF(COUNTIF($E813, _xlfn.CONCAT("*",Table13[[#Headers],[Drama]],"*")),1,0)</f>
        <v>1</v>
      </c>
      <c r="P813">
        <f>IF(COUNTIF($E813, _xlfn.CONCAT("*",Table13[[#Headers],[Family]],"*")),1,0)</f>
        <v>0</v>
      </c>
      <c r="Q813">
        <f>IF(COUNTIF($E813, _xlfn.CONCAT("*",Table13[[#Headers],[Fantasy]],"*")),1,0)</f>
        <v>0</v>
      </c>
      <c r="R813">
        <f>IF(COUNTIF($E813, _xlfn.CONCAT("*",Table13[[#Headers],[History]],"*")),1,0)</f>
        <v>0</v>
      </c>
      <c r="S813">
        <f>IF(COUNTIF($E813, _xlfn.CONCAT("*",Table13[[#Headers],[Horror]],"*")),1,0)</f>
        <v>0</v>
      </c>
      <c r="T813">
        <f>IF(COUNTIF($E813, _xlfn.CONCAT("*",Table13[[#Headers],[Music]],"*")),1,0)</f>
        <v>0</v>
      </c>
      <c r="U813">
        <f>IF(COUNTIF($E813, _xlfn.CONCAT("*",Table13[[#Headers],[Mystery]],"*")),1,0)</f>
        <v>0</v>
      </c>
      <c r="V813">
        <f>IF(COUNTIF($E813, _xlfn.CONCAT("*",Table13[[#Headers],[Romance]],"*")),1,0)</f>
        <v>0</v>
      </c>
      <c r="W813">
        <f>IF(COUNTIF($E813, _xlfn.CONCAT("*",Table13[[#Headers],[Science Fiction]],"*")),1,0)</f>
        <v>0</v>
      </c>
      <c r="X813">
        <f>IF(COUNTIF($E813, _xlfn.CONCAT("*",Table13[[#Headers],[TV Movie]],"*")),1,0)</f>
        <v>0</v>
      </c>
      <c r="Y813">
        <f>IF(COUNTIF($E813, _xlfn.CONCAT("*",Table13[[#Headers],[Thriller]],"*")),1,0)</f>
        <v>0</v>
      </c>
      <c r="Z813">
        <f>IF(COUNTIF($E813, _xlfn.CONCAT("*",Table13[[#Headers],[War]],"*")),1,0)</f>
        <v>0</v>
      </c>
      <c r="AA813">
        <f>IF(COUNTIF($E813, _xlfn.CONCAT("*",Table13[[#Headers],[Western]],"*")),1,0)</f>
        <v>0</v>
      </c>
    </row>
    <row r="814" spans="1:27">
      <c r="A814" t="s">
        <v>847</v>
      </c>
      <c r="B814">
        <v>129</v>
      </c>
      <c r="C814">
        <f>MAX(Table13[Rank])-Table13[[#This Row],[Rank]]</f>
        <v>135</v>
      </c>
      <c r="D814" t="s">
        <v>780</v>
      </c>
      <c r="E814" t="s">
        <v>21</v>
      </c>
      <c r="F814" s="1">
        <v>23835</v>
      </c>
      <c r="G814">
        <f>YEAR(Table13[[#This Row],[Date]])</f>
        <v>1965</v>
      </c>
      <c r="H814" t="s">
        <v>847</v>
      </c>
      <c r="I814">
        <f>IF(COUNTIF($E814, _xlfn.CONCAT("*",Table13[[#Headers],[Action]],"*")),1,0)</f>
        <v>0</v>
      </c>
      <c r="J814">
        <f>IF(COUNTIF($E814, _xlfn.CONCAT("*",Table13[[#Headers],[Adventure]],"*")),1,0)</f>
        <v>0</v>
      </c>
      <c r="K814">
        <f>IF(COUNTIF($E814, _xlfn.CONCAT("*",Table13[[#Headers],[Animation]],"*")),1,0)</f>
        <v>0</v>
      </c>
      <c r="L814">
        <f>IF(COUNTIF($E814, _xlfn.CONCAT("*",Table13[[#Headers],[Comedy]],"*")),1,0)</f>
        <v>0</v>
      </c>
      <c r="M814">
        <f>IF(COUNTIF($E814, _xlfn.CONCAT("*",Table13[[#Headers],[Crime]],"*")),1,0)</f>
        <v>0</v>
      </c>
      <c r="N814">
        <f>IF(COUNTIF($E814, _xlfn.CONCAT("*",Table13[[#Headers],[Documentary]],"*")),1,0)</f>
        <v>0</v>
      </c>
      <c r="O814">
        <f>IF(COUNTIF($E814, _xlfn.CONCAT("*",Table13[[#Headers],[Drama]],"*")),1,0)</f>
        <v>1</v>
      </c>
      <c r="P814">
        <f>IF(COUNTIF($E814, _xlfn.CONCAT("*",Table13[[#Headers],[Family]],"*")),1,0)</f>
        <v>0</v>
      </c>
      <c r="Q814">
        <f>IF(COUNTIF($E814, _xlfn.CONCAT("*",Table13[[#Headers],[Fantasy]],"*")),1,0)</f>
        <v>0</v>
      </c>
      <c r="R814">
        <f>IF(COUNTIF($E814, _xlfn.CONCAT("*",Table13[[#Headers],[History]],"*")),1,0)</f>
        <v>0</v>
      </c>
      <c r="S814">
        <f>IF(COUNTIF($E814, _xlfn.CONCAT("*",Table13[[#Headers],[Horror]],"*")),1,0)</f>
        <v>0</v>
      </c>
      <c r="T814">
        <f>IF(COUNTIF($E814, _xlfn.CONCAT("*",Table13[[#Headers],[Music]],"*")),1,0)</f>
        <v>0</v>
      </c>
      <c r="U814">
        <f>IF(COUNTIF($E814, _xlfn.CONCAT("*",Table13[[#Headers],[Mystery]],"*")),1,0)</f>
        <v>0</v>
      </c>
      <c r="V814">
        <f>IF(COUNTIF($E814, _xlfn.CONCAT("*",Table13[[#Headers],[Romance]],"*")),1,0)</f>
        <v>0</v>
      </c>
      <c r="W814">
        <f>IF(COUNTIF($E814, _xlfn.CONCAT("*",Table13[[#Headers],[Science Fiction]],"*")),1,0)</f>
        <v>0</v>
      </c>
      <c r="X814">
        <f>IF(COUNTIF($E814, _xlfn.CONCAT("*",Table13[[#Headers],[TV Movie]],"*")),1,0)</f>
        <v>0</v>
      </c>
      <c r="Y814">
        <f>IF(COUNTIF($E814, _xlfn.CONCAT("*",Table13[[#Headers],[Thriller]],"*")),1,0)</f>
        <v>0</v>
      </c>
      <c r="Z814">
        <f>IF(COUNTIF($E814, _xlfn.CONCAT("*",Table13[[#Headers],[War]],"*")),1,0)</f>
        <v>0</v>
      </c>
      <c r="AA814">
        <f>IF(COUNTIF($E814, _xlfn.CONCAT("*",Table13[[#Headers],[Western]],"*")),1,0)</f>
        <v>0</v>
      </c>
    </row>
    <row r="815" spans="1:27">
      <c r="A815" t="s">
        <v>76</v>
      </c>
      <c r="B815">
        <v>130</v>
      </c>
      <c r="C815">
        <f>MAX(Table13[Rank])-Table13[[#This Row],[Rank]]</f>
        <v>134</v>
      </c>
      <c r="D815" t="s">
        <v>780</v>
      </c>
      <c r="E815" t="s">
        <v>35</v>
      </c>
      <c r="F815" s="1">
        <v>16765</v>
      </c>
      <c r="G815">
        <f>YEAR(Table13[[#This Row],[Date]])</f>
        <v>1945</v>
      </c>
      <c r="H815" t="s">
        <v>76</v>
      </c>
      <c r="I815">
        <f>IF(COUNTIF($E815, _xlfn.CONCAT("*",Table13[[#Headers],[Action]],"*")),1,0)</f>
        <v>0</v>
      </c>
      <c r="J815">
        <f>IF(COUNTIF($E815, _xlfn.CONCAT("*",Table13[[#Headers],[Adventure]],"*")),1,0)</f>
        <v>0</v>
      </c>
      <c r="K815">
        <f>IF(COUNTIF($E815, _xlfn.CONCAT("*",Table13[[#Headers],[Animation]],"*")),1,0)</f>
        <v>0</v>
      </c>
      <c r="L815">
        <f>IF(COUNTIF($E815, _xlfn.CONCAT("*",Table13[[#Headers],[Comedy]],"*")),1,0)</f>
        <v>0</v>
      </c>
      <c r="M815">
        <f>IF(COUNTIF($E815, _xlfn.CONCAT("*",Table13[[#Headers],[Crime]],"*")),1,0)</f>
        <v>0</v>
      </c>
      <c r="N815">
        <f>IF(COUNTIF($E815, _xlfn.CONCAT("*",Table13[[#Headers],[Documentary]],"*")),1,0)</f>
        <v>0</v>
      </c>
      <c r="O815">
        <f>IF(COUNTIF($E815, _xlfn.CONCAT("*",Table13[[#Headers],[Drama]],"*")),1,0)</f>
        <v>1</v>
      </c>
      <c r="P815">
        <f>IF(COUNTIF($E815, _xlfn.CONCAT("*",Table13[[#Headers],[Family]],"*")),1,0)</f>
        <v>0</v>
      </c>
      <c r="Q815">
        <f>IF(COUNTIF($E815, _xlfn.CONCAT("*",Table13[[#Headers],[Fantasy]],"*")),1,0)</f>
        <v>0</v>
      </c>
      <c r="R815">
        <f>IF(COUNTIF($E815, _xlfn.CONCAT("*",Table13[[#Headers],[History]],"*")),1,0)</f>
        <v>0</v>
      </c>
      <c r="S815">
        <f>IF(COUNTIF($E815, _xlfn.CONCAT("*",Table13[[#Headers],[Horror]],"*")),1,0)</f>
        <v>0</v>
      </c>
      <c r="T815">
        <f>IF(COUNTIF($E815, _xlfn.CONCAT("*",Table13[[#Headers],[Music]],"*")),1,0)</f>
        <v>0</v>
      </c>
      <c r="U815">
        <f>IF(COUNTIF($E815, _xlfn.CONCAT("*",Table13[[#Headers],[Mystery]],"*")),1,0)</f>
        <v>0</v>
      </c>
      <c r="V815">
        <f>IF(COUNTIF($E815, _xlfn.CONCAT("*",Table13[[#Headers],[Romance]],"*")),1,0)</f>
        <v>1</v>
      </c>
      <c r="W815">
        <f>IF(COUNTIF($E815, _xlfn.CONCAT("*",Table13[[#Headers],[Science Fiction]],"*")),1,0)</f>
        <v>0</v>
      </c>
      <c r="X815">
        <f>IF(COUNTIF($E815, _xlfn.CONCAT("*",Table13[[#Headers],[TV Movie]],"*")),1,0)</f>
        <v>0</v>
      </c>
      <c r="Y815">
        <f>IF(COUNTIF($E815, _xlfn.CONCAT("*",Table13[[#Headers],[Thriller]],"*")),1,0)</f>
        <v>0</v>
      </c>
      <c r="Z815">
        <f>IF(COUNTIF($E815, _xlfn.CONCAT("*",Table13[[#Headers],[War]],"*")),1,0)</f>
        <v>0</v>
      </c>
      <c r="AA815">
        <f>IF(COUNTIF($E815, _xlfn.CONCAT("*",Table13[[#Headers],[Western]],"*")),1,0)</f>
        <v>0</v>
      </c>
    </row>
    <row r="816" spans="1:27">
      <c r="A816" t="s">
        <v>131</v>
      </c>
      <c r="B816">
        <v>131</v>
      </c>
      <c r="C816">
        <f>MAX(Table13[Rank])-Table13[[#This Row],[Rank]]</f>
        <v>133</v>
      </c>
      <c r="D816" t="s">
        <v>780</v>
      </c>
      <c r="E816" t="s">
        <v>132</v>
      </c>
      <c r="F816" s="1">
        <v>31914</v>
      </c>
      <c r="G816">
        <f>YEAR(Table13[[#This Row],[Date]])</f>
        <v>1987</v>
      </c>
      <c r="H816" t="s">
        <v>131</v>
      </c>
      <c r="I816">
        <f>IF(COUNTIF($E816, _xlfn.CONCAT("*",Table13[[#Headers],[Action]],"*")),1,0)</f>
        <v>0</v>
      </c>
      <c r="J816">
        <f>IF(COUNTIF($E816, _xlfn.CONCAT("*",Table13[[#Headers],[Adventure]],"*")),1,0)</f>
        <v>0</v>
      </c>
      <c r="K816">
        <f>IF(COUNTIF($E816, _xlfn.CONCAT("*",Table13[[#Headers],[Animation]],"*")),1,0)</f>
        <v>0</v>
      </c>
      <c r="L816">
        <f>IF(COUNTIF($E816, _xlfn.CONCAT("*",Table13[[#Headers],[Comedy]],"*")),1,0)</f>
        <v>0</v>
      </c>
      <c r="M816">
        <f>IF(COUNTIF($E816, _xlfn.CONCAT("*",Table13[[#Headers],[Crime]],"*")),1,0)</f>
        <v>0</v>
      </c>
      <c r="N816">
        <f>IF(COUNTIF($E816, _xlfn.CONCAT("*",Table13[[#Headers],[Documentary]],"*")),1,0)</f>
        <v>0</v>
      </c>
      <c r="O816">
        <f>IF(COUNTIF($E816, _xlfn.CONCAT("*",Table13[[#Headers],[Drama]],"*")),1,0)</f>
        <v>1</v>
      </c>
      <c r="P816">
        <f>IF(COUNTIF($E816, _xlfn.CONCAT("*",Table13[[#Headers],[Family]],"*")),1,0)</f>
        <v>0</v>
      </c>
      <c r="Q816">
        <f>IF(COUNTIF($E816, _xlfn.CONCAT("*",Table13[[#Headers],[Fantasy]],"*")),1,0)</f>
        <v>1</v>
      </c>
      <c r="R816">
        <f>IF(COUNTIF($E816, _xlfn.CONCAT("*",Table13[[#Headers],[History]],"*")),1,0)</f>
        <v>0</v>
      </c>
      <c r="S816">
        <f>IF(COUNTIF($E816, _xlfn.CONCAT("*",Table13[[#Headers],[Horror]],"*")),1,0)</f>
        <v>0</v>
      </c>
      <c r="T816">
        <f>IF(COUNTIF($E816, _xlfn.CONCAT("*",Table13[[#Headers],[Music]],"*")),1,0)</f>
        <v>0</v>
      </c>
      <c r="U816">
        <f>IF(COUNTIF($E816, _xlfn.CONCAT("*",Table13[[#Headers],[Mystery]],"*")),1,0)</f>
        <v>0</v>
      </c>
      <c r="V816">
        <f>IF(COUNTIF($E816, _xlfn.CONCAT("*",Table13[[#Headers],[Romance]],"*")),1,0)</f>
        <v>1</v>
      </c>
      <c r="W816">
        <f>IF(COUNTIF($E816, _xlfn.CONCAT("*",Table13[[#Headers],[Science Fiction]],"*")),1,0)</f>
        <v>0</v>
      </c>
      <c r="X816">
        <f>IF(COUNTIF($E816, _xlfn.CONCAT("*",Table13[[#Headers],[TV Movie]],"*")),1,0)</f>
        <v>0</v>
      </c>
      <c r="Y816">
        <f>IF(COUNTIF($E816, _xlfn.CONCAT("*",Table13[[#Headers],[Thriller]],"*")),1,0)</f>
        <v>0</v>
      </c>
      <c r="Z816">
        <f>IF(COUNTIF($E816, _xlfn.CONCAT("*",Table13[[#Headers],[War]],"*")),1,0)</f>
        <v>0</v>
      </c>
      <c r="AA816">
        <f>IF(COUNTIF($E816, _xlfn.CONCAT("*",Table13[[#Headers],[Western]],"*")),1,0)</f>
        <v>0</v>
      </c>
    </row>
    <row r="817" spans="1:27">
      <c r="A817" t="s">
        <v>848</v>
      </c>
      <c r="B817">
        <v>132</v>
      </c>
      <c r="C817">
        <f>MAX(Table13[Rank])-Table13[[#This Row],[Rank]]</f>
        <v>132</v>
      </c>
      <c r="D817" t="s">
        <v>780</v>
      </c>
      <c r="E817" t="s">
        <v>529</v>
      </c>
      <c r="F817" s="1">
        <v>43253</v>
      </c>
      <c r="G817">
        <f>YEAR(Table13[[#This Row],[Date]])</f>
        <v>2018</v>
      </c>
      <c r="H817" t="s">
        <v>848</v>
      </c>
      <c r="I817">
        <f>IF(COUNTIF($E817, _xlfn.CONCAT("*",Table13[[#Headers],[Action]],"*")),1,0)</f>
        <v>0</v>
      </c>
      <c r="J817">
        <f>IF(COUNTIF($E817, _xlfn.CONCAT("*",Table13[[#Headers],[Adventure]],"*")),1,0)</f>
        <v>0</v>
      </c>
      <c r="K817">
        <f>IF(COUNTIF($E817, _xlfn.CONCAT("*",Table13[[#Headers],[Animation]],"*")),1,0)</f>
        <v>0</v>
      </c>
      <c r="L817">
        <f>IF(COUNTIF($E817, _xlfn.CONCAT("*",Table13[[#Headers],[Comedy]],"*")),1,0)</f>
        <v>0</v>
      </c>
      <c r="M817">
        <f>IF(COUNTIF($E817, _xlfn.CONCAT("*",Table13[[#Headers],[Crime]],"*")),1,0)</f>
        <v>1</v>
      </c>
      <c r="N817">
        <f>IF(COUNTIF($E817, _xlfn.CONCAT("*",Table13[[#Headers],[Documentary]],"*")),1,0)</f>
        <v>0</v>
      </c>
      <c r="O817">
        <f>IF(COUNTIF($E817, _xlfn.CONCAT("*",Table13[[#Headers],[Drama]],"*")),1,0)</f>
        <v>1</v>
      </c>
      <c r="P817">
        <f>IF(COUNTIF($E817, _xlfn.CONCAT("*",Table13[[#Headers],[Family]],"*")),1,0)</f>
        <v>0</v>
      </c>
      <c r="Q817">
        <f>IF(COUNTIF($E817, _xlfn.CONCAT("*",Table13[[#Headers],[Fantasy]],"*")),1,0)</f>
        <v>0</v>
      </c>
      <c r="R817">
        <f>IF(COUNTIF($E817, _xlfn.CONCAT("*",Table13[[#Headers],[History]],"*")),1,0)</f>
        <v>0</v>
      </c>
      <c r="S817">
        <f>IF(COUNTIF($E817, _xlfn.CONCAT("*",Table13[[#Headers],[Horror]],"*")),1,0)</f>
        <v>0</v>
      </c>
      <c r="T817">
        <f>IF(COUNTIF($E817, _xlfn.CONCAT("*",Table13[[#Headers],[Music]],"*")),1,0)</f>
        <v>0</v>
      </c>
      <c r="U817">
        <f>IF(COUNTIF($E817, _xlfn.CONCAT("*",Table13[[#Headers],[Mystery]],"*")),1,0)</f>
        <v>0</v>
      </c>
      <c r="V817">
        <f>IF(COUNTIF($E817, _xlfn.CONCAT("*",Table13[[#Headers],[Romance]],"*")),1,0)</f>
        <v>0</v>
      </c>
      <c r="W817">
        <f>IF(COUNTIF($E817, _xlfn.CONCAT("*",Table13[[#Headers],[Science Fiction]],"*")),1,0)</f>
        <v>0</v>
      </c>
      <c r="X817">
        <f>IF(COUNTIF($E817, _xlfn.CONCAT("*",Table13[[#Headers],[TV Movie]],"*")),1,0)</f>
        <v>0</v>
      </c>
      <c r="Y817">
        <f>IF(COUNTIF($E817, _xlfn.CONCAT("*",Table13[[#Headers],[Thriller]],"*")),1,0)</f>
        <v>1</v>
      </c>
      <c r="Z817">
        <f>IF(COUNTIF($E817, _xlfn.CONCAT("*",Table13[[#Headers],[War]],"*")),1,0)</f>
        <v>0</v>
      </c>
      <c r="AA817">
        <f>IF(COUNTIF($E817, _xlfn.CONCAT("*",Table13[[#Headers],[Western]],"*")),1,0)</f>
        <v>0</v>
      </c>
    </row>
    <row r="818" spans="1:27">
      <c r="A818" t="s">
        <v>849</v>
      </c>
      <c r="B818">
        <v>133</v>
      </c>
      <c r="C818">
        <f>MAX(Table13[Rank])-Table13[[#This Row],[Rank]]</f>
        <v>131</v>
      </c>
      <c r="D818" t="s">
        <v>780</v>
      </c>
      <c r="E818" t="s">
        <v>850</v>
      </c>
      <c r="F818" s="1">
        <v>43901</v>
      </c>
      <c r="G818">
        <f>YEAR(Table13[[#This Row],[Date]])</f>
        <v>2020</v>
      </c>
      <c r="H818" t="s">
        <v>849</v>
      </c>
      <c r="I818">
        <f>IF(COUNTIF($E818, _xlfn.CONCAT("*",Table13[[#Headers],[Action]],"*")),1,0)</f>
        <v>1</v>
      </c>
      <c r="J818">
        <f>IF(COUNTIF($E818, _xlfn.CONCAT("*",Table13[[#Headers],[Adventure]],"*")),1,0)</f>
        <v>0</v>
      </c>
      <c r="K818">
        <f>IF(COUNTIF($E818, _xlfn.CONCAT("*",Table13[[#Headers],[Animation]],"*")),1,0)</f>
        <v>0</v>
      </c>
      <c r="L818">
        <f>IF(COUNTIF($E818, _xlfn.CONCAT("*",Table13[[#Headers],[Comedy]],"*")),1,0)</f>
        <v>0</v>
      </c>
      <c r="M818">
        <f>IF(COUNTIF($E818, _xlfn.CONCAT("*",Table13[[#Headers],[Crime]],"*")),1,0)</f>
        <v>0</v>
      </c>
      <c r="N818">
        <f>IF(COUNTIF($E818, _xlfn.CONCAT("*",Table13[[#Headers],[Documentary]],"*")),1,0)</f>
        <v>0</v>
      </c>
      <c r="O818">
        <f>IF(COUNTIF($E818, _xlfn.CONCAT("*",Table13[[#Headers],[Drama]],"*")),1,0)</f>
        <v>0</v>
      </c>
      <c r="P818">
        <f>IF(COUNTIF($E818, _xlfn.CONCAT("*",Table13[[#Headers],[Family]],"*")),1,0)</f>
        <v>0</v>
      </c>
      <c r="Q818">
        <f>IF(COUNTIF($E818, _xlfn.CONCAT("*",Table13[[#Headers],[Fantasy]],"*")),1,0)</f>
        <v>0</v>
      </c>
      <c r="R818">
        <f>IF(COUNTIF($E818, _xlfn.CONCAT("*",Table13[[#Headers],[History]],"*")),1,0)</f>
        <v>0</v>
      </c>
      <c r="S818">
        <f>IF(COUNTIF($E818, _xlfn.CONCAT("*",Table13[[#Headers],[Horror]],"*")),1,0)</f>
        <v>1</v>
      </c>
      <c r="T818">
        <f>IF(COUNTIF($E818, _xlfn.CONCAT("*",Table13[[#Headers],[Music]],"*")),1,0)</f>
        <v>0</v>
      </c>
      <c r="U818">
        <f>IF(COUNTIF($E818, _xlfn.CONCAT("*",Table13[[#Headers],[Mystery]],"*")),1,0)</f>
        <v>0</v>
      </c>
      <c r="V818">
        <f>IF(COUNTIF($E818, _xlfn.CONCAT("*",Table13[[#Headers],[Romance]],"*")),1,0)</f>
        <v>0</v>
      </c>
      <c r="W818">
        <f>IF(COUNTIF($E818, _xlfn.CONCAT("*",Table13[[#Headers],[Science Fiction]],"*")),1,0)</f>
        <v>0</v>
      </c>
      <c r="X818">
        <f>IF(COUNTIF($E818, _xlfn.CONCAT("*",Table13[[#Headers],[TV Movie]],"*")),1,0)</f>
        <v>0</v>
      </c>
      <c r="Y818">
        <f>IF(COUNTIF($E818, _xlfn.CONCAT("*",Table13[[#Headers],[Thriller]],"*")),1,0)</f>
        <v>1</v>
      </c>
      <c r="Z818">
        <f>IF(COUNTIF($E818, _xlfn.CONCAT("*",Table13[[#Headers],[War]],"*")),1,0)</f>
        <v>0</v>
      </c>
      <c r="AA818">
        <f>IF(COUNTIF($E818, _xlfn.CONCAT("*",Table13[[#Headers],[Western]],"*")),1,0)</f>
        <v>0</v>
      </c>
    </row>
    <row r="819" spans="1:27">
      <c r="A819" t="s">
        <v>183</v>
      </c>
      <c r="B819">
        <v>134</v>
      </c>
      <c r="C819">
        <f>MAX(Table13[Rank])-Table13[[#This Row],[Rank]]</f>
        <v>130</v>
      </c>
      <c r="D819" t="s">
        <v>780</v>
      </c>
      <c r="E819" t="s">
        <v>184</v>
      </c>
      <c r="F819" s="1">
        <v>27200</v>
      </c>
      <c r="G819">
        <f>YEAR(Table13[[#This Row],[Date]])</f>
        <v>1974</v>
      </c>
      <c r="H819" t="s">
        <v>183</v>
      </c>
      <c r="I819">
        <f>IF(COUNTIF($E819, _xlfn.CONCAT("*",Table13[[#Headers],[Action]],"*")),1,0)</f>
        <v>0</v>
      </c>
      <c r="J819">
        <f>IF(COUNTIF($E819, _xlfn.CONCAT("*",Table13[[#Headers],[Adventure]],"*")),1,0)</f>
        <v>0</v>
      </c>
      <c r="K819">
        <f>IF(COUNTIF($E819, _xlfn.CONCAT("*",Table13[[#Headers],[Animation]],"*")),1,0)</f>
        <v>0</v>
      </c>
      <c r="L819">
        <f>IF(COUNTIF($E819, _xlfn.CONCAT("*",Table13[[#Headers],[Comedy]],"*")),1,0)</f>
        <v>0</v>
      </c>
      <c r="M819">
        <f>IF(COUNTIF($E819, _xlfn.CONCAT("*",Table13[[#Headers],[Crime]],"*")),1,0)</f>
        <v>1</v>
      </c>
      <c r="N819">
        <f>IF(COUNTIF($E819, _xlfn.CONCAT("*",Table13[[#Headers],[Documentary]],"*")),1,0)</f>
        <v>0</v>
      </c>
      <c r="O819">
        <f>IF(COUNTIF($E819, _xlfn.CONCAT("*",Table13[[#Headers],[Drama]],"*")),1,0)</f>
        <v>1</v>
      </c>
      <c r="P819">
        <f>IF(COUNTIF($E819, _xlfn.CONCAT("*",Table13[[#Headers],[Family]],"*")),1,0)</f>
        <v>0</v>
      </c>
      <c r="Q819">
        <f>IF(COUNTIF($E819, _xlfn.CONCAT("*",Table13[[#Headers],[Fantasy]],"*")),1,0)</f>
        <v>0</v>
      </c>
      <c r="R819">
        <f>IF(COUNTIF($E819, _xlfn.CONCAT("*",Table13[[#Headers],[History]],"*")),1,0)</f>
        <v>0</v>
      </c>
      <c r="S819">
        <f>IF(COUNTIF($E819, _xlfn.CONCAT("*",Table13[[#Headers],[Horror]],"*")),1,0)</f>
        <v>0</v>
      </c>
      <c r="T819">
        <f>IF(COUNTIF($E819, _xlfn.CONCAT("*",Table13[[#Headers],[Music]],"*")),1,0)</f>
        <v>0</v>
      </c>
      <c r="U819">
        <f>IF(COUNTIF($E819, _xlfn.CONCAT("*",Table13[[#Headers],[Mystery]],"*")),1,0)</f>
        <v>1</v>
      </c>
      <c r="V819">
        <f>IF(COUNTIF($E819, _xlfn.CONCAT("*",Table13[[#Headers],[Romance]],"*")),1,0)</f>
        <v>0</v>
      </c>
      <c r="W819">
        <f>IF(COUNTIF($E819, _xlfn.CONCAT("*",Table13[[#Headers],[Science Fiction]],"*")),1,0)</f>
        <v>0</v>
      </c>
      <c r="X819">
        <f>IF(COUNTIF($E819, _xlfn.CONCAT("*",Table13[[#Headers],[TV Movie]],"*")),1,0)</f>
        <v>0</v>
      </c>
      <c r="Y819">
        <f>IF(COUNTIF($E819, _xlfn.CONCAT("*",Table13[[#Headers],[Thriller]],"*")),1,0)</f>
        <v>1</v>
      </c>
      <c r="Z819">
        <f>IF(COUNTIF($E819, _xlfn.CONCAT("*",Table13[[#Headers],[War]],"*")),1,0)</f>
        <v>0</v>
      </c>
      <c r="AA819">
        <f>IF(COUNTIF($E819, _xlfn.CONCAT("*",Table13[[#Headers],[Western]],"*")),1,0)</f>
        <v>0</v>
      </c>
    </row>
    <row r="820" spans="1:27">
      <c r="A820" t="s">
        <v>851</v>
      </c>
      <c r="B820">
        <v>135</v>
      </c>
      <c r="C820">
        <f>MAX(Table13[Rank])-Table13[[#This Row],[Rank]]</f>
        <v>129</v>
      </c>
      <c r="D820" t="s">
        <v>780</v>
      </c>
      <c r="E820" t="s">
        <v>21</v>
      </c>
      <c r="F820" s="1">
        <v>29205</v>
      </c>
      <c r="G820">
        <f>YEAR(Table13[[#This Row],[Date]])</f>
        <v>1979</v>
      </c>
      <c r="H820" t="s">
        <v>851</v>
      </c>
      <c r="I820">
        <f>IF(COUNTIF($E820, _xlfn.CONCAT("*",Table13[[#Headers],[Action]],"*")),1,0)</f>
        <v>0</v>
      </c>
      <c r="J820">
        <f>IF(COUNTIF($E820, _xlfn.CONCAT("*",Table13[[#Headers],[Adventure]],"*")),1,0)</f>
        <v>0</v>
      </c>
      <c r="K820">
        <f>IF(COUNTIF($E820, _xlfn.CONCAT("*",Table13[[#Headers],[Animation]],"*")),1,0)</f>
        <v>0</v>
      </c>
      <c r="L820">
        <f>IF(COUNTIF($E820, _xlfn.CONCAT("*",Table13[[#Headers],[Comedy]],"*")),1,0)</f>
        <v>0</v>
      </c>
      <c r="M820">
        <f>IF(COUNTIF($E820, _xlfn.CONCAT("*",Table13[[#Headers],[Crime]],"*")),1,0)</f>
        <v>0</v>
      </c>
      <c r="N820">
        <f>IF(COUNTIF($E820, _xlfn.CONCAT("*",Table13[[#Headers],[Documentary]],"*")),1,0)</f>
        <v>0</v>
      </c>
      <c r="O820">
        <f>IF(COUNTIF($E820, _xlfn.CONCAT("*",Table13[[#Headers],[Drama]],"*")),1,0)</f>
        <v>1</v>
      </c>
      <c r="P820">
        <f>IF(COUNTIF($E820, _xlfn.CONCAT("*",Table13[[#Headers],[Family]],"*")),1,0)</f>
        <v>0</v>
      </c>
      <c r="Q820">
        <f>IF(COUNTIF($E820, _xlfn.CONCAT("*",Table13[[#Headers],[Fantasy]],"*")),1,0)</f>
        <v>0</v>
      </c>
      <c r="R820">
        <f>IF(COUNTIF($E820, _xlfn.CONCAT("*",Table13[[#Headers],[History]],"*")),1,0)</f>
        <v>0</v>
      </c>
      <c r="S820">
        <f>IF(COUNTIF($E820, _xlfn.CONCAT("*",Table13[[#Headers],[Horror]],"*")),1,0)</f>
        <v>0</v>
      </c>
      <c r="T820">
        <f>IF(COUNTIF($E820, _xlfn.CONCAT("*",Table13[[#Headers],[Music]],"*")),1,0)</f>
        <v>0</v>
      </c>
      <c r="U820">
        <f>IF(COUNTIF($E820, _xlfn.CONCAT("*",Table13[[#Headers],[Mystery]],"*")),1,0)</f>
        <v>0</v>
      </c>
      <c r="V820">
        <f>IF(COUNTIF($E820, _xlfn.CONCAT("*",Table13[[#Headers],[Romance]],"*")),1,0)</f>
        <v>0</v>
      </c>
      <c r="W820">
        <f>IF(COUNTIF($E820, _xlfn.CONCAT("*",Table13[[#Headers],[Science Fiction]],"*")),1,0)</f>
        <v>0</v>
      </c>
      <c r="X820">
        <f>IF(COUNTIF($E820, _xlfn.CONCAT("*",Table13[[#Headers],[TV Movie]],"*")),1,0)</f>
        <v>0</v>
      </c>
      <c r="Y820">
        <f>IF(COUNTIF($E820, _xlfn.CONCAT("*",Table13[[#Headers],[Thriller]],"*")),1,0)</f>
        <v>0</v>
      </c>
      <c r="Z820">
        <f>IF(COUNTIF($E820, _xlfn.CONCAT("*",Table13[[#Headers],[War]],"*")),1,0)</f>
        <v>0</v>
      </c>
      <c r="AA820">
        <f>IF(COUNTIF($E820, _xlfn.CONCAT("*",Table13[[#Headers],[Western]],"*")),1,0)</f>
        <v>0</v>
      </c>
    </row>
    <row r="821" spans="1:27">
      <c r="A821" t="s">
        <v>852</v>
      </c>
      <c r="B821">
        <v>136</v>
      </c>
      <c r="C821">
        <f>MAX(Table13[Rank])-Table13[[#This Row],[Rank]]</f>
        <v>128</v>
      </c>
      <c r="D821" t="s">
        <v>780</v>
      </c>
      <c r="E821" t="s">
        <v>109</v>
      </c>
      <c r="F821" s="1">
        <v>45126</v>
      </c>
      <c r="G821">
        <f>YEAR(Table13[[#This Row],[Date]])</f>
        <v>2023</v>
      </c>
      <c r="H821" t="s">
        <v>852</v>
      </c>
      <c r="I821">
        <f>IF(COUNTIF($E821, _xlfn.CONCAT("*",Table13[[#Headers],[Action]],"*")),1,0)</f>
        <v>0</v>
      </c>
      <c r="J821">
        <f>IF(COUNTIF($E821, _xlfn.CONCAT("*",Table13[[#Headers],[Adventure]],"*")),1,0)</f>
        <v>0</v>
      </c>
      <c r="K821">
        <f>IF(COUNTIF($E821, _xlfn.CONCAT("*",Table13[[#Headers],[Animation]],"*")),1,0)</f>
        <v>0</v>
      </c>
      <c r="L821">
        <f>IF(COUNTIF($E821, _xlfn.CONCAT("*",Table13[[#Headers],[Comedy]],"*")),1,0)</f>
        <v>0</v>
      </c>
      <c r="M821">
        <f>IF(COUNTIF($E821, _xlfn.CONCAT("*",Table13[[#Headers],[Crime]],"*")),1,0)</f>
        <v>0</v>
      </c>
      <c r="N821">
        <f>IF(COUNTIF($E821, _xlfn.CONCAT("*",Table13[[#Headers],[Documentary]],"*")),1,0)</f>
        <v>0</v>
      </c>
      <c r="O821">
        <f>IF(COUNTIF($E821, _xlfn.CONCAT("*",Table13[[#Headers],[Drama]],"*")),1,0)</f>
        <v>1</v>
      </c>
      <c r="P821">
        <f>IF(COUNTIF($E821, _xlfn.CONCAT("*",Table13[[#Headers],[Family]],"*")),1,0)</f>
        <v>0</v>
      </c>
      <c r="Q821">
        <f>IF(COUNTIF($E821, _xlfn.CONCAT("*",Table13[[#Headers],[Fantasy]],"*")),1,0)</f>
        <v>0</v>
      </c>
      <c r="R821">
        <f>IF(COUNTIF($E821, _xlfn.CONCAT("*",Table13[[#Headers],[History]],"*")),1,0)</f>
        <v>1</v>
      </c>
      <c r="S821">
        <f>IF(COUNTIF($E821, _xlfn.CONCAT("*",Table13[[#Headers],[Horror]],"*")),1,0)</f>
        <v>0</v>
      </c>
      <c r="T821">
        <f>IF(COUNTIF($E821, _xlfn.CONCAT("*",Table13[[#Headers],[Music]],"*")),1,0)</f>
        <v>0</v>
      </c>
      <c r="U821">
        <f>IF(COUNTIF($E821, _xlfn.CONCAT("*",Table13[[#Headers],[Mystery]],"*")),1,0)</f>
        <v>0</v>
      </c>
      <c r="V821">
        <f>IF(COUNTIF($E821, _xlfn.CONCAT("*",Table13[[#Headers],[Romance]],"*")),1,0)</f>
        <v>0</v>
      </c>
      <c r="W821">
        <f>IF(COUNTIF($E821, _xlfn.CONCAT("*",Table13[[#Headers],[Science Fiction]],"*")),1,0)</f>
        <v>0</v>
      </c>
      <c r="X821">
        <f>IF(COUNTIF($E821, _xlfn.CONCAT("*",Table13[[#Headers],[TV Movie]],"*")),1,0)</f>
        <v>0</v>
      </c>
      <c r="Y821">
        <f>IF(COUNTIF($E821, _xlfn.CONCAT("*",Table13[[#Headers],[Thriller]],"*")),1,0)</f>
        <v>0</v>
      </c>
      <c r="Z821">
        <f>IF(COUNTIF($E821, _xlfn.CONCAT("*",Table13[[#Headers],[War]],"*")),1,0)</f>
        <v>0</v>
      </c>
      <c r="AA821">
        <f>IF(COUNTIF($E821, _xlfn.CONCAT("*",Table13[[#Headers],[Western]],"*")),1,0)</f>
        <v>0</v>
      </c>
    </row>
    <row r="822" spans="1:27">
      <c r="A822" t="s">
        <v>686</v>
      </c>
      <c r="B822">
        <v>137</v>
      </c>
      <c r="C822">
        <f>MAX(Table13[Rank])-Table13[[#This Row],[Rank]]</f>
        <v>127</v>
      </c>
      <c r="D822" t="s">
        <v>780</v>
      </c>
      <c r="E822" t="s">
        <v>687</v>
      </c>
      <c r="F822" s="1">
        <v>38994</v>
      </c>
      <c r="G822">
        <f>YEAR(Table13[[#This Row],[Date]])</f>
        <v>2006</v>
      </c>
      <c r="H822" t="s">
        <v>686</v>
      </c>
      <c r="I822">
        <f>IF(COUNTIF($E822, _xlfn.CONCAT("*",Table13[[#Headers],[Action]],"*")),1,0)</f>
        <v>0</v>
      </c>
      <c r="J822">
        <f>IF(COUNTIF($E822, _xlfn.CONCAT("*",Table13[[#Headers],[Adventure]],"*")),1,0)</f>
        <v>0</v>
      </c>
      <c r="K822">
        <f>IF(COUNTIF($E822, _xlfn.CONCAT("*",Table13[[#Headers],[Animation]],"*")),1,0)</f>
        <v>0</v>
      </c>
      <c r="L822">
        <f>IF(COUNTIF($E822, _xlfn.CONCAT("*",Table13[[#Headers],[Comedy]],"*")),1,0)</f>
        <v>0</v>
      </c>
      <c r="M822">
        <f>IF(COUNTIF($E822, _xlfn.CONCAT("*",Table13[[#Headers],[Crime]],"*")),1,0)</f>
        <v>1</v>
      </c>
      <c r="N822">
        <f>IF(COUNTIF($E822, _xlfn.CONCAT("*",Table13[[#Headers],[Documentary]],"*")),1,0)</f>
        <v>0</v>
      </c>
      <c r="O822">
        <f>IF(COUNTIF($E822, _xlfn.CONCAT("*",Table13[[#Headers],[Drama]],"*")),1,0)</f>
        <v>1</v>
      </c>
      <c r="P822">
        <f>IF(COUNTIF($E822, _xlfn.CONCAT("*",Table13[[#Headers],[Family]],"*")),1,0)</f>
        <v>0</v>
      </c>
      <c r="Q822">
        <f>IF(COUNTIF($E822, _xlfn.CONCAT("*",Table13[[#Headers],[Fantasy]],"*")),1,0)</f>
        <v>0</v>
      </c>
      <c r="R822">
        <f>IF(COUNTIF($E822, _xlfn.CONCAT("*",Table13[[#Headers],[History]],"*")),1,0)</f>
        <v>0</v>
      </c>
      <c r="S822">
        <f>IF(COUNTIF($E822, _xlfn.CONCAT("*",Table13[[#Headers],[Horror]],"*")),1,0)</f>
        <v>0</v>
      </c>
      <c r="T822">
        <f>IF(COUNTIF($E822, _xlfn.CONCAT("*",Table13[[#Headers],[Music]],"*")),1,0)</f>
        <v>0</v>
      </c>
      <c r="U822">
        <f>IF(COUNTIF($E822, _xlfn.CONCAT("*",Table13[[#Headers],[Mystery]],"*")),1,0)</f>
        <v>0</v>
      </c>
      <c r="V822">
        <f>IF(COUNTIF($E822, _xlfn.CONCAT("*",Table13[[#Headers],[Romance]],"*")),1,0)</f>
        <v>0</v>
      </c>
      <c r="W822">
        <f>IF(COUNTIF($E822, _xlfn.CONCAT("*",Table13[[#Headers],[Science Fiction]],"*")),1,0)</f>
        <v>0</v>
      </c>
      <c r="X822">
        <f>IF(COUNTIF($E822, _xlfn.CONCAT("*",Table13[[#Headers],[TV Movie]],"*")),1,0)</f>
        <v>0</v>
      </c>
      <c r="Y822">
        <f>IF(COUNTIF($E822, _xlfn.CONCAT("*",Table13[[#Headers],[Thriller]],"*")),1,0)</f>
        <v>1</v>
      </c>
      <c r="Z822">
        <f>IF(COUNTIF($E822, _xlfn.CONCAT("*",Table13[[#Headers],[War]],"*")),1,0)</f>
        <v>0</v>
      </c>
      <c r="AA822">
        <f>IF(COUNTIF($E822, _xlfn.CONCAT("*",Table13[[#Headers],[Western]],"*")),1,0)</f>
        <v>0</v>
      </c>
    </row>
    <row r="823" spans="1:27">
      <c r="A823" t="s">
        <v>853</v>
      </c>
      <c r="B823">
        <v>138</v>
      </c>
      <c r="C823">
        <f>MAX(Table13[Rank])-Table13[[#This Row],[Rank]]</f>
        <v>126</v>
      </c>
      <c r="D823" t="s">
        <v>780</v>
      </c>
      <c r="E823" t="s">
        <v>21</v>
      </c>
      <c r="F823" s="1">
        <v>44188</v>
      </c>
      <c r="G823">
        <f>YEAR(Table13[[#This Row],[Date]])</f>
        <v>2020</v>
      </c>
      <c r="H823" t="s">
        <v>853</v>
      </c>
      <c r="I823">
        <f>IF(COUNTIF($E823, _xlfn.CONCAT("*",Table13[[#Headers],[Action]],"*")),1,0)</f>
        <v>0</v>
      </c>
      <c r="J823">
        <f>IF(COUNTIF($E823, _xlfn.CONCAT("*",Table13[[#Headers],[Adventure]],"*")),1,0)</f>
        <v>0</v>
      </c>
      <c r="K823">
        <f>IF(COUNTIF($E823, _xlfn.CONCAT("*",Table13[[#Headers],[Animation]],"*")),1,0)</f>
        <v>0</v>
      </c>
      <c r="L823">
        <f>IF(COUNTIF($E823, _xlfn.CONCAT("*",Table13[[#Headers],[Comedy]],"*")),1,0)</f>
        <v>0</v>
      </c>
      <c r="M823">
        <f>IF(COUNTIF($E823, _xlfn.CONCAT("*",Table13[[#Headers],[Crime]],"*")),1,0)</f>
        <v>0</v>
      </c>
      <c r="N823">
        <f>IF(COUNTIF($E823, _xlfn.CONCAT("*",Table13[[#Headers],[Documentary]],"*")),1,0)</f>
        <v>0</v>
      </c>
      <c r="O823">
        <f>IF(COUNTIF($E823, _xlfn.CONCAT("*",Table13[[#Headers],[Drama]],"*")),1,0)</f>
        <v>1</v>
      </c>
      <c r="P823">
        <f>IF(COUNTIF($E823, _xlfn.CONCAT("*",Table13[[#Headers],[Family]],"*")),1,0)</f>
        <v>0</v>
      </c>
      <c r="Q823">
        <f>IF(COUNTIF($E823, _xlfn.CONCAT("*",Table13[[#Headers],[Fantasy]],"*")),1,0)</f>
        <v>0</v>
      </c>
      <c r="R823">
        <f>IF(COUNTIF($E823, _xlfn.CONCAT("*",Table13[[#Headers],[History]],"*")),1,0)</f>
        <v>0</v>
      </c>
      <c r="S823">
        <f>IF(COUNTIF($E823, _xlfn.CONCAT("*",Table13[[#Headers],[Horror]],"*")),1,0)</f>
        <v>0</v>
      </c>
      <c r="T823">
        <f>IF(COUNTIF($E823, _xlfn.CONCAT("*",Table13[[#Headers],[Music]],"*")),1,0)</f>
        <v>0</v>
      </c>
      <c r="U823">
        <f>IF(COUNTIF($E823, _xlfn.CONCAT("*",Table13[[#Headers],[Mystery]],"*")),1,0)</f>
        <v>0</v>
      </c>
      <c r="V823">
        <f>IF(COUNTIF($E823, _xlfn.CONCAT("*",Table13[[#Headers],[Romance]],"*")),1,0)</f>
        <v>0</v>
      </c>
      <c r="W823">
        <f>IF(COUNTIF($E823, _xlfn.CONCAT("*",Table13[[#Headers],[Science Fiction]],"*")),1,0)</f>
        <v>0</v>
      </c>
      <c r="X823">
        <f>IF(COUNTIF($E823, _xlfn.CONCAT("*",Table13[[#Headers],[TV Movie]],"*")),1,0)</f>
        <v>0</v>
      </c>
      <c r="Y823">
        <f>IF(COUNTIF($E823, _xlfn.CONCAT("*",Table13[[#Headers],[Thriller]],"*")),1,0)</f>
        <v>0</v>
      </c>
      <c r="Z823">
        <f>IF(COUNTIF($E823, _xlfn.CONCAT("*",Table13[[#Headers],[War]],"*")),1,0)</f>
        <v>0</v>
      </c>
      <c r="AA823">
        <f>IF(COUNTIF($E823, _xlfn.CONCAT("*",Table13[[#Headers],[Western]],"*")),1,0)</f>
        <v>0</v>
      </c>
    </row>
    <row r="824" spans="1:27">
      <c r="A824" t="s">
        <v>854</v>
      </c>
      <c r="B824">
        <v>139</v>
      </c>
      <c r="C824">
        <f>MAX(Table13[Rank])-Table13[[#This Row],[Rank]]</f>
        <v>125</v>
      </c>
      <c r="D824" t="s">
        <v>780</v>
      </c>
      <c r="E824" t="s">
        <v>44</v>
      </c>
      <c r="F824" s="1">
        <v>31374</v>
      </c>
      <c r="G824">
        <f>YEAR(Table13[[#This Row],[Date]])</f>
        <v>1985</v>
      </c>
      <c r="H824" t="s">
        <v>854</v>
      </c>
      <c r="I824">
        <f>IF(COUNTIF($E824, _xlfn.CONCAT("*",Table13[[#Headers],[Action]],"*")),1,0)</f>
        <v>0</v>
      </c>
      <c r="J824">
        <f>IF(COUNTIF($E824, _xlfn.CONCAT("*",Table13[[#Headers],[Adventure]],"*")),1,0)</f>
        <v>0</v>
      </c>
      <c r="K824">
        <f>IF(COUNTIF($E824, _xlfn.CONCAT("*",Table13[[#Headers],[Animation]],"*")),1,0)</f>
        <v>0</v>
      </c>
      <c r="L824">
        <f>IF(COUNTIF($E824, _xlfn.CONCAT("*",Table13[[#Headers],[Comedy]],"*")),1,0)</f>
        <v>1</v>
      </c>
      <c r="M824">
        <f>IF(COUNTIF($E824, _xlfn.CONCAT("*",Table13[[#Headers],[Crime]],"*")),1,0)</f>
        <v>0</v>
      </c>
      <c r="N824">
        <f>IF(COUNTIF($E824, _xlfn.CONCAT("*",Table13[[#Headers],[Documentary]],"*")),1,0)</f>
        <v>0</v>
      </c>
      <c r="O824">
        <f>IF(COUNTIF($E824, _xlfn.CONCAT("*",Table13[[#Headers],[Drama]],"*")),1,0)</f>
        <v>0</v>
      </c>
      <c r="P824">
        <f>IF(COUNTIF($E824, _xlfn.CONCAT("*",Table13[[#Headers],[Family]],"*")),1,0)</f>
        <v>0</v>
      </c>
      <c r="Q824">
        <f>IF(COUNTIF($E824, _xlfn.CONCAT("*",Table13[[#Headers],[Fantasy]],"*")),1,0)</f>
        <v>0</v>
      </c>
      <c r="R824">
        <f>IF(COUNTIF($E824, _xlfn.CONCAT("*",Table13[[#Headers],[History]],"*")),1,0)</f>
        <v>0</v>
      </c>
      <c r="S824">
        <f>IF(COUNTIF($E824, _xlfn.CONCAT("*",Table13[[#Headers],[Horror]],"*")),1,0)</f>
        <v>0</v>
      </c>
      <c r="T824">
        <f>IF(COUNTIF($E824, _xlfn.CONCAT("*",Table13[[#Headers],[Music]],"*")),1,0)</f>
        <v>0</v>
      </c>
      <c r="U824">
        <f>IF(COUNTIF($E824, _xlfn.CONCAT("*",Table13[[#Headers],[Mystery]],"*")),1,0)</f>
        <v>0</v>
      </c>
      <c r="V824">
        <f>IF(COUNTIF($E824, _xlfn.CONCAT("*",Table13[[#Headers],[Romance]],"*")),1,0)</f>
        <v>0</v>
      </c>
      <c r="W824">
        <f>IF(COUNTIF($E824, _xlfn.CONCAT("*",Table13[[#Headers],[Science Fiction]],"*")),1,0)</f>
        <v>0</v>
      </c>
      <c r="X824">
        <f>IF(COUNTIF($E824, _xlfn.CONCAT("*",Table13[[#Headers],[TV Movie]],"*")),1,0)</f>
        <v>0</v>
      </c>
      <c r="Y824">
        <f>IF(COUNTIF($E824, _xlfn.CONCAT("*",Table13[[#Headers],[Thriller]],"*")),1,0)</f>
        <v>0</v>
      </c>
      <c r="Z824">
        <f>IF(COUNTIF($E824, _xlfn.CONCAT("*",Table13[[#Headers],[War]],"*")),1,0)</f>
        <v>0</v>
      </c>
      <c r="AA824">
        <f>IF(COUNTIF($E824, _xlfn.CONCAT("*",Table13[[#Headers],[Western]],"*")),1,0)</f>
        <v>0</v>
      </c>
    </row>
    <row r="825" spans="1:27">
      <c r="A825" t="s">
        <v>855</v>
      </c>
      <c r="B825">
        <v>140</v>
      </c>
      <c r="C825">
        <f>MAX(Table13[Rank])-Table13[[#This Row],[Rank]]</f>
        <v>124</v>
      </c>
      <c r="D825" t="s">
        <v>780</v>
      </c>
      <c r="E825" t="s">
        <v>21</v>
      </c>
      <c r="F825" s="1">
        <v>4178</v>
      </c>
      <c r="G825">
        <f>YEAR(Table13[[#This Row],[Date]])</f>
        <v>1911</v>
      </c>
      <c r="H825" t="s">
        <v>855</v>
      </c>
      <c r="I825">
        <f>IF(COUNTIF($E825, _xlfn.CONCAT("*",Table13[[#Headers],[Action]],"*")),1,0)</f>
        <v>0</v>
      </c>
      <c r="J825">
        <f>IF(COUNTIF($E825, _xlfn.CONCAT("*",Table13[[#Headers],[Adventure]],"*")),1,0)</f>
        <v>0</v>
      </c>
      <c r="K825">
        <f>IF(COUNTIF($E825, _xlfn.CONCAT("*",Table13[[#Headers],[Animation]],"*")),1,0)</f>
        <v>0</v>
      </c>
      <c r="L825">
        <f>IF(COUNTIF($E825, _xlfn.CONCAT("*",Table13[[#Headers],[Comedy]],"*")),1,0)</f>
        <v>0</v>
      </c>
      <c r="M825">
        <f>IF(COUNTIF($E825, _xlfn.CONCAT("*",Table13[[#Headers],[Crime]],"*")),1,0)</f>
        <v>0</v>
      </c>
      <c r="N825">
        <f>IF(COUNTIF($E825, _xlfn.CONCAT("*",Table13[[#Headers],[Documentary]],"*")),1,0)</f>
        <v>0</v>
      </c>
      <c r="O825">
        <f>IF(COUNTIF($E825, _xlfn.CONCAT("*",Table13[[#Headers],[Drama]],"*")),1,0)</f>
        <v>1</v>
      </c>
      <c r="P825">
        <f>IF(COUNTIF($E825, _xlfn.CONCAT("*",Table13[[#Headers],[Family]],"*")),1,0)</f>
        <v>0</v>
      </c>
      <c r="Q825">
        <f>IF(COUNTIF($E825, _xlfn.CONCAT("*",Table13[[#Headers],[Fantasy]],"*")),1,0)</f>
        <v>0</v>
      </c>
      <c r="R825">
        <f>IF(COUNTIF($E825, _xlfn.CONCAT("*",Table13[[#Headers],[History]],"*")),1,0)</f>
        <v>0</v>
      </c>
      <c r="S825">
        <f>IF(COUNTIF($E825, _xlfn.CONCAT("*",Table13[[#Headers],[Horror]],"*")),1,0)</f>
        <v>0</v>
      </c>
      <c r="T825">
        <f>IF(COUNTIF($E825, _xlfn.CONCAT("*",Table13[[#Headers],[Music]],"*")),1,0)</f>
        <v>0</v>
      </c>
      <c r="U825">
        <f>IF(COUNTIF($E825, _xlfn.CONCAT("*",Table13[[#Headers],[Mystery]],"*")),1,0)</f>
        <v>0</v>
      </c>
      <c r="V825">
        <f>IF(COUNTIF($E825, _xlfn.CONCAT("*",Table13[[#Headers],[Romance]],"*")),1,0)</f>
        <v>0</v>
      </c>
      <c r="W825">
        <f>IF(COUNTIF($E825, _xlfn.CONCAT("*",Table13[[#Headers],[Science Fiction]],"*")),1,0)</f>
        <v>0</v>
      </c>
      <c r="X825">
        <f>IF(COUNTIF($E825, _xlfn.CONCAT("*",Table13[[#Headers],[TV Movie]],"*")),1,0)</f>
        <v>0</v>
      </c>
      <c r="Y825">
        <f>IF(COUNTIF($E825, _xlfn.CONCAT("*",Table13[[#Headers],[Thriller]],"*")),1,0)</f>
        <v>0</v>
      </c>
      <c r="Z825">
        <f>IF(COUNTIF($E825, _xlfn.CONCAT("*",Table13[[#Headers],[War]],"*")),1,0)</f>
        <v>0</v>
      </c>
      <c r="AA825">
        <f>IF(COUNTIF($E825, _xlfn.CONCAT("*",Table13[[#Headers],[Western]],"*")),1,0)</f>
        <v>0</v>
      </c>
    </row>
    <row r="826" spans="1:27">
      <c r="A826" t="s">
        <v>354</v>
      </c>
      <c r="B826">
        <v>141</v>
      </c>
      <c r="C826">
        <f>MAX(Table13[Rank])-Table13[[#This Row],[Rank]]</f>
        <v>123</v>
      </c>
      <c r="D826" t="s">
        <v>780</v>
      </c>
      <c r="E826" t="s">
        <v>21</v>
      </c>
      <c r="F826" s="1">
        <v>20327</v>
      </c>
      <c r="G826">
        <f>YEAR(Table13[[#This Row],[Date]])</f>
        <v>1955</v>
      </c>
      <c r="H826" t="s">
        <v>354</v>
      </c>
      <c r="I826">
        <f>IF(COUNTIF($E826, _xlfn.CONCAT("*",Table13[[#Headers],[Action]],"*")),1,0)</f>
        <v>0</v>
      </c>
      <c r="J826">
        <f>IF(COUNTIF($E826, _xlfn.CONCAT("*",Table13[[#Headers],[Adventure]],"*")),1,0)</f>
        <v>0</v>
      </c>
      <c r="K826">
        <f>IF(COUNTIF($E826, _xlfn.CONCAT("*",Table13[[#Headers],[Animation]],"*")),1,0)</f>
        <v>0</v>
      </c>
      <c r="L826">
        <f>IF(COUNTIF($E826, _xlfn.CONCAT("*",Table13[[#Headers],[Comedy]],"*")),1,0)</f>
        <v>0</v>
      </c>
      <c r="M826">
        <f>IF(COUNTIF($E826, _xlfn.CONCAT("*",Table13[[#Headers],[Crime]],"*")),1,0)</f>
        <v>0</v>
      </c>
      <c r="N826">
        <f>IF(COUNTIF($E826, _xlfn.CONCAT("*",Table13[[#Headers],[Documentary]],"*")),1,0)</f>
        <v>0</v>
      </c>
      <c r="O826">
        <f>IF(COUNTIF($E826, _xlfn.CONCAT("*",Table13[[#Headers],[Drama]],"*")),1,0)</f>
        <v>1</v>
      </c>
      <c r="P826">
        <f>IF(COUNTIF($E826, _xlfn.CONCAT("*",Table13[[#Headers],[Family]],"*")),1,0)</f>
        <v>0</v>
      </c>
      <c r="Q826">
        <f>IF(COUNTIF($E826, _xlfn.CONCAT("*",Table13[[#Headers],[Fantasy]],"*")),1,0)</f>
        <v>0</v>
      </c>
      <c r="R826">
        <f>IF(COUNTIF($E826, _xlfn.CONCAT("*",Table13[[#Headers],[History]],"*")),1,0)</f>
        <v>0</v>
      </c>
      <c r="S826">
        <f>IF(COUNTIF($E826, _xlfn.CONCAT("*",Table13[[#Headers],[Horror]],"*")),1,0)</f>
        <v>0</v>
      </c>
      <c r="T826">
        <f>IF(COUNTIF($E826, _xlfn.CONCAT("*",Table13[[#Headers],[Music]],"*")),1,0)</f>
        <v>0</v>
      </c>
      <c r="U826">
        <f>IF(COUNTIF($E826, _xlfn.CONCAT("*",Table13[[#Headers],[Mystery]],"*")),1,0)</f>
        <v>0</v>
      </c>
      <c r="V826">
        <f>IF(COUNTIF($E826, _xlfn.CONCAT("*",Table13[[#Headers],[Romance]],"*")),1,0)</f>
        <v>0</v>
      </c>
      <c r="W826">
        <f>IF(COUNTIF($E826, _xlfn.CONCAT("*",Table13[[#Headers],[Science Fiction]],"*")),1,0)</f>
        <v>0</v>
      </c>
      <c r="X826">
        <f>IF(COUNTIF($E826, _xlfn.CONCAT("*",Table13[[#Headers],[TV Movie]],"*")),1,0)</f>
        <v>0</v>
      </c>
      <c r="Y826">
        <f>IF(COUNTIF($E826, _xlfn.CONCAT("*",Table13[[#Headers],[Thriller]],"*")),1,0)</f>
        <v>0</v>
      </c>
      <c r="Z826">
        <f>IF(COUNTIF($E826, _xlfn.CONCAT("*",Table13[[#Headers],[War]],"*")),1,0)</f>
        <v>0</v>
      </c>
      <c r="AA826">
        <f>IF(COUNTIF($E826, _xlfn.CONCAT("*",Table13[[#Headers],[Western]],"*")),1,0)</f>
        <v>0</v>
      </c>
    </row>
    <row r="827" spans="1:27">
      <c r="A827" t="s">
        <v>856</v>
      </c>
      <c r="B827">
        <v>142</v>
      </c>
      <c r="C827">
        <f>MAX(Table13[Rank])-Table13[[#This Row],[Rank]]</f>
        <v>122</v>
      </c>
      <c r="D827" t="s">
        <v>780</v>
      </c>
      <c r="E827" t="s">
        <v>121</v>
      </c>
      <c r="F827" s="1">
        <v>24539</v>
      </c>
      <c r="G827">
        <f>YEAR(Table13[[#This Row],[Date]])</f>
        <v>1967</v>
      </c>
      <c r="H827" t="s">
        <v>856</v>
      </c>
      <c r="I827">
        <f>IF(COUNTIF($E827, _xlfn.CONCAT("*",Table13[[#Headers],[Action]],"*")),1,0)</f>
        <v>0</v>
      </c>
      <c r="J827">
        <f>IF(COUNTIF($E827, _xlfn.CONCAT("*",Table13[[#Headers],[Adventure]],"*")),1,0)</f>
        <v>0</v>
      </c>
      <c r="K827">
        <f>IF(COUNTIF($E827, _xlfn.CONCAT("*",Table13[[#Headers],[Animation]],"*")),1,0)</f>
        <v>0</v>
      </c>
      <c r="L827">
        <f>IF(COUNTIF($E827, _xlfn.CONCAT("*",Table13[[#Headers],[Comedy]],"*")),1,0)</f>
        <v>1</v>
      </c>
      <c r="M827">
        <f>IF(COUNTIF($E827, _xlfn.CONCAT("*",Table13[[#Headers],[Crime]],"*")),1,0)</f>
        <v>0</v>
      </c>
      <c r="N827">
        <f>IF(COUNTIF($E827, _xlfn.CONCAT("*",Table13[[#Headers],[Documentary]],"*")),1,0)</f>
        <v>0</v>
      </c>
      <c r="O827">
        <f>IF(COUNTIF($E827, _xlfn.CONCAT("*",Table13[[#Headers],[Drama]],"*")),1,0)</f>
        <v>1</v>
      </c>
      <c r="P827">
        <f>IF(COUNTIF($E827, _xlfn.CONCAT("*",Table13[[#Headers],[Family]],"*")),1,0)</f>
        <v>0</v>
      </c>
      <c r="Q827">
        <f>IF(COUNTIF($E827, _xlfn.CONCAT("*",Table13[[#Headers],[Fantasy]],"*")),1,0)</f>
        <v>0</v>
      </c>
      <c r="R827">
        <f>IF(COUNTIF($E827, _xlfn.CONCAT("*",Table13[[#Headers],[History]],"*")),1,0)</f>
        <v>0</v>
      </c>
      <c r="S827">
        <f>IF(COUNTIF($E827, _xlfn.CONCAT("*",Table13[[#Headers],[Horror]],"*")),1,0)</f>
        <v>0</v>
      </c>
      <c r="T827">
        <f>IF(COUNTIF($E827, _xlfn.CONCAT("*",Table13[[#Headers],[Music]],"*")),1,0)</f>
        <v>0</v>
      </c>
      <c r="U827">
        <f>IF(COUNTIF($E827, _xlfn.CONCAT("*",Table13[[#Headers],[Mystery]],"*")),1,0)</f>
        <v>0</v>
      </c>
      <c r="V827">
        <f>IF(COUNTIF($E827, _xlfn.CONCAT("*",Table13[[#Headers],[Romance]],"*")),1,0)</f>
        <v>1</v>
      </c>
      <c r="W827">
        <f>IF(COUNTIF($E827, _xlfn.CONCAT("*",Table13[[#Headers],[Science Fiction]],"*")),1,0)</f>
        <v>0</v>
      </c>
      <c r="X827">
        <f>IF(COUNTIF($E827, _xlfn.CONCAT("*",Table13[[#Headers],[TV Movie]],"*")),1,0)</f>
        <v>0</v>
      </c>
      <c r="Y827">
        <f>IF(COUNTIF($E827, _xlfn.CONCAT("*",Table13[[#Headers],[Thriller]],"*")),1,0)</f>
        <v>0</v>
      </c>
      <c r="Z827">
        <f>IF(COUNTIF($E827, _xlfn.CONCAT("*",Table13[[#Headers],[War]],"*")),1,0)</f>
        <v>0</v>
      </c>
      <c r="AA827">
        <f>IF(COUNTIF($E827, _xlfn.CONCAT("*",Table13[[#Headers],[Western]],"*")),1,0)</f>
        <v>0</v>
      </c>
    </row>
    <row r="828" spans="1:27">
      <c r="A828" t="s">
        <v>857</v>
      </c>
      <c r="B828">
        <v>143</v>
      </c>
      <c r="C828">
        <f>MAX(Table13[Rank])-Table13[[#This Row],[Rank]]</f>
        <v>121</v>
      </c>
      <c r="D828" t="s">
        <v>780</v>
      </c>
      <c r="E828" t="s">
        <v>21</v>
      </c>
      <c r="F828" s="1">
        <v>25459</v>
      </c>
      <c r="G828">
        <f>YEAR(Table13[[#This Row],[Date]])</f>
        <v>1969</v>
      </c>
      <c r="H828" t="s">
        <v>857</v>
      </c>
      <c r="I828">
        <f>IF(COUNTIF($E828, _xlfn.CONCAT("*",Table13[[#Headers],[Action]],"*")),1,0)</f>
        <v>0</v>
      </c>
      <c r="J828">
        <f>IF(COUNTIF($E828, _xlfn.CONCAT("*",Table13[[#Headers],[Adventure]],"*")),1,0)</f>
        <v>0</v>
      </c>
      <c r="K828">
        <f>IF(COUNTIF($E828, _xlfn.CONCAT("*",Table13[[#Headers],[Animation]],"*")),1,0)</f>
        <v>0</v>
      </c>
      <c r="L828">
        <f>IF(COUNTIF($E828, _xlfn.CONCAT("*",Table13[[#Headers],[Comedy]],"*")),1,0)</f>
        <v>0</v>
      </c>
      <c r="M828">
        <f>IF(COUNTIF($E828, _xlfn.CONCAT("*",Table13[[#Headers],[Crime]],"*")),1,0)</f>
        <v>0</v>
      </c>
      <c r="N828">
        <f>IF(COUNTIF($E828, _xlfn.CONCAT("*",Table13[[#Headers],[Documentary]],"*")),1,0)</f>
        <v>0</v>
      </c>
      <c r="O828">
        <f>IF(COUNTIF($E828, _xlfn.CONCAT("*",Table13[[#Headers],[Drama]],"*")),1,0)</f>
        <v>1</v>
      </c>
      <c r="P828">
        <f>IF(COUNTIF($E828, _xlfn.CONCAT("*",Table13[[#Headers],[Family]],"*")),1,0)</f>
        <v>0</v>
      </c>
      <c r="Q828">
        <f>IF(COUNTIF($E828, _xlfn.CONCAT("*",Table13[[#Headers],[Fantasy]],"*")),1,0)</f>
        <v>0</v>
      </c>
      <c r="R828">
        <f>IF(COUNTIF($E828, _xlfn.CONCAT("*",Table13[[#Headers],[History]],"*")),1,0)</f>
        <v>0</v>
      </c>
      <c r="S828">
        <f>IF(COUNTIF($E828, _xlfn.CONCAT("*",Table13[[#Headers],[Horror]],"*")),1,0)</f>
        <v>0</v>
      </c>
      <c r="T828">
        <f>IF(COUNTIF($E828, _xlfn.CONCAT("*",Table13[[#Headers],[Music]],"*")),1,0)</f>
        <v>0</v>
      </c>
      <c r="U828">
        <f>IF(COUNTIF($E828, _xlfn.CONCAT("*",Table13[[#Headers],[Mystery]],"*")),1,0)</f>
        <v>0</v>
      </c>
      <c r="V828">
        <f>IF(COUNTIF($E828, _xlfn.CONCAT("*",Table13[[#Headers],[Romance]],"*")),1,0)</f>
        <v>0</v>
      </c>
      <c r="W828">
        <f>IF(COUNTIF($E828, _xlfn.CONCAT("*",Table13[[#Headers],[Science Fiction]],"*")),1,0)</f>
        <v>0</v>
      </c>
      <c r="X828">
        <f>IF(COUNTIF($E828, _xlfn.CONCAT("*",Table13[[#Headers],[TV Movie]],"*")),1,0)</f>
        <v>0</v>
      </c>
      <c r="Y828">
        <f>IF(COUNTIF($E828, _xlfn.CONCAT("*",Table13[[#Headers],[Thriller]],"*")),1,0)</f>
        <v>0</v>
      </c>
      <c r="Z828">
        <f>IF(COUNTIF($E828, _xlfn.CONCAT("*",Table13[[#Headers],[War]],"*")),1,0)</f>
        <v>0</v>
      </c>
      <c r="AA828">
        <f>IF(COUNTIF($E828, _xlfn.CONCAT("*",Table13[[#Headers],[Western]],"*")),1,0)</f>
        <v>0</v>
      </c>
    </row>
    <row r="829" spans="1:27">
      <c r="A829" t="s">
        <v>188</v>
      </c>
      <c r="B829">
        <v>144</v>
      </c>
      <c r="C829">
        <f>MAX(Table13[Rank])-Table13[[#This Row],[Rank]]</f>
        <v>120</v>
      </c>
      <c r="D829" t="s">
        <v>780</v>
      </c>
      <c r="E829" t="s">
        <v>189</v>
      </c>
      <c r="F829" s="1">
        <v>29000</v>
      </c>
      <c r="G829">
        <f>YEAR(Table13[[#This Row],[Date]])</f>
        <v>1979</v>
      </c>
      <c r="H829" t="s">
        <v>188</v>
      </c>
      <c r="I829">
        <f>IF(COUNTIF($E829, _xlfn.CONCAT("*",Table13[[#Headers],[Action]],"*")),1,0)</f>
        <v>0</v>
      </c>
      <c r="J829">
        <f>IF(COUNTIF($E829, _xlfn.CONCAT("*",Table13[[#Headers],[Adventure]],"*")),1,0)</f>
        <v>0</v>
      </c>
      <c r="K829">
        <f>IF(COUNTIF($E829, _xlfn.CONCAT("*",Table13[[#Headers],[Animation]],"*")),1,0)</f>
        <v>0</v>
      </c>
      <c r="L829">
        <f>IF(COUNTIF($E829, _xlfn.CONCAT("*",Table13[[#Headers],[Comedy]],"*")),1,0)</f>
        <v>0</v>
      </c>
      <c r="M829">
        <f>IF(COUNTIF($E829, _xlfn.CONCAT("*",Table13[[#Headers],[Crime]],"*")),1,0)</f>
        <v>0</v>
      </c>
      <c r="N829">
        <f>IF(COUNTIF($E829, _xlfn.CONCAT("*",Table13[[#Headers],[Documentary]],"*")),1,0)</f>
        <v>0</v>
      </c>
      <c r="O829">
        <f>IF(COUNTIF($E829, _xlfn.CONCAT("*",Table13[[#Headers],[Drama]],"*")),1,0)</f>
        <v>0</v>
      </c>
      <c r="P829">
        <f>IF(COUNTIF($E829, _xlfn.CONCAT("*",Table13[[#Headers],[Family]],"*")),1,0)</f>
        <v>0</v>
      </c>
      <c r="Q829">
        <f>IF(COUNTIF($E829, _xlfn.CONCAT("*",Table13[[#Headers],[Fantasy]],"*")),1,0)</f>
        <v>0</v>
      </c>
      <c r="R829">
        <f>IF(COUNTIF($E829, _xlfn.CONCAT("*",Table13[[#Headers],[History]],"*")),1,0)</f>
        <v>0</v>
      </c>
      <c r="S829">
        <f>IF(COUNTIF($E829, _xlfn.CONCAT("*",Table13[[#Headers],[Horror]],"*")),1,0)</f>
        <v>1</v>
      </c>
      <c r="T829">
        <f>IF(COUNTIF($E829, _xlfn.CONCAT("*",Table13[[#Headers],[Music]],"*")),1,0)</f>
        <v>0</v>
      </c>
      <c r="U829">
        <f>IF(COUNTIF($E829, _xlfn.CONCAT("*",Table13[[#Headers],[Mystery]],"*")),1,0)</f>
        <v>0</v>
      </c>
      <c r="V829">
        <f>IF(COUNTIF($E829, _xlfn.CONCAT("*",Table13[[#Headers],[Romance]],"*")),1,0)</f>
        <v>0</v>
      </c>
      <c r="W829">
        <f>IF(COUNTIF($E829, _xlfn.CONCAT("*",Table13[[#Headers],[Science Fiction]],"*")),1,0)</f>
        <v>1</v>
      </c>
      <c r="X829">
        <f>IF(COUNTIF($E829, _xlfn.CONCAT("*",Table13[[#Headers],[TV Movie]],"*")),1,0)</f>
        <v>0</v>
      </c>
      <c r="Y829">
        <f>IF(COUNTIF($E829, _xlfn.CONCAT("*",Table13[[#Headers],[Thriller]],"*")),1,0)</f>
        <v>0</v>
      </c>
      <c r="Z829">
        <f>IF(COUNTIF($E829, _xlfn.CONCAT("*",Table13[[#Headers],[War]],"*")),1,0)</f>
        <v>0</v>
      </c>
      <c r="AA829">
        <f>IF(COUNTIF($E829, _xlfn.CONCAT("*",Table13[[#Headers],[Western]],"*")),1,0)</f>
        <v>0</v>
      </c>
    </row>
    <row r="830" spans="1:27">
      <c r="A830" t="s">
        <v>858</v>
      </c>
      <c r="B830">
        <v>145</v>
      </c>
      <c r="C830">
        <f>MAX(Table13[Rank])-Table13[[#This Row],[Rank]]</f>
        <v>119</v>
      </c>
      <c r="D830" t="s">
        <v>780</v>
      </c>
      <c r="E830" t="s">
        <v>859</v>
      </c>
      <c r="F830" s="1">
        <v>45267</v>
      </c>
      <c r="G830">
        <f>YEAR(Table13[[#This Row],[Date]])</f>
        <v>2023</v>
      </c>
      <c r="H830" t="s">
        <v>858</v>
      </c>
      <c r="I830">
        <f>IF(COUNTIF($E830, _xlfn.CONCAT("*",Table13[[#Headers],[Action]],"*")),1,0)</f>
        <v>0</v>
      </c>
      <c r="J830">
        <f>IF(COUNTIF($E830, _xlfn.CONCAT("*",Table13[[#Headers],[Adventure]],"*")),1,0)</f>
        <v>0</v>
      </c>
      <c r="K830">
        <f>IF(COUNTIF($E830, _xlfn.CONCAT("*",Table13[[#Headers],[Animation]],"*")),1,0)</f>
        <v>0</v>
      </c>
      <c r="L830">
        <f>IF(COUNTIF($E830, _xlfn.CONCAT("*",Table13[[#Headers],[Comedy]],"*")),1,0)</f>
        <v>1</v>
      </c>
      <c r="M830">
        <f>IF(COUNTIF($E830, _xlfn.CONCAT("*",Table13[[#Headers],[Crime]],"*")),1,0)</f>
        <v>0</v>
      </c>
      <c r="N830">
        <f>IF(COUNTIF($E830, _xlfn.CONCAT("*",Table13[[#Headers],[Documentary]],"*")),1,0)</f>
        <v>0</v>
      </c>
      <c r="O830">
        <f>IF(COUNTIF($E830, _xlfn.CONCAT("*",Table13[[#Headers],[Drama]],"*")),1,0)</f>
        <v>0</v>
      </c>
      <c r="P830">
        <f>IF(COUNTIF($E830, _xlfn.CONCAT("*",Table13[[#Headers],[Family]],"*")),1,0)</f>
        <v>0</v>
      </c>
      <c r="Q830">
        <f>IF(COUNTIF($E830, _xlfn.CONCAT("*",Table13[[#Headers],[Fantasy]],"*")),1,0)</f>
        <v>0</v>
      </c>
      <c r="R830">
        <f>IF(COUNTIF($E830, _xlfn.CONCAT("*",Table13[[#Headers],[History]],"*")),1,0)</f>
        <v>0</v>
      </c>
      <c r="S830">
        <f>IF(COUNTIF($E830, _xlfn.CONCAT("*",Table13[[#Headers],[Horror]],"*")),1,0)</f>
        <v>0</v>
      </c>
      <c r="T830">
        <f>IF(COUNTIF($E830, _xlfn.CONCAT("*",Table13[[#Headers],[Music]],"*")),1,0)</f>
        <v>0</v>
      </c>
      <c r="U830">
        <f>IF(COUNTIF($E830, _xlfn.CONCAT("*",Table13[[#Headers],[Mystery]],"*")),1,0)</f>
        <v>0</v>
      </c>
      <c r="V830">
        <f>IF(COUNTIF($E830, _xlfn.CONCAT("*",Table13[[#Headers],[Romance]],"*")),1,0)</f>
        <v>1</v>
      </c>
      <c r="W830">
        <f>IF(COUNTIF($E830, _xlfn.CONCAT("*",Table13[[#Headers],[Science Fiction]],"*")),1,0)</f>
        <v>1</v>
      </c>
      <c r="X830">
        <f>IF(COUNTIF($E830, _xlfn.CONCAT("*",Table13[[#Headers],[TV Movie]],"*")),1,0)</f>
        <v>0</v>
      </c>
      <c r="Y830">
        <f>IF(COUNTIF($E830, _xlfn.CONCAT("*",Table13[[#Headers],[Thriller]],"*")),1,0)</f>
        <v>0</v>
      </c>
      <c r="Z830">
        <f>IF(COUNTIF($E830, _xlfn.CONCAT("*",Table13[[#Headers],[War]],"*")),1,0)</f>
        <v>0</v>
      </c>
      <c r="AA830">
        <f>IF(COUNTIF($E830, _xlfn.CONCAT("*",Table13[[#Headers],[Western]],"*")),1,0)</f>
        <v>0</v>
      </c>
    </row>
    <row r="831" spans="1:27">
      <c r="A831" t="s">
        <v>247</v>
      </c>
      <c r="B831">
        <v>146</v>
      </c>
      <c r="C831">
        <f>MAX(Table13[Rank])-Table13[[#This Row],[Rank]]</f>
        <v>118</v>
      </c>
      <c r="D831" t="s">
        <v>780</v>
      </c>
      <c r="E831" t="s">
        <v>44</v>
      </c>
      <c r="F831" s="1">
        <v>30666</v>
      </c>
      <c r="G831">
        <f>YEAR(Table13[[#This Row],[Date]])</f>
        <v>1983</v>
      </c>
      <c r="H831" t="s">
        <v>247</v>
      </c>
      <c r="I831">
        <f>IF(COUNTIF($E831, _xlfn.CONCAT("*",Table13[[#Headers],[Action]],"*")),1,0)</f>
        <v>0</v>
      </c>
      <c r="J831">
        <f>IF(COUNTIF($E831, _xlfn.CONCAT("*",Table13[[#Headers],[Adventure]],"*")),1,0)</f>
        <v>0</v>
      </c>
      <c r="K831">
        <f>IF(COUNTIF($E831, _xlfn.CONCAT("*",Table13[[#Headers],[Animation]],"*")),1,0)</f>
        <v>0</v>
      </c>
      <c r="L831">
        <f>IF(COUNTIF($E831, _xlfn.CONCAT("*",Table13[[#Headers],[Comedy]],"*")),1,0)</f>
        <v>1</v>
      </c>
      <c r="M831">
        <f>IF(COUNTIF($E831, _xlfn.CONCAT("*",Table13[[#Headers],[Crime]],"*")),1,0)</f>
        <v>0</v>
      </c>
      <c r="N831">
        <f>IF(COUNTIF($E831, _xlfn.CONCAT("*",Table13[[#Headers],[Documentary]],"*")),1,0)</f>
        <v>0</v>
      </c>
      <c r="O831">
        <f>IF(COUNTIF($E831, _xlfn.CONCAT("*",Table13[[#Headers],[Drama]],"*")),1,0)</f>
        <v>0</v>
      </c>
      <c r="P831">
        <f>IF(COUNTIF($E831, _xlfn.CONCAT("*",Table13[[#Headers],[Family]],"*")),1,0)</f>
        <v>0</v>
      </c>
      <c r="Q831">
        <f>IF(COUNTIF($E831, _xlfn.CONCAT("*",Table13[[#Headers],[Fantasy]],"*")),1,0)</f>
        <v>0</v>
      </c>
      <c r="R831">
        <f>IF(COUNTIF($E831, _xlfn.CONCAT("*",Table13[[#Headers],[History]],"*")),1,0)</f>
        <v>0</v>
      </c>
      <c r="S831">
        <f>IF(COUNTIF($E831, _xlfn.CONCAT("*",Table13[[#Headers],[Horror]],"*")),1,0)</f>
        <v>0</v>
      </c>
      <c r="T831">
        <f>IF(COUNTIF($E831, _xlfn.CONCAT("*",Table13[[#Headers],[Music]],"*")),1,0)</f>
        <v>0</v>
      </c>
      <c r="U831">
        <f>IF(COUNTIF($E831, _xlfn.CONCAT("*",Table13[[#Headers],[Mystery]],"*")),1,0)</f>
        <v>0</v>
      </c>
      <c r="V831">
        <f>IF(COUNTIF($E831, _xlfn.CONCAT("*",Table13[[#Headers],[Romance]],"*")),1,0)</f>
        <v>0</v>
      </c>
      <c r="W831">
        <f>IF(COUNTIF($E831, _xlfn.CONCAT("*",Table13[[#Headers],[Science Fiction]],"*")),1,0)</f>
        <v>0</v>
      </c>
      <c r="X831">
        <f>IF(COUNTIF($E831, _xlfn.CONCAT("*",Table13[[#Headers],[TV Movie]],"*")),1,0)</f>
        <v>0</v>
      </c>
      <c r="Y831">
        <f>IF(COUNTIF($E831, _xlfn.CONCAT("*",Table13[[#Headers],[Thriller]],"*")),1,0)</f>
        <v>0</v>
      </c>
      <c r="Z831">
        <f>IF(COUNTIF($E831, _xlfn.CONCAT("*",Table13[[#Headers],[War]],"*")),1,0)</f>
        <v>0</v>
      </c>
      <c r="AA831">
        <f>IF(COUNTIF($E831, _xlfn.CONCAT("*",Table13[[#Headers],[Western]],"*")),1,0)</f>
        <v>0</v>
      </c>
    </row>
    <row r="832" spans="1:27">
      <c r="A832" t="s">
        <v>860</v>
      </c>
      <c r="B832">
        <v>147</v>
      </c>
      <c r="C832">
        <f>MAX(Table13[Rank])-Table13[[#This Row],[Rank]]</f>
        <v>117</v>
      </c>
      <c r="D832" t="s">
        <v>780</v>
      </c>
      <c r="E832" t="s">
        <v>687</v>
      </c>
      <c r="F832" s="1">
        <v>41536</v>
      </c>
      <c r="G832">
        <f>YEAR(Table13[[#This Row],[Date]])</f>
        <v>2013</v>
      </c>
      <c r="H832" t="s">
        <v>860</v>
      </c>
      <c r="I832">
        <f>IF(COUNTIF($E832, _xlfn.CONCAT("*",Table13[[#Headers],[Action]],"*")),1,0)</f>
        <v>0</v>
      </c>
      <c r="J832">
        <f>IF(COUNTIF($E832, _xlfn.CONCAT("*",Table13[[#Headers],[Adventure]],"*")),1,0)</f>
        <v>0</v>
      </c>
      <c r="K832">
        <f>IF(COUNTIF($E832, _xlfn.CONCAT("*",Table13[[#Headers],[Animation]],"*")),1,0)</f>
        <v>0</v>
      </c>
      <c r="L832">
        <f>IF(COUNTIF($E832, _xlfn.CONCAT("*",Table13[[#Headers],[Comedy]],"*")),1,0)</f>
        <v>0</v>
      </c>
      <c r="M832">
        <f>IF(COUNTIF($E832, _xlfn.CONCAT("*",Table13[[#Headers],[Crime]],"*")),1,0)</f>
        <v>1</v>
      </c>
      <c r="N832">
        <f>IF(COUNTIF($E832, _xlfn.CONCAT("*",Table13[[#Headers],[Documentary]],"*")),1,0)</f>
        <v>0</v>
      </c>
      <c r="O832">
        <f>IF(COUNTIF($E832, _xlfn.CONCAT("*",Table13[[#Headers],[Drama]],"*")),1,0)</f>
        <v>1</v>
      </c>
      <c r="P832">
        <f>IF(COUNTIF($E832, _xlfn.CONCAT("*",Table13[[#Headers],[Family]],"*")),1,0)</f>
        <v>0</v>
      </c>
      <c r="Q832">
        <f>IF(COUNTIF($E832, _xlfn.CONCAT("*",Table13[[#Headers],[Fantasy]],"*")),1,0)</f>
        <v>0</v>
      </c>
      <c r="R832">
        <f>IF(COUNTIF($E832, _xlfn.CONCAT("*",Table13[[#Headers],[History]],"*")),1,0)</f>
        <v>0</v>
      </c>
      <c r="S832">
        <f>IF(COUNTIF($E832, _xlfn.CONCAT("*",Table13[[#Headers],[Horror]],"*")),1,0)</f>
        <v>0</v>
      </c>
      <c r="T832">
        <f>IF(COUNTIF($E832, _xlfn.CONCAT("*",Table13[[#Headers],[Music]],"*")),1,0)</f>
        <v>0</v>
      </c>
      <c r="U832">
        <f>IF(COUNTIF($E832, _xlfn.CONCAT("*",Table13[[#Headers],[Mystery]],"*")),1,0)</f>
        <v>0</v>
      </c>
      <c r="V832">
        <f>IF(COUNTIF($E832, _xlfn.CONCAT("*",Table13[[#Headers],[Romance]],"*")),1,0)</f>
        <v>0</v>
      </c>
      <c r="W832">
        <f>IF(COUNTIF($E832, _xlfn.CONCAT("*",Table13[[#Headers],[Science Fiction]],"*")),1,0)</f>
        <v>0</v>
      </c>
      <c r="X832">
        <f>IF(COUNTIF($E832, _xlfn.CONCAT("*",Table13[[#Headers],[TV Movie]],"*")),1,0)</f>
        <v>0</v>
      </c>
      <c r="Y832">
        <f>IF(COUNTIF($E832, _xlfn.CONCAT("*",Table13[[#Headers],[Thriller]],"*")),1,0)</f>
        <v>1</v>
      </c>
      <c r="Z832">
        <f>IF(COUNTIF($E832, _xlfn.CONCAT("*",Table13[[#Headers],[War]],"*")),1,0)</f>
        <v>0</v>
      </c>
      <c r="AA832">
        <f>IF(COUNTIF($E832, _xlfn.CONCAT("*",Table13[[#Headers],[Western]],"*")),1,0)</f>
        <v>0</v>
      </c>
    </row>
    <row r="833" spans="1:27">
      <c r="A833" t="s">
        <v>317</v>
      </c>
      <c r="B833">
        <v>148</v>
      </c>
      <c r="C833">
        <f>MAX(Table13[Rank])-Table13[[#This Row],[Rank]]</f>
        <v>116</v>
      </c>
      <c r="D833" t="s">
        <v>780</v>
      </c>
      <c r="E833" t="s">
        <v>35</v>
      </c>
      <c r="F833" s="1">
        <v>15721</v>
      </c>
      <c r="G833">
        <f>YEAR(Table13[[#This Row],[Date]])</f>
        <v>1943</v>
      </c>
      <c r="H833" t="s">
        <v>317</v>
      </c>
      <c r="I833">
        <f>IF(COUNTIF($E833, _xlfn.CONCAT("*",Table13[[#Headers],[Action]],"*")),1,0)</f>
        <v>0</v>
      </c>
      <c r="J833">
        <f>IF(COUNTIF($E833, _xlfn.CONCAT("*",Table13[[#Headers],[Adventure]],"*")),1,0)</f>
        <v>0</v>
      </c>
      <c r="K833">
        <f>IF(COUNTIF($E833, _xlfn.CONCAT("*",Table13[[#Headers],[Animation]],"*")),1,0)</f>
        <v>0</v>
      </c>
      <c r="L833">
        <f>IF(COUNTIF($E833, _xlfn.CONCAT("*",Table13[[#Headers],[Comedy]],"*")),1,0)</f>
        <v>0</v>
      </c>
      <c r="M833">
        <f>IF(COUNTIF($E833, _xlfn.CONCAT("*",Table13[[#Headers],[Crime]],"*")),1,0)</f>
        <v>0</v>
      </c>
      <c r="N833">
        <f>IF(COUNTIF($E833, _xlfn.CONCAT("*",Table13[[#Headers],[Documentary]],"*")),1,0)</f>
        <v>0</v>
      </c>
      <c r="O833">
        <f>IF(COUNTIF($E833, _xlfn.CONCAT("*",Table13[[#Headers],[Drama]],"*")),1,0)</f>
        <v>1</v>
      </c>
      <c r="P833">
        <f>IF(COUNTIF($E833, _xlfn.CONCAT("*",Table13[[#Headers],[Family]],"*")),1,0)</f>
        <v>0</v>
      </c>
      <c r="Q833">
        <f>IF(COUNTIF($E833, _xlfn.CONCAT("*",Table13[[#Headers],[Fantasy]],"*")),1,0)</f>
        <v>0</v>
      </c>
      <c r="R833">
        <f>IF(COUNTIF($E833, _xlfn.CONCAT("*",Table13[[#Headers],[History]],"*")),1,0)</f>
        <v>0</v>
      </c>
      <c r="S833">
        <f>IF(COUNTIF($E833, _xlfn.CONCAT("*",Table13[[#Headers],[Horror]],"*")),1,0)</f>
        <v>0</v>
      </c>
      <c r="T833">
        <f>IF(COUNTIF($E833, _xlfn.CONCAT("*",Table13[[#Headers],[Music]],"*")),1,0)</f>
        <v>0</v>
      </c>
      <c r="U833">
        <f>IF(COUNTIF($E833, _xlfn.CONCAT("*",Table13[[#Headers],[Mystery]],"*")),1,0)</f>
        <v>0</v>
      </c>
      <c r="V833">
        <f>IF(COUNTIF($E833, _xlfn.CONCAT("*",Table13[[#Headers],[Romance]],"*")),1,0)</f>
        <v>1</v>
      </c>
      <c r="W833">
        <f>IF(COUNTIF($E833, _xlfn.CONCAT("*",Table13[[#Headers],[Science Fiction]],"*")),1,0)</f>
        <v>0</v>
      </c>
      <c r="X833">
        <f>IF(COUNTIF($E833, _xlfn.CONCAT("*",Table13[[#Headers],[TV Movie]],"*")),1,0)</f>
        <v>0</v>
      </c>
      <c r="Y833">
        <f>IF(COUNTIF($E833, _xlfn.CONCAT("*",Table13[[#Headers],[Thriller]],"*")),1,0)</f>
        <v>0</v>
      </c>
      <c r="Z833">
        <f>IF(COUNTIF($E833, _xlfn.CONCAT("*",Table13[[#Headers],[War]],"*")),1,0)</f>
        <v>0</v>
      </c>
      <c r="AA833">
        <f>IF(COUNTIF($E833, _xlfn.CONCAT("*",Table13[[#Headers],[Western]],"*")),1,0)</f>
        <v>0</v>
      </c>
    </row>
    <row r="834" spans="1:27">
      <c r="A834" t="s">
        <v>861</v>
      </c>
      <c r="B834">
        <v>149</v>
      </c>
      <c r="C834">
        <f>MAX(Table13[Rank])-Table13[[#This Row],[Rank]]</f>
        <v>115</v>
      </c>
      <c r="D834" t="s">
        <v>780</v>
      </c>
      <c r="E834" t="s">
        <v>81</v>
      </c>
      <c r="F834" s="1">
        <v>28040</v>
      </c>
      <c r="G834">
        <f>YEAR(Table13[[#This Row],[Date]])</f>
        <v>1976</v>
      </c>
      <c r="H834" t="s">
        <v>861</v>
      </c>
      <c r="I834">
        <f>IF(COUNTIF($E834, _xlfn.CONCAT("*",Table13[[#Headers],[Action]],"*")),1,0)</f>
        <v>0</v>
      </c>
      <c r="J834">
        <f>IF(COUNTIF($E834, _xlfn.CONCAT("*",Table13[[#Headers],[Adventure]],"*")),1,0)</f>
        <v>0</v>
      </c>
      <c r="K834">
        <f>IF(COUNTIF($E834, _xlfn.CONCAT("*",Table13[[#Headers],[Animation]],"*")),1,0)</f>
        <v>0</v>
      </c>
      <c r="L834">
        <f>IF(COUNTIF($E834, _xlfn.CONCAT("*",Table13[[#Headers],[Comedy]],"*")),1,0)</f>
        <v>0</v>
      </c>
      <c r="M834">
        <f>IF(COUNTIF($E834, _xlfn.CONCAT("*",Table13[[#Headers],[Crime]],"*")),1,0)</f>
        <v>0</v>
      </c>
      <c r="N834">
        <f>IF(COUNTIF($E834, _xlfn.CONCAT("*",Table13[[#Headers],[Documentary]],"*")),1,0)</f>
        <v>0</v>
      </c>
      <c r="O834">
        <f>IF(COUNTIF($E834, _xlfn.CONCAT("*",Table13[[#Headers],[Drama]],"*")),1,0)</f>
        <v>1</v>
      </c>
      <c r="P834">
        <f>IF(COUNTIF($E834, _xlfn.CONCAT("*",Table13[[#Headers],[Family]],"*")),1,0)</f>
        <v>0</v>
      </c>
      <c r="Q834">
        <f>IF(COUNTIF($E834, _xlfn.CONCAT("*",Table13[[#Headers],[Fantasy]],"*")),1,0)</f>
        <v>0</v>
      </c>
      <c r="R834">
        <f>IF(COUNTIF($E834, _xlfn.CONCAT("*",Table13[[#Headers],[History]],"*")),1,0)</f>
        <v>0</v>
      </c>
      <c r="S834">
        <f>IF(COUNTIF($E834, _xlfn.CONCAT("*",Table13[[#Headers],[Horror]],"*")),1,0)</f>
        <v>0</v>
      </c>
      <c r="T834">
        <f>IF(COUNTIF($E834, _xlfn.CONCAT("*",Table13[[#Headers],[Music]],"*")),1,0)</f>
        <v>0</v>
      </c>
      <c r="U834">
        <f>IF(COUNTIF($E834, _xlfn.CONCAT("*",Table13[[#Headers],[Mystery]],"*")),1,0)</f>
        <v>0</v>
      </c>
      <c r="V834">
        <f>IF(COUNTIF($E834, _xlfn.CONCAT("*",Table13[[#Headers],[Romance]],"*")),1,0)</f>
        <v>0</v>
      </c>
      <c r="W834">
        <f>IF(COUNTIF($E834, _xlfn.CONCAT("*",Table13[[#Headers],[Science Fiction]],"*")),1,0)</f>
        <v>0</v>
      </c>
      <c r="X834">
        <f>IF(COUNTIF($E834, _xlfn.CONCAT("*",Table13[[#Headers],[TV Movie]],"*")),1,0)</f>
        <v>0</v>
      </c>
      <c r="Y834">
        <f>IF(COUNTIF($E834, _xlfn.CONCAT("*",Table13[[#Headers],[Thriller]],"*")),1,0)</f>
        <v>0</v>
      </c>
      <c r="Z834">
        <f>IF(COUNTIF($E834, _xlfn.CONCAT("*",Table13[[#Headers],[War]],"*")),1,0)</f>
        <v>1</v>
      </c>
      <c r="AA834">
        <f>IF(COUNTIF($E834, _xlfn.CONCAT("*",Table13[[#Headers],[Western]],"*")),1,0)</f>
        <v>0</v>
      </c>
    </row>
    <row r="835" spans="1:27">
      <c r="A835" t="s">
        <v>862</v>
      </c>
      <c r="B835">
        <v>150</v>
      </c>
      <c r="C835">
        <f>MAX(Table13[Rank])-Table13[[#This Row],[Rank]]</f>
        <v>114</v>
      </c>
      <c r="D835" t="s">
        <v>780</v>
      </c>
      <c r="E835" t="s">
        <v>863</v>
      </c>
      <c r="F835" s="1">
        <v>25260</v>
      </c>
      <c r="G835">
        <f>YEAR(Table13[[#This Row],[Date]])</f>
        <v>1969</v>
      </c>
      <c r="H835" t="s">
        <v>862</v>
      </c>
      <c r="I835">
        <f>IF(COUNTIF($E835, _xlfn.CONCAT("*",Table13[[#Headers],[Action]],"*")),1,0)</f>
        <v>0</v>
      </c>
      <c r="J835">
        <f>IF(COUNTIF($E835, _xlfn.CONCAT("*",Table13[[#Headers],[Adventure]],"*")),1,0)</f>
        <v>0</v>
      </c>
      <c r="K835">
        <f>IF(COUNTIF($E835, _xlfn.CONCAT("*",Table13[[#Headers],[Animation]],"*")),1,0)</f>
        <v>0</v>
      </c>
      <c r="L835">
        <f>IF(COUNTIF($E835, _xlfn.CONCAT("*",Table13[[#Headers],[Comedy]],"*")),1,0)</f>
        <v>0</v>
      </c>
      <c r="M835">
        <f>IF(COUNTIF($E835, _xlfn.CONCAT("*",Table13[[#Headers],[Crime]],"*")),1,0)</f>
        <v>1</v>
      </c>
      <c r="N835">
        <f>IF(COUNTIF($E835, _xlfn.CONCAT("*",Table13[[#Headers],[Documentary]],"*")),1,0)</f>
        <v>0</v>
      </c>
      <c r="O835">
        <f>IF(COUNTIF($E835, _xlfn.CONCAT("*",Table13[[#Headers],[Drama]],"*")),1,0)</f>
        <v>1</v>
      </c>
      <c r="P835">
        <f>IF(COUNTIF($E835, _xlfn.CONCAT("*",Table13[[#Headers],[Family]],"*")),1,0)</f>
        <v>0</v>
      </c>
      <c r="Q835">
        <f>IF(COUNTIF($E835, _xlfn.CONCAT("*",Table13[[#Headers],[Fantasy]],"*")),1,0)</f>
        <v>0</v>
      </c>
      <c r="R835">
        <f>IF(COUNTIF($E835, _xlfn.CONCAT("*",Table13[[#Headers],[History]],"*")),1,0)</f>
        <v>0</v>
      </c>
      <c r="S835">
        <f>IF(COUNTIF($E835, _xlfn.CONCAT("*",Table13[[#Headers],[Horror]],"*")),1,0)</f>
        <v>0</v>
      </c>
      <c r="T835">
        <f>IF(COUNTIF($E835, _xlfn.CONCAT("*",Table13[[#Headers],[Music]],"*")),1,0)</f>
        <v>0</v>
      </c>
      <c r="U835">
        <f>IF(COUNTIF($E835, _xlfn.CONCAT("*",Table13[[#Headers],[Mystery]],"*")),1,0)</f>
        <v>0</v>
      </c>
      <c r="V835">
        <f>IF(COUNTIF($E835, _xlfn.CONCAT("*",Table13[[#Headers],[Romance]],"*")),1,0)</f>
        <v>0</v>
      </c>
      <c r="W835">
        <f>IF(COUNTIF($E835, _xlfn.CONCAT("*",Table13[[#Headers],[Science Fiction]],"*")),1,0)</f>
        <v>0</v>
      </c>
      <c r="X835">
        <f>IF(COUNTIF($E835, _xlfn.CONCAT("*",Table13[[#Headers],[TV Movie]],"*")),1,0)</f>
        <v>0</v>
      </c>
      <c r="Y835">
        <f>IF(COUNTIF($E835, _xlfn.CONCAT("*",Table13[[#Headers],[Thriller]],"*")),1,0)</f>
        <v>1</v>
      </c>
      <c r="Z835">
        <f>IF(COUNTIF($E835, _xlfn.CONCAT("*",Table13[[#Headers],[War]],"*")),1,0)</f>
        <v>0</v>
      </c>
      <c r="AA835">
        <f>IF(COUNTIF($E835, _xlfn.CONCAT("*",Table13[[#Headers],[Western]],"*")),1,0)</f>
        <v>0</v>
      </c>
    </row>
    <row r="836" spans="1:27">
      <c r="A836" t="s">
        <v>636</v>
      </c>
      <c r="B836">
        <v>151</v>
      </c>
      <c r="C836">
        <f>MAX(Table13[Rank])-Table13[[#This Row],[Rank]]</f>
        <v>113</v>
      </c>
      <c r="D836" t="s">
        <v>780</v>
      </c>
      <c r="E836" t="s">
        <v>512</v>
      </c>
      <c r="F836" s="1">
        <v>33422</v>
      </c>
      <c r="G836">
        <f>YEAR(Table13[[#This Row],[Date]])</f>
        <v>1991</v>
      </c>
      <c r="H836" t="s">
        <v>636</v>
      </c>
      <c r="I836">
        <f>IF(COUNTIF($E836, _xlfn.CONCAT("*",Table13[[#Headers],[Action]],"*")),1,0)</f>
        <v>1</v>
      </c>
      <c r="J836">
        <f>IF(COUNTIF($E836, _xlfn.CONCAT("*",Table13[[#Headers],[Adventure]],"*")),1,0)</f>
        <v>0</v>
      </c>
      <c r="K836">
        <f>IF(COUNTIF($E836, _xlfn.CONCAT("*",Table13[[#Headers],[Animation]],"*")),1,0)</f>
        <v>0</v>
      </c>
      <c r="L836">
        <f>IF(COUNTIF($E836, _xlfn.CONCAT("*",Table13[[#Headers],[Comedy]],"*")),1,0)</f>
        <v>0</v>
      </c>
      <c r="M836">
        <f>IF(COUNTIF($E836, _xlfn.CONCAT("*",Table13[[#Headers],[Crime]],"*")),1,0)</f>
        <v>0</v>
      </c>
      <c r="N836">
        <f>IF(COUNTIF($E836, _xlfn.CONCAT("*",Table13[[#Headers],[Documentary]],"*")),1,0)</f>
        <v>0</v>
      </c>
      <c r="O836">
        <f>IF(COUNTIF($E836, _xlfn.CONCAT("*",Table13[[#Headers],[Drama]],"*")),1,0)</f>
        <v>0</v>
      </c>
      <c r="P836">
        <f>IF(COUNTIF($E836, _xlfn.CONCAT("*",Table13[[#Headers],[Family]],"*")),1,0)</f>
        <v>0</v>
      </c>
      <c r="Q836">
        <f>IF(COUNTIF($E836, _xlfn.CONCAT("*",Table13[[#Headers],[Fantasy]],"*")),1,0)</f>
        <v>0</v>
      </c>
      <c r="R836">
        <f>IF(COUNTIF($E836, _xlfn.CONCAT("*",Table13[[#Headers],[History]],"*")),1,0)</f>
        <v>0</v>
      </c>
      <c r="S836">
        <f>IF(COUNTIF($E836, _xlfn.CONCAT("*",Table13[[#Headers],[Horror]],"*")),1,0)</f>
        <v>0</v>
      </c>
      <c r="T836">
        <f>IF(COUNTIF($E836, _xlfn.CONCAT("*",Table13[[#Headers],[Music]],"*")),1,0)</f>
        <v>0</v>
      </c>
      <c r="U836">
        <f>IF(COUNTIF($E836, _xlfn.CONCAT("*",Table13[[#Headers],[Mystery]],"*")),1,0)</f>
        <v>0</v>
      </c>
      <c r="V836">
        <f>IF(COUNTIF($E836, _xlfn.CONCAT("*",Table13[[#Headers],[Romance]],"*")),1,0)</f>
        <v>0</v>
      </c>
      <c r="W836">
        <f>IF(COUNTIF($E836, _xlfn.CONCAT("*",Table13[[#Headers],[Science Fiction]],"*")),1,0)</f>
        <v>1</v>
      </c>
      <c r="X836">
        <f>IF(COUNTIF($E836, _xlfn.CONCAT("*",Table13[[#Headers],[TV Movie]],"*")),1,0)</f>
        <v>0</v>
      </c>
      <c r="Y836">
        <f>IF(COUNTIF($E836, _xlfn.CONCAT("*",Table13[[#Headers],[Thriller]],"*")),1,0)</f>
        <v>1</v>
      </c>
      <c r="Z836">
        <f>IF(COUNTIF($E836, _xlfn.CONCAT("*",Table13[[#Headers],[War]],"*")),1,0)</f>
        <v>0</v>
      </c>
      <c r="AA836">
        <f>IF(COUNTIF($E836, _xlfn.CONCAT("*",Table13[[#Headers],[Western]],"*")),1,0)</f>
        <v>0</v>
      </c>
    </row>
    <row r="837" spans="1:27">
      <c r="A837" t="s">
        <v>290</v>
      </c>
      <c r="B837">
        <v>152</v>
      </c>
      <c r="C837">
        <f>MAX(Table13[Rank])-Table13[[#This Row],[Rank]]</f>
        <v>112</v>
      </c>
      <c r="D837" t="s">
        <v>780</v>
      </c>
      <c r="E837" t="s">
        <v>164</v>
      </c>
      <c r="F837" s="1">
        <v>13185</v>
      </c>
      <c r="G837">
        <f>YEAR(Table13[[#This Row],[Date]])</f>
        <v>1936</v>
      </c>
      <c r="H837" t="s">
        <v>290</v>
      </c>
      <c r="I837">
        <f>IF(COUNTIF($E837, _xlfn.CONCAT("*",Table13[[#Headers],[Action]],"*")),1,0)</f>
        <v>0</v>
      </c>
      <c r="J837">
        <f>IF(COUNTIF($E837, _xlfn.CONCAT("*",Table13[[#Headers],[Adventure]],"*")),1,0)</f>
        <v>0</v>
      </c>
      <c r="K837">
        <f>IF(COUNTIF($E837, _xlfn.CONCAT("*",Table13[[#Headers],[Animation]],"*")),1,0)</f>
        <v>0</v>
      </c>
      <c r="L837">
        <f>IF(COUNTIF($E837, _xlfn.CONCAT("*",Table13[[#Headers],[Comedy]],"*")),1,0)</f>
        <v>1</v>
      </c>
      <c r="M837">
        <f>IF(COUNTIF($E837, _xlfn.CONCAT("*",Table13[[#Headers],[Crime]],"*")),1,0)</f>
        <v>0</v>
      </c>
      <c r="N837">
        <f>IF(COUNTIF($E837, _xlfn.CONCAT("*",Table13[[#Headers],[Documentary]],"*")),1,0)</f>
        <v>0</v>
      </c>
      <c r="O837">
        <f>IF(COUNTIF($E837, _xlfn.CONCAT("*",Table13[[#Headers],[Drama]],"*")),1,0)</f>
        <v>1</v>
      </c>
      <c r="P837">
        <f>IF(COUNTIF($E837, _xlfn.CONCAT("*",Table13[[#Headers],[Family]],"*")),1,0)</f>
        <v>0</v>
      </c>
      <c r="Q837">
        <f>IF(COUNTIF($E837, _xlfn.CONCAT("*",Table13[[#Headers],[Fantasy]],"*")),1,0)</f>
        <v>0</v>
      </c>
      <c r="R837">
        <f>IF(COUNTIF($E837, _xlfn.CONCAT("*",Table13[[#Headers],[History]],"*")),1,0)</f>
        <v>0</v>
      </c>
      <c r="S837">
        <f>IF(COUNTIF($E837, _xlfn.CONCAT("*",Table13[[#Headers],[Horror]],"*")),1,0)</f>
        <v>0</v>
      </c>
      <c r="T837">
        <f>IF(COUNTIF($E837, _xlfn.CONCAT("*",Table13[[#Headers],[Music]],"*")),1,0)</f>
        <v>0</v>
      </c>
      <c r="U837">
        <f>IF(COUNTIF($E837, _xlfn.CONCAT("*",Table13[[#Headers],[Mystery]],"*")),1,0)</f>
        <v>0</v>
      </c>
      <c r="V837">
        <f>IF(COUNTIF($E837, _xlfn.CONCAT("*",Table13[[#Headers],[Romance]],"*")),1,0)</f>
        <v>0</v>
      </c>
      <c r="W837">
        <f>IF(COUNTIF($E837, _xlfn.CONCAT("*",Table13[[#Headers],[Science Fiction]],"*")),1,0)</f>
        <v>0</v>
      </c>
      <c r="X837">
        <f>IF(COUNTIF($E837, _xlfn.CONCAT("*",Table13[[#Headers],[TV Movie]],"*")),1,0)</f>
        <v>0</v>
      </c>
      <c r="Y837">
        <f>IF(COUNTIF($E837, _xlfn.CONCAT("*",Table13[[#Headers],[Thriller]],"*")),1,0)</f>
        <v>0</v>
      </c>
      <c r="Z837">
        <f>IF(COUNTIF($E837, _xlfn.CONCAT("*",Table13[[#Headers],[War]],"*")),1,0)</f>
        <v>0</v>
      </c>
      <c r="AA837">
        <f>IF(COUNTIF($E837, _xlfn.CONCAT("*",Table13[[#Headers],[Western]],"*")),1,0)</f>
        <v>0</v>
      </c>
    </row>
    <row r="838" spans="1:27">
      <c r="A838" t="s">
        <v>216</v>
      </c>
      <c r="B838">
        <v>153</v>
      </c>
      <c r="C838">
        <f>MAX(Table13[Rank])-Table13[[#This Row],[Rank]]</f>
        <v>111</v>
      </c>
      <c r="D838" t="s">
        <v>780</v>
      </c>
      <c r="E838" t="s">
        <v>217</v>
      </c>
      <c r="F838" s="1">
        <v>34587</v>
      </c>
      <c r="G838">
        <f>YEAR(Table13[[#This Row],[Date]])</f>
        <v>1994</v>
      </c>
      <c r="H838" t="s">
        <v>216</v>
      </c>
      <c r="I838">
        <f>IF(COUNTIF($E838, _xlfn.CONCAT("*",Table13[[#Headers],[Action]],"*")),1,0)</f>
        <v>0</v>
      </c>
      <c r="J838">
        <f>IF(COUNTIF($E838, _xlfn.CONCAT("*",Table13[[#Headers],[Adventure]],"*")),1,0)</f>
        <v>0</v>
      </c>
      <c r="K838">
        <f>IF(COUNTIF($E838, _xlfn.CONCAT("*",Table13[[#Headers],[Animation]],"*")),1,0)</f>
        <v>0</v>
      </c>
      <c r="L838">
        <f>IF(COUNTIF($E838, _xlfn.CONCAT("*",Table13[[#Headers],[Comedy]],"*")),1,0)</f>
        <v>0</v>
      </c>
      <c r="M838">
        <f>IF(COUNTIF($E838, _xlfn.CONCAT("*",Table13[[#Headers],[Crime]],"*")),1,0)</f>
        <v>1</v>
      </c>
      <c r="N838">
        <f>IF(COUNTIF($E838, _xlfn.CONCAT("*",Table13[[#Headers],[Documentary]],"*")),1,0)</f>
        <v>0</v>
      </c>
      <c r="O838">
        <f>IF(COUNTIF($E838, _xlfn.CONCAT("*",Table13[[#Headers],[Drama]],"*")),1,0)</f>
        <v>0</v>
      </c>
      <c r="P838">
        <f>IF(COUNTIF($E838, _xlfn.CONCAT("*",Table13[[#Headers],[Family]],"*")),1,0)</f>
        <v>0</v>
      </c>
      <c r="Q838">
        <f>IF(COUNTIF($E838, _xlfn.CONCAT("*",Table13[[#Headers],[Fantasy]],"*")),1,0)</f>
        <v>0</v>
      </c>
      <c r="R838">
        <f>IF(COUNTIF($E838, _xlfn.CONCAT("*",Table13[[#Headers],[History]],"*")),1,0)</f>
        <v>0</v>
      </c>
      <c r="S838">
        <f>IF(COUNTIF($E838, _xlfn.CONCAT("*",Table13[[#Headers],[Horror]],"*")),1,0)</f>
        <v>0</v>
      </c>
      <c r="T838">
        <f>IF(COUNTIF($E838, _xlfn.CONCAT("*",Table13[[#Headers],[Music]],"*")),1,0)</f>
        <v>0</v>
      </c>
      <c r="U838">
        <f>IF(COUNTIF($E838, _xlfn.CONCAT("*",Table13[[#Headers],[Mystery]],"*")),1,0)</f>
        <v>0</v>
      </c>
      <c r="V838">
        <f>IF(COUNTIF($E838, _xlfn.CONCAT("*",Table13[[#Headers],[Romance]],"*")),1,0)</f>
        <v>0</v>
      </c>
      <c r="W838">
        <f>IF(COUNTIF($E838, _xlfn.CONCAT("*",Table13[[#Headers],[Science Fiction]],"*")),1,0)</f>
        <v>0</v>
      </c>
      <c r="X838">
        <f>IF(COUNTIF($E838, _xlfn.CONCAT("*",Table13[[#Headers],[TV Movie]],"*")),1,0)</f>
        <v>0</v>
      </c>
      <c r="Y838">
        <f>IF(COUNTIF($E838, _xlfn.CONCAT("*",Table13[[#Headers],[Thriller]],"*")),1,0)</f>
        <v>1</v>
      </c>
      <c r="Z838">
        <f>IF(COUNTIF($E838, _xlfn.CONCAT("*",Table13[[#Headers],[War]],"*")),1,0)</f>
        <v>0</v>
      </c>
      <c r="AA838">
        <f>IF(COUNTIF($E838, _xlfn.CONCAT("*",Table13[[#Headers],[Western]],"*")),1,0)</f>
        <v>0</v>
      </c>
    </row>
    <row r="839" spans="1:27">
      <c r="A839" t="s">
        <v>634</v>
      </c>
      <c r="B839">
        <v>154</v>
      </c>
      <c r="C839">
        <f>MAX(Table13[Rank])-Table13[[#This Row],[Rank]]</f>
        <v>110</v>
      </c>
      <c r="D839" t="s">
        <v>780</v>
      </c>
      <c r="E839" t="s">
        <v>21</v>
      </c>
      <c r="F839" s="1">
        <v>36448</v>
      </c>
      <c r="G839">
        <f>YEAR(Table13[[#This Row],[Date]])</f>
        <v>1999</v>
      </c>
      <c r="H839" t="s">
        <v>634</v>
      </c>
      <c r="I839">
        <f>IF(COUNTIF($E839, _xlfn.CONCAT("*",Table13[[#Headers],[Action]],"*")),1,0)</f>
        <v>0</v>
      </c>
      <c r="J839">
        <f>IF(COUNTIF($E839, _xlfn.CONCAT("*",Table13[[#Headers],[Adventure]],"*")),1,0)</f>
        <v>0</v>
      </c>
      <c r="K839">
        <f>IF(COUNTIF($E839, _xlfn.CONCAT("*",Table13[[#Headers],[Animation]],"*")),1,0)</f>
        <v>0</v>
      </c>
      <c r="L839">
        <f>IF(COUNTIF($E839, _xlfn.CONCAT("*",Table13[[#Headers],[Comedy]],"*")),1,0)</f>
        <v>0</v>
      </c>
      <c r="M839">
        <f>IF(COUNTIF($E839, _xlfn.CONCAT("*",Table13[[#Headers],[Crime]],"*")),1,0)</f>
        <v>0</v>
      </c>
      <c r="N839">
        <f>IF(COUNTIF($E839, _xlfn.CONCAT("*",Table13[[#Headers],[Documentary]],"*")),1,0)</f>
        <v>0</v>
      </c>
      <c r="O839">
        <f>IF(COUNTIF($E839, _xlfn.CONCAT("*",Table13[[#Headers],[Drama]],"*")),1,0)</f>
        <v>1</v>
      </c>
      <c r="P839">
        <f>IF(COUNTIF($E839, _xlfn.CONCAT("*",Table13[[#Headers],[Family]],"*")),1,0)</f>
        <v>0</v>
      </c>
      <c r="Q839">
        <f>IF(COUNTIF($E839, _xlfn.CONCAT("*",Table13[[#Headers],[Fantasy]],"*")),1,0)</f>
        <v>0</v>
      </c>
      <c r="R839">
        <f>IF(COUNTIF($E839, _xlfn.CONCAT("*",Table13[[#Headers],[History]],"*")),1,0)</f>
        <v>0</v>
      </c>
      <c r="S839">
        <f>IF(COUNTIF($E839, _xlfn.CONCAT("*",Table13[[#Headers],[Horror]],"*")),1,0)</f>
        <v>0</v>
      </c>
      <c r="T839">
        <f>IF(COUNTIF($E839, _xlfn.CONCAT("*",Table13[[#Headers],[Music]],"*")),1,0)</f>
        <v>0</v>
      </c>
      <c r="U839">
        <f>IF(COUNTIF($E839, _xlfn.CONCAT("*",Table13[[#Headers],[Mystery]],"*")),1,0)</f>
        <v>0</v>
      </c>
      <c r="V839">
        <f>IF(COUNTIF($E839, _xlfn.CONCAT("*",Table13[[#Headers],[Romance]],"*")),1,0)</f>
        <v>0</v>
      </c>
      <c r="W839">
        <f>IF(COUNTIF($E839, _xlfn.CONCAT("*",Table13[[#Headers],[Science Fiction]],"*")),1,0)</f>
        <v>0</v>
      </c>
      <c r="X839">
        <f>IF(COUNTIF($E839, _xlfn.CONCAT("*",Table13[[#Headers],[TV Movie]],"*")),1,0)</f>
        <v>0</v>
      </c>
      <c r="Y839">
        <f>IF(COUNTIF($E839, _xlfn.CONCAT("*",Table13[[#Headers],[Thriller]],"*")),1,0)</f>
        <v>0</v>
      </c>
      <c r="Z839">
        <f>IF(COUNTIF($E839, _xlfn.CONCAT("*",Table13[[#Headers],[War]],"*")),1,0)</f>
        <v>0</v>
      </c>
      <c r="AA839">
        <f>IF(COUNTIF($E839, _xlfn.CONCAT("*",Table13[[#Headers],[Western]],"*")),1,0)</f>
        <v>0</v>
      </c>
    </row>
    <row r="840" spans="1:27">
      <c r="A840" t="s">
        <v>775</v>
      </c>
      <c r="B840">
        <v>155</v>
      </c>
      <c r="C840">
        <f>MAX(Table13[Rank])-Table13[[#This Row],[Rank]]</f>
        <v>109</v>
      </c>
      <c r="D840" t="s">
        <v>780</v>
      </c>
      <c r="E840" t="s">
        <v>21</v>
      </c>
      <c r="F840" s="1">
        <v>35769</v>
      </c>
      <c r="G840">
        <f>YEAR(Table13[[#This Row],[Date]])</f>
        <v>1997</v>
      </c>
      <c r="H840" t="s">
        <v>775</v>
      </c>
      <c r="I840">
        <f>IF(COUNTIF($E840, _xlfn.CONCAT("*",Table13[[#Headers],[Action]],"*")),1,0)</f>
        <v>0</v>
      </c>
      <c r="J840">
        <f>IF(COUNTIF($E840, _xlfn.CONCAT("*",Table13[[#Headers],[Adventure]],"*")),1,0)</f>
        <v>0</v>
      </c>
      <c r="K840">
        <f>IF(COUNTIF($E840, _xlfn.CONCAT("*",Table13[[#Headers],[Animation]],"*")),1,0)</f>
        <v>0</v>
      </c>
      <c r="L840">
        <f>IF(COUNTIF($E840, _xlfn.CONCAT("*",Table13[[#Headers],[Comedy]],"*")),1,0)</f>
        <v>0</v>
      </c>
      <c r="M840">
        <f>IF(COUNTIF($E840, _xlfn.CONCAT("*",Table13[[#Headers],[Crime]],"*")),1,0)</f>
        <v>0</v>
      </c>
      <c r="N840">
        <f>IF(COUNTIF($E840, _xlfn.CONCAT("*",Table13[[#Headers],[Documentary]],"*")),1,0)</f>
        <v>0</v>
      </c>
      <c r="O840">
        <f>IF(COUNTIF($E840, _xlfn.CONCAT("*",Table13[[#Headers],[Drama]],"*")),1,0)</f>
        <v>1</v>
      </c>
      <c r="P840">
        <f>IF(COUNTIF($E840, _xlfn.CONCAT("*",Table13[[#Headers],[Family]],"*")),1,0)</f>
        <v>0</v>
      </c>
      <c r="Q840">
        <f>IF(COUNTIF($E840, _xlfn.CONCAT("*",Table13[[#Headers],[Fantasy]],"*")),1,0)</f>
        <v>0</v>
      </c>
      <c r="R840">
        <f>IF(COUNTIF($E840, _xlfn.CONCAT("*",Table13[[#Headers],[History]],"*")),1,0)</f>
        <v>0</v>
      </c>
      <c r="S840">
        <f>IF(COUNTIF($E840, _xlfn.CONCAT("*",Table13[[#Headers],[Horror]],"*")),1,0)</f>
        <v>0</v>
      </c>
      <c r="T840">
        <f>IF(COUNTIF($E840, _xlfn.CONCAT("*",Table13[[#Headers],[Music]],"*")),1,0)</f>
        <v>0</v>
      </c>
      <c r="U840">
        <f>IF(COUNTIF($E840, _xlfn.CONCAT("*",Table13[[#Headers],[Mystery]],"*")),1,0)</f>
        <v>0</v>
      </c>
      <c r="V840">
        <f>IF(COUNTIF($E840, _xlfn.CONCAT("*",Table13[[#Headers],[Romance]],"*")),1,0)</f>
        <v>0</v>
      </c>
      <c r="W840">
        <f>IF(COUNTIF($E840, _xlfn.CONCAT("*",Table13[[#Headers],[Science Fiction]],"*")),1,0)</f>
        <v>0</v>
      </c>
      <c r="X840">
        <f>IF(COUNTIF($E840, _xlfn.CONCAT("*",Table13[[#Headers],[TV Movie]],"*")),1,0)</f>
        <v>0</v>
      </c>
      <c r="Y840">
        <f>IF(COUNTIF($E840, _xlfn.CONCAT("*",Table13[[#Headers],[Thriller]],"*")),1,0)</f>
        <v>0</v>
      </c>
      <c r="Z840">
        <f>IF(COUNTIF($E840, _xlfn.CONCAT("*",Table13[[#Headers],[War]],"*")),1,0)</f>
        <v>0</v>
      </c>
      <c r="AA840">
        <f>IF(COUNTIF($E840, _xlfn.CONCAT("*",Table13[[#Headers],[Western]],"*")),1,0)</f>
        <v>0</v>
      </c>
    </row>
    <row r="841" spans="1:27">
      <c r="A841" t="s">
        <v>864</v>
      </c>
      <c r="B841">
        <v>156</v>
      </c>
      <c r="C841">
        <f>MAX(Table13[Rank])-Table13[[#This Row],[Rank]]</f>
        <v>108</v>
      </c>
      <c r="D841" t="s">
        <v>780</v>
      </c>
      <c r="E841" t="s">
        <v>164</v>
      </c>
      <c r="F841" s="1">
        <v>21951</v>
      </c>
      <c r="G841">
        <f>YEAR(Table13[[#This Row],[Date]])</f>
        <v>1960</v>
      </c>
      <c r="H841" t="s">
        <v>864</v>
      </c>
      <c r="I841">
        <f>IF(COUNTIF($E841, _xlfn.CONCAT("*",Table13[[#Headers],[Action]],"*")),1,0)</f>
        <v>0</v>
      </c>
      <c r="J841">
        <f>IF(COUNTIF($E841, _xlfn.CONCAT("*",Table13[[#Headers],[Adventure]],"*")),1,0)</f>
        <v>0</v>
      </c>
      <c r="K841">
        <f>IF(COUNTIF($E841, _xlfn.CONCAT("*",Table13[[#Headers],[Animation]],"*")),1,0)</f>
        <v>0</v>
      </c>
      <c r="L841">
        <f>IF(COUNTIF($E841, _xlfn.CONCAT("*",Table13[[#Headers],[Comedy]],"*")),1,0)</f>
        <v>1</v>
      </c>
      <c r="M841">
        <f>IF(COUNTIF($E841, _xlfn.CONCAT("*",Table13[[#Headers],[Crime]],"*")),1,0)</f>
        <v>0</v>
      </c>
      <c r="N841">
        <f>IF(COUNTIF($E841, _xlfn.CONCAT("*",Table13[[#Headers],[Documentary]],"*")),1,0)</f>
        <v>0</v>
      </c>
      <c r="O841">
        <f>IF(COUNTIF($E841, _xlfn.CONCAT("*",Table13[[#Headers],[Drama]],"*")),1,0)</f>
        <v>1</v>
      </c>
      <c r="P841">
        <f>IF(COUNTIF($E841, _xlfn.CONCAT("*",Table13[[#Headers],[Family]],"*")),1,0)</f>
        <v>0</v>
      </c>
      <c r="Q841">
        <f>IF(COUNTIF($E841, _xlfn.CONCAT("*",Table13[[#Headers],[Fantasy]],"*")),1,0)</f>
        <v>0</v>
      </c>
      <c r="R841">
        <f>IF(COUNTIF($E841, _xlfn.CONCAT("*",Table13[[#Headers],[History]],"*")),1,0)</f>
        <v>0</v>
      </c>
      <c r="S841">
        <f>IF(COUNTIF($E841, _xlfn.CONCAT("*",Table13[[#Headers],[Horror]],"*")),1,0)</f>
        <v>0</v>
      </c>
      <c r="T841">
        <f>IF(COUNTIF($E841, _xlfn.CONCAT("*",Table13[[#Headers],[Music]],"*")),1,0)</f>
        <v>0</v>
      </c>
      <c r="U841">
        <f>IF(COUNTIF($E841, _xlfn.CONCAT("*",Table13[[#Headers],[Mystery]],"*")),1,0)</f>
        <v>0</v>
      </c>
      <c r="V841">
        <f>IF(COUNTIF($E841, _xlfn.CONCAT("*",Table13[[#Headers],[Romance]],"*")),1,0)</f>
        <v>0</v>
      </c>
      <c r="W841">
        <f>IF(COUNTIF($E841, _xlfn.CONCAT("*",Table13[[#Headers],[Science Fiction]],"*")),1,0)</f>
        <v>0</v>
      </c>
      <c r="X841">
        <f>IF(COUNTIF($E841, _xlfn.CONCAT("*",Table13[[#Headers],[TV Movie]],"*")),1,0)</f>
        <v>0</v>
      </c>
      <c r="Y841">
        <f>IF(COUNTIF($E841, _xlfn.CONCAT("*",Table13[[#Headers],[Thriller]],"*")),1,0)</f>
        <v>0</v>
      </c>
      <c r="Z841">
        <f>IF(COUNTIF($E841, _xlfn.CONCAT("*",Table13[[#Headers],[War]],"*")),1,0)</f>
        <v>0</v>
      </c>
      <c r="AA841">
        <f>IF(COUNTIF($E841, _xlfn.CONCAT("*",Table13[[#Headers],[Western]],"*")),1,0)</f>
        <v>0</v>
      </c>
    </row>
    <row r="842" spans="1:27">
      <c r="A842" t="s">
        <v>865</v>
      </c>
      <c r="B842">
        <v>157</v>
      </c>
      <c r="C842">
        <f>MAX(Table13[Rank])-Table13[[#This Row],[Rank]]</f>
        <v>107</v>
      </c>
      <c r="D842" t="s">
        <v>780</v>
      </c>
      <c r="E842" t="s">
        <v>21</v>
      </c>
      <c r="F842" s="1">
        <v>33590</v>
      </c>
      <c r="G842">
        <f>YEAR(Table13[[#This Row],[Date]])</f>
        <v>1991</v>
      </c>
      <c r="H842" t="s">
        <v>865</v>
      </c>
      <c r="I842">
        <f>IF(COUNTIF($E842, _xlfn.CONCAT("*",Table13[[#Headers],[Action]],"*")),1,0)</f>
        <v>0</v>
      </c>
      <c r="J842">
        <f>IF(COUNTIF($E842, _xlfn.CONCAT("*",Table13[[#Headers],[Adventure]],"*")),1,0)</f>
        <v>0</v>
      </c>
      <c r="K842">
        <f>IF(COUNTIF($E842, _xlfn.CONCAT("*",Table13[[#Headers],[Animation]],"*")),1,0)</f>
        <v>0</v>
      </c>
      <c r="L842">
        <f>IF(COUNTIF($E842, _xlfn.CONCAT("*",Table13[[#Headers],[Comedy]],"*")),1,0)</f>
        <v>0</v>
      </c>
      <c r="M842">
        <f>IF(COUNTIF($E842, _xlfn.CONCAT("*",Table13[[#Headers],[Crime]],"*")),1,0)</f>
        <v>0</v>
      </c>
      <c r="N842">
        <f>IF(COUNTIF($E842, _xlfn.CONCAT("*",Table13[[#Headers],[Documentary]],"*")),1,0)</f>
        <v>0</v>
      </c>
      <c r="O842">
        <f>IF(COUNTIF($E842, _xlfn.CONCAT("*",Table13[[#Headers],[Drama]],"*")),1,0)</f>
        <v>1</v>
      </c>
      <c r="P842">
        <f>IF(COUNTIF($E842, _xlfn.CONCAT("*",Table13[[#Headers],[Family]],"*")),1,0)</f>
        <v>0</v>
      </c>
      <c r="Q842">
        <f>IF(COUNTIF($E842, _xlfn.CONCAT("*",Table13[[#Headers],[Fantasy]],"*")),1,0)</f>
        <v>0</v>
      </c>
      <c r="R842">
        <f>IF(COUNTIF($E842, _xlfn.CONCAT("*",Table13[[#Headers],[History]],"*")),1,0)</f>
        <v>0</v>
      </c>
      <c r="S842">
        <f>IF(COUNTIF($E842, _xlfn.CONCAT("*",Table13[[#Headers],[Horror]],"*")),1,0)</f>
        <v>0</v>
      </c>
      <c r="T842">
        <f>IF(COUNTIF($E842, _xlfn.CONCAT("*",Table13[[#Headers],[Music]],"*")),1,0)</f>
        <v>0</v>
      </c>
      <c r="U842">
        <f>IF(COUNTIF($E842, _xlfn.CONCAT("*",Table13[[#Headers],[Mystery]],"*")),1,0)</f>
        <v>0</v>
      </c>
      <c r="V842">
        <f>IF(COUNTIF($E842, _xlfn.CONCAT("*",Table13[[#Headers],[Romance]],"*")),1,0)</f>
        <v>0</v>
      </c>
      <c r="W842">
        <f>IF(COUNTIF($E842, _xlfn.CONCAT("*",Table13[[#Headers],[Science Fiction]],"*")),1,0)</f>
        <v>0</v>
      </c>
      <c r="X842">
        <f>IF(COUNTIF($E842, _xlfn.CONCAT("*",Table13[[#Headers],[TV Movie]],"*")),1,0)</f>
        <v>0</v>
      </c>
      <c r="Y842">
        <f>IF(COUNTIF($E842, _xlfn.CONCAT("*",Table13[[#Headers],[Thriller]],"*")),1,0)</f>
        <v>0</v>
      </c>
      <c r="Z842">
        <f>IF(COUNTIF($E842, _xlfn.CONCAT("*",Table13[[#Headers],[War]],"*")),1,0)</f>
        <v>0</v>
      </c>
      <c r="AA842">
        <f>IF(COUNTIF($E842, _xlfn.CONCAT("*",Table13[[#Headers],[Western]],"*")),1,0)</f>
        <v>0</v>
      </c>
    </row>
    <row r="843" spans="1:27">
      <c r="A843" t="s">
        <v>866</v>
      </c>
      <c r="B843">
        <v>158</v>
      </c>
      <c r="C843">
        <f>MAX(Table13[Rank])-Table13[[#This Row],[Rank]]</f>
        <v>106</v>
      </c>
      <c r="D843" t="s">
        <v>780</v>
      </c>
      <c r="E843" t="s">
        <v>867</v>
      </c>
      <c r="F843" s="1">
        <v>20688</v>
      </c>
      <c r="G843">
        <f>YEAR(Table13[[#This Row],[Date]])</f>
        <v>1956</v>
      </c>
      <c r="H843" t="s">
        <v>866</v>
      </c>
      <c r="I843">
        <f>IF(COUNTIF($E843, _xlfn.CONCAT("*",Table13[[#Headers],[Action]],"*")),1,0)</f>
        <v>0</v>
      </c>
      <c r="J843">
        <f>IF(COUNTIF($E843, _xlfn.CONCAT("*",Table13[[#Headers],[Adventure]],"*")),1,0)</f>
        <v>0</v>
      </c>
      <c r="K843">
        <f>IF(COUNTIF($E843, _xlfn.CONCAT("*",Table13[[#Headers],[Animation]],"*")),1,0)</f>
        <v>0</v>
      </c>
      <c r="L843">
        <f>IF(COUNTIF($E843, _xlfn.CONCAT("*",Table13[[#Headers],[Comedy]],"*")),1,0)</f>
        <v>0</v>
      </c>
      <c r="M843">
        <f>IF(COUNTIF($E843, _xlfn.CONCAT("*",Table13[[#Headers],[Crime]],"*")),1,0)</f>
        <v>0</v>
      </c>
      <c r="N843">
        <f>IF(COUNTIF($E843, _xlfn.CONCAT("*",Table13[[#Headers],[Documentary]],"*")),1,0)</f>
        <v>0</v>
      </c>
      <c r="O843">
        <f>IF(COUNTIF($E843, _xlfn.CONCAT("*",Table13[[#Headers],[Drama]],"*")),1,0)</f>
        <v>1</v>
      </c>
      <c r="P843">
        <f>IF(COUNTIF($E843, _xlfn.CONCAT("*",Table13[[#Headers],[Family]],"*")),1,0)</f>
        <v>0</v>
      </c>
      <c r="Q843">
        <f>IF(COUNTIF($E843, _xlfn.CONCAT("*",Table13[[#Headers],[Fantasy]],"*")),1,0)</f>
        <v>0</v>
      </c>
      <c r="R843">
        <f>IF(COUNTIF($E843, _xlfn.CONCAT("*",Table13[[#Headers],[History]],"*")),1,0)</f>
        <v>1</v>
      </c>
      <c r="S843">
        <f>IF(COUNTIF($E843, _xlfn.CONCAT("*",Table13[[#Headers],[Horror]],"*")),1,0)</f>
        <v>0</v>
      </c>
      <c r="T843">
        <f>IF(COUNTIF($E843, _xlfn.CONCAT("*",Table13[[#Headers],[Music]],"*")),1,0)</f>
        <v>0</v>
      </c>
      <c r="U843">
        <f>IF(COUNTIF($E843, _xlfn.CONCAT("*",Table13[[#Headers],[Mystery]],"*")),1,0)</f>
        <v>0</v>
      </c>
      <c r="V843">
        <f>IF(COUNTIF($E843, _xlfn.CONCAT("*",Table13[[#Headers],[Romance]],"*")),1,0)</f>
        <v>1</v>
      </c>
      <c r="W843">
        <f>IF(COUNTIF($E843, _xlfn.CONCAT("*",Table13[[#Headers],[Science Fiction]],"*")),1,0)</f>
        <v>0</v>
      </c>
      <c r="X843">
        <f>IF(COUNTIF($E843, _xlfn.CONCAT("*",Table13[[#Headers],[TV Movie]],"*")),1,0)</f>
        <v>0</v>
      </c>
      <c r="Y843">
        <f>IF(COUNTIF($E843, _xlfn.CONCAT("*",Table13[[#Headers],[Thriller]],"*")),1,0)</f>
        <v>0</v>
      </c>
      <c r="Z843">
        <f>IF(COUNTIF($E843, _xlfn.CONCAT("*",Table13[[#Headers],[War]],"*")),1,0)</f>
        <v>1</v>
      </c>
      <c r="AA843">
        <f>IF(COUNTIF($E843, _xlfn.CONCAT("*",Table13[[#Headers],[Western]],"*")),1,0)</f>
        <v>0</v>
      </c>
    </row>
    <row r="844" spans="1:27">
      <c r="A844" t="s">
        <v>868</v>
      </c>
      <c r="B844">
        <v>159</v>
      </c>
      <c r="C844">
        <f>MAX(Table13[Rank])-Table13[[#This Row],[Rank]]</f>
        <v>105</v>
      </c>
      <c r="D844" t="s">
        <v>780</v>
      </c>
      <c r="E844" t="s">
        <v>869</v>
      </c>
      <c r="F844" s="1">
        <v>17547</v>
      </c>
      <c r="G844">
        <f>YEAR(Table13[[#This Row],[Date]])</f>
        <v>1948</v>
      </c>
      <c r="H844" t="s">
        <v>868</v>
      </c>
      <c r="I844">
        <f>IF(COUNTIF($E844, _xlfn.CONCAT("*",Table13[[#Headers],[Action]],"*")),1,0)</f>
        <v>0</v>
      </c>
      <c r="J844">
        <f>IF(COUNTIF($E844, _xlfn.CONCAT("*",Table13[[#Headers],[Adventure]],"*")),1,0)</f>
        <v>1</v>
      </c>
      <c r="K844">
        <f>IF(COUNTIF($E844, _xlfn.CONCAT("*",Table13[[#Headers],[Animation]],"*")),1,0)</f>
        <v>0</v>
      </c>
      <c r="L844">
        <f>IF(COUNTIF($E844, _xlfn.CONCAT("*",Table13[[#Headers],[Comedy]],"*")),1,0)</f>
        <v>0</v>
      </c>
      <c r="M844">
        <f>IF(COUNTIF($E844, _xlfn.CONCAT("*",Table13[[#Headers],[Crime]],"*")),1,0)</f>
        <v>0</v>
      </c>
      <c r="N844">
        <f>IF(COUNTIF($E844, _xlfn.CONCAT("*",Table13[[#Headers],[Documentary]],"*")),1,0)</f>
        <v>0</v>
      </c>
      <c r="O844">
        <f>IF(COUNTIF($E844, _xlfn.CONCAT("*",Table13[[#Headers],[Drama]],"*")),1,0)</f>
        <v>1</v>
      </c>
      <c r="P844">
        <f>IF(COUNTIF($E844, _xlfn.CONCAT("*",Table13[[#Headers],[Family]],"*")),1,0)</f>
        <v>0</v>
      </c>
      <c r="Q844">
        <f>IF(COUNTIF($E844, _xlfn.CONCAT("*",Table13[[#Headers],[Fantasy]],"*")),1,0)</f>
        <v>0</v>
      </c>
      <c r="R844">
        <f>IF(COUNTIF($E844, _xlfn.CONCAT("*",Table13[[#Headers],[History]],"*")),1,0)</f>
        <v>0</v>
      </c>
      <c r="S844">
        <f>IF(COUNTIF($E844, _xlfn.CONCAT("*",Table13[[#Headers],[Horror]],"*")),1,0)</f>
        <v>0</v>
      </c>
      <c r="T844">
        <f>IF(COUNTIF($E844, _xlfn.CONCAT("*",Table13[[#Headers],[Music]],"*")),1,0)</f>
        <v>0</v>
      </c>
      <c r="U844">
        <f>IF(COUNTIF($E844, _xlfn.CONCAT("*",Table13[[#Headers],[Mystery]],"*")),1,0)</f>
        <v>0</v>
      </c>
      <c r="V844">
        <f>IF(COUNTIF($E844, _xlfn.CONCAT("*",Table13[[#Headers],[Romance]],"*")),1,0)</f>
        <v>0</v>
      </c>
      <c r="W844">
        <f>IF(COUNTIF($E844, _xlfn.CONCAT("*",Table13[[#Headers],[Science Fiction]],"*")),1,0)</f>
        <v>0</v>
      </c>
      <c r="X844">
        <f>IF(COUNTIF($E844, _xlfn.CONCAT("*",Table13[[#Headers],[TV Movie]],"*")),1,0)</f>
        <v>0</v>
      </c>
      <c r="Y844">
        <f>IF(COUNTIF($E844, _xlfn.CONCAT("*",Table13[[#Headers],[Thriller]],"*")),1,0)</f>
        <v>0</v>
      </c>
      <c r="Z844">
        <f>IF(COUNTIF($E844, _xlfn.CONCAT("*",Table13[[#Headers],[War]],"*")),1,0)</f>
        <v>0</v>
      </c>
      <c r="AA844">
        <f>IF(COUNTIF($E844, _xlfn.CONCAT("*",Table13[[#Headers],[Western]],"*")),1,0)</f>
        <v>1</v>
      </c>
    </row>
    <row r="845" spans="1:27">
      <c r="A845" t="s">
        <v>314</v>
      </c>
      <c r="B845">
        <v>160</v>
      </c>
      <c r="C845">
        <f>MAX(Table13[Rank])-Table13[[#This Row],[Rank]]</f>
        <v>104</v>
      </c>
      <c r="D845" t="s">
        <v>780</v>
      </c>
      <c r="E845" t="s">
        <v>315</v>
      </c>
      <c r="F845" s="1">
        <v>18141</v>
      </c>
      <c r="G845">
        <f>YEAR(Table13[[#This Row],[Date]])</f>
        <v>1949</v>
      </c>
      <c r="H845" t="s">
        <v>314</v>
      </c>
      <c r="I845">
        <f>IF(COUNTIF($E845, _xlfn.CONCAT("*",Table13[[#Headers],[Action]],"*")),1,0)</f>
        <v>0</v>
      </c>
      <c r="J845">
        <f>IF(COUNTIF($E845, _xlfn.CONCAT("*",Table13[[#Headers],[Adventure]],"*")),1,0)</f>
        <v>0</v>
      </c>
      <c r="K845">
        <f>IF(COUNTIF($E845, _xlfn.CONCAT("*",Table13[[#Headers],[Animation]],"*")),1,0)</f>
        <v>0</v>
      </c>
      <c r="L845">
        <f>IF(COUNTIF($E845, _xlfn.CONCAT("*",Table13[[#Headers],[Comedy]],"*")),1,0)</f>
        <v>0</v>
      </c>
      <c r="M845">
        <f>IF(COUNTIF($E845, _xlfn.CONCAT("*",Table13[[#Headers],[Crime]],"*")),1,0)</f>
        <v>0</v>
      </c>
      <c r="N845">
        <f>IF(COUNTIF($E845, _xlfn.CONCAT("*",Table13[[#Headers],[Documentary]],"*")),1,0)</f>
        <v>0</v>
      </c>
      <c r="O845">
        <f>IF(COUNTIF($E845, _xlfn.CONCAT("*",Table13[[#Headers],[Drama]],"*")),1,0)</f>
        <v>0</v>
      </c>
      <c r="P845">
        <f>IF(COUNTIF($E845, _xlfn.CONCAT("*",Table13[[#Headers],[Family]],"*")),1,0)</f>
        <v>0</v>
      </c>
      <c r="Q845">
        <f>IF(COUNTIF($E845, _xlfn.CONCAT("*",Table13[[#Headers],[Fantasy]],"*")),1,0)</f>
        <v>0</v>
      </c>
      <c r="R845">
        <f>IF(COUNTIF($E845, _xlfn.CONCAT("*",Table13[[#Headers],[History]],"*")),1,0)</f>
        <v>0</v>
      </c>
      <c r="S845">
        <f>IF(COUNTIF($E845, _xlfn.CONCAT("*",Table13[[#Headers],[Horror]],"*")),1,0)</f>
        <v>0</v>
      </c>
      <c r="T845">
        <f>IF(COUNTIF($E845, _xlfn.CONCAT("*",Table13[[#Headers],[Music]],"*")),1,0)</f>
        <v>0</v>
      </c>
      <c r="U845">
        <f>IF(COUNTIF($E845, _xlfn.CONCAT("*",Table13[[#Headers],[Mystery]],"*")),1,0)</f>
        <v>1</v>
      </c>
      <c r="V845">
        <f>IF(COUNTIF($E845, _xlfn.CONCAT("*",Table13[[#Headers],[Romance]],"*")),1,0)</f>
        <v>0</v>
      </c>
      <c r="W845">
        <f>IF(COUNTIF($E845, _xlfn.CONCAT("*",Table13[[#Headers],[Science Fiction]],"*")),1,0)</f>
        <v>0</v>
      </c>
      <c r="X845">
        <f>IF(COUNTIF($E845, _xlfn.CONCAT("*",Table13[[#Headers],[TV Movie]],"*")),1,0)</f>
        <v>0</v>
      </c>
      <c r="Y845">
        <f>IF(COUNTIF($E845, _xlfn.CONCAT("*",Table13[[#Headers],[Thriller]],"*")),1,0)</f>
        <v>1</v>
      </c>
      <c r="Z845">
        <f>IF(COUNTIF($E845, _xlfn.CONCAT("*",Table13[[#Headers],[War]],"*")),1,0)</f>
        <v>0</v>
      </c>
      <c r="AA845">
        <f>IF(COUNTIF($E845, _xlfn.CONCAT("*",Table13[[#Headers],[Western]],"*")),1,0)</f>
        <v>0</v>
      </c>
    </row>
    <row r="846" spans="1:27">
      <c r="A846" t="s">
        <v>366</v>
      </c>
      <c r="B846">
        <v>161</v>
      </c>
      <c r="C846">
        <f>MAX(Table13[Rank])-Table13[[#This Row],[Rank]]</f>
        <v>103</v>
      </c>
      <c r="D846" t="s">
        <v>780</v>
      </c>
      <c r="E846" t="s">
        <v>367</v>
      </c>
      <c r="F846" s="1">
        <v>20327</v>
      </c>
      <c r="G846">
        <f>YEAR(Table13[[#This Row],[Date]])</f>
        <v>1955</v>
      </c>
      <c r="H846" t="s">
        <v>366</v>
      </c>
      <c r="I846">
        <f>IF(COUNTIF($E846, _xlfn.CONCAT("*",Table13[[#Headers],[Action]],"*")),1,0)</f>
        <v>0</v>
      </c>
      <c r="J846">
        <f>IF(COUNTIF($E846, _xlfn.CONCAT("*",Table13[[#Headers],[Adventure]],"*")),1,0)</f>
        <v>0</v>
      </c>
      <c r="K846">
        <f>IF(COUNTIF($E846, _xlfn.CONCAT("*",Table13[[#Headers],[Animation]],"*")),1,0)</f>
        <v>0</v>
      </c>
      <c r="L846">
        <f>IF(COUNTIF($E846, _xlfn.CONCAT("*",Table13[[#Headers],[Comedy]],"*")),1,0)</f>
        <v>0</v>
      </c>
      <c r="M846">
        <f>IF(COUNTIF($E846, _xlfn.CONCAT("*",Table13[[#Headers],[Crime]],"*")),1,0)</f>
        <v>1</v>
      </c>
      <c r="N846">
        <f>IF(COUNTIF($E846, _xlfn.CONCAT("*",Table13[[#Headers],[Documentary]],"*")),1,0)</f>
        <v>0</v>
      </c>
      <c r="O846">
        <f>IF(COUNTIF($E846, _xlfn.CONCAT("*",Table13[[#Headers],[Drama]],"*")),1,0)</f>
        <v>1</v>
      </c>
      <c r="P846">
        <f>IF(COUNTIF($E846, _xlfn.CONCAT("*",Table13[[#Headers],[Family]],"*")),1,0)</f>
        <v>0</v>
      </c>
      <c r="Q846">
        <f>IF(COUNTIF($E846, _xlfn.CONCAT("*",Table13[[#Headers],[Fantasy]],"*")),1,0)</f>
        <v>0</v>
      </c>
      <c r="R846">
        <f>IF(COUNTIF($E846, _xlfn.CONCAT("*",Table13[[#Headers],[History]],"*")),1,0)</f>
        <v>0</v>
      </c>
      <c r="S846">
        <f>IF(COUNTIF($E846, _xlfn.CONCAT("*",Table13[[#Headers],[Horror]],"*")),1,0)</f>
        <v>0</v>
      </c>
      <c r="T846">
        <f>IF(COUNTIF($E846, _xlfn.CONCAT("*",Table13[[#Headers],[Music]],"*")),1,0)</f>
        <v>0</v>
      </c>
      <c r="U846">
        <f>IF(COUNTIF($E846, _xlfn.CONCAT("*",Table13[[#Headers],[Mystery]],"*")),1,0)</f>
        <v>0</v>
      </c>
      <c r="V846">
        <f>IF(COUNTIF($E846, _xlfn.CONCAT("*",Table13[[#Headers],[Romance]],"*")),1,0)</f>
        <v>0</v>
      </c>
      <c r="W846">
        <f>IF(COUNTIF($E846, _xlfn.CONCAT("*",Table13[[#Headers],[Science Fiction]],"*")),1,0)</f>
        <v>0</v>
      </c>
      <c r="X846">
        <f>IF(COUNTIF($E846, _xlfn.CONCAT("*",Table13[[#Headers],[TV Movie]],"*")),1,0)</f>
        <v>0</v>
      </c>
      <c r="Y846">
        <f>IF(COUNTIF($E846, _xlfn.CONCAT("*",Table13[[#Headers],[Thriller]],"*")),1,0)</f>
        <v>1</v>
      </c>
      <c r="Z846">
        <f>IF(COUNTIF($E846, _xlfn.CONCAT("*",Table13[[#Headers],[War]],"*")),1,0)</f>
        <v>0</v>
      </c>
      <c r="AA846">
        <f>IF(COUNTIF($E846, _xlfn.CONCAT("*",Table13[[#Headers],[Western]],"*")),1,0)</f>
        <v>0</v>
      </c>
    </row>
    <row r="847" spans="1:27">
      <c r="A847" t="s">
        <v>870</v>
      </c>
      <c r="B847">
        <v>162</v>
      </c>
      <c r="C847">
        <f>MAX(Table13[Rank])-Table13[[#This Row],[Rank]]</f>
        <v>102</v>
      </c>
      <c r="D847" t="s">
        <v>780</v>
      </c>
      <c r="E847" t="s">
        <v>871</v>
      </c>
      <c r="F847" s="1">
        <v>32340</v>
      </c>
      <c r="G847">
        <f>YEAR(Table13[[#This Row],[Date]])</f>
        <v>1988</v>
      </c>
      <c r="H847" t="s">
        <v>870</v>
      </c>
      <c r="I847">
        <f>IF(COUNTIF($E847, _xlfn.CONCAT("*",Table13[[#Headers],[Action]],"*")),1,0)</f>
        <v>1</v>
      </c>
      <c r="J847">
        <f>IF(COUNTIF($E847, _xlfn.CONCAT("*",Table13[[#Headers],[Adventure]],"*")),1,0)</f>
        <v>0</v>
      </c>
      <c r="K847">
        <f>IF(COUNTIF($E847, _xlfn.CONCAT("*",Table13[[#Headers],[Animation]],"*")),1,0)</f>
        <v>1</v>
      </c>
      <c r="L847">
        <f>IF(COUNTIF($E847, _xlfn.CONCAT("*",Table13[[#Headers],[Comedy]],"*")),1,0)</f>
        <v>0</v>
      </c>
      <c r="M847">
        <f>IF(COUNTIF($E847, _xlfn.CONCAT("*",Table13[[#Headers],[Crime]],"*")),1,0)</f>
        <v>0</v>
      </c>
      <c r="N847">
        <f>IF(COUNTIF($E847, _xlfn.CONCAT("*",Table13[[#Headers],[Documentary]],"*")),1,0)</f>
        <v>0</v>
      </c>
      <c r="O847">
        <f>IF(COUNTIF($E847, _xlfn.CONCAT("*",Table13[[#Headers],[Drama]],"*")),1,0)</f>
        <v>0</v>
      </c>
      <c r="P847">
        <f>IF(COUNTIF($E847, _xlfn.CONCAT("*",Table13[[#Headers],[Family]],"*")),1,0)</f>
        <v>0</v>
      </c>
      <c r="Q847">
        <f>IF(COUNTIF($E847, _xlfn.CONCAT("*",Table13[[#Headers],[Fantasy]],"*")),1,0)</f>
        <v>0</v>
      </c>
      <c r="R847">
        <f>IF(COUNTIF($E847, _xlfn.CONCAT("*",Table13[[#Headers],[History]],"*")),1,0)</f>
        <v>0</v>
      </c>
      <c r="S847">
        <f>IF(COUNTIF($E847, _xlfn.CONCAT("*",Table13[[#Headers],[Horror]],"*")),1,0)</f>
        <v>0</v>
      </c>
      <c r="T847">
        <f>IF(COUNTIF($E847, _xlfn.CONCAT("*",Table13[[#Headers],[Music]],"*")),1,0)</f>
        <v>0</v>
      </c>
      <c r="U847">
        <f>IF(COUNTIF($E847, _xlfn.CONCAT("*",Table13[[#Headers],[Mystery]],"*")),1,0)</f>
        <v>0</v>
      </c>
      <c r="V847">
        <f>IF(COUNTIF($E847, _xlfn.CONCAT("*",Table13[[#Headers],[Romance]],"*")),1,0)</f>
        <v>0</v>
      </c>
      <c r="W847">
        <f>IF(COUNTIF($E847, _xlfn.CONCAT("*",Table13[[#Headers],[Science Fiction]],"*")),1,0)</f>
        <v>1</v>
      </c>
      <c r="X847">
        <f>IF(COUNTIF($E847, _xlfn.CONCAT("*",Table13[[#Headers],[TV Movie]],"*")),1,0)</f>
        <v>0</v>
      </c>
      <c r="Y847">
        <f>IF(COUNTIF($E847, _xlfn.CONCAT("*",Table13[[#Headers],[Thriller]],"*")),1,0)</f>
        <v>0</v>
      </c>
      <c r="Z847">
        <f>IF(COUNTIF($E847, _xlfn.CONCAT("*",Table13[[#Headers],[War]],"*")),1,0)</f>
        <v>0</v>
      </c>
      <c r="AA847">
        <f>IF(COUNTIF($E847, _xlfn.CONCAT("*",Table13[[#Headers],[Western]],"*")),1,0)</f>
        <v>0</v>
      </c>
    </row>
    <row r="848" spans="1:27">
      <c r="A848" t="s">
        <v>872</v>
      </c>
      <c r="B848">
        <v>163</v>
      </c>
      <c r="C848">
        <f>MAX(Table13[Rank])-Table13[[#This Row],[Rank]]</f>
        <v>101</v>
      </c>
      <c r="D848" t="s">
        <v>780</v>
      </c>
      <c r="E848" t="s">
        <v>186</v>
      </c>
      <c r="F848" s="1">
        <v>29846</v>
      </c>
      <c r="G848">
        <f>YEAR(Table13[[#This Row],[Date]])</f>
        <v>1981</v>
      </c>
      <c r="H848" t="s">
        <v>872</v>
      </c>
      <c r="I848">
        <f>IF(COUNTIF($E848, _xlfn.CONCAT("*",Table13[[#Headers],[Action]],"*")),1,0)</f>
        <v>0</v>
      </c>
      <c r="J848">
        <f>IF(COUNTIF($E848, _xlfn.CONCAT("*",Table13[[#Headers],[Adventure]],"*")),1,0)</f>
        <v>0</v>
      </c>
      <c r="K848">
        <f>IF(COUNTIF($E848, _xlfn.CONCAT("*",Table13[[#Headers],[Animation]],"*")),1,0)</f>
        <v>0</v>
      </c>
      <c r="L848">
        <f>IF(COUNTIF($E848, _xlfn.CONCAT("*",Table13[[#Headers],[Comedy]],"*")),1,0)</f>
        <v>0</v>
      </c>
      <c r="M848">
        <f>IF(COUNTIF($E848, _xlfn.CONCAT("*",Table13[[#Headers],[Crime]],"*")),1,0)</f>
        <v>0</v>
      </c>
      <c r="N848">
        <f>IF(COUNTIF($E848, _xlfn.CONCAT("*",Table13[[#Headers],[Documentary]],"*")),1,0)</f>
        <v>0</v>
      </c>
      <c r="O848">
        <f>IF(COUNTIF($E848, _xlfn.CONCAT("*",Table13[[#Headers],[Drama]],"*")),1,0)</f>
        <v>1</v>
      </c>
      <c r="P848">
        <f>IF(COUNTIF($E848, _xlfn.CONCAT("*",Table13[[#Headers],[Family]],"*")),1,0)</f>
        <v>0</v>
      </c>
      <c r="Q848">
        <f>IF(COUNTIF($E848, _xlfn.CONCAT("*",Table13[[#Headers],[Fantasy]],"*")),1,0)</f>
        <v>0</v>
      </c>
      <c r="R848">
        <f>IF(COUNTIF($E848, _xlfn.CONCAT("*",Table13[[#Headers],[History]],"*")),1,0)</f>
        <v>1</v>
      </c>
      <c r="S848">
        <f>IF(COUNTIF($E848, _xlfn.CONCAT("*",Table13[[#Headers],[Horror]],"*")),1,0)</f>
        <v>0</v>
      </c>
      <c r="T848">
        <f>IF(COUNTIF($E848, _xlfn.CONCAT("*",Table13[[#Headers],[Music]],"*")),1,0)</f>
        <v>0</v>
      </c>
      <c r="U848">
        <f>IF(COUNTIF($E848, _xlfn.CONCAT("*",Table13[[#Headers],[Mystery]],"*")),1,0)</f>
        <v>0</v>
      </c>
      <c r="V848">
        <f>IF(COUNTIF($E848, _xlfn.CONCAT("*",Table13[[#Headers],[Romance]],"*")),1,0)</f>
        <v>0</v>
      </c>
      <c r="W848">
        <f>IF(COUNTIF($E848, _xlfn.CONCAT("*",Table13[[#Headers],[Science Fiction]],"*")),1,0)</f>
        <v>0</v>
      </c>
      <c r="X848">
        <f>IF(COUNTIF($E848, _xlfn.CONCAT("*",Table13[[#Headers],[TV Movie]],"*")),1,0)</f>
        <v>0</v>
      </c>
      <c r="Y848">
        <f>IF(COUNTIF($E848, _xlfn.CONCAT("*",Table13[[#Headers],[Thriller]],"*")),1,0)</f>
        <v>0</v>
      </c>
      <c r="Z848">
        <f>IF(COUNTIF($E848, _xlfn.CONCAT("*",Table13[[#Headers],[War]],"*")),1,0)</f>
        <v>1</v>
      </c>
      <c r="AA848">
        <f>IF(COUNTIF($E848, _xlfn.CONCAT("*",Table13[[#Headers],[Western]],"*")),1,0)</f>
        <v>0</v>
      </c>
    </row>
    <row r="849" spans="1:27">
      <c r="A849" t="s">
        <v>873</v>
      </c>
      <c r="B849">
        <v>164</v>
      </c>
      <c r="C849">
        <f>MAX(Table13[Rank])-Table13[[#This Row],[Rank]]</f>
        <v>100</v>
      </c>
      <c r="D849" t="s">
        <v>780</v>
      </c>
      <c r="E849" t="s">
        <v>698</v>
      </c>
      <c r="F849" s="1">
        <v>35048</v>
      </c>
      <c r="G849">
        <f>YEAR(Table13[[#This Row],[Date]])</f>
        <v>1995</v>
      </c>
      <c r="H849" t="s">
        <v>873</v>
      </c>
      <c r="I849">
        <f>IF(COUNTIF($E849, _xlfn.CONCAT("*",Table13[[#Headers],[Action]],"*")),1,0)</f>
        <v>1</v>
      </c>
      <c r="J849">
        <f>IF(COUNTIF($E849, _xlfn.CONCAT("*",Table13[[#Headers],[Adventure]],"*")),1,0)</f>
        <v>0</v>
      </c>
      <c r="K849">
        <f>IF(COUNTIF($E849, _xlfn.CONCAT("*",Table13[[#Headers],[Animation]],"*")),1,0)</f>
        <v>0</v>
      </c>
      <c r="L849">
        <f>IF(COUNTIF($E849, _xlfn.CONCAT("*",Table13[[#Headers],[Comedy]],"*")),1,0)</f>
        <v>0</v>
      </c>
      <c r="M849">
        <f>IF(COUNTIF($E849, _xlfn.CONCAT("*",Table13[[#Headers],[Crime]],"*")),1,0)</f>
        <v>1</v>
      </c>
      <c r="N849">
        <f>IF(COUNTIF($E849, _xlfn.CONCAT("*",Table13[[#Headers],[Documentary]],"*")),1,0)</f>
        <v>0</v>
      </c>
      <c r="O849">
        <f>IF(COUNTIF($E849, _xlfn.CONCAT("*",Table13[[#Headers],[Drama]],"*")),1,0)</f>
        <v>1</v>
      </c>
      <c r="P849">
        <f>IF(COUNTIF($E849, _xlfn.CONCAT("*",Table13[[#Headers],[Family]],"*")),1,0)</f>
        <v>0</v>
      </c>
      <c r="Q849">
        <f>IF(COUNTIF($E849, _xlfn.CONCAT("*",Table13[[#Headers],[Fantasy]],"*")),1,0)</f>
        <v>0</v>
      </c>
      <c r="R849">
        <f>IF(COUNTIF($E849, _xlfn.CONCAT("*",Table13[[#Headers],[History]],"*")),1,0)</f>
        <v>0</v>
      </c>
      <c r="S849">
        <f>IF(COUNTIF($E849, _xlfn.CONCAT("*",Table13[[#Headers],[Horror]],"*")),1,0)</f>
        <v>0</v>
      </c>
      <c r="T849">
        <f>IF(COUNTIF($E849, _xlfn.CONCAT("*",Table13[[#Headers],[Music]],"*")),1,0)</f>
        <v>0</v>
      </c>
      <c r="U849">
        <f>IF(COUNTIF($E849, _xlfn.CONCAT("*",Table13[[#Headers],[Mystery]],"*")),1,0)</f>
        <v>0</v>
      </c>
      <c r="V849">
        <f>IF(COUNTIF($E849, _xlfn.CONCAT("*",Table13[[#Headers],[Romance]],"*")),1,0)</f>
        <v>0</v>
      </c>
      <c r="W849">
        <f>IF(COUNTIF($E849, _xlfn.CONCAT("*",Table13[[#Headers],[Science Fiction]],"*")),1,0)</f>
        <v>0</v>
      </c>
      <c r="X849">
        <f>IF(COUNTIF($E849, _xlfn.CONCAT("*",Table13[[#Headers],[TV Movie]],"*")),1,0)</f>
        <v>0</v>
      </c>
      <c r="Y849">
        <f>IF(COUNTIF($E849, _xlfn.CONCAT("*",Table13[[#Headers],[Thriller]],"*")),1,0)</f>
        <v>0</v>
      </c>
      <c r="Z849">
        <f>IF(COUNTIF($E849, _xlfn.CONCAT("*",Table13[[#Headers],[War]],"*")),1,0)</f>
        <v>0</v>
      </c>
      <c r="AA849">
        <f>IF(COUNTIF($E849, _xlfn.CONCAT("*",Table13[[#Headers],[Western]],"*")),1,0)</f>
        <v>0</v>
      </c>
    </row>
    <row r="850" spans="1:27">
      <c r="A850" t="s">
        <v>874</v>
      </c>
      <c r="B850">
        <v>165</v>
      </c>
      <c r="C850">
        <f>MAX(Table13[Rank])-Table13[[#This Row],[Rank]]</f>
        <v>99</v>
      </c>
      <c r="D850" t="s">
        <v>780</v>
      </c>
      <c r="E850" t="s">
        <v>105</v>
      </c>
      <c r="F850" s="1">
        <v>38791</v>
      </c>
      <c r="G850">
        <f>YEAR(Table13[[#This Row],[Date]])</f>
        <v>2006</v>
      </c>
      <c r="H850" t="s">
        <v>874</v>
      </c>
      <c r="I850">
        <f>IF(COUNTIF($E850, _xlfn.CONCAT("*",Table13[[#Headers],[Action]],"*")),1,0)</f>
        <v>0</v>
      </c>
      <c r="J850">
        <f>IF(COUNTIF($E850, _xlfn.CONCAT("*",Table13[[#Headers],[Adventure]],"*")),1,0)</f>
        <v>0</v>
      </c>
      <c r="K850">
        <f>IF(COUNTIF($E850, _xlfn.CONCAT("*",Table13[[#Headers],[Animation]],"*")),1,0)</f>
        <v>0</v>
      </c>
      <c r="L850">
        <f>IF(COUNTIF($E850, _xlfn.CONCAT("*",Table13[[#Headers],[Comedy]],"*")),1,0)</f>
        <v>0</v>
      </c>
      <c r="M850">
        <f>IF(COUNTIF($E850, _xlfn.CONCAT("*",Table13[[#Headers],[Crime]],"*")),1,0)</f>
        <v>0</v>
      </c>
      <c r="N850">
        <f>IF(COUNTIF($E850, _xlfn.CONCAT("*",Table13[[#Headers],[Documentary]],"*")),1,0)</f>
        <v>0</v>
      </c>
      <c r="O850">
        <f>IF(COUNTIF($E850, _xlfn.CONCAT("*",Table13[[#Headers],[Drama]],"*")),1,0)</f>
        <v>1</v>
      </c>
      <c r="P850">
        <f>IF(COUNTIF($E850, _xlfn.CONCAT("*",Table13[[#Headers],[Family]],"*")),1,0)</f>
        <v>0</v>
      </c>
      <c r="Q850">
        <f>IF(COUNTIF($E850, _xlfn.CONCAT("*",Table13[[#Headers],[Fantasy]],"*")),1,0)</f>
        <v>0</v>
      </c>
      <c r="R850">
        <f>IF(COUNTIF($E850, _xlfn.CONCAT("*",Table13[[#Headers],[History]],"*")),1,0)</f>
        <v>0</v>
      </c>
      <c r="S850">
        <f>IF(COUNTIF($E850, _xlfn.CONCAT("*",Table13[[#Headers],[Horror]],"*")),1,0)</f>
        <v>0</v>
      </c>
      <c r="T850">
        <f>IF(COUNTIF($E850, _xlfn.CONCAT("*",Table13[[#Headers],[Music]],"*")),1,0)</f>
        <v>0</v>
      </c>
      <c r="U850">
        <f>IF(COUNTIF($E850, _xlfn.CONCAT("*",Table13[[#Headers],[Mystery]],"*")),1,0)</f>
        <v>0</v>
      </c>
      <c r="V850">
        <f>IF(COUNTIF($E850, _xlfn.CONCAT("*",Table13[[#Headers],[Romance]],"*")),1,0)</f>
        <v>0</v>
      </c>
      <c r="W850">
        <f>IF(COUNTIF($E850, _xlfn.CONCAT("*",Table13[[#Headers],[Science Fiction]],"*")),1,0)</f>
        <v>0</v>
      </c>
      <c r="X850">
        <f>IF(COUNTIF($E850, _xlfn.CONCAT("*",Table13[[#Headers],[TV Movie]],"*")),1,0)</f>
        <v>0</v>
      </c>
      <c r="Y850">
        <f>IF(COUNTIF($E850, _xlfn.CONCAT("*",Table13[[#Headers],[Thriller]],"*")),1,0)</f>
        <v>1</v>
      </c>
      <c r="Z850">
        <f>IF(COUNTIF($E850, _xlfn.CONCAT("*",Table13[[#Headers],[War]],"*")),1,0)</f>
        <v>0</v>
      </c>
      <c r="AA850">
        <f>IF(COUNTIF($E850, _xlfn.CONCAT("*",Table13[[#Headers],[Western]],"*")),1,0)</f>
        <v>0</v>
      </c>
    </row>
    <row r="851" spans="1:27">
      <c r="A851" t="s">
        <v>101</v>
      </c>
      <c r="B851">
        <v>166</v>
      </c>
      <c r="C851">
        <f>MAX(Table13[Rank])-Table13[[#This Row],[Rank]]</f>
        <v>98</v>
      </c>
      <c r="D851" t="s">
        <v>780</v>
      </c>
      <c r="E851" t="s">
        <v>102</v>
      </c>
      <c r="F851" s="1">
        <v>16237</v>
      </c>
      <c r="G851">
        <f>YEAR(Table13[[#This Row],[Date]])</f>
        <v>1944</v>
      </c>
      <c r="H851" t="s">
        <v>101</v>
      </c>
      <c r="I851">
        <f>IF(COUNTIF($E851, _xlfn.CONCAT("*",Table13[[#Headers],[Action]],"*")),1,0)</f>
        <v>0</v>
      </c>
      <c r="J851">
        <f>IF(COUNTIF($E851, _xlfn.CONCAT("*",Table13[[#Headers],[Adventure]],"*")),1,0)</f>
        <v>0</v>
      </c>
      <c r="K851">
        <f>IF(COUNTIF($E851, _xlfn.CONCAT("*",Table13[[#Headers],[Animation]],"*")),1,0)</f>
        <v>0</v>
      </c>
      <c r="L851">
        <f>IF(COUNTIF($E851, _xlfn.CONCAT("*",Table13[[#Headers],[Comedy]],"*")),1,0)</f>
        <v>0</v>
      </c>
      <c r="M851">
        <f>IF(COUNTIF($E851, _xlfn.CONCAT("*",Table13[[#Headers],[Crime]],"*")),1,0)</f>
        <v>1</v>
      </c>
      <c r="N851">
        <f>IF(COUNTIF($E851, _xlfn.CONCAT("*",Table13[[#Headers],[Documentary]],"*")),1,0)</f>
        <v>0</v>
      </c>
      <c r="O851">
        <f>IF(COUNTIF($E851, _xlfn.CONCAT("*",Table13[[#Headers],[Drama]],"*")),1,0)</f>
        <v>0</v>
      </c>
      <c r="P851">
        <f>IF(COUNTIF($E851, _xlfn.CONCAT("*",Table13[[#Headers],[Family]],"*")),1,0)</f>
        <v>0</v>
      </c>
      <c r="Q851">
        <f>IF(COUNTIF($E851, _xlfn.CONCAT("*",Table13[[#Headers],[Fantasy]],"*")),1,0)</f>
        <v>0</v>
      </c>
      <c r="R851">
        <f>IF(COUNTIF($E851, _xlfn.CONCAT("*",Table13[[#Headers],[History]],"*")),1,0)</f>
        <v>0</v>
      </c>
      <c r="S851">
        <f>IF(COUNTIF($E851, _xlfn.CONCAT("*",Table13[[#Headers],[Horror]],"*")),1,0)</f>
        <v>0</v>
      </c>
      <c r="T851">
        <f>IF(COUNTIF($E851, _xlfn.CONCAT("*",Table13[[#Headers],[Music]],"*")),1,0)</f>
        <v>0</v>
      </c>
      <c r="U851">
        <f>IF(COUNTIF($E851, _xlfn.CONCAT("*",Table13[[#Headers],[Mystery]],"*")),1,0)</f>
        <v>0</v>
      </c>
      <c r="V851">
        <f>IF(COUNTIF($E851, _xlfn.CONCAT("*",Table13[[#Headers],[Romance]],"*")),1,0)</f>
        <v>0</v>
      </c>
      <c r="W851">
        <f>IF(COUNTIF($E851, _xlfn.CONCAT("*",Table13[[#Headers],[Science Fiction]],"*")),1,0)</f>
        <v>0</v>
      </c>
      <c r="X851">
        <f>IF(COUNTIF($E851, _xlfn.CONCAT("*",Table13[[#Headers],[TV Movie]],"*")),1,0)</f>
        <v>0</v>
      </c>
      <c r="Y851">
        <f>IF(COUNTIF($E851, _xlfn.CONCAT("*",Table13[[#Headers],[Thriller]],"*")),1,0)</f>
        <v>1</v>
      </c>
      <c r="Z851">
        <f>IF(COUNTIF($E851, _xlfn.CONCAT("*",Table13[[#Headers],[War]],"*")),1,0)</f>
        <v>0</v>
      </c>
      <c r="AA851">
        <f>IF(COUNTIF($E851, _xlfn.CONCAT("*",Table13[[#Headers],[Western]],"*")),1,0)</f>
        <v>0</v>
      </c>
    </row>
    <row r="852" spans="1:27">
      <c r="A852" t="s">
        <v>477</v>
      </c>
      <c r="B852">
        <v>167</v>
      </c>
      <c r="C852">
        <f>MAX(Table13[Rank])-Table13[[#This Row],[Rank]]</f>
        <v>97</v>
      </c>
      <c r="D852" t="s">
        <v>780</v>
      </c>
      <c r="E852" t="s">
        <v>21</v>
      </c>
      <c r="F852" s="1">
        <v>28078</v>
      </c>
      <c r="G852">
        <f>YEAR(Table13[[#This Row],[Date]])</f>
        <v>1976</v>
      </c>
      <c r="H852" t="s">
        <v>477</v>
      </c>
      <c r="I852">
        <f>IF(COUNTIF($E852, _xlfn.CONCAT("*",Table13[[#Headers],[Action]],"*")),1,0)</f>
        <v>0</v>
      </c>
      <c r="J852">
        <f>IF(COUNTIF($E852, _xlfn.CONCAT("*",Table13[[#Headers],[Adventure]],"*")),1,0)</f>
        <v>0</v>
      </c>
      <c r="K852">
        <f>IF(COUNTIF($E852, _xlfn.CONCAT("*",Table13[[#Headers],[Animation]],"*")),1,0)</f>
        <v>0</v>
      </c>
      <c r="L852">
        <f>IF(COUNTIF($E852, _xlfn.CONCAT("*",Table13[[#Headers],[Comedy]],"*")),1,0)</f>
        <v>0</v>
      </c>
      <c r="M852">
        <f>IF(COUNTIF($E852, _xlfn.CONCAT("*",Table13[[#Headers],[Crime]],"*")),1,0)</f>
        <v>0</v>
      </c>
      <c r="N852">
        <f>IF(COUNTIF($E852, _xlfn.CONCAT("*",Table13[[#Headers],[Documentary]],"*")),1,0)</f>
        <v>0</v>
      </c>
      <c r="O852">
        <f>IF(COUNTIF($E852, _xlfn.CONCAT("*",Table13[[#Headers],[Drama]],"*")),1,0)</f>
        <v>1</v>
      </c>
      <c r="P852">
        <f>IF(COUNTIF($E852, _xlfn.CONCAT("*",Table13[[#Headers],[Family]],"*")),1,0)</f>
        <v>0</v>
      </c>
      <c r="Q852">
        <f>IF(COUNTIF($E852, _xlfn.CONCAT("*",Table13[[#Headers],[Fantasy]],"*")),1,0)</f>
        <v>0</v>
      </c>
      <c r="R852">
        <f>IF(COUNTIF($E852, _xlfn.CONCAT("*",Table13[[#Headers],[History]],"*")),1,0)</f>
        <v>0</v>
      </c>
      <c r="S852">
        <f>IF(COUNTIF($E852, _xlfn.CONCAT("*",Table13[[#Headers],[Horror]],"*")),1,0)</f>
        <v>0</v>
      </c>
      <c r="T852">
        <f>IF(COUNTIF($E852, _xlfn.CONCAT("*",Table13[[#Headers],[Music]],"*")),1,0)</f>
        <v>0</v>
      </c>
      <c r="U852">
        <f>IF(COUNTIF($E852, _xlfn.CONCAT("*",Table13[[#Headers],[Mystery]],"*")),1,0)</f>
        <v>0</v>
      </c>
      <c r="V852">
        <f>IF(COUNTIF($E852, _xlfn.CONCAT("*",Table13[[#Headers],[Romance]],"*")),1,0)</f>
        <v>0</v>
      </c>
      <c r="W852">
        <f>IF(COUNTIF($E852, _xlfn.CONCAT("*",Table13[[#Headers],[Science Fiction]],"*")),1,0)</f>
        <v>0</v>
      </c>
      <c r="X852">
        <f>IF(COUNTIF($E852, _xlfn.CONCAT("*",Table13[[#Headers],[TV Movie]],"*")),1,0)</f>
        <v>0</v>
      </c>
      <c r="Y852">
        <f>IF(COUNTIF($E852, _xlfn.CONCAT("*",Table13[[#Headers],[Thriller]],"*")),1,0)</f>
        <v>0</v>
      </c>
      <c r="Z852">
        <f>IF(COUNTIF($E852, _xlfn.CONCAT("*",Table13[[#Headers],[War]],"*")),1,0)</f>
        <v>0</v>
      </c>
      <c r="AA852">
        <f>IF(COUNTIF($E852, _xlfn.CONCAT("*",Table13[[#Headers],[Western]],"*")),1,0)</f>
        <v>0</v>
      </c>
    </row>
    <row r="853" spans="1:27">
      <c r="A853" t="s">
        <v>875</v>
      </c>
      <c r="B853">
        <v>168</v>
      </c>
      <c r="C853">
        <f>MAX(Table13[Rank])-Table13[[#This Row],[Rank]]</f>
        <v>96</v>
      </c>
      <c r="D853" t="s">
        <v>780</v>
      </c>
      <c r="E853" t="s">
        <v>876</v>
      </c>
      <c r="F853" s="1">
        <v>40109</v>
      </c>
      <c r="G853">
        <f>YEAR(Table13[[#This Row],[Date]])</f>
        <v>2009</v>
      </c>
      <c r="H853" t="s">
        <v>875</v>
      </c>
      <c r="I853">
        <f>IF(COUNTIF($E853, _xlfn.CONCAT("*",Table13[[#Headers],[Action]],"*")),1,0)</f>
        <v>0</v>
      </c>
      <c r="J853">
        <f>IF(COUNTIF($E853, _xlfn.CONCAT("*",Table13[[#Headers],[Adventure]],"*")),1,0)</f>
        <v>1</v>
      </c>
      <c r="K853">
        <f>IF(COUNTIF($E853, _xlfn.CONCAT("*",Table13[[#Headers],[Animation]],"*")),1,0)</f>
        <v>1</v>
      </c>
      <c r="L853">
        <f>IF(COUNTIF($E853, _xlfn.CONCAT("*",Table13[[#Headers],[Comedy]],"*")),1,0)</f>
        <v>1</v>
      </c>
      <c r="M853">
        <f>IF(COUNTIF($E853, _xlfn.CONCAT("*",Table13[[#Headers],[Crime]],"*")),1,0)</f>
        <v>0</v>
      </c>
      <c r="N853">
        <f>IF(COUNTIF($E853, _xlfn.CONCAT("*",Table13[[#Headers],[Documentary]],"*")),1,0)</f>
        <v>0</v>
      </c>
      <c r="O853">
        <f>IF(COUNTIF($E853, _xlfn.CONCAT("*",Table13[[#Headers],[Drama]],"*")),1,0)</f>
        <v>0</v>
      </c>
      <c r="P853">
        <f>IF(COUNTIF($E853, _xlfn.CONCAT("*",Table13[[#Headers],[Family]],"*")),1,0)</f>
        <v>1</v>
      </c>
      <c r="Q853">
        <f>IF(COUNTIF($E853, _xlfn.CONCAT("*",Table13[[#Headers],[Fantasy]],"*")),1,0)</f>
        <v>0</v>
      </c>
      <c r="R853">
        <f>IF(COUNTIF($E853, _xlfn.CONCAT("*",Table13[[#Headers],[History]],"*")),1,0)</f>
        <v>0</v>
      </c>
      <c r="S853">
        <f>IF(COUNTIF($E853, _xlfn.CONCAT("*",Table13[[#Headers],[Horror]],"*")),1,0)</f>
        <v>0</v>
      </c>
      <c r="T853">
        <f>IF(COUNTIF($E853, _xlfn.CONCAT("*",Table13[[#Headers],[Music]],"*")),1,0)</f>
        <v>0</v>
      </c>
      <c r="U853">
        <f>IF(COUNTIF($E853, _xlfn.CONCAT("*",Table13[[#Headers],[Mystery]],"*")),1,0)</f>
        <v>0</v>
      </c>
      <c r="V853">
        <f>IF(COUNTIF($E853, _xlfn.CONCAT("*",Table13[[#Headers],[Romance]],"*")),1,0)</f>
        <v>0</v>
      </c>
      <c r="W853">
        <f>IF(COUNTIF($E853, _xlfn.CONCAT("*",Table13[[#Headers],[Science Fiction]],"*")),1,0)</f>
        <v>0</v>
      </c>
      <c r="X853">
        <f>IF(COUNTIF($E853, _xlfn.CONCAT("*",Table13[[#Headers],[TV Movie]],"*")),1,0)</f>
        <v>0</v>
      </c>
      <c r="Y853">
        <f>IF(COUNTIF($E853, _xlfn.CONCAT("*",Table13[[#Headers],[Thriller]],"*")),1,0)</f>
        <v>0</v>
      </c>
      <c r="Z853">
        <f>IF(COUNTIF($E853, _xlfn.CONCAT("*",Table13[[#Headers],[War]],"*")),1,0)</f>
        <v>0</v>
      </c>
      <c r="AA853">
        <f>IF(COUNTIF($E853, _xlfn.CONCAT("*",Table13[[#Headers],[Western]],"*")),1,0)</f>
        <v>0</v>
      </c>
    </row>
    <row r="854" spans="1:27">
      <c r="A854" t="s">
        <v>877</v>
      </c>
      <c r="B854">
        <v>169</v>
      </c>
      <c r="C854">
        <f>MAX(Table13[Rank])-Table13[[#This Row],[Rank]]</f>
        <v>95</v>
      </c>
      <c r="D854" t="s">
        <v>780</v>
      </c>
      <c r="E854" t="s">
        <v>21</v>
      </c>
      <c r="G854">
        <f>YEAR(Table13[[#This Row],[Date]])</f>
        <v>1900</v>
      </c>
      <c r="H854" t="s">
        <v>877</v>
      </c>
      <c r="I854">
        <f>IF(COUNTIF($E854, _xlfn.CONCAT("*",Table13[[#Headers],[Action]],"*")),1,0)</f>
        <v>0</v>
      </c>
      <c r="J854">
        <f>IF(COUNTIF($E854, _xlfn.CONCAT("*",Table13[[#Headers],[Adventure]],"*")),1,0)</f>
        <v>0</v>
      </c>
      <c r="K854">
        <f>IF(COUNTIF($E854, _xlfn.CONCAT("*",Table13[[#Headers],[Animation]],"*")),1,0)</f>
        <v>0</v>
      </c>
      <c r="L854">
        <f>IF(COUNTIF($E854, _xlfn.CONCAT("*",Table13[[#Headers],[Comedy]],"*")),1,0)</f>
        <v>0</v>
      </c>
      <c r="M854">
        <f>IF(COUNTIF($E854, _xlfn.CONCAT("*",Table13[[#Headers],[Crime]],"*")),1,0)</f>
        <v>0</v>
      </c>
      <c r="N854">
        <f>IF(COUNTIF($E854, _xlfn.CONCAT("*",Table13[[#Headers],[Documentary]],"*")),1,0)</f>
        <v>0</v>
      </c>
      <c r="O854">
        <f>IF(COUNTIF($E854, _xlfn.CONCAT("*",Table13[[#Headers],[Drama]],"*")),1,0)</f>
        <v>1</v>
      </c>
      <c r="P854">
        <f>IF(COUNTIF($E854, _xlfn.CONCAT("*",Table13[[#Headers],[Family]],"*")),1,0)</f>
        <v>0</v>
      </c>
      <c r="Q854">
        <f>IF(COUNTIF($E854, _xlfn.CONCAT("*",Table13[[#Headers],[Fantasy]],"*")),1,0)</f>
        <v>0</v>
      </c>
      <c r="R854">
        <f>IF(COUNTIF($E854, _xlfn.CONCAT("*",Table13[[#Headers],[History]],"*")),1,0)</f>
        <v>0</v>
      </c>
      <c r="S854">
        <f>IF(COUNTIF($E854, _xlfn.CONCAT("*",Table13[[#Headers],[Horror]],"*")),1,0)</f>
        <v>0</v>
      </c>
      <c r="T854">
        <f>IF(COUNTIF($E854, _xlfn.CONCAT("*",Table13[[#Headers],[Music]],"*")),1,0)</f>
        <v>0</v>
      </c>
      <c r="U854">
        <f>IF(COUNTIF($E854, _xlfn.CONCAT("*",Table13[[#Headers],[Mystery]],"*")),1,0)</f>
        <v>0</v>
      </c>
      <c r="V854">
        <f>IF(COUNTIF($E854, _xlfn.CONCAT("*",Table13[[#Headers],[Romance]],"*")),1,0)</f>
        <v>0</v>
      </c>
      <c r="W854">
        <f>IF(COUNTIF($E854, _xlfn.CONCAT("*",Table13[[#Headers],[Science Fiction]],"*")),1,0)</f>
        <v>0</v>
      </c>
      <c r="X854">
        <f>IF(COUNTIF($E854, _xlfn.CONCAT("*",Table13[[#Headers],[TV Movie]],"*")),1,0)</f>
        <v>0</v>
      </c>
      <c r="Y854">
        <f>IF(COUNTIF($E854, _xlfn.CONCAT("*",Table13[[#Headers],[Thriller]],"*")),1,0)</f>
        <v>0</v>
      </c>
      <c r="Z854">
        <f>IF(COUNTIF($E854, _xlfn.CONCAT("*",Table13[[#Headers],[War]],"*")),1,0)</f>
        <v>0</v>
      </c>
      <c r="AA854">
        <f>IF(COUNTIF($E854, _xlfn.CONCAT("*",Table13[[#Headers],[Western]],"*")),1,0)</f>
        <v>0</v>
      </c>
    </row>
    <row r="855" spans="1:27">
      <c r="A855" t="s">
        <v>878</v>
      </c>
      <c r="B855">
        <v>170</v>
      </c>
      <c r="C855">
        <f>MAX(Table13[Rank])-Table13[[#This Row],[Rank]]</f>
        <v>94</v>
      </c>
      <c r="D855" t="s">
        <v>780</v>
      </c>
      <c r="E855" t="s">
        <v>109</v>
      </c>
      <c r="F855" s="1">
        <v>20835</v>
      </c>
      <c r="G855">
        <f>YEAR(Table13[[#This Row],[Date]])</f>
        <v>1957</v>
      </c>
      <c r="H855" t="s">
        <v>878</v>
      </c>
      <c r="I855">
        <f>IF(COUNTIF($E855, _xlfn.CONCAT("*",Table13[[#Headers],[Action]],"*")),1,0)</f>
        <v>0</v>
      </c>
      <c r="J855">
        <f>IF(COUNTIF($E855, _xlfn.CONCAT("*",Table13[[#Headers],[Adventure]],"*")),1,0)</f>
        <v>0</v>
      </c>
      <c r="K855">
        <f>IF(COUNTIF($E855, _xlfn.CONCAT("*",Table13[[#Headers],[Animation]],"*")),1,0)</f>
        <v>0</v>
      </c>
      <c r="L855">
        <f>IF(COUNTIF($E855, _xlfn.CONCAT("*",Table13[[#Headers],[Comedy]],"*")),1,0)</f>
        <v>0</v>
      </c>
      <c r="M855">
        <f>IF(COUNTIF($E855, _xlfn.CONCAT("*",Table13[[#Headers],[Crime]],"*")),1,0)</f>
        <v>0</v>
      </c>
      <c r="N855">
        <f>IF(COUNTIF($E855, _xlfn.CONCAT("*",Table13[[#Headers],[Documentary]],"*")),1,0)</f>
        <v>0</v>
      </c>
      <c r="O855">
        <f>IF(COUNTIF($E855, _xlfn.CONCAT("*",Table13[[#Headers],[Drama]],"*")),1,0)</f>
        <v>1</v>
      </c>
      <c r="P855">
        <f>IF(COUNTIF($E855, _xlfn.CONCAT("*",Table13[[#Headers],[Family]],"*")),1,0)</f>
        <v>0</v>
      </c>
      <c r="Q855">
        <f>IF(COUNTIF($E855, _xlfn.CONCAT("*",Table13[[#Headers],[Fantasy]],"*")),1,0)</f>
        <v>0</v>
      </c>
      <c r="R855">
        <f>IF(COUNTIF($E855, _xlfn.CONCAT("*",Table13[[#Headers],[History]],"*")),1,0)</f>
        <v>1</v>
      </c>
      <c r="S855">
        <f>IF(COUNTIF($E855, _xlfn.CONCAT("*",Table13[[#Headers],[Horror]],"*")),1,0)</f>
        <v>0</v>
      </c>
      <c r="T855">
        <f>IF(COUNTIF($E855, _xlfn.CONCAT("*",Table13[[#Headers],[Music]],"*")),1,0)</f>
        <v>0</v>
      </c>
      <c r="U855">
        <f>IF(COUNTIF($E855, _xlfn.CONCAT("*",Table13[[#Headers],[Mystery]],"*")),1,0)</f>
        <v>0</v>
      </c>
      <c r="V855">
        <f>IF(COUNTIF($E855, _xlfn.CONCAT("*",Table13[[#Headers],[Romance]],"*")),1,0)</f>
        <v>0</v>
      </c>
      <c r="W855">
        <f>IF(COUNTIF($E855, _xlfn.CONCAT("*",Table13[[#Headers],[Science Fiction]],"*")),1,0)</f>
        <v>0</v>
      </c>
      <c r="X855">
        <f>IF(COUNTIF($E855, _xlfn.CONCAT("*",Table13[[#Headers],[TV Movie]],"*")),1,0)</f>
        <v>0</v>
      </c>
      <c r="Y855">
        <f>IF(COUNTIF($E855, _xlfn.CONCAT("*",Table13[[#Headers],[Thriller]],"*")),1,0)</f>
        <v>0</v>
      </c>
      <c r="Z855">
        <f>IF(COUNTIF($E855, _xlfn.CONCAT("*",Table13[[#Headers],[War]],"*")),1,0)</f>
        <v>0</v>
      </c>
      <c r="AA855">
        <f>IF(COUNTIF($E855, _xlfn.CONCAT("*",Table13[[#Headers],[Western]],"*")),1,0)</f>
        <v>0</v>
      </c>
    </row>
    <row r="856" spans="1:27">
      <c r="A856" t="s">
        <v>879</v>
      </c>
      <c r="B856">
        <v>171</v>
      </c>
      <c r="C856">
        <f>MAX(Table13[Rank])-Table13[[#This Row],[Rank]]</f>
        <v>93</v>
      </c>
      <c r="D856" t="s">
        <v>780</v>
      </c>
      <c r="E856" t="s">
        <v>35</v>
      </c>
      <c r="F856" s="1">
        <v>45079</v>
      </c>
      <c r="G856">
        <f>YEAR(Table13[[#This Row],[Date]])</f>
        <v>2023</v>
      </c>
      <c r="H856" t="s">
        <v>879</v>
      </c>
      <c r="I856">
        <f>IF(COUNTIF($E856, _xlfn.CONCAT("*",Table13[[#Headers],[Action]],"*")),1,0)</f>
        <v>0</v>
      </c>
      <c r="J856">
        <f>IF(COUNTIF($E856, _xlfn.CONCAT("*",Table13[[#Headers],[Adventure]],"*")),1,0)</f>
        <v>0</v>
      </c>
      <c r="K856">
        <f>IF(COUNTIF($E856, _xlfn.CONCAT("*",Table13[[#Headers],[Animation]],"*")),1,0)</f>
        <v>0</v>
      </c>
      <c r="L856">
        <f>IF(COUNTIF($E856, _xlfn.CONCAT("*",Table13[[#Headers],[Comedy]],"*")),1,0)</f>
        <v>0</v>
      </c>
      <c r="M856">
        <f>IF(COUNTIF($E856, _xlfn.CONCAT("*",Table13[[#Headers],[Crime]],"*")),1,0)</f>
        <v>0</v>
      </c>
      <c r="N856">
        <f>IF(COUNTIF($E856, _xlfn.CONCAT("*",Table13[[#Headers],[Documentary]],"*")),1,0)</f>
        <v>0</v>
      </c>
      <c r="O856">
        <f>IF(COUNTIF($E856, _xlfn.CONCAT("*",Table13[[#Headers],[Drama]],"*")),1,0)</f>
        <v>1</v>
      </c>
      <c r="P856">
        <f>IF(COUNTIF($E856, _xlfn.CONCAT("*",Table13[[#Headers],[Family]],"*")),1,0)</f>
        <v>0</v>
      </c>
      <c r="Q856">
        <f>IF(COUNTIF($E856, _xlfn.CONCAT("*",Table13[[#Headers],[Fantasy]],"*")),1,0)</f>
        <v>0</v>
      </c>
      <c r="R856">
        <f>IF(COUNTIF($E856, _xlfn.CONCAT("*",Table13[[#Headers],[History]],"*")),1,0)</f>
        <v>0</v>
      </c>
      <c r="S856">
        <f>IF(COUNTIF($E856, _xlfn.CONCAT("*",Table13[[#Headers],[Horror]],"*")),1,0)</f>
        <v>0</v>
      </c>
      <c r="T856">
        <f>IF(COUNTIF($E856, _xlfn.CONCAT("*",Table13[[#Headers],[Music]],"*")),1,0)</f>
        <v>0</v>
      </c>
      <c r="U856">
        <f>IF(COUNTIF($E856, _xlfn.CONCAT("*",Table13[[#Headers],[Mystery]],"*")),1,0)</f>
        <v>0</v>
      </c>
      <c r="V856">
        <f>IF(COUNTIF($E856, _xlfn.CONCAT("*",Table13[[#Headers],[Romance]],"*")),1,0)</f>
        <v>1</v>
      </c>
      <c r="W856">
        <f>IF(COUNTIF($E856, _xlfn.CONCAT("*",Table13[[#Headers],[Science Fiction]],"*")),1,0)</f>
        <v>0</v>
      </c>
      <c r="X856">
        <f>IF(COUNTIF($E856, _xlfn.CONCAT("*",Table13[[#Headers],[TV Movie]],"*")),1,0)</f>
        <v>0</v>
      </c>
      <c r="Y856">
        <f>IF(COUNTIF($E856, _xlfn.CONCAT("*",Table13[[#Headers],[Thriller]],"*")),1,0)</f>
        <v>0</v>
      </c>
      <c r="Z856">
        <f>IF(COUNTIF($E856, _xlfn.CONCAT("*",Table13[[#Headers],[War]],"*")),1,0)</f>
        <v>0</v>
      </c>
      <c r="AA856">
        <f>IF(COUNTIF($E856, _xlfn.CONCAT("*",Table13[[#Headers],[Western]],"*")),1,0)</f>
        <v>0</v>
      </c>
    </row>
    <row r="857" spans="1:27">
      <c r="A857" t="s">
        <v>308</v>
      </c>
      <c r="B857">
        <v>172</v>
      </c>
      <c r="C857">
        <f>MAX(Table13[Rank])-Table13[[#This Row],[Rank]]</f>
        <v>92</v>
      </c>
      <c r="D857" t="s">
        <v>780</v>
      </c>
      <c r="E857" t="s">
        <v>8</v>
      </c>
      <c r="F857" s="1">
        <v>9899</v>
      </c>
      <c r="G857">
        <f>YEAR(Table13[[#This Row],[Date]])</f>
        <v>1927</v>
      </c>
      <c r="H857" t="s">
        <v>308</v>
      </c>
      <c r="I857">
        <f>IF(COUNTIF($E857, _xlfn.CONCAT("*",Table13[[#Headers],[Action]],"*")),1,0)</f>
        <v>0</v>
      </c>
      <c r="J857">
        <f>IF(COUNTIF($E857, _xlfn.CONCAT("*",Table13[[#Headers],[Adventure]],"*")),1,0)</f>
        <v>0</v>
      </c>
      <c r="K857">
        <f>IF(COUNTIF($E857, _xlfn.CONCAT("*",Table13[[#Headers],[Animation]],"*")),1,0)</f>
        <v>0</v>
      </c>
      <c r="L857">
        <f>IF(COUNTIF($E857, _xlfn.CONCAT("*",Table13[[#Headers],[Comedy]],"*")),1,0)</f>
        <v>0</v>
      </c>
      <c r="M857">
        <f>IF(COUNTIF($E857, _xlfn.CONCAT("*",Table13[[#Headers],[Crime]],"*")),1,0)</f>
        <v>0</v>
      </c>
      <c r="N857">
        <f>IF(COUNTIF($E857, _xlfn.CONCAT("*",Table13[[#Headers],[Documentary]],"*")),1,0)</f>
        <v>0</v>
      </c>
      <c r="O857">
        <f>IF(COUNTIF($E857, _xlfn.CONCAT("*",Table13[[#Headers],[Drama]],"*")),1,0)</f>
        <v>1</v>
      </c>
      <c r="P857">
        <f>IF(COUNTIF($E857, _xlfn.CONCAT("*",Table13[[#Headers],[Family]],"*")),1,0)</f>
        <v>0</v>
      </c>
      <c r="Q857">
        <f>IF(COUNTIF($E857, _xlfn.CONCAT("*",Table13[[#Headers],[Fantasy]],"*")),1,0)</f>
        <v>0</v>
      </c>
      <c r="R857">
        <f>IF(COUNTIF($E857, _xlfn.CONCAT("*",Table13[[#Headers],[History]],"*")),1,0)</f>
        <v>0</v>
      </c>
      <c r="S857">
        <f>IF(COUNTIF($E857, _xlfn.CONCAT("*",Table13[[#Headers],[Horror]],"*")),1,0)</f>
        <v>0</v>
      </c>
      <c r="T857">
        <f>IF(COUNTIF($E857, _xlfn.CONCAT("*",Table13[[#Headers],[Music]],"*")),1,0)</f>
        <v>0</v>
      </c>
      <c r="U857">
        <f>IF(COUNTIF($E857, _xlfn.CONCAT("*",Table13[[#Headers],[Mystery]],"*")),1,0)</f>
        <v>0</v>
      </c>
      <c r="V857">
        <f>IF(COUNTIF($E857, _xlfn.CONCAT("*",Table13[[#Headers],[Romance]],"*")),1,0)</f>
        <v>0</v>
      </c>
      <c r="W857">
        <f>IF(COUNTIF($E857, _xlfn.CONCAT("*",Table13[[#Headers],[Science Fiction]],"*")),1,0)</f>
        <v>1</v>
      </c>
      <c r="X857">
        <f>IF(COUNTIF($E857, _xlfn.CONCAT("*",Table13[[#Headers],[TV Movie]],"*")),1,0)</f>
        <v>0</v>
      </c>
      <c r="Y857">
        <f>IF(COUNTIF($E857, _xlfn.CONCAT("*",Table13[[#Headers],[Thriller]],"*")),1,0)</f>
        <v>0</v>
      </c>
      <c r="Z857">
        <f>IF(COUNTIF($E857, _xlfn.CONCAT("*",Table13[[#Headers],[War]],"*")),1,0)</f>
        <v>0</v>
      </c>
      <c r="AA857">
        <f>IF(COUNTIF($E857, _xlfn.CONCAT("*",Table13[[#Headers],[Western]],"*")),1,0)</f>
        <v>0</v>
      </c>
    </row>
    <row r="858" spans="1:27">
      <c r="A858" t="s">
        <v>880</v>
      </c>
      <c r="B858">
        <v>173</v>
      </c>
      <c r="C858">
        <f>MAX(Table13[Rank])-Table13[[#This Row],[Rank]]</f>
        <v>91</v>
      </c>
      <c r="D858" t="s">
        <v>780</v>
      </c>
      <c r="E858" t="s">
        <v>137</v>
      </c>
      <c r="F858" s="1">
        <v>37794</v>
      </c>
      <c r="G858">
        <f>YEAR(Table13[[#This Row],[Date]])</f>
        <v>2003</v>
      </c>
      <c r="H858" t="s">
        <v>880</v>
      </c>
      <c r="I858">
        <f>IF(COUNTIF($E858, _xlfn.CONCAT("*",Table13[[#Headers],[Action]],"*")),1,0)</f>
        <v>0</v>
      </c>
      <c r="J858">
        <f>IF(COUNTIF($E858, _xlfn.CONCAT("*",Table13[[#Headers],[Adventure]],"*")),1,0)</f>
        <v>0</v>
      </c>
      <c r="K858">
        <f>IF(COUNTIF($E858, _xlfn.CONCAT("*",Table13[[#Headers],[Animation]],"*")),1,0)</f>
        <v>0</v>
      </c>
      <c r="L858">
        <f>IF(COUNTIF($E858, _xlfn.CONCAT("*",Table13[[#Headers],[Comedy]],"*")),1,0)</f>
        <v>0</v>
      </c>
      <c r="M858">
        <f>IF(COUNTIF($E858, _xlfn.CONCAT("*",Table13[[#Headers],[Crime]],"*")),1,0)</f>
        <v>0</v>
      </c>
      <c r="N858">
        <f>IF(COUNTIF($E858, _xlfn.CONCAT("*",Table13[[#Headers],[Documentary]],"*")),1,0)</f>
        <v>0</v>
      </c>
      <c r="O858">
        <f>IF(COUNTIF($E858, _xlfn.CONCAT("*",Table13[[#Headers],[Drama]],"*")),1,0)</f>
        <v>1</v>
      </c>
      <c r="P858">
        <f>IF(COUNTIF($E858, _xlfn.CONCAT("*",Table13[[#Headers],[Family]],"*")),1,0)</f>
        <v>0</v>
      </c>
      <c r="Q858">
        <f>IF(COUNTIF($E858, _xlfn.CONCAT("*",Table13[[#Headers],[Fantasy]],"*")),1,0)</f>
        <v>0</v>
      </c>
      <c r="R858">
        <f>IF(COUNTIF($E858, _xlfn.CONCAT("*",Table13[[#Headers],[History]],"*")),1,0)</f>
        <v>1</v>
      </c>
      <c r="S858">
        <f>IF(COUNTIF($E858, _xlfn.CONCAT("*",Table13[[#Headers],[Horror]],"*")),1,0)</f>
        <v>0</v>
      </c>
      <c r="T858">
        <f>IF(COUNTIF($E858, _xlfn.CONCAT("*",Table13[[#Headers],[Music]],"*")),1,0)</f>
        <v>0</v>
      </c>
      <c r="U858">
        <f>IF(COUNTIF($E858, _xlfn.CONCAT("*",Table13[[#Headers],[Mystery]],"*")),1,0)</f>
        <v>0</v>
      </c>
      <c r="V858">
        <f>IF(COUNTIF($E858, _xlfn.CONCAT("*",Table13[[#Headers],[Romance]],"*")),1,0)</f>
        <v>1</v>
      </c>
      <c r="W858">
        <f>IF(COUNTIF($E858, _xlfn.CONCAT("*",Table13[[#Headers],[Science Fiction]],"*")),1,0)</f>
        <v>0</v>
      </c>
      <c r="X858">
        <f>IF(COUNTIF($E858, _xlfn.CONCAT("*",Table13[[#Headers],[TV Movie]],"*")),1,0)</f>
        <v>0</v>
      </c>
      <c r="Y858">
        <f>IF(COUNTIF($E858, _xlfn.CONCAT("*",Table13[[#Headers],[Thriller]],"*")),1,0)</f>
        <v>0</v>
      </c>
      <c r="Z858">
        <f>IF(COUNTIF($E858, _xlfn.CONCAT("*",Table13[[#Headers],[War]],"*")),1,0)</f>
        <v>0</v>
      </c>
      <c r="AA858">
        <f>IF(COUNTIF($E858, _xlfn.CONCAT("*",Table13[[#Headers],[Western]],"*")),1,0)</f>
        <v>0</v>
      </c>
    </row>
    <row r="859" spans="1:27">
      <c r="A859" t="s">
        <v>881</v>
      </c>
      <c r="B859">
        <v>174</v>
      </c>
      <c r="C859">
        <f>MAX(Table13[Rank])-Table13[[#This Row],[Rank]]</f>
        <v>90</v>
      </c>
      <c r="D859" t="s">
        <v>780</v>
      </c>
      <c r="E859" t="s">
        <v>35</v>
      </c>
      <c r="F859" s="1">
        <v>22195</v>
      </c>
      <c r="G859">
        <f>YEAR(Table13[[#This Row],[Date]])</f>
        <v>1960</v>
      </c>
      <c r="H859" t="s">
        <v>881</v>
      </c>
      <c r="I859">
        <f>IF(COUNTIF($E859, _xlfn.CONCAT("*",Table13[[#Headers],[Action]],"*")),1,0)</f>
        <v>0</v>
      </c>
      <c r="J859">
        <f>IF(COUNTIF($E859, _xlfn.CONCAT("*",Table13[[#Headers],[Adventure]],"*")),1,0)</f>
        <v>0</v>
      </c>
      <c r="K859">
        <f>IF(COUNTIF($E859, _xlfn.CONCAT("*",Table13[[#Headers],[Animation]],"*")),1,0)</f>
        <v>0</v>
      </c>
      <c r="L859">
        <f>IF(COUNTIF($E859, _xlfn.CONCAT("*",Table13[[#Headers],[Comedy]],"*")),1,0)</f>
        <v>0</v>
      </c>
      <c r="M859">
        <f>IF(COUNTIF($E859, _xlfn.CONCAT("*",Table13[[#Headers],[Crime]],"*")),1,0)</f>
        <v>0</v>
      </c>
      <c r="N859">
        <f>IF(COUNTIF($E859, _xlfn.CONCAT("*",Table13[[#Headers],[Documentary]],"*")),1,0)</f>
        <v>0</v>
      </c>
      <c r="O859">
        <f>IF(COUNTIF($E859, _xlfn.CONCAT("*",Table13[[#Headers],[Drama]],"*")),1,0)</f>
        <v>1</v>
      </c>
      <c r="P859">
        <f>IF(COUNTIF($E859, _xlfn.CONCAT("*",Table13[[#Headers],[Family]],"*")),1,0)</f>
        <v>0</v>
      </c>
      <c r="Q859">
        <f>IF(COUNTIF($E859, _xlfn.CONCAT("*",Table13[[#Headers],[Fantasy]],"*")),1,0)</f>
        <v>0</v>
      </c>
      <c r="R859">
        <f>IF(COUNTIF($E859, _xlfn.CONCAT("*",Table13[[#Headers],[History]],"*")),1,0)</f>
        <v>0</v>
      </c>
      <c r="S859">
        <f>IF(COUNTIF($E859, _xlfn.CONCAT("*",Table13[[#Headers],[Horror]],"*")),1,0)</f>
        <v>0</v>
      </c>
      <c r="T859">
        <f>IF(COUNTIF($E859, _xlfn.CONCAT("*",Table13[[#Headers],[Music]],"*")),1,0)</f>
        <v>0</v>
      </c>
      <c r="U859">
        <f>IF(COUNTIF($E859, _xlfn.CONCAT("*",Table13[[#Headers],[Mystery]],"*")),1,0)</f>
        <v>0</v>
      </c>
      <c r="V859">
        <f>IF(COUNTIF($E859, _xlfn.CONCAT("*",Table13[[#Headers],[Romance]],"*")),1,0)</f>
        <v>1</v>
      </c>
      <c r="W859">
        <f>IF(COUNTIF($E859, _xlfn.CONCAT("*",Table13[[#Headers],[Science Fiction]],"*")),1,0)</f>
        <v>0</v>
      </c>
      <c r="X859">
        <f>IF(COUNTIF($E859, _xlfn.CONCAT("*",Table13[[#Headers],[TV Movie]],"*")),1,0)</f>
        <v>0</v>
      </c>
      <c r="Y859">
        <f>IF(COUNTIF($E859, _xlfn.CONCAT("*",Table13[[#Headers],[Thriller]],"*")),1,0)</f>
        <v>0</v>
      </c>
      <c r="Z859">
        <f>IF(COUNTIF($E859, _xlfn.CONCAT("*",Table13[[#Headers],[War]],"*")),1,0)</f>
        <v>0</v>
      </c>
      <c r="AA859">
        <f>IF(COUNTIF($E859, _xlfn.CONCAT("*",Table13[[#Headers],[Western]],"*")),1,0)</f>
        <v>0</v>
      </c>
    </row>
    <row r="860" spans="1:27">
      <c r="A860" t="s">
        <v>218</v>
      </c>
      <c r="B860">
        <v>175</v>
      </c>
      <c r="C860">
        <f>MAX(Table13[Rank])-Table13[[#This Row],[Rank]]</f>
        <v>89</v>
      </c>
      <c r="D860" t="s">
        <v>780</v>
      </c>
      <c r="E860" t="s">
        <v>21</v>
      </c>
      <c r="F860" s="1">
        <v>29539</v>
      </c>
      <c r="G860">
        <f>YEAR(Table13[[#This Row],[Date]])</f>
        <v>1980</v>
      </c>
      <c r="H860" t="s">
        <v>218</v>
      </c>
      <c r="I860">
        <f>IF(COUNTIF($E860, _xlfn.CONCAT("*",Table13[[#Headers],[Action]],"*")),1,0)</f>
        <v>0</v>
      </c>
      <c r="J860">
        <f>IF(COUNTIF($E860, _xlfn.CONCAT("*",Table13[[#Headers],[Adventure]],"*")),1,0)</f>
        <v>0</v>
      </c>
      <c r="K860">
        <f>IF(COUNTIF($E860, _xlfn.CONCAT("*",Table13[[#Headers],[Animation]],"*")),1,0)</f>
        <v>0</v>
      </c>
      <c r="L860">
        <f>IF(COUNTIF($E860, _xlfn.CONCAT("*",Table13[[#Headers],[Comedy]],"*")),1,0)</f>
        <v>0</v>
      </c>
      <c r="M860">
        <f>IF(COUNTIF($E860, _xlfn.CONCAT("*",Table13[[#Headers],[Crime]],"*")),1,0)</f>
        <v>0</v>
      </c>
      <c r="N860">
        <f>IF(COUNTIF($E860, _xlfn.CONCAT("*",Table13[[#Headers],[Documentary]],"*")),1,0)</f>
        <v>0</v>
      </c>
      <c r="O860">
        <f>IF(COUNTIF($E860, _xlfn.CONCAT("*",Table13[[#Headers],[Drama]],"*")),1,0)</f>
        <v>1</v>
      </c>
      <c r="P860">
        <f>IF(COUNTIF($E860, _xlfn.CONCAT("*",Table13[[#Headers],[Family]],"*")),1,0)</f>
        <v>0</v>
      </c>
      <c r="Q860">
        <f>IF(COUNTIF($E860, _xlfn.CONCAT("*",Table13[[#Headers],[Fantasy]],"*")),1,0)</f>
        <v>0</v>
      </c>
      <c r="R860">
        <f>IF(COUNTIF($E860, _xlfn.CONCAT("*",Table13[[#Headers],[History]],"*")),1,0)</f>
        <v>0</v>
      </c>
      <c r="S860">
        <f>IF(COUNTIF($E860, _xlfn.CONCAT("*",Table13[[#Headers],[Horror]],"*")),1,0)</f>
        <v>0</v>
      </c>
      <c r="T860">
        <f>IF(COUNTIF($E860, _xlfn.CONCAT("*",Table13[[#Headers],[Music]],"*")),1,0)</f>
        <v>0</v>
      </c>
      <c r="U860">
        <f>IF(COUNTIF($E860, _xlfn.CONCAT("*",Table13[[#Headers],[Mystery]],"*")),1,0)</f>
        <v>0</v>
      </c>
      <c r="V860">
        <f>IF(COUNTIF($E860, _xlfn.CONCAT("*",Table13[[#Headers],[Romance]],"*")),1,0)</f>
        <v>0</v>
      </c>
      <c r="W860">
        <f>IF(COUNTIF($E860, _xlfn.CONCAT("*",Table13[[#Headers],[Science Fiction]],"*")),1,0)</f>
        <v>0</v>
      </c>
      <c r="X860">
        <f>IF(COUNTIF($E860, _xlfn.CONCAT("*",Table13[[#Headers],[TV Movie]],"*")),1,0)</f>
        <v>0</v>
      </c>
      <c r="Y860">
        <f>IF(COUNTIF($E860, _xlfn.CONCAT("*",Table13[[#Headers],[Thriller]],"*")),1,0)</f>
        <v>0</v>
      </c>
      <c r="Z860">
        <f>IF(COUNTIF($E860, _xlfn.CONCAT("*",Table13[[#Headers],[War]],"*")),1,0)</f>
        <v>0</v>
      </c>
      <c r="AA860">
        <f>IF(COUNTIF($E860, _xlfn.CONCAT("*",Table13[[#Headers],[Western]],"*")),1,0)</f>
        <v>0</v>
      </c>
    </row>
    <row r="861" spans="1:27">
      <c r="A861" t="s">
        <v>742</v>
      </c>
      <c r="B861">
        <v>176</v>
      </c>
      <c r="C861">
        <f>MAX(Table13[Rank])-Table13[[#This Row],[Rank]]</f>
        <v>88</v>
      </c>
      <c r="D861" t="s">
        <v>780</v>
      </c>
      <c r="E861" t="s">
        <v>266</v>
      </c>
      <c r="F861" s="1">
        <v>41268</v>
      </c>
      <c r="G861">
        <f>YEAR(Table13[[#This Row],[Date]])</f>
        <v>2012</v>
      </c>
      <c r="H861" t="s">
        <v>742</v>
      </c>
      <c r="I861">
        <f>IF(COUNTIF($E861, _xlfn.CONCAT("*",Table13[[#Headers],[Action]],"*")),1,0)</f>
        <v>0</v>
      </c>
      <c r="J861">
        <f>IF(COUNTIF($E861, _xlfn.CONCAT("*",Table13[[#Headers],[Adventure]],"*")),1,0)</f>
        <v>0</v>
      </c>
      <c r="K861">
        <f>IF(COUNTIF($E861, _xlfn.CONCAT("*",Table13[[#Headers],[Animation]],"*")),1,0)</f>
        <v>0</v>
      </c>
      <c r="L861">
        <f>IF(COUNTIF($E861, _xlfn.CONCAT("*",Table13[[#Headers],[Comedy]],"*")),1,0)</f>
        <v>0</v>
      </c>
      <c r="M861">
        <f>IF(COUNTIF($E861, _xlfn.CONCAT("*",Table13[[#Headers],[Crime]],"*")),1,0)</f>
        <v>0</v>
      </c>
      <c r="N861">
        <f>IF(COUNTIF($E861, _xlfn.CONCAT("*",Table13[[#Headers],[Documentary]],"*")),1,0)</f>
        <v>0</v>
      </c>
      <c r="O861">
        <f>IF(COUNTIF($E861, _xlfn.CONCAT("*",Table13[[#Headers],[Drama]],"*")),1,0)</f>
        <v>1</v>
      </c>
      <c r="P861">
        <f>IF(COUNTIF($E861, _xlfn.CONCAT("*",Table13[[#Headers],[Family]],"*")),1,0)</f>
        <v>0</v>
      </c>
      <c r="Q861">
        <f>IF(COUNTIF($E861, _xlfn.CONCAT("*",Table13[[#Headers],[Fantasy]],"*")),1,0)</f>
        <v>0</v>
      </c>
      <c r="R861">
        <f>IF(COUNTIF($E861, _xlfn.CONCAT("*",Table13[[#Headers],[History]],"*")),1,0)</f>
        <v>0</v>
      </c>
      <c r="S861">
        <f>IF(COUNTIF($E861, _xlfn.CONCAT("*",Table13[[#Headers],[Horror]],"*")),1,0)</f>
        <v>0</v>
      </c>
      <c r="T861">
        <f>IF(COUNTIF($E861, _xlfn.CONCAT("*",Table13[[#Headers],[Music]],"*")),1,0)</f>
        <v>0</v>
      </c>
      <c r="U861">
        <f>IF(COUNTIF($E861, _xlfn.CONCAT("*",Table13[[#Headers],[Mystery]],"*")),1,0)</f>
        <v>0</v>
      </c>
      <c r="V861">
        <f>IF(COUNTIF($E861, _xlfn.CONCAT("*",Table13[[#Headers],[Romance]],"*")),1,0)</f>
        <v>0</v>
      </c>
      <c r="W861">
        <f>IF(COUNTIF($E861, _xlfn.CONCAT("*",Table13[[#Headers],[Science Fiction]],"*")),1,0)</f>
        <v>0</v>
      </c>
      <c r="X861">
        <f>IF(COUNTIF($E861, _xlfn.CONCAT("*",Table13[[#Headers],[TV Movie]],"*")),1,0)</f>
        <v>0</v>
      </c>
      <c r="Y861">
        <f>IF(COUNTIF($E861, _xlfn.CONCAT("*",Table13[[#Headers],[Thriller]],"*")),1,0)</f>
        <v>0</v>
      </c>
      <c r="Z861">
        <f>IF(COUNTIF($E861, _xlfn.CONCAT("*",Table13[[#Headers],[War]],"*")),1,0)</f>
        <v>0</v>
      </c>
      <c r="AA861">
        <f>IF(COUNTIF($E861, _xlfn.CONCAT("*",Table13[[#Headers],[Western]],"*")),1,0)</f>
        <v>1</v>
      </c>
    </row>
    <row r="862" spans="1:27">
      <c r="A862" t="s">
        <v>280</v>
      </c>
      <c r="B862">
        <v>177</v>
      </c>
      <c r="C862">
        <f>MAX(Table13[Rank])-Table13[[#This Row],[Rank]]</f>
        <v>87</v>
      </c>
      <c r="D862" t="s">
        <v>780</v>
      </c>
      <c r="E862" t="s">
        <v>281</v>
      </c>
      <c r="F862" s="1">
        <v>29364</v>
      </c>
      <c r="G862">
        <f>YEAR(Table13[[#This Row],[Date]])</f>
        <v>1980</v>
      </c>
      <c r="H862" t="s">
        <v>280</v>
      </c>
      <c r="I862">
        <f>IF(COUNTIF($E862, _xlfn.CONCAT("*",Table13[[#Headers],[Action]],"*")),1,0)</f>
        <v>0</v>
      </c>
      <c r="J862">
        <f>IF(COUNTIF($E862, _xlfn.CONCAT("*",Table13[[#Headers],[Adventure]],"*")),1,0)</f>
        <v>0</v>
      </c>
      <c r="K862">
        <f>IF(COUNTIF($E862, _xlfn.CONCAT("*",Table13[[#Headers],[Animation]],"*")),1,0)</f>
        <v>0</v>
      </c>
      <c r="L862">
        <f>IF(COUNTIF($E862, _xlfn.CONCAT("*",Table13[[#Headers],[Comedy]],"*")),1,0)</f>
        <v>0</v>
      </c>
      <c r="M862">
        <f>IF(COUNTIF($E862, _xlfn.CONCAT("*",Table13[[#Headers],[Crime]],"*")),1,0)</f>
        <v>0</v>
      </c>
      <c r="N862">
        <f>IF(COUNTIF($E862, _xlfn.CONCAT("*",Table13[[#Headers],[Documentary]],"*")),1,0)</f>
        <v>0</v>
      </c>
      <c r="O862">
        <f>IF(COUNTIF($E862, _xlfn.CONCAT("*",Table13[[#Headers],[Drama]],"*")),1,0)</f>
        <v>0</v>
      </c>
      <c r="P862">
        <f>IF(COUNTIF($E862, _xlfn.CONCAT("*",Table13[[#Headers],[Family]],"*")),1,0)</f>
        <v>0</v>
      </c>
      <c r="Q862">
        <f>IF(COUNTIF($E862, _xlfn.CONCAT("*",Table13[[#Headers],[Fantasy]],"*")),1,0)</f>
        <v>0</v>
      </c>
      <c r="R862">
        <f>IF(COUNTIF($E862, _xlfn.CONCAT("*",Table13[[#Headers],[History]],"*")),1,0)</f>
        <v>0</v>
      </c>
      <c r="S862">
        <f>IF(COUNTIF($E862, _xlfn.CONCAT("*",Table13[[#Headers],[Horror]],"*")),1,0)</f>
        <v>1</v>
      </c>
      <c r="T862">
        <f>IF(COUNTIF($E862, _xlfn.CONCAT("*",Table13[[#Headers],[Music]],"*")),1,0)</f>
        <v>0</v>
      </c>
      <c r="U862">
        <f>IF(COUNTIF($E862, _xlfn.CONCAT("*",Table13[[#Headers],[Mystery]],"*")),1,0)</f>
        <v>0</v>
      </c>
      <c r="V862">
        <f>IF(COUNTIF($E862, _xlfn.CONCAT("*",Table13[[#Headers],[Romance]],"*")),1,0)</f>
        <v>0</v>
      </c>
      <c r="W862">
        <f>IF(COUNTIF($E862, _xlfn.CONCAT("*",Table13[[#Headers],[Science Fiction]],"*")),1,0)</f>
        <v>0</v>
      </c>
      <c r="X862">
        <f>IF(COUNTIF($E862, _xlfn.CONCAT("*",Table13[[#Headers],[TV Movie]],"*")),1,0)</f>
        <v>0</v>
      </c>
      <c r="Y862">
        <f>IF(COUNTIF($E862, _xlfn.CONCAT("*",Table13[[#Headers],[Thriller]],"*")),1,0)</f>
        <v>1</v>
      </c>
      <c r="Z862">
        <f>IF(COUNTIF($E862, _xlfn.CONCAT("*",Table13[[#Headers],[War]],"*")),1,0)</f>
        <v>0</v>
      </c>
      <c r="AA862">
        <f>IF(COUNTIF($E862, _xlfn.CONCAT("*",Table13[[#Headers],[Western]],"*")),1,0)</f>
        <v>0</v>
      </c>
    </row>
    <row r="863" spans="1:27">
      <c r="A863" t="s">
        <v>428</v>
      </c>
      <c r="B863">
        <v>178</v>
      </c>
      <c r="C863">
        <f>MAX(Table13[Rank])-Table13[[#This Row],[Rank]]</f>
        <v>86</v>
      </c>
      <c r="D863" t="s">
        <v>780</v>
      </c>
      <c r="E863" t="s">
        <v>102</v>
      </c>
      <c r="F863" s="1">
        <v>24770</v>
      </c>
      <c r="G863">
        <f>YEAR(Table13[[#This Row],[Date]])</f>
        <v>1967</v>
      </c>
      <c r="H863" t="s">
        <v>428</v>
      </c>
      <c r="I863">
        <f>IF(COUNTIF($E863, _xlfn.CONCAT("*",Table13[[#Headers],[Action]],"*")),1,0)</f>
        <v>0</v>
      </c>
      <c r="J863">
        <f>IF(COUNTIF($E863, _xlfn.CONCAT("*",Table13[[#Headers],[Adventure]],"*")),1,0)</f>
        <v>0</v>
      </c>
      <c r="K863">
        <f>IF(COUNTIF($E863, _xlfn.CONCAT("*",Table13[[#Headers],[Animation]],"*")),1,0)</f>
        <v>0</v>
      </c>
      <c r="L863">
        <f>IF(COUNTIF($E863, _xlfn.CONCAT("*",Table13[[#Headers],[Comedy]],"*")),1,0)</f>
        <v>0</v>
      </c>
      <c r="M863">
        <f>IF(COUNTIF($E863, _xlfn.CONCAT("*",Table13[[#Headers],[Crime]],"*")),1,0)</f>
        <v>1</v>
      </c>
      <c r="N863">
        <f>IF(COUNTIF($E863, _xlfn.CONCAT("*",Table13[[#Headers],[Documentary]],"*")),1,0)</f>
        <v>0</v>
      </c>
      <c r="O863">
        <f>IF(COUNTIF($E863, _xlfn.CONCAT("*",Table13[[#Headers],[Drama]],"*")),1,0)</f>
        <v>0</v>
      </c>
      <c r="P863">
        <f>IF(COUNTIF($E863, _xlfn.CONCAT("*",Table13[[#Headers],[Family]],"*")),1,0)</f>
        <v>0</v>
      </c>
      <c r="Q863">
        <f>IF(COUNTIF($E863, _xlfn.CONCAT("*",Table13[[#Headers],[Fantasy]],"*")),1,0)</f>
        <v>0</v>
      </c>
      <c r="R863">
        <f>IF(COUNTIF($E863, _xlfn.CONCAT("*",Table13[[#Headers],[History]],"*")),1,0)</f>
        <v>0</v>
      </c>
      <c r="S863">
        <f>IF(COUNTIF($E863, _xlfn.CONCAT("*",Table13[[#Headers],[Horror]],"*")),1,0)</f>
        <v>0</v>
      </c>
      <c r="T863">
        <f>IF(COUNTIF($E863, _xlfn.CONCAT("*",Table13[[#Headers],[Music]],"*")),1,0)</f>
        <v>0</v>
      </c>
      <c r="U863">
        <f>IF(COUNTIF($E863, _xlfn.CONCAT("*",Table13[[#Headers],[Mystery]],"*")),1,0)</f>
        <v>0</v>
      </c>
      <c r="V863">
        <f>IF(COUNTIF($E863, _xlfn.CONCAT("*",Table13[[#Headers],[Romance]],"*")),1,0)</f>
        <v>0</v>
      </c>
      <c r="W863">
        <f>IF(COUNTIF($E863, _xlfn.CONCAT("*",Table13[[#Headers],[Science Fiction]],"*")),1,0)</f>
        <v>0</v>
      </c>
      <c r="X863">
        <f>IF(COUNTIF($E863, _xlfn.CONCAT("*",Table13[[#Headers],[TV Movie]],"*")),1,0)</f>
        <v>0</v>
      </c>
      <c r="Y863">
        <f>IF(COUNTIF($E863, _xlfn.CONCAT("*",Table13[[#Headers],[Thriller]],"*")),1,0)</f>
        <v>1</v>
      </c>
      <c r="Z863">
        <f>IF(COUNTIF($E863, _xlfn.CONCAT("*",Table13[[#Headers],[War]],"*")),1,0)</f>
        <v>0</v>
      </c>
      <c r="AA863">
        <f>IF(COUNTIF($E863, _xlfn.CONCAT("*",Table13[[#Headers],[Western]],"*")),1,0)</f>
        <v>0</v>
      </c>
    </row>
    <row r="864" spans="1:27">
      <c r="A864" t="s">
        <v>882</v>
      </c>
      <c r="B864">
        <v>179</v>
      </c>
      <c r="C864">
        <f>MAX(Table13[Rank])-Table13[[#This Row],[Rank]]</f>
        <v>85</v>
      </c>
      <c r="D864" t="s">
        <v>780</v>
      </c>
      <c r="E864" t="s">
        <v>164</v>
      </c>
      <c r="F864" s="1">
        <v>41696</v>
      </c>
      <c r="G864">
        <f>YEAR(Table13[[#This Row],[Date]])</f>
        <v>2014</v>
      </c>
      <c r="H864" t="s">
        <v>882</v>
      </c>
      <c r="I864">
        <f>IF(COUNTIF($E864, _xlfn.CONCAT("*",Table13[[#Headers],[Action]],"*")),1,0)</f>
        <v>0</v>
      </c>
      <c r="J864">
        <f>IF(COUNTIF($E864, _xlfn.CONCAT("*",Table13[[#Headers],[Adventure]],"*")),1,0)</f>
        <v>0</v>
      </c>
      <c r="K864">
        <f>IF(COUNTIF($E864, _xlfn.CONCAT("*",Table13[[#Headers],[Animation]],"*")),1,0)</f>
        <v>0</v>
      </c>
      <c r="L864">
        <f>IF(COUNTIF($E864, _xlfn.CONCAT("*",Table13[[#Headers],[Comedy]],"*")),1,0)</f>
        <v>1</v>
      </c>
      <c r="M864">
        <f>IF(COUNTIF($E864, _xlfn.CONCAT("*",Table13[[#Headers],[Crime]],"*")),1,0)</f>
        <v>0</v>
      </c>
      <c r="N864">
        <f>IF(COUNTIF($E864, _xlfn.CONCAT("*",Table13[[#Headers],[Documentary]],"*")),1,0)</f>
        <v>0</v>
      </c>
      <c r="O864">
        <f>IF(COUNTIF($E864, _xlfn.CONCAT("*",Table13[[#Headers],[Drama]],"*")),1,0)</f>
        <v>1</v>
      </c>
      <c r="P864">
        <f>IF(COUNTIF($E864, _xlfn.CONCAT("*",Table13[[#Headers],[Family]],"*")),1,0)</f>
        <v>0</v>
      </c>
      <c r="Q864">
        <f>IF(COUNTIF($E864, _xlfn.CONCAT("*",Table13[[#Headers],[Fantasy]],"*")),1,0)</f>
        <v>0</v>
      </c>
      <c r="R864">
        <f>IF(COUNTIF($E864, _xlfn.CONCAT("*",Table13[[#Headers],[History]],"*")),1,0)</f>
        <v>0</v>
      </c>
      <c r="S864">
        <f>IF(COUNTIF($E864, _xlfn.CONCAT("*",Table13[[#Headers],[Horror]],"*")),1,0)</f>
        <v>0</v>
      </c>
      <c r="T864">
        <f>IF(COUNTIF($E864, _xlfn.CONCAT("*",Table13[[#Headers],[Music]],"*")),1,0)</f>
        <v>0</v>
      </c>
      <c r="U864">
        <f>IF(COUNTIF($E864, _xlfn.CONCAT("*",Table13[[#Headers],[Mystery]],"*")),1,0)</f>
        <v>0</v>
      </c>
      <c r="V864">
        <f>IF(COUNTIF($E864, _xlfn.CONCAT("*",Table13[[#Headers],[Romance]],"*")),1,0)</f>
        <v>0</v>
      </c>
      <c r="W864">
        <f>IF(COUNTIF($E864, _xlfn.CONCAT("*",Table13[[#Headers],[Science Fiction]],"*")),1,0)</f>
        <v>0</v>
      </c>
      <c r="X864">
        <f>IF(COUNTIF($E864, _xlfn.CONCAT("*",Table13[[#Headers],[TV Movie]],"*")),1,0)</f>
        <v>0</v>
      </c>
      <c r="Y864">
        <f>IF(COUNTIF($E864, _xlfn.CONCAT("*",Table13[[#Headers],[Thriller]],"*")),1,0)</f>
        <v>0</v>
      </c>
      <c r="Z864">
        <f>IF(COUNTIF($E864, _xlfn.CONCAT("*",Table13[[#Headers],[War]],"*")),1,0)</f>
        <v>0</v>
      </c>
      <c r="AA864">
        <f>IF(COUNTIF($E864, _xlfn.CONCAT("*",Table13[[#Headers],[Western]],"*")),1,0)</f>
        <v>0</v>
      </c>
    </row>
    <row r="865" spans="1:27">
      <c r="A865" t="s">
        <v>549</v>
      </c>
      <c r="B865">
        <v>180</v>
      </c>
      <c r="C865">
        <f>MAX(Table13[Rank])-Table13[[#This Row],[Rank]]</f>
        <v>84</v>
      </c>
      <c r="D865" t="s">
        <v>780</v>
      </c>
      <c r="E865" t="s">
        <v>548</v>
      </c>
      <c r="F865" s="1">
        <v>37048</v>
      </c>
      <c r="G865">
        <f>YEAR(Table13[[#This Row],[Date]])</f>
        <v>2001</v>
      </c>
      <c r="H865" t="s">
        <v>549</v>
      </c>
      <c r="I865">
        <f>IF(COUNTIF($E865, _xlfn.CONCAT("*",Table13[[#Headers],[Action]],"*")),1,0)</f>
        <v>0</v>
      </c>
      <c r="J865">
        <f>IF(COUNTIF($E865, _xlfn.CONCAT("*",Table13[[#Headers],[Adventure]],"*")),1,0)</f>
        <v>0</v>
      </c>
      <c r="K865">
        <f>IF(COUNTIF($E865, _xlfn.CONCAT("*",Table13[[#Headers],[Animation]],"*")),1,0)</f>
        <v>0</v>
      </c>
      <c r="L865">
        <f>IF(COUNTIF($E865, _xlfn.CONCAT("*",Table13[[#Headers],[Comedy]],"*")),1,0)</f>
        <v>0</v>
      </c>
      <c r="M865">
        <f>IF(COUNTIF($E865, _xlfn.CONCAT("*",Table13[[#Headers],[Crime]],"*")),1,0)</f>
        <v>0</v>
      </c>
      <c r="N865">
        <f>IF(COUNTIF($E865, _xlfn.CONCAT("*",Table13[[#Headers],[Documentary]],"*")),1,0)</f>
        <v>0</v>
      </c>
      <c r="O865">
        <f>IF(COUNTIF($E865, _xlfn.CONCAT("*",Table13[[#Headers],[Drama]],"*")),1,0)</f>
        <v>1</v>
      </c>
      <c r="P865">
        <f>IF(COUNTIF($E865, _xlfn.CONCAT("*",Table13[[#Headers],[Family]],"*")),1,0)</f>
        <v>0</v>
      </c>
      <c r="Q865">
        <f>IF(COUNTIF($E865, _xlfn.CONCAT("*",Table13[[#Headers],[Fantasy]],"*")),1,0)</f>
        <v>0</v>
      </c>
      <c r="R865">
        <f>IF(COUNTIF($E865, _xlfn.CONCAT("*",Table13[[#Headers],[History]],"*")),1,0)</f>
        <v>0</v>
      </c>
      <c r="S865">
        <f>IF(COUNTIF($E865, _xlfn.CONCAT("*",Table13[[#Headers],[Horror]],"*")),1,0)</f>
        <v>0</v>
      </c>
      <c r="T865">
        <f>IF(COUNTIF($E865, _xlfn.CONCAT("*",Table13[[#Headers],[Music]],"*")),1,0)</f>
        <v>0</v>
      </c>
      <c r="U865">
        <f>IF(COUNTIF($E865, _xlfn.CONCAT("*",Table13[[#Headers],[Mystery]],"*")),1,0)</f>
        <v>1</v>
      </c>
      <c r="V865">
        <f>IF(COUNTIF($E865, _xlfn.CONCAT("*",Table13[[#Headers],[Romance]],"*")),1,0)</f>
        <v>0</v>
      </c>
      <c r="W865">
        <f>IF(COUNTIF($E865, _xlfn.CONCAT("*",Table13[[#Headers],[Science Fiction]],"*")),1,0)</f>
        <v>0</v>
      </c>
      <c r="X865">
        <f>IF(COUNTIF($E865, _xlfn.CONCAT("*",Table13[[#Headers],[TV Movie]],"*")),1,0)</f>
        <v>0</v>
      </c>
      <c r="Y865">
        <f>IF(COUNTIF($E865, _xlfn.CONCAT("*",Table13[[#Headers],[Thriller]],"*")),1,0)</f>
        <v>1</v>
      </c>
      <c r="Z865">
        <f>IF(COUNTIF($E865, _xlfn.CONCAT("*",Table13[[#Headers],[War]],"*")),1,0)</f>
        <v>0</v>
      </c>
      <c r="AA865">
        <f>IF(COUNTIF($E865, _xlfn.CONCAT("*",Table13[[#Headers],[Western]],"*")),1,0)</f>
        <v>0</v>
      </c>
    </row>
    <row r="866" spans="1:27">
      <c r="A866" t="s">
        <v>883</v>
      </c>
      <c r="B866">
        <v>181</v>
      </c>
      <c r="C866">
        <f>MAX(Table13[Rank])-Table13[[#This Row],[Rank]]</f>
        <v>83</v>
      </c>
      <c r="D866" t="s">
        <v>780</v>
      </c>
      <c r="E866" t="s">
        <v>540</v>
      </c>
      <c r="F866" s="1">
        <v>37587</v>
      </c>
      <c r="G866">
        <f>YEAR(Table13[[#This Row],[Date]])</f>
        <v>2002</v>
      </c>
      <c r="H866" t="s">
        <v>883</v>
      </c>
      <c r="I866">
        <f>IF(COUNTIF($E866, _xlfn.CONCAT("*",Table13[[#Headers],[Action]],"*")),1,0)</f>
        <v>0</v>
      </c>
      <c r="J866">
        <f>IF(COUNTIF($E866, _xlfn.CONCAT("*",Table13[[#Headers],[Adventure]],"*")),1,0)</f>
        <v>0</v>
      </c>
      <c r="K866">
        <f>IF(COUNTIF($E866, _xlfn.CONCAT("*",Table13[[#Headers],[Animation]],"*")),1,0)</f>
        <v>0</v>
      </c>
      <c r="L866">
        <f>IF(COUNTIF($E866, _xlfn.CONCAT("*",Table13[[#Headers],[Comedy]],"*")),1,0)</f>
        <v>0</v>
      </c>
      <c r="M866">
        <f>IF(COUNTIF($E866, _xlfn.CONCAT("*",Table13[[#Headers],[Crime]],"*")),1,0)</f>
        <v>0</v>
      </c>
      <c r="N866">
        <f>IF(COUNTIF($E866, _xlfn.CONCAT("*",Table13[[#Headers],[Documentary]],"*")),1,0)</f>
        <v>0</v>
      </c>
      <c r="O866">
        <f>IF(COUNTIF($E866, _xlfn.CONCAT("*",Table13[[#Headers],[Drama]],"*")),1,0)</f>
        <v>1</v>
      </c>
      <c r="P866">
        <f>IF(COUNTIF($E866, _xlfn.CONCAT("*",Table13[[#Headers],[Family]],"*")),1,0)</f>
        <v>0</v>
      </c>
      <c r="Q866">
        <f>IF(COUNTIF($E866, _xlfn.CONCAT("*",Table13[[#Headers],[Fantasy]],"*")),1,0)</f>
        <v>0</v>
      </c>
      <c r="R866">
        <f>IF(COUNTIF($E866, _xlfn.CONCAT("*",Table13[[#Headers],[History]],"*")),1,0)</f>
        <v>0</v>
      </c>
      <c r="S866">
        <f>IF(COUNTIF($E866, _xlfn.CONCAT("*",Table13[[#Headers],[Horror]],"*")),1,0)</f>
        <v>0</v>
      </c>
      <c r="T866">
        <f>IF(COUNTIF($E866, _xlfn.CONCAT("*",Table13[[#Headers],[Music]],"*")),1,0)</f>
        <v>0</v>
      </c>
      <c r="U866">
        <f>IF(COUNTIF($E866, _xlfn.CONCAT("*",Table13[[#Headers],[Mystery]],"*")),1,0)</f>
        <v>1</v>
      </c>
      <c r="V866">
        <f>IF(COUNTIF($E866, _xlfn.CONCAT("*",Table13[[#Headers],[Romance]],"*")),1,0)</f>
        <v>0</v>
      </c>
      <c r="W866">
        <f>IF(COUNTIF($E866, _xlfn.CONCAT("*",Table13[[#Headers],[Science Fiction]],"*")),1,0)</f>
        <v>1</v>
      </c>
      <c r="X866">
        <f>IF(COUNTIF($E866, _xlfn.CONCAT("*",Table13[[#Headers],[TV Movie]],"*")),1,0)</f>
        <v>0</v>
      </c>
      <c r="Y866">
        <f>IF(COUNTIF($E866, _xlfn.CONCAT("*",Table13[[#Headers],[Thriller]],"*")),1,0)</f>
        <v>0</v>
      </c>
      <c r="Z866">
        <f>IF(COUNTIF($E866, _xlfn.CONCAT("*",Table13[[#Headers],[War]],"*")),1,0)</f>
        <v>0</v>
      </c>
      <c r="AA866">
        <f>IF(COUNTIF($E866, _xlfn.CONCAT("*",Table13[[#Headers],[Western]],"*")),1,0)</f>
        <v>0</v>
      </c>
    </row>
    <row r="867" spans="1:27">
      <c r="A867" t="s">
        <v>399</v>
      </c>
      <c r="B867">
        <v>182</v>
      </c>
      <c r="C867">
        <f>MAX(Table13[Rank])-Table13[[#This Row],[Rank]]</f>
        <v>82</v>
      </c>
      <c r="D867" t="s">
        <v>780</v>
      </c>
      <c r="E867" t="s">
        <v>21</v>
      </c>
      <c r="F867" s="1">
        <v>27780</v>
      </c>
      <c r="G867">
        <f>YEAR(Table13[[#This Row],[Date]])</f>
        <v>1976</v>
      </c>
      <c r="H867" t="s">
        <v>399</v>
      </c>
      <c r="I867">
        <f>IF(COUNTIF($E867, _xlfn.CONCAT("*",Table13[[#Headers],[Action]],"*")),1,0)</f>
        <v>0</v>
      </c>
      <c r="J867">
        <f>IF(COUNTIF($E867, _xlfn.CONCAT("*",Table13[[#Headers],[Adventure]],"*")),1,0)</f>
        <v>0</v>
      </c>
      <c r="K867">
        <f>IF(COUNTIF($E867, _xlfn.CONCAT("*",Table13[[#Headers],[Animation]],"*")),1,0)</f>
        <v>0</v>
      </c>
      <c r="L867">
        <f>IF(COUNTIF($E867, _xlfn.CONCAT("*",Table13[[#Headers],[Comedy]],"*")),1,0)</f>
        <v>0</v>
      </c>
      <c r="M867">
        <f>IF(COUNTIF($E867, _xlfn.CONCAT("*",Table13[[#Headers],[Crime]],"*")),1,0)</f>
        <v>0</v>
      </c>
      <c r="N867">
        <f>IF(COUNTIF($E867, _xlfn.CONCAT("*",Table13[[#Headers],[Documentary]],"*")),1,0)</f>
        <v>0</v>
      </c>
      <c r="O867">
        <f>IF(COUNTIF($E867, _xlfn.CONCAT("*",Table13[[#Headers],[Drama]],"*")),1,0)</f>
        <v>1</v>
      </c>
      <c r="P867">
        <f>IF(COUNTIF($E867, _xlfn.CONCAT("*",Table13[[#Headers],[Family]],"*")),1,0)</f>
        <v>0</v>
      </c>
      <c r="Q867">
        <f>IF(COUNTIF($E867, _xlfn.CONCAT("*",Table13[[#Headers],[Fantasy]],"*")),1,0)</f>
        <v>0</v>
      </c>
      <c r="R867">
        <f>IF(COUNTIF($E867, _xlfn.CONCAT("*",Table13[[#Headers],[History]],"*")),1,0)</f>
        <v>0</v>
      </c>
      <c r="S867">
        <f>IF(COUNTIF($E867, _xlfn.CONCAT("*",Table13[[#Headers],[Horror]],"*")),1,0)</f>
        <v>0</v>
      </c>
      <c r="T867">
        <f>IF(COUNTIF($E867, _xlfn.CONCAT("*",Table13[[#Headers],[Music]],"*")),1,0)</f>
        <v>0</v>
      </c>
      <c r="U867">
        <f>IF(COUNTIF($E867, _xlfn.CONCAT("*",Table13[[#Headers],[Mystery]],"*")),1,0)</f>
        <v>0</v>
      </c>
      <c r="V867">
        <f>IF(COUNTIF($E867, _xlfn.CONCAT("*",Table13[[#Headers],[Romance]],"*")),1,0)</f>
        <v>0</v>
      </c>
      <c r="W867">
        <f>IF(COUNTIF($E867, _xlfn.CONCAT("*",Table13[[#Headers],[Science Fiction]],"*")),1,0)</f>
        <v>0</v>
      </c>
      <c r="X867">
        <f>IF(COUNTIF($E867, _xlfn.CONCAT("*",Table13[[#Headers],[TV Movie]],"*")),1,0)</f>
        <v>0</v>
      </c>
      <c r="Y867">
        <f>IF(COUNTIF($E867, _xlfn.CONCAT("*",Table13[[#Headers],[Thriller]],"*")),1,0)</f>
        <v>0</v>
      </c>
      <c r="Z867">
        <f>IF(COUNTIF($E867, _xlfn.CONCAT("*",Table13[[#Headers],[War]],"*")),1,0)</f>
        <v>0</v>
      </c>
      <c r="AA867">
        <f>IF(COUNTIF($E867, _xlfn.CONCAT("*",Table13[[#Headers],[Western]],"*")),1,0)</f>
        <v>0</v>
      </c>
    </row>
    <row r="868" spans="1:27">
      <c r="A868" t="s">
        <v>884</v>
      </c>
      <c r="B868">
        <v>183</v>
      </c>
      <c r="C868">
        <f>MAX(Table13[Rank])-Table13[[#This Row],[Rank]]</f>
        <v>81</v>
      </c>
      <c r="D868" t="s">
        <v>780</v>
      </c>
      <c r="E868" t="s">
        <v>21</v>
      </c>
      <c r="F868" s="1">
        <v>44855</v>
      </c>
      <c r="G868">
        <f>YEAR(Table13[[#This Row],[Date]])</f>
        <v>2022</v>
      </c>
      <c r="H868" t="s">
        <v>884</v>
      </c>
      <c r="I868">
        <f>IF(COUNTIF($E868, _xlfn.CONCAT("*",Table13[[#Headers],[Action]],"*")),1,0)</f>
        <v>0</v>
      </c>
      <c r="J868">
        <f>IF(COUNTIF($E868, _xlfn.CONCAT("*",Table13[[#Headers],[Adventure]],"*")),1,0)</f>
        <v>0</v>
      </c>
      <c r="K868">
        <f>IF(COUNTIF($E868, _xlfn.CONCAT("*",Table13[[#Headers],[Animation]],"*")),1,0)</f>
        <v>0</v>
      </c>
      <c r="L868">
        <f>IF(COUNTIF($E868, _xlfn.CONCAT("*",Table13[[#Headers],[Comedy]],"*")),1,0)</f>
        <v>0</v>
      </c>
      <c r="M868">
        <f>IF(COUNTIF($E868, _xlfn.CONCAT("*",Table13[[#Headers],[Crime]],"*")),1,0)</f>
        <v>0</v>
      </c>
      <c r="N868">
        <f>IF(COUNTIF($E868, _xlfn.CONCAT("*",Table13[[#Headers],[Documentary]],"*")),1,0)</f>
        <v>0</v>
      </c>
      <c r="O868">
        <f>IF(COUNTIF($E868, _xlfn.CONCAT("*",Table13[[#Headers],[Drama]],"*")),1,0)</f>
        <v>1</v>
      </c>
      <c r="P868">
        <f>IF(COUNTIF($E868, _xlfn.CONCAT("*",Table13[[#Headers],[Family]],"*")),1,0)</f>
        <v>0</v>
      </c>
      <c r="Q868">
        <f>IF(COUNTIF($E868, _xlfn.CONCAT("*",Table13[[#Headers],[Fantasy]],"*")),1,0)</f>
        <v>0</v>
      </c>
      <c r="R868">
        <f>IF(COUNTIF($E868, _xlfn.CONCAT("*",Table13[[#Headers],[History]],"*")),1,0)</f>
        <v>0</v>
      </c>
      <c r="S868">
        <f>IF(COUNTIF($E868, _xlfn.CONCAT("*",Table13[[#Headers],[Horror]],"*")),1,0)</f>
        <v>0</v>
      </c>
      <c r="T868">
        <f>IF(COUNTIF($E868, _xlfn.CONCAT("*",Table13[[#Headers],[Music]],"*")),1,0)</f>
        <v>0</v>
      </c>
      <c r="U868">
        <f>IF(COUNTIF($E868, _xlfn.CONCAT("*",Table13[[#Headers],[Mystery]],"*")),1,0)</f>
        <v>0</v>
      </c>
      <c r="V868">
        <f>IF(COUNTIF($E868, _xlfn.CONCAT("*",Table13[[#Headers],[Romance]],"*")),1,0)</f>
        <v>0</v>
      </c>
      <c r="W868">
        <f>IF(COUNTIF($E868, _xlfn.CONCAT("*",Table13[[#Headers],[Science Fiction]],"*")),1,0)</f>
        <v>0</v>
      </c>
      <c r="X868">
        <f>IF(COUNTIF($E868, _xlfn.CONCAT("*",Table13[[#Headers],[TV Movie]],"*")),1,0)</f>
        <v>0</v>
      </c>
      <c r="Y868">
        <f>IF(COUNTIF($E868, _xlfn.CONCAT("*",Table13[[#Headers],[Thriller]],"*")),1,0)</f>
        <v>0</v>
      </c>
      <c r="Z868">
        <f>IF(COUNTIF($E868, _xlfn.CONCAT("*",Table13[[#Headers],[War]],"*")),1,0)</f>
        <v>0</v>
      </c>
      <c r="AA868">
        <f>IF(COUNTIF($E868, _xlfn.CONCAT("*",Table13[[#Headers],[Western]],"*")),1,0)</f>
        <v>0</v>
      </c>
    </row>
    <row r="869" spans="1:27">
      <c r="A869" t="s">
        <v>885</v>
      </c>
      <c r="B869">
        <v>184</v>
      </c>
      <c r="C869">
        <f>MAX(Table13[Rank])-Table13[[#This Row],[Rank]]</f>
        <v>80</v>
      </c>
      <c r="D869" t="s">
        <v>780</v>
      </c>
      <c r="E869" t="s">
        <v>21</v>
      </c>
      <c r="F869" s="1">
        <v>33970</v>
      </c>
      <c r="G869">
        <f>YEAR(Table13[[#This Row],[Date]])</f>
        <v>1993</v>
      </c>
      <c r="H869" t="s">
        <v>885</v>
      </c>
      <c r="I869">
        <f>IF(COUNTIF($E869, _xlfn.CONCAT("*",Table13[[#Headers],[Action]],"*")),1,0)</f>
        <v>0</v>
      </c>
      <c r="J869">
        <f>IF(COUNTIF($E869, _xlfn.CONCAT("*",Table13[[#Headers],[Adventure]],"*")),1,0)</f>
        <v>0</v>
      </c>
      <c r="K869">
        <f>IF(COUNTIF($E869, _xlfn.CONCAT("*",Table13[[#Headers],[Animation]],"*")),1,0)</f>
        <v>0</v>
      </c>
      <c r="L869">
        <f>IF(COUNTIF($E869, _xlfn.CONCAT("*",Table13[[#Headers],[Comedy]],"*")),1,0)</f>
        <v>0</v>
      </c>
      <c r="M869">
        <f>IF(COUNTIF($E869, _xlfn.CONCAT("*",Table13[[#Headers],[Crime]],"*")),1,0)</f>
        <v>0</v>
      </c>
      <c r="N869">
        <f>IF(COUNTIF($E869, _xlfn.CONCAT("*",Table13[[#Headers],[Documentary]],"*")),1,0)</f>
        <v>0</v>
      </c>
      <c r="O869">
        <f>IF(COUNTIF($E869, _xlfn.CONCAT("*",Table13[[#Headers],[Drama]],"*")),1,0)</f>
        <v>1</v>
      </c>
      <c r="P869">
        <f>IF(COUNTIF($E869, _xlfn.CONCAT("*",Table13[[#Headers],[Family]],"*")),1,0)</f>
        <v>0</v>
      </c>
      <c r="Q869">
        <f>IF(COUNTIF($E869, _xlfn.CONCAT("*",Table13[[#Headers],[Fantasy]],"*")),1,0)</f>
        <v>0</v>
      </c>
      <c r="R869">
        <f>IF(COUNTIF($E869, _xlfn.CONCAT("*",Table13[[#Headers],[History]],"*")),1,0)</f>
        <v>0</v>
      </c>
      <c r="S869">
        <f>IF(COUNTIF($E869, _xlfn.CONCAT("*",Table13[[#Headers],[Horror]],"*")),1,0)</f>
        <v>0</v>
      </c>
      <c r="T869">
        <f>IF(COUNTIF($E869, _xlfn.CONCAT("*",Table13[[#Headers],[Music]],"*")),1,0)</f>
        <v>0</v>
      </c>
      <c r="U869">
        <f>IF(COUNTIF($E869, _xlfn.CONCAT("*",Table13[[#Headers],[Mystery]],"*")),1,0)</f>
        <v>0</v>
      </c>
      <c r="V869">
        <f>IF(COUNTIF($E869, _xlfn.CONCAT("*",Table13[[#Headers],[Romance]],"*")),1,0)</f>
        <v>0</v>
      </c>
      <c r="W869">
        <f>IF(COUNTIF($E869, _xlfn.CONCAT("*",Table13[[#Headers],[Science Fiction]],"*")),1,0)</f>
        <v>0</v>
      </c>
      <c r="X869">
        <f>IF(COUNTIF($E869, _xlfn.CONCAT("*",Table13[[#Headers],[TV Movie]],"*")),1,0)</f>
        <v>0</v>
      </c>
      <c r="Y869">
        <f>IF(COUNTIF($E869, _xlfn.CONCAT("*",Table13[[#Headers],[Thriller]],"*")),1,0)</f>
        <v>0</v>
      </c>
      <c r="Z869">
        <f>IF(COUNTIF($E869, _xlfn.CONCAT("*",Table13[[#Headers],[War]],"*")),1,0)</f>
        <v>0</v>
      </c>
      <c r="AA869">
        <f>IF(COUNTIF($E869, _xlfn.CONCAT("*",Table13[[#Headers],[Western]],"*")),1,0)</f>
        <v>0</v>
      </c>
    </row>
    <row r="870" spans="1:27">
      <c r="A870" t="s">
        <v>886</v>
      </c>
      <c r="B870">
        <v>185</v>
      </c>
      <c r="C870">
        <f>MAX(Table13[Rank])-Table13[[#This Row],[Rank]]</f>
        <v>79</v>
      </c>
      <c r="D870" t="s">
        <v>780</v>
      </c>
      <c r="E870" t="s">
        <v>35</v>
      </c>
      <c r="F870" s="1">
        <v>28348</v>
      </c>
      <c r="G870">
        <f>YEAR(Table13[[#This Row],[Date]])</f>
        <v>1977</v>
      </c>
      <c r="H870" t="s">
        <v>886</v>
      </c>
      <c r="I870">
        <f>IF(COUNTIF($E870, _xlfn.CONCAT("*",Table13[[#Headers],[Action]],"*")),1,0)</f>
        <v>0</v>
      </c>
      <c r="J870">
        <f>IF(COUNTIF($E870, _xlfn.CONCAT("*",Table13[[#Headers],[Adventure]],"*")),1,0)</f>
        <v>0</v>
      </c>
      <c r="K870">
        <f>IF(COUNTIF($E870, _xlfn.CONCAT("*",Table13[[#Headers],[Animation]],"*")),1,0)</f>
        <v>0</v>
      </c>
      <c r="L870">
        <f>IF(COUNTIF($E870, _xlfn.CONCAT("*",Table13[[#Headers],[Comedy]],"*")),1,0)</f>
        <v>0</v>
      </c>
      <c r="M870">
        <f>IF(COUNTIF($E870, _xlfn.CONCAT("*",Table13[[#Headers],[Crime]],"*")),1,0)</f>
        <v>0</v>
      </c>
      <c r="N870">
        <f>IF(COUNTIF($E870, _xlfn.CONCAT("*",Table13[[#Headers],[Documentary]],"*")),1,0)</f>
        <v>0</v>
      </c>
      <c r="O870">
        <f>IF(COUNTIF($E870, _xlfn.CONCAT("*",Table13[[#Headers],[Drama]],"*")),1,0)</f>
        <v>1</v>
      </c>
      <c r="P870">
        <f>IF(COUNTIF($E870, _xlfn.CONCAT("*",Table13[[#Headers],[Family]],"*")),1,0)</f>
        <v>0</v>
      </c>
      <c r="Q870">
        <f>IF(COUNTIF($E870, _xlfn.CONCAT("*",Table13[[#Headers],[Fantasy]],"*")),1,0)</f>
        <v>0</v>
      </c>
      <c r="R870">
        <f>IF(COUNTIF($E870, _xlfn.CONCAT("*",Table13[[#Headers],[History]],"*")),1,0)</f>
        <v>0</v>
      </c>
      <c r="S870">
        <f>IF(COUNTIF($E870, _xlfn.CONCAT("*",Table13[[#Headers],[Horror]],"*")),1,0)</f>
        <v>0</v>
      </c>
      <c r="T870">
        <f>IF(COUNTIF($E870, _xlfn.CONCAT("*",Table13[[#Headers],[Music]],"*")),1,0)</f>
        <v>0</v>
      </c>
      <c r="U870">
        <f>IF(COUNTIF($E870, _xlfn.CONCAT("*",Table13[[#Headers],[Mystery]],"*")),1,0)</f>
        <v>0</v>
      </c>
      <c r="V870">
        <f>IF(COUNTIF($E870, _xlfn.CONCAT("*",Table13[[#Headers],[Romance]],"*")),1,0)</f>
        <v>1</v>
      </c>
      <c r="W870">
        <f>IF(COUNTIF($E870, _xlfn.CONCAT("*",Table13[[#Headers],[Science Fiction]],"*")),1,0)</f>
        <v>0</v>
      </c>
      <c r="X870">
        <f>IF(COUNTIF($E870, _xlfn.CONCAT("*",Table13[[#Headers],[TV Movie]],"*")),1,0)</f>
        <v>0</v>
      </c>
      <c r="Y870">
        <f>IF(COUNTIF($E870, _xlfn.CONCAT("*",Table13[[#Headers],[Thriller]],"*")),1,0)</f>
        <v>0</v>
      </c>
      <c r="Z870">
        <f>IF(COUNTIF($E870, _xlfn.CONCAT("*",Table13[[#Headers],[War]],"*")),1,0)</f>
        <v>0</v>
      </c>
      <c r="AA870">
        <f>IF(COUNTIF($E870, _xlfn.CONCAT("*",Table13[[#Headers],[Western]],"*")),1,0)</f>
        <v>0</v>
      </c>
    </row>
    <row r="871" spans="1:27">
      <c r="A871" t="s">
        <v>887</v>
      </c>
      <c r="B871">
        <v>186</v>
      </c>
      <c r="C871">
        <f>MAX(Table13[Rank])-Table13[[#This Row],[Rank]]</f>
        <v>78</v>
      </c>
      <c r="D871" t="s">
        <v>780</v>
      </c>
      <c r="E871" t="s">
        <v>35</v>
      </c>
      <c r="F871" s="1">
        <v>22305</v>
      </c>
      <c r="G871">
        <f>YEAR(Table13[[#This Row],[Date]])</f>
        <v>1961</v>
      </c>
      <c r="H871" t="s">
        <v>887</v>
      </c>
      <c r="I871">
        <f>IF(COUNTIF($E871, _xlfn.CONCAT("*",Table13[[#Headers],[Action]],"*")),1,0)</f>
        <v>0</v>
      </c>
      <c r="J871">
        <f>IF(COUNTIF($E871, _xlfn.CONCAT("*",Table13[[#Headers],[Adventure]],"*")),1,0)</f>
        <v>0</v>
      </c>
      <c r="K871">
        <f>IF(COUNTIF($E871, _xlfn.CONCAT("*",Table13[[#Headers],[Animation]],"*")),1,0)</f>
        <v>0</v>
      </c>
      <c r="L871">
        <f>IF(COUNTIF($E871, _xlfn.CONCAT("*",Table13[[#Headers],[Comedy]],"*")),1,0)</f>
        <v>0</v>
      </c>
      <c r="M871">
        <f>IF(COUNTIF($E871, _xlfn.CONCAT("*",Table13[[#Headers],[Crime]],"*")),1,0)</f>
        <v>0</v>
      </c>
      <c r="N871">
        <f>IF(COUNTIF($E871, _xlfn.CONCAT("*",Table13[[#Headers],[Documentary]],"*")),1,0)</f>
        <v>0</v>
      </c>
      <c r="O871">
        <f>IF(COUNTIF($E871, _xlfn.CONCAT("*",Table13[[#Headers],[Drama]],"*")),1,0)</f>
        <v>1</v>
      </c>
      <c r="P871">
        <f>IF(COUNTIF($E871, _xlfn.CONCAT("*",Table13[[#Headers],[Family]],"*")),1,0)</f>
        <v>0</v>
      </c>
      <c r="Q871">
        <f>IF(COUNTIF($E871, _xlfn.CONCAT("*",Table13[[#Headers],[Fantasy]],"*")),1,0)</f>
        <v>0</v>
      </c>
      <c r="R871">
        <f>IF(COUNTIF($E871, _xlfn.CONCAT("*",Table13[[#Headers],[History]],"*")),1,0)</f>
        <v>0</v>
      </c>
      <c r="S871">
        <f>IF(COUNTIF($E871, _xlfn.CONCAT("*",Table13[[#Headers],[Horror]],"*")),1,0)</f>
        <v>0</v>
      </c>
      <c r="T871">
        <f>IF(COUNTIF($E871, _xlfn.CONCAT("*",Table13[[#Headers],[Music]],"*")),1,0)</f>
        <v>0</v>
      </c>
      <c r="U871">
        <f>IF(COUNTIF($E871, _xlfn.CONCAT("*",Table13[[#Headers],[Mystery]],"*")),1,0)</f>
        <v>0</v>
      </c>
      <c r="V871">
        <f>IF(COUNTIF($E871, _xlfn.CONCAT("*",Table13[[#Headers],[Romance]],"*")),1,0)</f>
        <v>1</v>
      </c>
      <c r="W871">
        <f>IF(COUNTIF($E871, _xlfn.CONCAT("*",Table13[[#Headers],[Science Fiction]],"*")),1,0)</f>
        <v>0</v>
      </c>
      <c r="X871">
        <f>IF(COUNTIF($E871, _xlfn.CONCAT("*",Table13[[#Headers],[TV Movie]],"*")),1,0)</f>
        <v>0</v>
      </c>
      <c r="Y871">
        <f>IF(COUNTIF($E871, _xlfn.CONCAT("*",Table13[[#Headers],[Thriller]],"*")),1,0)</f>
        <v>0</v>
      </c>
      <c r="Z871">
        <f>IF(COUNTIF($E871, _xlfn.CONCAT("*",Table13[[#Headers],[War]],"*")),1,0)</f>
        <v>0</v>
      </c>
      <c r="AA871">
        <f>IF(COUNTIF($E871, _xlfn.CONCAT("*",Table13[[#Headers],[Western]],"*")),1,0)</f>
        <v>0</v>
      </c>
    </row>
    <row r="872" spans="1:27">
      <c r="A872" t="s">
        <v>888</v>
      </c>
      <c r="B872">
        <v>187</v>
      </c>
      <c r="C872">
        <f>MAX(Table13[Rank])-Table13[[#This Row],[Rank]]</f>
        <v>77</v>
      </c>
      <c r="D872" t="s">
        <v>780</v>
      </c>
      <c r="E872" t="s">
        <v>889</v>
      </c>
      <c r="F872" s="1">
        <v>44263</v>
      </c>
      <c r="G872">
        <f>YEAR(Table13[[#This Row],[Date]])</f>
        <v>2021</v>
      </c>
      <c r="H872" t="s">
        <v>888</v>
      </c>
      <c r="I872">
        <f>IF(COUNTIF($E872, _xlfn.CONCAT("*",Table13[[#Headers],[Action]],"*")),1,0)</f>
        <v>1</v>
      </c>
      <c r="J872">
        <f>IF(COUNTIF($E872, _xlfn.CONCAT("*",Table13[[#Headers],[Adventure]],"*")),1,0)</f>
        <v>0</v>
      </c>
      <c r="K872">
        <f>IF(COUNTIF($E872, _xlfn.CONCAT("*",Table13[[#Headers],[Animation]],"*")),1,0)</f>
        <v>1</v>
      </c>
      <c r="L872">
        <f>IF(COUNTIF($E872, _xlfn.CONCAT("*",Table13[[#Headers],[Comedy]],"*")),1,0)</f>
        <v>0</v>
      </c>
      <c r="M872">
        <f>IF(COUNTIF($E872, _xlfn.CONCAT("*",Table13[[#Headers],[Crime]],"*")),1,0)</f>
        <v>0</v>
      </c>
      <c r="N872">
        <f>IF(COUNTIF($E872, _xlfn.CONCAT("*",Table13[[#Headers],[Documentary]],"*")),1,0)</f>
        <v>0</v>
      </c>
      <c r="O872">
        <f>IF(COUNTIF($E872, _xlfn.CONCAT("*",Table13[[#Headers],[Drama]],"*")),1,0)</f>
        <v>1</v>
      </c>
      <c r="P872">
        <f>IF(COUNTIF($E872, _xlfn.CONCAT("*",Table13[[#Headers],[Family]],"*")),1,0)</f>
        <v>0</v>
      </c>
      <c r="Q872">
        <f>IF(COUNTIF($E872, _xlfn.CONCAT("*",Table13[[#Headers],[Fantasy]],"*")),1,0)</f>
        <v>0</v>
      </c>
      <c r="R872">
        <f>IF(COUNTIF($E872, _xlfn.CONCAT("*",Table13[[#Headers],[History]],"*")),1,0)</f>
        <v>0</v>
      </c>
      <c r="S872">
        <f>IF(COUNTIF($E872, _xlfn.CONCAT("*",Table13[[#Headers],[Horror]],"*")),1,0)</f>
        <v>0</v>
      </c>
      <c r="T872">
        <f>IF(COUNTIF($E872, _xlfn.CONCAT("*",Table13[[#Headers],[Music]],"*")),1,0)</f>
        <v>0</v>
      </c>
      <c r="U872">
        <f>IF(COUNTIF($E872, _xlfn.CONCAT("*",Table13[[#Headers],[Mystery]],"*")),1,0)</f>
        <v>0</v>
      </c>
      <c r="V872">
        <f>IF(COUNTIF($E872, _xlfn.CONCAT("*",Table13[[#Headers],[Romance]],"*")),1,0)</f>
        <v>0</v>
      </c>
      <c r="W872">
        <f>IF(COUNTIF($E872, _xlfn.CONCAT("*",Table13[[#Headers],[Science Fiction]],"*")),1,0)</f>
        <v>1</v>
      </c>
      <c r="X872">
        <f>IF(COUNTIF($E872, _xlfn.CONCAT("*",Table13[[#Headers],[TV Movie]],"*")),1,0)</f>
        <v>0</v>
      </c>
      <c r="Y872">
        <f>IF(COUNTIF($E872, _xlfn.CONCAT("*",Table13[[#Headers],[Thriller]],"*")),1,0)</f>
        <v>0</v>
      </c>
      <c r="Z872">
        <f>IF(COUNTIF($E872, _xlfn.CONCAT("*",Table13[[#Headers],[War]],"*")),1,0)</f>
        <v>0</v>
      </c>
      <c r="AA872">
        <f>IF(COUNTIF($E872, _xlfn.CONCAT("*",Table13[[#Headers],[Western]],"*")),1,0)</f>
        <v>0</v>
      </c>
    </row>
    <row r="873" spans="1:27">
      <c r="A873" t="s">
        <v>890</v>
      </c>
      <c r="B873">
        <v>188</v>
      </c>
      <c r="C873">
        <f>MAX(Table13[Rank])-Table13[[#This Row],[Rank]]</f>
        <v>76</v>
      </c>
      <c r="D873" t="s">
        <v>780</v>
      </c>
      <c r="E873" t="s">
        <v>166</v>
      </c>
      <c r="F873" s="1">
        <v>44706</v>
      </c>
      <c r="G873">
        <f>YEAR(Table13[[#This Row],[Date]])</f>
        <v>2022</v>
      </c>
      <c r="H873" t="s">
        <v>890</v>
      </c>
      <c r="I873">
        <f>IF(COUNTIF($E873, _xlfn.CONCAT("*",Table13[[#Headers],[Action]],"*")),1,0)</f>
        <v>0</v>
      </c>
      <c r="J873">
        <f>IF(COUNTIF($E873, _xlfn.CONCAT("*",Table13[[#Headers],[Adventure]],"*")),1,0)</f>
        <v>0</v>
      </c>
      <c r="K873">
        <f>IF(COUNTIF($E873, _xlfn.CONCAT("*",Table13[[#Headers],[Animation]],"*")),1,0)</f>
        <v>0</v>
      </c>
      <c r="L873">
        <f>IF(COUNTIF($E873, _xlfn.CONCAT("*",Table13[[#Headers],[Comedy]],"*")),1,0)</f>
        <v>0</v>
      </c>
      <c r="M873">
        <f>IF(COUNTIF($E873, _xlfn.CONCAT("*",Table13[[#Headers],[Crime]],"*")),1,0)</f>
        <v>1</v>
      </c>
      <c r="N873">
        <f>IF(COUNTIF($E873, _xlfn.CONCAT("*",Table13[[#Headers],[Documentary]],"*")),1,0)</f>
        <v>0</v>
      </c>
      <c r="O873">
        <f>IF(COUNTIF($E873, _xlfn.CONCAT("*",Table13[[#Headers],[Drama]],"*")),1,0)</f>
        <v>1</v>
      </c>
      <c r="P873">
        <f>IF(COUNTIF($E873, _xlfn.CONCAT("*",Table13[[#Headers],[Family]],"*")),1,0)</f>
        <v>0</v>
      </c>
      <c r="Q873">
        <f>IF(COUNTIF($E873, _xlfn.CONCAT("*",Table13[[#Headers],[Fantasy]],"*")),1,0)</f>
        <v>0</v>
      </c>
      <c r="R873">
        <f>IF(COUNTIF($E873, _xlfn.CONCAT("*",Table13[[#Headers],[History]],"*")),1,0)</f>
        <v>0</v>
      </c>
      <c r="S873">
        <f>IF(COUNTIF($E873, _xlfn.CONCAT("*",Table13[[#Headers],[Horror]],"*")),1,0)</f>
        <v>0</v>
      </c>
      <c r="T873">
        <f>IF(COUNTIF($E873, _xlfn.CONCAT("*",Table13[[#Headers],[Music]],"*")),1,0)</f>
        <v>0</v>
      </c>
      <c r="U873">
        <f>IF(COUNTIF($E873, _xlfn.CONCAT("*",Table13[[#Headers],[Mystery]],"*")),1,0)</f>
        <v>0</v>
      </c>
      <c r="V873">
        <f>IF(COUNTIF($E873, _xlfn.CONCAT("*",Table13[[#Headers],[Romance]],"*")),1,0)</f>
        <v>0</v>
      </c>
      <c r="W873">
        <f>IF(COUNTIF($E873, _xlfn.CONCAT("*",Table13[[#Headers],[Science Fiction]],"*")),1,0)</f>
        <v>0</v>
      </c>
      <c r="X873">
        <f>IF(COUNTIF($E873, _xlfn.CONCAT("*",Table13[[#Headers],[TV Movie]],"*")),1,0)</f>
        <v>0</v>
      </c>
      <c r="Y873">
        <f>IF(COUNTIF($E873, _xlfn.CONCAT("*",Table13[[#Headers],[Thriller]],"*")),1,0)</f>
        <v>0</v>
      </c>
      <c r="Z873">
        <f>IF(COUNTIF($E873, _xlfn.CONCAT("*",Table13[[#Headers],[War]],"*")),1,0)</f>
        <v>0</v>
      </c>
      <c r="AA873">
        <f>IF(COUNTIF($E873, _xlfn.CONCAT("*",Table13[[#Headers],[Western]],"*")),1,0)</f>
        <v>0</v>
      </c>
    </row>
    <row r="874" spans="1:27">
      <c r="A874" t="s">
        <v>615</v>
      </c>
      <c r="B874">
        <v>189</v>
      </c>
      <c r="C874">
        <f>MAX(Table13[Rank])-Table13[[#This Row],[Rank]]</f>
        <v>75</v>
      </c>
      <c r="D874" t="s">
        <v>780</v>
      </c>
      <c r="E874" t="s">
        <v>360</v>
      </c>
      <c r="F874" s="1">
        <v>38065</v>
      </c>
      <c r="G874">
        <f>YEAR(Table13[[#This Row],[Date]])</f>
        <v>2004</v>
      </c>
      <c r="H874" t="s">
        <v>615</v>
      </c>
      <c r="I874">
        <f>IF(COUNTIF($E874, _xlfn.CONCAT("*",Table13[[#Headers],[Action]],"*")),1,0)</f>
        <v>0</v>
      </c>
      <c r="J874">
        <f>IF(COUNTIF($E874, _xlfn.CONCAT("*",Table13[[#Headers],[Adventure]],"*")),1,0)</f>
        <v>0</v>
      </c>
      <c r="K874">
        <f>IF(COUNTIF($E874, _xlfn.CONCAT("*",Table13[[#Headers],[Animation]],"*")),1,0)</f>
        <v>0</v>
      </c>
      <c r="L874">
        <f>IF(COUNTIF($E874, _xlfn.CONCAT("*",Table13[[#Headers],[Comedy]],"*")),1,0)</f>
        <v>0</v>
      </c>
      <c r="M874">
        <f>IF(COUNTIF($E874, _xlfn.CONCAT("*",Table13[[#Headers],[Crime]],"*")),1,0)</f>
        <v>0</v>
      </c>
      <c r="N874">
        <f>IF(COUNTIF($E874, _xlfn.CONCAT("*",Table13[[#Headers],[Documentary]],"*")),1,0)</f>
        <v>0</v>
      </c>
      <c r="O874">
        <f>IF(COUNTIF($E874, _xlfn.CONCAT("*",Table13[[#Headers],[Drama]],"*")),1,0)</f>
        <v>1</v>
      </c>
      <c r="P874">
        <f>IF(COUNTIF($E874, _xlfn.CONCAT("*",Table13[[#Headers],[Family]],"*")),1,0)</f>
        <v>0</v>
      </c>
      <c r="Q874">
        <f>IF(COUNTIF($E874, _xlfn.CONCAT("*",Table13[[#Headers],[Fantasy]],"*")),1,0)</f>
        <v>0</v>
      </c>
      <c r="R874">
        <f>IF(COUNTIF($E874, _xlfn.CONCAT("*",Table13[[#Headers],[History]],"*")),1,0)</f>
        <v>0</v>
      </c>
      <c r="S874">
        <f>IF(COUNTIF($E874, _xlfn.CONCAT("*",Table13[[#Headers],[Horror]],"*")),1,0)</f>
        <v>0</v>
      </c>
      <c r="T874">
        <f>IF(COUNTIF($E874, _xlfn.CONCAT("*",Table13[[#Headers],[Music]],"*")),1,0)</f>
        <v>0</v>
      </c>
      <c r="U874">
        <f>IF(COUNTIF($E874, _xlfn.CONCAT("*",Table13[[#Headers],[Mystery]],"*")),1,0)</f>
        <v>0</v>
      </c>
      <c r="V874">
        <f>IF(COUNTIF($E874, _xlfn.CONCAT("*",Table13[[#Headers],[Romance]],"*")),1,0)</f>
        <v>1</v>
      </c>
      <c r="W874">
        <f>IF(COUNTIF($E874, _xlfn.CONCAT("*",Table13[[#Headers],[Science Fiction]],"*")),1,0)</f>
        <v>1</v>
      </c>
      <c r="X874">
        <f>IF(COUNTIF($E874, _xlfn.CONCAT("*",Table13[[#Headers],[TV Movie]],"*")),1,0)</f>
        <v>0</v>
      </c>
      <c r="Y874">
        <f>IF(COUNTIF($E874, _xlfn.CONCAT("*",Table13[[#Headers],[Thriller]],"*")),1,0)</f>
        <v>0</v>
      </c>
      <c r="Z874">
        <f>IF(COUNTIF($E874, _xlfn.CONCAT("*",Table13[[#Headers],[War]],"*")),1,0)</f>
        <v>0</v>
      </c>
      <c r="AA874">
        <f>IF(COUNTIF($E874, _xlfn.CONCAT("*",Table13[[#Headers],[Western]],"*")),1,0)</f>
        <v>0</v>
      </c>
    </row>
    <row r="875" spans="1:27">
      <c r="A875" t="s">
        <v>891</v>
      </c>
      <c r="B875">
        <v>190</v>
      </c>
      <c r="C875">
        <f>MAX(Table13[Rank])-Table13[[#This Row],[Rank]]</f>
        <v>74</v>
      </c>
      <c r="D875" t="s">
        <v>780</v>
      </c>
      <c r="E875" t="s">
        <v>222</v>
      </c>
      <c r="F875" s="1">
        <v>19444</v>
      </c>
      <c r="G875">
        <f>YEAR(Table13[[#This Row],[Date]])</f>
        <v>1953</v>
      </c>
      <c r="H875" t="s">
        <v>891</v>
      </c>
      <c r="I875">
        <f>IF(COUNTIF($E875, _xlfn.CONCAT("*",Table13[[#Headers],[Action]],"*")),1,0)</f>
        <v>0</v>
      </c>
      <c r="J875">
        <f>IF(COUNTIF($E875, _xlfn.CONCAT("*",Table13[[#Headers],[Adventure]],"*")),1,0)</f>
        <v>0</v>
      </c>
      <c r="K875">
        <f>IF(COUNTIF($E875, _xlfn.CONCAT("*",Table13[[#Headers],[Animation]],"*")),1,0)</f>
        <v>0</v>
      </c>
      <c r="L875">
        <f>IF(COUNTIF($E875, _xlfn.CONCAT("*",Table13[[#Headers],[Comedy]],"*")),1,0)</f>
        <v>0</v>
      </c>
      <c r="M875">
        <f>IF(COUNTIF($E875, _xlfn.CONCAT("*",Table13[[#Headers],[Crime]],"*")),1,0)</f>
        <v>0</v>
      </c>
      <c r="N875">
        <f>IF(COUNTIF($E875, _xlfn.CONCAT("*",Table13[[#Headers],[Documentary]],"*")),1,0)</f>
        <v>0</v>
      </c>
      <c r="O875">
        <f>IF(COUNTIF($E875, _xlfn.CONCAT("*",Table13[[#Headers],[Drama]],"*")),1,0)</f>
        <v>1</v>
      </c>
      <c r="P875">
        <f>IF(COUNTIF($E875, _xlfn.CONCAT("*",Table13[[#Headers],[Family]],"*")),1,0)</f>
        <v>0</v>
      </c>
      <c r="Q875">
        <f>IF(COUNTIF($E875, _xlfn.CONCAT("*",Table13[[#Headers],[Fantasy]],"*")),1,0)</f>
        <v>1</v>
      </c>
      <c r="R875">
        <f>IF(COUNTIF($E875, _xlfn.CONCAT("*",Table13[[#Headers],[History]],"*")),1,0)</f>
        <v>0</v>
      </c>
      <c r="S875">
        <f>IF(COUNTIF($E875, _xlfn.CONCAT("*",Table13[[#Headers],[Horror]],"*")),1,0)</f>
        <v>0</v>
      </c>
      <c r="T875">
        <f>IF(COUNTIF($E875, _xlfn.CONCAT("*",Table13[[#Headers],[Music]],"*")),1,0)</f>
        <v>0</v>
      </c>
      <c r="U875">
        <f>IF(COUNTIF($E875, _xlfn.CONCAT("*",Table13[[#Headers],[Mystery]],"*")),1,0)</f>
        <v>1</v>
      </c>
      <c r="V875">
        <f>IF(COUNTIF($E875, _xlfn.CONCAT("*",Table13[[#Headers],[Romance]],"*")),1,0)</f>
        <v>0</v>
      </c>
      <c r="W875">
        <f>IF(COUNTIF($E875, _xlfn.CONCAT("*",Table13[[#Headers],[Science Fiction]],"*")),1,0)</f>
        <v>0</v>
      </c>
      <c r="X875">
        <f>IF(COUNTIF($E875, _xlfn.CONCAT("*",Table13[[#Headers],[TV Movie]],"*")),1,0)</f>
        <v>0</v>
      </c>
      <c r="Y875">
        <f>IF(COUNTIF($E875, _xlfn.CONCAT("*",Table13[[#Headers],[Thriller]],"*")),1,0)</f>
        <v>0</v>
      </c>
      <c r="Z875">
        <f>IF(COUNTIF($E875, _xlfn.CONCAT("*",Table13[[#Headers],[War]],"*")),1,0)</f>
        <v>0</v>
      </c>
      <c r="AA875">
        <f>IF(COUNTIF($E875, _xlfn.CONCAT("*",Table13[[#Headers],[Western]],"*")),1,0)</f>
        <v>0</v>
      </c>
    </row>
    <row r="876" spans="1:27">
      <c r="A876" t="s">
        <v>396</v>
      </c>
      <c r="B876">
        <v>191</v>
      </c>
      <c r="C876">
        <f>MAX(Table13[Rank])-Table13[[#This Row],[Rank]]</f>
        <v>73</v>
      </c>
      <c r="D876" t="s">
        <v>780</v>
      </c>
      <c r="E876" t="s">
        <v>397</v>
      </c>
      <c r="F876" s="1">
        <v>21333</v>
      </c>
      <c r="G876">
        <f>YEAR(Table13[[#This Row],[Date]])</f>
        <v>1958</v>
      </c>
      <c r="H876" t="s">
        <v>396</v>
      </c>
      <c r="I876">
        <f>IF(COUNTIF($E876, _xlfn.CONCAT("*",Table13[[#Headers],[Action]],"*")),1,0)</f>
        <v>0</v>
      </c>
      <c r="J876">
        <f>IF(COUNTIF($E876, _xlfn.CONCAT("*",Table13[[#Headers],[Adventure]],"*")),1,0)</f>
        <v>0</v>
      </c>
      <c r="K876">
        <f>IF(COUNTIF($E876, _xlfn.CONCAT("*",Table13[[#Headers],[Animation]],"*")),1,0)</f>
        <v>0</v>
      </c>
      <c r="L876">
        <f>IF(COUNTIF($E876, _xlfn.CONCAT("*",Table13[[#Headers],[Comedy]],"*")),1,0)</f>
        <v>0</v>
      </c>
      <c r="M876">
        <f>IF(COUNTIF($E876, _xlfn.CONCAT("*",Table13[[#Headers],[Crime]],"*")),1,0)</f>
        <v>0</v>
      </c>
      <c r="N876">
        <f>IF(COUNTIF($E876, _xlfn.CONCAT("*",Table13[[#Headers],[Documentary]],"*")),1,0)</f>
        <v>0</v>
      </c>
      <c r="O876">
        <f>IF(COUNTIF($E876, _xlfn.CONCAT("*",Table13[[#Headers],[Drama]],"*")),1,0)</f>
        <v>0</v>
      </c>
      <c r="P876">
        <f>IF(COUNTIF($E876, _xlfn.CONCAT("*",Table13[[#Headers],[Family]],"*")),1,0)</f>
        <v>0</v>
      </c>
      <c r="Q876">
        <f>IF(COUNTIF($E876, _xlfn.CONCAT("*",Table13[[#Headers],[Fantasy]],"*")),1,0)</f>
        <v>0</v>
      </c>
      <c r="R876">
        <f>IF(COUNTIF($E876, _xlfn.CONCAT("*",Table13[[#Headers],[History]],"*")),1,0)</f>
        <v>0</v>
      </c>
      <c r="S876">
        <f>IF(COUNTIF($E876, _xlfn.CONCAT("*",Table13[[#Headers],[Horror]],"*")),1,0)</f>
        <v>0</v>
      </c>
      <c r="T876">
        <f>IF(COUNTIF($E876, _xlfn.CONCAT("*",Table13[[#Headers],[Music]],"*")),1,0)</f>
        <v>0</v>
      </c>
      <c r="U876">
        <f>IF(COUNTIF($E876, _xlfn.CONCAT("*",Table13[[#Headers],[Mystery]],"*")),1,0)</f>
        <v>1</v>
      </c>
      <c r="V876">
        <f>IF(COUNTIF($E876, _xlfn.CONCAT("*",Table13[[#Headers],[Romance]],"*")),1,0)</f>
        <v>1</v>
      </c>
      <c r="W876">
        <f>IF(COUNTIF($E876, _xlfn.CONCAT("*",Table13[[#Headers],[Science Fiction]],"*")),1,0)</f>
        <v>0</v>
      </c>
      <c r="X876">
        <f>IF(COUNTIF($E876, _xlfn.CONCAT("*",Table13[[#Headers],[TV Movie]],"*")),1,0)</f>
        <v>0</v>
      </c>
      <c r="Y876">
        <f>IF(COUNTIF($E876, _xlfn.CONCAT("*",Table13[[#Headers],[Thriller]],"*")),1,0)</f>
        <v>1</v>
      </c>
      <c r="Z876">
        <f>IF(COUNTIF($E876, _xlfn.CONCAT("*",Table13[[#Headers],[War]],"*")),1,0)</f>
        <v>0</v>
      </c>
      <c r="AA876">
        <f>IF(COUNTIF($E876, _xlfn.CONCAT("*",Table13[[#Headers],[Western]],"*")),1,0)</f>
        <v>0</v>
      </c>
    </row>
    <row r="877" spans="1:27">
      <c r="A877" t="s">
        <v>892</v>
      </c>
      <c r="B877">
        <v>192</v>
      </c>
      <c r="C877">
        <f>MAX(Table13[Rank])-Table13[[#This Row],[Rank]]</f>
        <v>72</v>
      </c>
      <c r="D877" t="s">
        <v>780</v>
      </c>
      <c r="E877" t="s">
        <v>21</v>
      </c>
      <c r="F877" s="1">
        <v>18808</v>
      </c>
      <c r="G877">
        <f>YEAR(Table13[[#This Row],[Date]])</f>
        <v>1951</v>
      </c>
      <c r="H877" t="s">
        <v>892</v>
      </c>
      <c r="I877">
        <f>IF(COUNTIF($E877, _xlfn.CONCAT("*",Table13[[#Headers],[Action]],"*")),1,0)</f>
        <v>0</v>
      </c>
      <c r="J877">
        <f>IF(COUNTIF($E877, _xlfn.CONCAT("*",Table13[[#Headers],[Adventure]],"*")),1,0)</f>
        <v>0</v>
      </c>
      <c r="K877">
        <f>IF(COUNTIF($E877, _xlfn.CONCAT("*",Table13[[#Headers],[Animation]],"*")),1,0)</f>
        <v>0</v>
      </c>
      <c r="L877">
        <f>IF(COUNTIF($E877, _xlfn.CONCAT("*",Table13[[#Headers],[Comedy]],"*")),1,0)</f>
        <v>0</v>
      </c>
      <c r="M877">
        <f>IF(COUNTIF($E877, _xlfn.CONCAT("*",Table13[[#Headers],[Crime]],"*")),1,0)</f>
        <v>0</v>
      </c>
      <c r="N877">
        <f>IF(COUNTIF($E877, _xlfn.CONCAT("*",Table13[[#Headers],[Documentary]],"*")),1,0)</f>
        <v>0</v>
      </c>
      <c r="O877">
        <f>IF(COUNTIF($E877, _xlfn.CONCAT("*",Table13[[#Headers],[Drama]],"*")),1,0)</f>
        <v>1</v>
      </c>
      <c r="P877">
        <f>IF(COUNTIF($E877, _xlfn.CONCAT("*",Table13[[#Headers],[Family]],"*")),1,0)</f>
        <v>0</v>
      </c>
      <c r="Q877">
        <f>IF(COUNTIF($E877, _xlfn.CONCAT("*",Table13[[#Headers],[Fantasy]],"*")),1,0)</f>
        <v>0</v>
      </c>
      <c r="R877">
        <f>IF(COUNTIF($E877, _xlfn.CONCAT("*",Table13[[#Headers],[History]],"*")),1,0)</f>
        <v>0</v>
      </c>
      <c r="S877">
        <f>IF(COUNTIF($E877, _xlfn.CONCAT("*",Table13[[#Headers],[Horror]],"*")),1,0)</f>
        <v>0</v>
      </c>
      <c r="T877">
        <f>IF(COUNTIF($E877, _xlfn.CONCAT("*",Table13[[#Headers],[Music]],"*")),1,0)</f>
        <v>0</v>
      </c>
      <c r="U877">
        <f>IF(COUNTIF($E877, _xlfn.CONCAT("*",Table13[[#Headers],[Mystery]],"*")),1,0)</f>
        <v>0</v>
      </c>
      <c r="V877">
        <f>IF(COUNTIF($E877, _xlfn.CONCAT("*",Table13[[#Headers],[Romance]],"*")),1,0)</f>
        <v>0</v>
      </c>
      <c r="W877">
        <f>IF(COUNTIF($E877, _xlfn.CONCAT("*",Table13[[#Headers],[Science Fiction]],"*")),1,0)</f>
        <v>0</v>
      </c>
      <c r="X877">
        <f>IF(COUNTIF($E877, _xlfn.CONCAT("*",Table13[[#Headers],[TV Movie]],"*")),1,0)</f>
        <v>0</v>
      </c>
      <c r="Y877">
        <f>IF(COUNTIF($E877, _xlfn.CONCAT("*",Table13[[#Headers],[Thriller]],"*")),1,0)</f>
        <v>0</v>
      </c>
      <c r="Z877">
        <f>IF(COUNTIF($E877, _xlfn.CONCAT("*",Table13[[#Headers],[War]],"*")),1,0)</f>
        <v>0</v>
      </c>
      <c r="AA877">
        <f>IF(COUNTIF($E877, _xlfn.CONCAT("*",Table13[[#Headers],[Western]],"*")),1,0)</f>
        <v>0</v>
      </c>
    </row>
    <row r="878" spans="1:27">
      <c r="A878" t="s">
        <v>893</v>
      </c>
      <c r="B878">
        <v>193</v>
      </c>
      <c r="C878">
        <f>MAX(Table13[Rank])-Table13[[#This Row],[Rank]]</f>
        <v>71</v>
      </c>
      <c r="D878" t="s">
        <v>780</v>
      </c>
      <c r="E878" t="s">
        <v>256</v>
      </c>
      <c r="F878" s="1">
        <v>30303</v>
      </c>
      <c r="G878">
        <f>YEAR(Table13[[#This Row],[Date]])</f>
        <v>1982</v>
      </c>
      <c r="H878" t="s">
        <v>893</v>
      </c>
      <c r="I878">
        <f>IF(COUNTIF($E878, _xlfn.CONCAT("*",Table13[[#Headers],[Action]],"*")),1,0)</f>
        <v>0</v>
      </c>
      <c r="J878">
        <f>IF(COUNTIF($E878, _xlfn.CONCAT("*",Table13[[#Headers],[Adventure]],"*")),1,0)</f>
        <v>0</v>
      </c>
      <c r="K878">
        <f>IF(COUNTIF($E878, _xlfn.CONCAT("*",Table13[[#Headers],[Animation]],"*")),1,0)</f>
        <v>0</v>
      </c>
      <c r="L878">
        <f>IF(COUNTIF($E878, _xlfn.CONCAT("*",Table13[[#Headers],[Comedy]],"*")),1,0)</f>
        <v>1</v>
      </c>
      <c r="M878">
        <f>IF(COUNTIF($E878, _xlfn.CONCAT("*",Table13[[#Headers],[Crime]],"*")),1,0)</f>
        <v>0</v>
      </c>
      <c r="N878">
        <f>IF(COUNTIF($E878, _xlfn.CONCAT("*",Table13[[#Headers],[Documentary]],"*")),1,0)</f>
        <v>0</v>
      </c>
      <c r="O878">
        <f>IF(COUNTIF($E878, _xlfn.CONCAT("*",Table13[[#Headers],[Drama]],"*")),1,0)</f>
        <v>1</v>
      </c>
      <c r="P878">
        <f>IF(COUNTIF($E878, _xlfn.CONCAT("*",Table13[[#Headers],[Family]],"*")),1,0)</f>
        <v>0</v>
      </c>
      <c r="Q878">
        <f>IF(COUNTIF($E878, _xlfn.CONCAT("*",Table13[[#Headers],[Fantasy]],"*")),1,0)</f>
        <v>0</v>
      </c>
      <c r="R878">
        <f>IF(COUNTIF($E878, _xlfn.CONCAT("*",Table13[[#Headers],[History]],"*")),1,0)</f>
        <v>0</v>
      </c>
      <c r="S878">
        <f>IF(COUNTIF($E878, _xlfn.CONCAT("*",Table13[[#Headers],[Horror]],"*")),1,0)</f>
        <v>0</v>
      </c>
      <c r="T878">
        <f>IF(COUNTIF($E878, _xlfn.CONCAT("*",Table13[[#Headers],[Music]],"*")),1,0)</f>
        <v>0</v>
      </c>
      <c r="U878">
        <f>IF(COUNTIF($E878, _xlfn.CONCAT("*",Table13[[#Headers],[Mystery]],"*")),1,0)</f>
        <v>0</v>
      </c>
      <c r="V878">
        <f>IF(COUNTIF($E878, _xlfn.CONCAT("*",Table13[[#Headers],[Romance]],"*")),1,0)</f>
        <v>0</v>
      </c>
      <c r="W878">
        <f>IF(COUNTIF($E878, _xlfn.CONCAT("*",Table13[[#Headers],[Science Fiction]],"*")),1,0)</f>
        <v>0</v>
      </c>
      <c r="X878">
        <f>IF(COUNTIF($E878, _xlfn.CONCAT("*",Table13[[#Headers],[TV Movie]],"*")),1,0)</f>
        <v>0</v>
      </c>
      <c r="Y878">
        <f>IF(COUNTIF($E878, _xlfn.CONCAT("*",Table13[[#Headers],[Thriller]],"*")),1,0)</f>
        <v>0</v>
      </c>
      <c r="Z878">
        <f>IF(COUNTIF($E878, _xlfn.CONCAT("*",Table13[[#Headers],[War]],"*")),1,0)</f>
        <v>0</v>
      </c>
      <c r="AA878">
        <f>IF(COUNTIF($E878, _xlfn.CONCAT("*",Table13[[#Headers],[Western]],"*")),1,0)</f>
        <v>0</v>
      </c>
    </row>
    <row r="879" spans="1:27">
      <c r="A879" t="s">
        <v>894</v>
      </c>
      <c r="B879">
        <v>194</v>
      </c>
      <c r="C879">
        <f>MAX(Table13[Rank])-Table13[[#This Row],[Rank]]</f>
        <v>70</v>
      </c>
      <c r="D879" t="s">
        <v>780</v>
      </c>
      <c r="E879" t="s">
        <v>895</v>
      </c>
      <c r="F879" s="1">
        <v>36378</v>
      </c>
      <c r="G879">
        <f>YEAR(Table13[[#This Row],[Date]])</f>
        <v>1999</v>
      </c>
      <c r="H879" t="s">
        <v>894</v>
      </c>
      <c r="I879">
        <f>IF(COUNTIF($E879, _xlfn.CONCAT("*",Table13[[#Headers],[Action]],"*")),1,0)</f>
        <v>0</v>
      </c>
      <c r="J879">
        <f>IF(COUNTIF($E879, _xlfn.CONCAT("*",Table13[[#Headers],[Adventure]],"*")),1,0)</f>
        <v>0</v>
      </c>
      <c r="K879">
        <f>IF(COUNTIF($E879, _xlfn.CONCAT("*",Table13[[#Headers],[Animation]],"*")),1,0)</f>
        <v>1</v>
      </c>
      <c r="L879">
        <f>IF(COUNTIF($E879, _xlfn.CONCAT("*",Table13[[#Headers],[Comedy]],"*")),1,0)</f>
        <v>0</v>
      </c>
      <c r="M879">
        <f>IF(COUNTIF($E879, _xlfn.CONCAT("*",Table13[[#Headers],[Crime]],"*")),1,0)</f>
        <v>0</v>
      </c>
      <c r="N879">
        <f>IF(COUNTIF($E879, _xlfn.CONCAT("*",Table13[[#Headers],[Documentary]],"*")),1,0)</f>
        <v>0</v>
      </c>
      <c r="O879">
        <f>IF(COUNTIF($E879, _xlfn.CONCAT("*",Table13[[#Headers],[Drama]],"*")),1,0)</f>
        <v>1</v>
      </c>
      <c r="P879">
        <f>IF(COUNTIF($E879, _xlfn.CONCAT("*",Table13[[#Headers],[Family]],"*")),1,0)</f>
        <v>1</v>
      </c>
      <c r="Q879">
        <f>IF(COUNTIF($E879, _xlfn.CONCAT("*",Table13[[#Headers],[Fantasy]],"*")),1,0)</f>
        <v>0</v>
      </c>
      <c r="R879">
        <f>IF(COUNTIF($E879, _xlfn.CONCAT("*",Table13[[#Headers],[History]],"*")),1,0)</f>
        <v>0</v>
      </c>
      <c r="S879">
        <f>IF(COUNTIF($E879, _xlfn.CONCAT("*",Table13[[#Headers],[Horror]],"*")),1,0)</f>
        <v>0</v>
      </c>
      <c r="T879">
        <f>IF(COUNTIF($E879, _xlfn.CONCAT("*",Table13[[#Headers],[Music]],"*")),1,0)</f>
        <v>0</v>
      </c>
      <c r="U879">
        <f>IF(COUNTIF($E879, _xlfn.CONCAT("*",Table13[[#Headers],[Mystery]],"*")),1,0)</f>
        <v>0</v>
      </c>
      <c r="V879">
        <f>IF(COUNTIF($E879, _xlfn.CONCAT("*",Table13[[#Headers],[Romance]],"*")),1,0)</f>
        <v>0</v>
      </c>
      <c r="W879">
        <f>IF(COUNTIF($E879, _xlfn.CONCAT("*",Table13[[#Headers],[Science Fiction]],"*")),1,0)</f>
        <v>1</v>
      </c>
      <c r="X879">
        <f>IF(COUNTIF($E879, _xlfn.CONCAT("*",Table13[[#Headers],[TV Movie]],"*")),1,0)</f>
        <v>0</v>
      </c>
      <c r="Y879">
        <f>IF(COUNTIF($E879, _xlfn.CONCAT("*",Table13[[#Headers],[Thriller]],"*")),1,0)</f>
        <v>0</v>
      </c>
      <c r="Z879">
        <f>IF(COUNTIF($E879, _xlfn.CONCAT("*",Table13[[#Headers],[War]],"*")),1,0)</f>
        <v>0</v>
      </c>
      <c r="AA879">
        <f>IF(COUNTIF($E879, _xlfn.CONCAT("*",Table13[[#Headers],[Western]],"*")),1,0)</f>
        <v>0</v>
      </c>
    </row>
    <row r="880" spans="1:27">
      <c r="A880" t="s">
        <v>896</v>
      </c>
      <c r="B880">
        <v>195</v>
      </c>
      <c r="C880">
        <f>MAX(Table13[Rank])-Table13[[#This Row],[Rank]]</f>
        <v>69</v>
      </c>
      <c r="D880" t="s">
        <v>780</v>
      </c>
      <c r="E880" t="s">
        <v>35</v>
      </c>
      <c r="F880" s="1">
        <v>16511</v>
      </c>
      <c r="G880">
        <f>YEAR(Table13[[#This Row],[Date]])</f>
        <v>1945</v>
      </c>
      <c r="H880" t="s">
        <v>896</v>
      </c>
      <c r="I880">
        <f>IF(COUNTIF($E880, _xlfn.CONCAT("*",Table13[[#Headers],[Action]],"*")),1,0)</f>
        <v>0</v>
      </c>
      <c r="J880">
        <f>IF(COUNTIF($E880, _xlfn.CONCAT("*",Table13[[#Headers],[Adventure]],"*")),1,0)</f>
        <v>0</v>
      </c>
      <c r="K880">
        <f>IF(COUNTIF($E880, _xlfn.CONCAT("*",Table13[[#Headers],[Animation]],"*")),1,0)</f>
        <v>0</v>
      </c>
      <c r="L880">
        <f>IF(COUNTIF($E880, _xlfn.CONCAT("*",Table13[[#Headers],[Comedy]],"*")),1,0)</f>
        <v>0</v>
      </c>
      <c r="M880">
        <f>IF(COUNTIF($E880, _xlfn.CONCAT("*",Table13[[#Headers],[Crime]],"*")),1,0)</f>
        <v>0</v>
      </c>
      <c r="N880">
        <f>IF(COUNTIF($E880, _xlfn.CONCAT("*",Table13[[#Headers],[Documentary]],"*")),1,0)</f>
        <v>0</v>
      </c>
      <c r="O880">
        <f>IF(COUNTIF($E880, _xlfn.CONCAT("*",Table13[[#Headers],[Drama]],"*")),1,0)</f>
        <v>1</v>
      </c>
      <c r="P880">
        <f>IF(COUNTIF($E880, _xlfn.CONCAT("*",Table13[[#Headers],[Family]],"*")),1,0)</f>
        <v>0</v>
      </c>
      <c r="Q880">
        <f>IF(COUNTIF($E880, _xlfn.CONCAT("*",Table13[[#Headers],[Fantasy]],"*")),1,0)</f>
        <v>0</v>
      </c>
      <c r="R880">
        <f>IF(COUNTIF($E880, _xlfn.CONCAT("*",Table13[[#Headers],[History]],"*")),1,0)</f>
        <v>0</v>
      </c>
      <c r="S880">
        <f>IF(COUNTIF($E880, _xlfn.CONCAT("*",Table13[[#Headers],[Horror]],"*")),1,0)</f>
        <v>0</v>
      </c>
      <c r="T880">
        <f>IF(COUNTIF($E880, _xlfn.CONCAT("*",Table13[[#Headers],[Music]],"*")),1,0)</f>
        <v>0</v>
      </c>
      <c r="U880">
        <f>IF(COUNTIF($E880, _xlfn.CONCAT("*",Table13[[#Headers],[Mystery]],"*")),1,0)</f>
        <v>0</v>
      </c>
      <c r="V880">
        <f>IF(COUNTIF($E880, _xlfn.CONCAT("*",Table13[[#Headers],[Romance]],"*")),1,0)</f>
        <v>1</v>
      </c>
      <c r="W880">
        <f>IF(COUNTIF($E880, _xlfn.CONCAT("*",Table13[[#Headers],[Science Fiction]],"*")),1,0)</f>
        <v>0</v>
      </c>
      <c r="X880">
        <f>IF(COUNTIF($E880, _xlfn.CONCAT("*",Table13[[#Headers],[TV Movie]],"*")),1,0)</f>
        <v>0</v>
      </c>
      <c r="Y880">
        <f>IF(COUNTIF($E880, _xlfn.CONCAT("*",Table13[[#Headers],[Thriller]],"*")),1,0)</f>
        <v>0</v>
      </c>
      <c r="Z880">
        <f>IF(COUNTIF($E880, _xlfn.CONCAT("*",Table13[[#Headers],[War]],"*")),1,0)</f>
        <v>0</v>
      </c>
      <c r="AA880">
        <f>IF(COUNTIF($E880, _xlfn.CONCAT("*",Table13[[#Headers],[Western]],"*")),1,0)</f>
        <v>0</v>
      </c>
    </row>
    <row r="881" spans="1:27">
      <c r="A881" t="s">
        <v>344</v>
      </c>
      <c r="B881">
        <v>196</v>
      </c>
      <c r="C881">
        <f>MAX(Table13[Rank])-Table13[[#This Row],[Rank]]</f>
        <v>68</v>
      </c>
      <c r="D881" t="s">
        <v>780</v>
      </c>
      <c r="E881" t="s">
        <v>345</v>
      </c>
      <c r="F881" s="1">
        <v>18501</v>
      </c>
      <c r="G881">
        <f>YEAR(Table13[[#This Row],[Date]])</f>
        <v>1950</v>
      </c>
      <c r="H881" t="s">
        <v>344</v>
      </c>
      <c r="I881">
        <f>IF(COUNTIF($E881, _xlfn.CONCAT("*",Table13[[#Headers],[Action]],"*")),1,0)</f>
        <v>0</v>
      </c>
      <c r="J881">
        <f>IF(COUNTIF($E881, _xlfn.CONCAT("*",Table13[[#Headers],[Adventure]],"*")),1,0)</f>
        <v>0</v>
      </c>
      <c r="K881">
        <f>IF(COUNTIF($E881, _xlfn.CONCAT("*",Table13[[#Headers],[Animation]],"*")),1,0)</f>
        <v>0</v>
      </c>
      <c r="L881">
        <f>IF(COUNTIF($E881, _xlfn.CONCAT("*",Table13[[#Headers],[Comedy]],"*")),1,0)</f>
        <v>0</v>
      </c>
      <c r="M881">
        <f>IF(COUNTIF($E881, _xlfn.CONCAT("*",Table13[[#Headers],[Crime]],"*")),1,0)</f>
        <v>1</v>
      </c>
      <c r="N881">
        <f>IF(COUNTIF($E881, _xlfn.CONCAT("*",Table13[[#Headers],[Documentary]],"*")),1,0)</f>
        <v>0</v>
      </c>
      <c r="O881">
        <f>IF(COUNTIF($E881, _xlfn.CONCAT("*",Table13[[#Headers],[Drama]],"*")),1,0)</f>
        <v>1</v>
      </c>
      <c r="P881">
        <f>IF(COUNTIF($E881, _xlfn.CONCAT("*",Table13[[#Headers],[Family]],"*")),1,0)</f>
        <v>0</v>
      </c>
      <c r="Q881">
        <f>IF(COUNTIF($E881, _xlfn.CONCAT("*",Table13[[#Headers],[Fantasy]],"*")),1,0)</f>
        <v>0</v>
      </c>
      <c r="R881">
        <f>IF(COUNTIF($E881, _xlfn.CONCAT("*",Table13[[#Headers],[History]],"*")),1,0)</f>
        <v>0</v>
      </c>
      <c r="S881">
        <f>IF(COUNTIF($E881, _xlfn.CONCAT("*",Table13[[#Headers],[Horror]],"*")),1,0)</f>
        <v>0</v>
      </c>
      <c r="T881">
        <f>IF(COUNTIF($E881, _xlfn.CONCAT("*",Table13[[#Headers],[Music]],"*")),1,0)</f>
        <v>0</v>
      </c>
      <c r="U881">
        <f>IF(COUNTIF($E881, _xlfn.CONCAT("*",Table13[[#Headers],[Mystery]],"*")),1,0)</f>
        <v>1</v>
      </c>
      <c r="V881">
        <f>IF(COUNTIF($E881, _xlfn.CONCAT("*",Table13[[#Headers],[Romance]],"*")),1,0)</f>
        <v>0</v>
      </c>
      <c r="W881">
        <f>IF(COUNTIF($E881, _xlfn.CONCAT("*",Table13[[#Headers],[Science Fiction]],"*")),1,0)</f>
        <v>0</v>
      </c>
      <c r="X881">
        <f>IF(COUNTIF($E881, _xlfn.CONCAT("*",Table13[[#Headers],[TV Movie]],"*")),1,0)</f>
        <v>0</v>
      </c>
      <c r="Y881">
        <f>IF(COUNTIF($E881, _xlfn.CONCAT("*",Table13[[#Headers],[Thriller]],"*")),1,0)</f>
        <v>0</v>
      </c>
      <c r="Z881">
        <f>IF(COUNTIF($E881, _xlfn.CONCAT("*",Table13[[#Headers],[War]],"*")),1,0)</f>
        <v>0</v>
      </c>
      <c r="AA881">
        <f>IF(COUNTIF($E881, _xlfn.CONCAT("*",Table13[[#Headers],[Western]],"*")),1,0)</f>
        <v>0</v>
      </c>
    </row>
    <row r="882" spans="1:27">
      <c r="A882" t="s">
        <v>349</v>
      </c>
      <c r="B882">
        <v>197</v>
      </c>
      <c r="C882">
        <f>MAX(Table13[Rank])-Table13[[#This Row],[Rank]]</f>
        <v>67</v>
      </c>
      <c r="D882" t="s">
        <v>780</v>
      </c>
      <c r="E882" t="s">
        <v>350</v>
      </c>
      <c r="F882" s="1">
        <v>21628</v>
      </c>
      <c r="G882">
        <f>YEAR(Table13[[#This Row],[Date]])</f>
        <v>1959</v>
      </c>
      <c r="H882" t="s">
        <v>349</v>
      </c>
      <c r="I882">
        <f>IF(COUNTIF($E882, _xlfn.CONCAT("*",Table13[[#Headers],[Action]],"*")),1,0)</f>
        <v>0</v>
      </c>
      <c r="J882">
        <f>IF(COUNTIF($E882, _xlfn.CONCAT("*",Table13[[#Headers],[Adventure]],"*")),1,0)</f>
        <v>0</v>
      </c>
      <c r="K882">
        <f>IF(COUNTIF($E882, _xlfn.CONCAT("*",Table13[[#Headers],[Animation]],"*")),1,0)</f>
        <v>0</v>
      </c>
      <c r="L882">
        <f>IF(COUNTIF($E882, _xlfn.CONCAT("*",Table13[[#Headers],[Comedy]],"*")),1,0)</f>
        <v>1</v>
      </c>
      <c r="M882">
        <f>IF(COUNTIF($E882, _xlfn.CONCAT("*",Table13[[#Headers],[Crime]],"*")),1,0)</f>
        <v>1</v>
      </c>
      <c r="N882">
        <f>IF(COUNTIF($E882, _xlfn.CONCAT("*",Table13[[#Headers],[Documentary]],"*")),1,0)</f>
        <v>0</v>
      </c>
      <c r="O882">
        <f>IF(COUNTIF($E882, _xlfn.CONCAT("*",Table13[[#Headers],[Drama]],"*")),1,0)</f>
        <v>0</v>
      </c>
      <c r="P882">
        <f>IF(COUNTIF($E882, _xlfn.CONCAT("*",Table13[[#Headers],[Family]],"*")),1,0)</f>
        <v>0</v>
      </c>
      <c r="Q882">
        <f>IF(COUNTIF($E882, _xlfn.CONCAT("*",Table13[[#Headers],[Fantasy]],"*")),1,0)</f>
        <v>0</v>
      </c>
      <c r="R882">
        <f>IF(COUNTIF($E882, _xlfn.CONCAT("*",Table13[[#Headers],[History]],"*")),1,0)</f>
        <v>0</v>
      </c>
      <c r="S882">
        <f>IF(COUNTIF($E882, _xlfn.CONCAT("*",Table13[[#Headers],[Horror]],"*")),1,0)</f>
        <v>0</v>
      </c>
      <c r="T882">
        <f>IF(COUNTIF($E882, _xlfn.CONCAT("*",Table13[[#Headers],[Music]],"*")),1,0)</f>
        <v>0</v>
      </c>
      <c r="U882">
        <f>IF(COUNTIF($E882, _xlfn.CONCAT("*",Table13[[#Headers],[Mystery]],"*")),1,0)</f>
        <v>0</v>
      </c>
      <c r="V882">
        <f>IF(COUNTIF($E882, _xlfn.CONCAT("*",Table13[[#Headers],[Romance]],"*")),1,0)</f>
        <v>1</v>
      </c>
      <c r="W882">
        <f>IF(COUNTIF($E882, _xlfn.CONCAT("*",Table13[[#Headers],[Science Fiction]],"*")),1,0)</f>
        <v>0</v>
      </c>
      <c r="X882">
        <f>IF(COUNTIF($E882, _xlfn.CONCAT("*",Table13[[#Headers],[TV Movie]],"*")),1,0)</f>
        <v>0</v>
      </c>
      <c r="Y882">
        <f>IF(COUNTIF($E882, _xlfn.CONCAT("*",Table13[[#Headers],[Thriller]],"*")),1,0)</f>
        <v>0</v>
      </c>
      <c r="Z882">
        <f>IF(COUNTIF($E882, _xlfn.CONCAT("*",Table13[[#Headers],[War]],"*")),1,0)</f>
        <v>0</v>
      </c>
      <c r="AA882">
        <f>IF(COUNTIF($E882, _xlfn.CONCAT("*",Table13[[#Headers],[Western]],"*")),1,0)</f>
        <v>0</v>
      </c>
    </row>
    <row r="883" spans="1:27">
      <c r="A883" t="s">
        <v>897</v>
      </c>
      <c r="B883">
        <v>198</v>
      </c>
      <c r="C883">
        <f>MAX(Table13[Rank])-Table13[[#This Row],[Rank]]</f>
        <v>66</v>
      </c>
      <c r="D883" t="s">
        <v>780</v>
      </c>
      <c r="E883" t="s">
        <v>21</v>
      </c>
      <c r="F883" s="1">
        <v>24280</v>
      </c>
      <c r="G883">
        <f>YEAR(Table13[[#This Row],[Date]])</f>
        <v>1966</v>
      </c>
      <c r="H883" t="s">
        <v>897</v>
      </c>
      <c r="I883">
        <f>IF(COUNTIF($E883, _xlfn.CONCAT("*",Table13[[#Headers],[Action]],"*")),1,0)</f>
        <v>0</v>
      </c>
      <c r="J883">
        <f>IF(COUNTIF($E883, _xlfn.CONCAT("*",Table13[[#Headers],[Adventure]],"*")),1,0)</f>
        <v>0</v>
      </c>
      <c r="K883">
        <f>IF(COUNTIF($E883, _xlfn.CONCAT("*",Table13[[#Headers],[Animation]],"*")),1,0)</f>
        <v>0</v>
      </c>
      <c r="L883">
        <f>IF(COUNTIF($E883, _xlfn.CONCAT("*",Table13[[#Headers],[Comedy]],"*")),1,0)</f>
        <v>0</v>
      </c>
      <c r="M883">
        <f>IF(COUNTIF($E883, _xlfn.CONCAT("*",Table13[[#Headers],[Crime]],"*")),1,0)</f>
        <v>0</v>
      </c>
      <c r="N883">
        <f>IF(COUNTIF($E883, _xlfn.CONCAT("*",Table13[[#Headers],[Documentary]],"*")),1,0)</f>
        <v>0</v>
      </c>
      <c r="O883">
        <f>IF(COUNTIF($E883, _xlfn.CONCAT("*",Table13[[#Headers],[Drama]],"*")),1,0)</f>
        <v>1</v>
      </c>
      <c r="P883">
        <f>IF(COUNTIF($E883, _xlfn.CONCAT("*",Table13[[#Headers],[Family]],"*")),1,0)</f>
        <v>0</v>
      </c>
      <c r="Q883">
        <f>IF(COUNTIF($E883, _xlfn.CONCAT("*",Table13[[#Headers],[Fantasy]],"*")),1,0)</f>
        <v>0</v>
      </c>
      <c r="R883">
        <f>IF(COUNTIF($E883, _xlfn.CONCAT("*",Table13[[#Headers],[History]],"*")),1,0)</f>
        <v>0</v>
      </c>
      <c r="S883">
        <f>IF(COUNTIF($E883, _xlfn.CONCAT("*",Table13[[#Headers],[Horror]],"*")),1,0)</f>
        <v>0</v>
      </c>
      <c r="T883">
        <f>IF(COUNTIF($E883, _xlfn.CONCAT("*",Table13[[#Headers],[Music]],"*")),1,0)</f>
        <v>0</v>
      </c>
      <c r="U883">
        <f>IF(COUNTIF($E883, _xlfn.CONCAT("*",Table13[[#Headers],[Mystery]],"*")),1,0)</f>
        <v>0</v>
      </c>
      <c r="V883">
        <f>IF(COUNTIF($E883, _xlfn.CONCAT("*",Table13[[#Headers],[Romance]],"*")),1,0)</f>
        <v>0</v>
      </c>
      <c r="W883">
        <f>IF(COUNTIF($E883, _xlfn.CONCAT("*",Table13[[#Headers],[Science Fiction]],"*")),1,0)</f>
        <v>0</v>
      </c>
      <c r="X883">
        <f>IF(COUNTIF($E883, _xlfn.CONCAT("*",Table13[[#Headers],[TV Movie]],"*")),1,0)</f>
        <v>0</v>
      </c>
      <c r="Y883">
        <f>IF(COUNTIF($E883, _xlfn.CONCAT("*",Table13[[#Headers],[Thriller]],"*")),1,0)</f>
        <v>0</v>
      </c>
      <c r="Z883">
        <f>IF(COUNTIF($E883, _xlfn.CONCAT("*",Table13[[#Headers],[War]],"*")),1,0)</f>
        <v>0</v>
      </c>
      <c r="AA883">
        <f>IF(COUNTIF($E883, _xlfn.CONCAT("*",Table13[[#Headers],[Western]],"*")),1,0)</f>
        <v>0</v>
      </c>
    </row>
    <row r="884" spans="1:27">
      <c r="A884" t="s">
        <v>898</v>
      </c>
      <c r="B884">
        <v>199</v>
      </c>
      <c r="C884">
        <f>MAX(Table13[Rank])-Table13[[#This Row],[Rank]]</f>
        <v>65</v>
      </c>
      <c r="D884" t="s">
        <v>780</v>
      </c>
      <c r="E884" t="s">
        <v>436</v>
      </c>
      <c r="F884" s="1">
        <v>20192</v>
      </c>
      <c r="G884">
        <f>YEAR(Table13[[#This Row],[Date]])</f>
        <v>1955</v>
      </c>
      <c r="H884" t="s">
        <v>898</v>
      </c>
      <c r="I884">
        <f>IF(COUNTIF($E884, _xlfn.CONCAT("*",Table13[[#Headers],[Action]],"*")),1,0)</f>
        <v>0</v>
      </c>
      <c r="J884">
        <f>IF(COUNTIF($E884, _xlfn.CONCAT("*",Table13[[#Headers],[Adventure]],"*")),1,0)</f>
        <v>0</v>
      </c>
      <c r="K884">
        <f>IF(COUNTIF($E884, _xlfn.CONCAT("*",Table13[[#Headers],[Animation]],"*")),1,0)</f>
        <v>0</v>
      </c>
      <c r="L884">
        <f>IF(COUNTIF($E884, _xlfn.CONCAT("*",Table13[[#Headers],[Comedy]],"*")),1,0)</f>
        <v>0</v>
      </c>
      <c r="M884">
        <f>IF(COUNTIF($E884, _xlfn.CONCAT("*",Table13[[#Headers],[Crime]],"*")),1,0)</f>
        <v>1</v>
      </c>
      <c r="N884">
        <f>IF(COUNTIF($E884, _xlfn.CONCAT("*",Table13[[#Headers],[Documentary]],"*")),1,0)</f>
        <v>0</v>
      </c>
      <c r="O884">
        <f>IF(COUNTIF($E884, _xlfn.CONCAT("*",Table13[[#Headers],[Drama]],"*")),1,0)</f>
        <v>1</v>
      </c>
      <c r="P884">
        <f>IF(COUNTIF($E884, _xlfn.CONCAT("*",Table13[[#Headers],[Family]],"*")),1,0)</f>
        <v>0</v>
      </c>
      <c r="Q884">
        <f>IF(COUNTIF($E884, _xlfn.CONCAT("*",Table13[[#Headers],[Fantasy]],"*")),1,0)</f>
        <v>0</v>
      </c>
      <c r="R884">
        <f>IF(COUNTIF($E884, _xlfn.CONCAT("*",Table13[[#Headers],[History]],"*")),1,0)</f>
        <v>0</v>
      </c>
      <c r="S884">
        <f>IF(COUNTIF($E884, _xlfn.CONCAT("*",Table13[[#Headers],[Horror]],"*")),1,0)</f>
        <v>0</v>
      </c>
      <c r="T884">
        <f>IF(COUNTIF($E884, _xlfn.CONCAT("*",Table13[[#Headers],[Music]],"*")),1,0)</f>
        <v>0</v>
      </c>
      <c r="U884">
        <f>IF(COUNTIF($E884, _xlfn.CONCAT("*",Table13[[#Headers],[Mystery]],"*")),1,0)</f>
        <v>0</v>
      </c>
      <c r="V884">
        <f>IF(COUNTIF($E884, _xlfn.CONCAT("*",Table13[[#Headers],[Romance]],"*")),1,0)</f>
        <v>0</v>
      </c>
      <c r="W884">
        <f>IF(COUNTIF($E884, _xlfn.CONCAT("*",Table13[[#Headers],[Science Fiction]],"*")),1,0)</f>
        <v>0</v>
      </c>
      <c r="X884">
        <f>IF(COUNTIF($E884, _xlfn.CONCAT("*",Table13[[#Headers],[TV Movie]],"*")),1,0)</f>
        <v>0</v>
      </c>
      <c r="Y884">
        <f>IF(COUNTIF($E884, _xlfn.CONCAT("*",Table13[[#Headers],[Thriller]],"*")),1,0)</f>
        <v>1</v>
      </c>
      <c r="Z884">
        <f>IF(COUNTIF($E884, _xlfn.CONCAT("*",Table13[[#Headers],[War]],"*")),1,0)</f>
        <v>0</v>
      </c>
      <c r="AA884">
        <f>IF(COUNTIF($E884, _xlfn.CONCAT("*",Table13[[#Headers],[Western]],"*")),1,0)</f>
        <v>0</v>
      </c>
    </row>
    <row r="885" spans="1:27">
      <c r="A885" t="s">
        <v>472</v>
      </c>
      <c r="B885">
        <v>200</v>
      </c>
      <c r="C885">
        <f>MAX(Table13[Rank])-Table13[[#This Row],[Rank]]</f>
        <v>64</v>
      </c>
      <c r="D885" t="s">
        <v>780</v>
      </c>
      <c r="E885" t="s">
        <v>367</v>
      </c>
      <c r="F885" s="1">
        <v>35132</v>
      </c>
      <c r="G885">
        <f>YEAR(Table13[[#This Row],[Date]])</f>
        <v>1996</v>
      </c>
      <c r="H885" t="s">
        <v>472</v>
      </c>
      <c r="I885">
        <f>IF(COUNTIF($E885, _xlfn.CONCAT("*",Table13[[#Headers],[Action]],"*")),1,0)</f>
        <v>0</v>
      </c>
      <c r="J885">
        <f>IF(COUNTIF($E885, _xlfn.CONCAT("*",Table13[[#Headers],[Adventure]],"*")),1,0)</f>
        <v>0</v>
      </c>
      <c r="K885">
        <f>IF(COUNTIF($E885, _xlfn.CONCAT("*",Table13[[#Headers],[Animation]],"*")),1,0)</f>
        <v>0</v>
      </c>
      <c r="L885">
        <f>IF(COUNTIF($E885, _xlfn.CONCAT("*",Table13[[#Headers],[Comedy]],"*")),1,0)</f>
        <v>0</v>
      </c>
      <c r="M885">
        <f>IF(COUNTIF($E885, _xlfn.CONCAT("*",Table13[[#Headers],[Crime]],"*")),1,0)</f>
        <v>1</v>
      </c>
      <c r="N885">
        <f>IF(COUNTIF($E885, _xlfn.CONCAT("*",Table13[[#Headers],[Documentary]],"*")),1,0)</f>
        <v>0</v>
      </c>
      <c r="O885">
        <f>IF(COUNTIF($E885, _xlfn.CONCAT("*",Table13[[#Headers],[Drama]],"*")),1,0)</f>
        <v>1</v>
      </c>
      <c r="P885">
        <f>IF(COUNTIF($E885, _xlfn.CONCAT("*",Table13[[#Headers],[Family]],"*")),1,0)</f>
        <v>0</v>
      </c>
      <c r="Q885">
        <f>IF(COUNTIF($E885, _xlfn.CONCAT("*",Table13[[#Headers],[Fantasy]],"*")),1,0)</f>
        <v>0</v>
      </c>
      <c r="R885">
        <f>IF(COUNTIF($E885, _xlfn.CONCAT("*",Table13[[#Headers],[History]],"*")),1,0)</f>
        <v>0</v>
      </c>
      <c r="S885">
        <f>IF(COUNTIF($E885, _xlfn.CONCAT("*",Table13[[#Headers],[Horror]],"*")),1,0)</f>
        <v>0</v>
      </c>
      <c r="T885">
        <f>IF(COUNTIF($E885, _xlfn.CONCAT("*",Table13[[#Headers],[Music]],"*")),1,0)</f>
        <v>0</v>
      </c>
      <c r="U885">
        <f>IF(COUNTIF($E885, _xlfn.CONCAT("*",Table13[[#Headers],[Mystery]],"*")),1,0)</f>
        <v>0</v>
      </c>
      <c r="V885">
        <f>IF(COUNTIF($E885, _xlfn.CONCAT("*",Table13[[#Headers],[Romance]],"*")),1,0)</f>
        <v>0</v>
      </c>
      <c r="W885">
        <f>IF(COUNTIF($E885, _xlfn.CONCAT("*",Table13[[#Headers],[Science Fiction]],"*")),1,0)</f>
        <v>0</v>
      </c>
      <c r="X885">
        <f>IF(COUNTIF($E885, _xlfn.CONCAT("*",Table13[[#Headers],[TV Movie]],"*")),1,0)</f>
        <v>0</v>
      </c>
      <c r="Y885">
        <f>IF(COUNTIF($E885, _xlfn.CONCAT("*",Table13[[#Headers],[Thriller]],"*")),1,0)</f>
        <v>1</v>
      </c>
      <c r="Z885">
        <f>IF(COUNTIF($E885, _xlfn.CONCAT("*",Table13[[#Headers],[War]],"*")),1,0)</f>
        <v>0</v>
      </c>
      <c r="AA885">
        <f>IF(COUNTIF($E885, _xlfn.CONCAT("*",Table13[[#Headers],[Western]],"*")),1,0)</f>
        <v>0</v>
      </c>
    </row>
    <row r="886" spans="1:27">
      <c r="A886" t="s">
        <v>899</v>
      </c>
      <c r="B886">
        <v>201</v>
      </c>
      <c r="C886">
        <f>MAX(Table13[Rank])-Table13[[#This Row],[Rank]]</f>
        <v>63</v>
      </c>
      <c r="D886" t="s">
        <v>780</v>
      </c>
      <c r="E886" t="s">
        <v>900</v>
      </c>
      <c r="F886" s="1">
        <v>45217</v>
      </c>
      <c r="G886">
        <f>YEAR(Table13[[#This Row],[Date]])</f>
        <v>2023</v>
      </c>
      <c r="H886" t="s">
        <v>899</v>
      </c>
      <c r="I886">
        <f>IF(COUNTIF($E886, _xlfn.CONCAT("*",Table13[[#Headers],[Action]],"*")),1,0)</f>
        <v>0</v>
      </c>
      <c r="J886">
        <f>IF(COUNTIF($E886, _xlfn.CONCAT("*",Table13[[#Headers],[Adventure]],"*")),1,0)</f>
        <v>0</v>
      </c>
      <c r="K886">
        <f>IF(COUNTIF($E886, _xlfn.CONCAT("*",Table13[[#Headers],[Animation]],"*")),1,0)</f>
        <v>0</v>
      </c>
      <c r="L886">
        <f>IF(COUNTIF($E886, _xlfn.CONCAT("*",Table13[[#Headers],[Comedy]],"*")),1,0)</f>
        <v>0</v>
      </c>
      <c r="M886">
        <f>IF(COUNTIF($E886, _xlfn.CONCAT("*",Table13[[#Headers],[Crime]],"*")),1,0)</f>
        <v>1</v>
      </c>
      <c r="N886">
        <f>IF(COUNTIF($E886, _xlfn.CONCAT("*",Table13[[#Headers],[Documentary]],"*")),1,0)</f>
        <v>0</v>
      </c>
      <c r="O886">
        <f>IF(COUNTIF($E886, _xlfn.CONCAT("*",Table13[[#Headers],[Drama]],"*")),1,0)</f>
        <v>1</v>
      </c>
      <c r="P886">
        <f>IF(COUNTIF($E886, _xlfn.CONCAT("*",Table13[[#Headers],[Family]],"*")),1,0)</f>
        <v>0</v>
      </c>
      <c r="Q886">
        <f>IF(COUNTIF($E886, _xlfn.CONCAT("*",Table13[[#Headers],[Fantasy]],"*")),1,0)</f>
        <v>0</v>
      </c>
      <c r="R886">
        <f>IF(COUNTIF($E886, _xlfn.CONCAT("*",Table13[[#Headers],[History]],"*")),1,0)</f>
        <v>1</v>
      </c>
      <c r="S886">
        <f>IF(COUNTIF($E886, _xlfn.CONCAT("*",Table13[[#Headers],[Horror]],"*")),1,0)</f>
        <v>0</v>
      </c>
      <c r="T886">
        <f>IF(COUNTIF($E886, _xlfn.CONCAT("*",Table13[[#Headers],[Music]],"*")),1,0)</f>
        <v>0</v>
      </c>
      <c r="U886">
        <f>IF(COUNTIF($E886, _xlfn.CONCAT("*",Table13[[#Headers],[Mystery]],"*")),1,0)</f>
        <v>0</v>
      </c>
      <c r="V886">
        <f>IF(COUNTIF($E886, _xlfn.CONCAT("*",Table13[[#Headers],[Romance]],"*")),1,0)</f>
        <v>0</v>
      </c>
      <c r="W886">
        <f>IF(COUNTIF($E886, _xlfn.CONCAT("*",Table13[[#Headers],[Science Fiction]],"*")),1,0)</f>
        <v>0</v>
      </c>
      <c r="X886">
        <f>IF(COUNTIF($E886, _xlfn.CONCAT("*",Table13[[#Headers],[TV Movie]],"*")),1,0)</f>
        <v>0</v>
      </c>
      <c r="Y886">
        <f>IF(COUNTIF($E886, _xlfn.CONCAT("*",Table13[[#Headers],[Thriller]],"*")),1,0)</f>
        <v>0</v>
      </c>
      <c r="Z886">
        <f>IF(COUNTIF($E886, _xlfn.CONCAT("*",Table13[[#Headers],[War]],"*")),1,0)</f>
        <v>0</v>
      </c>
      <c r="AA886">
        <f>IF(COUNTIF($E886, _xlfn.CONCAT("*",Table13[[#Headers],[Western]],"*")),1,0)</f>
        <v>0</v>
      </c>
    </row>
    <row r="887" spans="1:27">
      <c r="A887" t="s">
        <v>901</v>
      </c>
      <c r="B887">
        <v>202</v>
      </c>
      <c r="C887">
        <f>MAX(Table13[Rank])-Table13[[#This Row],[Rank]]</f>
        <v>62</v>
      </c>
      <c r="D887" t="s">
        <v>780</v>
      </c>
      <c r="E887" t="s">
        <v>902</v>
      </c>
      <c r="F887" s="1">
        <v>44003</v>
      </c>
      <c r="G887">
        <f>YEAR(Table13[[#This Row],[Date]])</f>
        <v>2020</v>
      </c>
      <c r="H887" t="s">
        <v>903</v>
      </c>
      <c r="I887">
        <f>IF(COUNTIF($E887, _xlfn.CONCAT("*",Table13[[#Headers],[Action]],"*")),1,0)</f>
        <v>0</v>
      </c>
      <c r="J887">
        <f>IF(COUNTIF($E887, _xlfn.CONCAT("*",Table13[[#Headers],[Adventure]],"*")),1,0)</f>
        <v>0</v>
      </c>
      <c r="K887">
        <f>IF(COUNTIF($E887, _xlfn.CONCAT("*",Table13[[#Headers],[Animation]],"*")),1,0)</f>
        <v>0</v>
      </c>
      <c r="L887">
        <f>IF(COUNTIF($E887, _xlfn.CONCAT("*",Table13[[#Headers],[Comedy]],"*")),1,0)</f>
        <v>1</v>
      </c>
      <c r="M887">
        <f>IF(COUNTIF($E887, _xlfn.CONCAT("*",Table13[[#Headers],[Crime]],"*")),1,0)</f>
        <v>0</v>
      </c>
      <c r="N887">
        <f>IF(COUNTIF($E887, _xlfn.CONCAT("*",Table13[[#Headers],[Documentary]],"*")),1,0)</f>
        <v>0</v>
      </c>
      <c r="O887">
        <f>IF(COUNTIF($E887, _xlfn.CONCAT("*",Table13[[#Headers],[Drama]],"*")),1,0)</f>
        <v>0</v>
      </c>
      <c r="P887">
        <f>IF(COUNTIF($E887, _xlfn.CONCAT("*",Table13[[#Headers],[Family]],"*")),1,0)</f>
        <v>0</v>
      </c>
      <c r="Q887">
        <f>IF(COUNTIF($E887, _xlfn.CONCAT("*",Table13[[#Headers],[Fantasy]],"*")),1,0)</f>
        <v>0</v>
      </c>
      <c r="R887">
        <f>IF(COUNTIF($E887, _xlfn.CONCAT("*",Table13[[#Headers],[History]],"*")),1,0)</f>
        <v>0</v>
      </c>
      <c r="S887">
        <f>IF(COUNTIF($E887, _xlfn.CONCAT("*",Table13[[#Headers],[Horror]],"*")),1,0)</f>
        <v>1</v>
      </c>
      <c r="T887">
        <f>IF(COUNTIF($E887, _xlfn.CONCAT("*",Table13[[#Headers],[Music]],"*")),1,0)</f>
        <v>0</v>
      </c>
      <c r="U887">
        <f>IF(COUNTIF($E887, _xlfn.CONCAT("*",Table13[[#Headers],[Mystery]],"*")),1,0)</f>
        <v>0</v>
      </c>
      <c r="V887">
        <f>IF(COUNTIF($E887, _xlfn.CONCAT("*",Table13[[#Headers],[Romance]],"*")),1,0)</f>
        <v>0</v>
      </c>
      <c r="W887">
        <f>IF(COUNTIF($E887, _xlfn.CONCAT("*",Table13[[#Headers],[Science Fiction]],"*")),1,0)</f>
        <v>0</v>
      </c>
      <c r="X887">
        <f>IF(COUNTIF($E887, _xlfn.CONCAT("*",Table13[[#Headers],[TV Movie]],"*")),1,0)</f>
        <v>0</v>
      </c>
      <c r="Y887">
        <f>IF(COUNTIF($E887, _xlfn.CONCAT("*",Table13[[#Headers],[Thriller]],"*")),1,0)</f>
        <v>0</v>
      </c>
      <c r="Z887">
        <f>IF(COUNTIF($E887, _xlfn.CONCAT("*",Table13[[#Headers],[War]],"*")),1,0)</f>
        <v>0</v>
      </c>
      <c r="AA887">
        <f>IF(COUNTIF($E887, _xlfn.CONCAT("*",Table13[[#Headers],[Western]],"*")),1,0)</f>
        <v>0</v>
      </c>
    </row>
    <row r="888" spans="1:27">
      <c r="A888" t="s">
        <v>904</v>
      </c>
      <c r="B888">
        <v>203</v>
      </c>
      <c r="C888">
        <f>MAX(Table13[Rank])-Table13[[#This Row],[Rank]]</f>
        <v>61</v>
      </c>
      <c r="D888" t="s">
        <v>780</v>
      </c>
      <c r="E888" t="s">
        <v>21</v>
      </c>
      <c r="F888" s="1">
        <v>30437</v>
      </c>
      <c r="G888">
        <f>YEAR(Table13[[#This Row],[Date]])</f>
        <v>1983</v>
      </c>
      <c r="H888" t="s">
        <v>904</v>
      </c>
      <c r="I888">
        <f>IF(COUNTIF($E888, _xlfn.CONCAT("*",Table13[[#Headers],[Action]],"*")),1,0)</f>
        <v>0</v>
      </c>
      <c r="J888">
        <f>IF(COUNTIF($E888, _xlfn.CONCAT("*",Table13[[#Headers],[Adventure]],"*")),1,0)</f>
        <v>0</v>
      </c>
      <c r="K888">
        <f>IF(COUNTIF($E888, _xlfn.CONCAT("*",Table13[[#Headers],[Animation]],"*")),1,0)</f>
        <v>0</v>
      </c>
      <c r="L888">
        <f>IF(COUNTIF($E888, _xlfn.CONCAT("*",Table13[[#Headers],[Comedy]],"*")),1,0)</f>
        <v>0</v>
      </c>
      <c r="M888">
        <f>IF(COUNTIF($E888, _xlfn.CONCAT("*",Table13[[#Headers],[Crime]],"*")),1,0)</f>
        <v>0</v>
      </c>
      <c r="N888">
        <f>IF(COUNTIF($E888, _xlfn.CONCAT("*",Table13[[#Headers],[Documentary]],"*")),1,0)</f>
        <v>0</v>
      </c>
      <c r="O888">
        <f>IF(COUNTIF($E888, _xlfn.CONCAT("*",Table13[[#Headers],[Drama]],"*")),1,0)</f>
        <v>1</v>
      </c>
      <c r="P888">
        <f>IF(COUNTIF($E888, _xlfn.CONCAT("*",Table13[[#Headers],[Family]],"*")),1,0)</f>
        <v>0</v>
      </c>
      <c r="Q888">
        <f>IF(COUNTIF($E888, _xlfn.CONCAT("*",Table13[[#Headers],[Fantasy]],"*")),1,0)</f>
        <v>0</v>
      </c>
      <c r="R888">
        <f>IF(COUNTIF($E888, _xlfn.CONCAT("*",Table13[[#Headers],[History]],"*")),1,0)</f>
        <v>0</v>
      </c>
      <c r="S888">
        <f>IF(COUNTIF($E888, _xlfn.CONCAT("*",Table13[[#Headers],[Horror]],"*")),1,0)</f>
        <v>0</v>
      </c>
      <c r="T888">
        <f>IF(COUNTIF($E888, _xlfn.CONCAT("*",Table13[[#Headers],[Music]],"*")),1,0)</f>
        <v>0</v>
      </c>
      <c r="U888">
        <f>IF(COUNTIF($E888, _xlfn.CONCAT("*",Table13[[#Headers],[Mystery]],"*")),1,0)</f>
        <v>0</v>
      </c>
      <c r="V888">
        <f>IF(COUNTIF($E888, _xlfn.CONCAT("*",Table13[[#Headers],[Romance]],"*")),1,0)</f>
        <v>0</v>
      </c>
      <c r="W888">
        <f>IF(COUNTIF($E888, _xlfn.CONCAT("*",Table13[[#Headers],[Science Fiction]],"*")),1,0)</f>
        <v>0</v>
      </c>
      <c r="X888">
        <f>IF(COUNTIF($E888, _xlfn.CONCAT("*",Table13[[#Headers],[TV Movie]],"*")),1,0)</f>
        <v>0</v>
      </c>
      <c r="Y888">
        <f>IF(COUNTIF($E888, _xlfn.CONCAT("*",Table13[[#Headers],[Thriller]],"*")),1,0)</f>
        <v>0</v>
      </c>
      <c r="Z888">
        <f>IF(COUNTIF($E888, _xlfn.CONCAT("*",Table13[[#Headers],[War]],"*")),1,0)</f>
        <v>0</v>
      </c>
      <c r="AA888">
        <f>IF(COUNTIF($E888, _xlfn.CONCAT("*",Table13[[#Headers],[Western]],"*")),1,0)</f>
        <v>0</v>
      </c>
    </row>
    <row r="889" spans="1:27">
      <c r="A889" t="s">
        <v>905</v>
      </c>
      <c r="B889">
        <v>204</v>
      </c>
      <c r="C889">
        <f>MAX(Table13[Rank])-Table13[[#This Row],[Rank]]</f>
        <v>60</v>
      </c>
      <c r="D889" t="s">
        <v>780</v>
      </c>
      <c r="E889" t="s">
        <v>109</v>
      </c>
      <c r="F889" s="1">
        <v>29503</v>
      </c>
      <c r="G889">
        <f>YEAR(Table13[[#This Row],[Date]])</f>
        <v>1980</v>
      </c>
      <c r="H889" t="s">
        <v>905</v>
      </c>
      <c r="I889">
        <f>IF(COUNTIF($E889, _xlfn.CONCAT("*",Table13[[#Headers],[Action]],"*")),1,0)</f>
        <v>0</v>
      </c>
      <c r="J889">
        <f>IF(COUNTIF($E889, _xlfn.CONCAT("*",Table13[[#Headers],[Adventure]],"*")),1,0)</f>
        <v>0</v>
      </c>
      <c r="K889">
        <f>IF(COUNTIF($E889, _xlfn.CONCAT("*",Table13[[#Headers],[Animation]],"*")),1,0)</f>
        <v>0</v>
      </c>
      <c r="L889">
        <f>IF(COUNTIF($E889, _xlfn.CONCAT("*",Table13[[#Headers],[Comedy]],"*")),1,0)</f>
        <v>0</v>
      </c>
      <c r="M889">
        <f>IF(COUNTIF($E889, _xlfn.CONCAT("*",Table13[[#Headers],[Crime]],"*")),1,0)</f>
        <v>0</v>
      </c>
      <c r="N889">
        <f>IF(COUNTIF($E889, _xlfn.CONCAT("*",Table13[[#Headers],[Documentary]],"*")),1,0)</f>
        <v>0</v>
      </c>
      <c r="O889">
        <f>IF(COUNTIF($E889, _xlfn.CONCAT("*",Table13[[#Headers],[Drama]],"*")),1,0)</f>
        <v>1</v>
      </c>
      <c r="P889">
        <f>IF(COUNTIF($E889, _xlfn.CONCAT("*",Table13[[#Headers],[Family]],"*")),1,0)</f>
        <v>0</v>
      </c>
      <c r="Q889">
        <f>IF(COUNTIF($E889, _xlfn.CONCAT("*",Table13[[#Headers],[Fantasy]],"*")),1,0)</f>
        <v>0</v>
      </c>
      <c r="R889">
        <f>IF(COUNTIF($E889, _xlfn.CONCAT("*",Table13[[#Headers],[History]],"*")),1,0)</f>
        <v>1</v>
      </c>
      <c r="S889">
        <f>IF(COUNTIF($E889, _xlfn.CONCAT("*",Table13[[#Headers],[Horror]],"*")),1,0)</f>
        <v>0</v>
      </c>
      <c r="T889">
        <f>IF(COUNTIF($E889, _xlfn.CONCAT("*",Table13[[#Headers],[Music]],"*")),1,0)</f>
        <v>0</v>
      </c>
      <c r="U889">
        <f>IF(COUNTIF($E889, _xlfn.CONCAT("*",Table13[[#Headers],[Mystery]],"*")),1,0)</f>
        <v>0</v>
      </c>
      <c r="V889">
        <f>IF(COUNTIF($E889, _xlfn.CONCAT("*",Table13[[#Headers],[Romance]],"*")),1,0)</f>
        <v>0</v>
      </c>
      <c r="W889">
        <f>IF(COUNTIF($E889, _xlfn.CONCAT("*",Table13[[#Headers],[Science Fiction]],"*")),1,0)</f>
        <v>0</v>
      </c>
      <c r="X889">
        <f>IF(COUNTIF($E889, _xlfn.CONCAT("*",Table13[[#Headers],[TV Movie]],"*")),1,0)</f>
        <v>0</v>
      </c>
      <c r="Y889">
        <f>IF(COUNTIF($E889, _xlfn.CONCAT("*",Table13[[#Headers],[Thriller]],"*")),1,0)</f>
        <v>0</v>
      </c>
      <c r="Z889">
        <f>IF(COUNTIF($E889, _xlfn.CONCAT("*",Table13[[#Headers],[War]],"*")),1,0)</f>
        <v>0</v>
      </c>
      <c r="AA889">
        <f>IF(COUNTIF($E889, _xlfn.CONCAT("*",Table13[[#Headers],[Western]],"*")),1,0)</f>
        <v>0</v>
      </c>
    </row>
    <row r="890" spans="1:27">
      <c r="A890" t="s">
        <v>906</v>
      </c>
      <c r="B890">
        <v>205</v>
      </c>
      <c r="C890">
        <f>MAX(Table13[Rank])-Table13[[#This Row],[Rank]]</f>
        <v>59</v>
      </c>
      <c r="D890" t="s">
        <v>780</v>
      </c>
      <c r="E890" t="s">
        <v>21</v>
      </c>
      <c r="F890" s="1">
        <v>21005</v>
      </c>
      <c r="G890">
        <f>YEAR(Table13[[#This Row],[Date]])</f>
        <v>1957</v>
      </c>
      <c r="H890" t="s">
        <v>906</v>
      </c>
      <c r="I890">
        <f>IF(COUNTIF($E890, _xlfn.CONCAT("*",Table13[[#Headers],[Action]],"*")),1,0)</f>
        <v>0</v>
      </c>
      <c r="J890">
        <f>IF(COUNTIF($E890, _xlfn.CONCAT("*",Table13[[#Headers],[Adventure]],"*")),1,0)</f>
        <v>0</v>
      </c>
      <c r="K890">
        <f>IF(COUNTIF($E890, _xlfn.CONCAT("*",Table13[[#Headers],[Animation]],"*")),1,0)</f>
        <v>0</v>
      </c>
      <c r="L890">
        <f>IF(COUNTIF($E890, _xlfn.CONCAT("*",Table13[[#Headers],[Comedy]],"*")),1,0)</f>
        <v>0</v>
      </c>
      <c r="M890">
        <f>IF(COUNTIF($E890, _xlfn.CONCAT("*",Table13[[#Headers],[Crime]],"*")),1,0)</f>
        <v>0</v>
      </c>
      <c r="N890">
        <f>IF(COUNTIF($E890, _xlfn.CONCAT("*",Table13[[#Headers],[Documentary]],"*")),1,0)</f>
        <v>0</v>
      </c>
      <c r="O890">
        <f>IF(COUNTIF($E890, _xlfn.CONCAT("*",Table13[[#Headers],[Drama]],"*")),1,0)</f>
        <v>1</v>
      </c>
      <c r="P890">
        <f>IF(COUNTIF($E890, _xlfn.CONCAT("*",Table13[[#Headers],[Family]],"*")),1,0)</f>
        <v>0</v>
      </c>
      <c r="Q890">
        <f>IF(COUNTIF($E890, _xlfn.CONCAT("*",Table13[[#Headers],[Fantasy]],"*")),1,0)</f>
        <v>0</v>
      </c>
      <c r="R890">
        <f>IF(COUNTIF($E890, _xlfn.CONCAT("*",Table13[[#Headers],[History]],"*")),1,0)</f>
        <v>0</v>
      </c>
      <c r="S890">
        <f>IF(COUNTIF($E890, _xlfn.CONCAT("*",Table13[[#Headers],[Horror]],"*")),1,0)</f>
        <v>0</v>
      </c>
      <c r="T890">
        <f>IF(COUNTIF($E890, _xlfn.CONCAT("*",Table13[[#Headers],[Music]],"*")),1,0)</f>
        <v>0</v>
      </c>
      <c r="U890">
        <f>IF(COUNTIF($E890, _xlfn.CONCAT("*",Table13[[#Headers],[Mystery]],"*")),1,0)</f>
        <v>0</v>
      </c>
      <c r="V890">
        <f>IF(COUNTIF($E890, _xlfn.CONCAT("*",Table13[[#Headers],[Romance]],"*")),1,0)</f>
        <v>0</v>
      </c>
      <c r="W890">
        <f>IF(COUNTIF($E890, _xlfn.CONCAT("*",Table13[[#Headers],[Science Fiction]],"*")),1,0)</f>
        <v>0</v>
      </c>
      <c r="X890">
        <f>IF(COUNTIF($E890, _xlfn.CONCAT("*",Table13[[#Headers],[TV Movie]],"*")),1,0)</f>
        <v>0</v>
      </c>
      <c r="Y890">
        <f>IF(COUNTIF($E890, _xlfn.CONCAT("*",Table13[[#Headers],[Thriller]],"*")),1,0)</f>
        <v>0</v>
      </c>
      <c r="Z890">
        <f>IF(COUNTIF($E890, _xlfn.CONCAT("*",Table13[[#Headers],[War]],"*")),1,0)</f>
        <v>0</v>
      </c>
      <c r="AA890">
        <f>IF(COUNTIF($E890, _xlfn.CONCAT("*",Table13[[#Headers],[Western]],"*")),1,0)</f>
        <v>0</v>
      </c>
    </row>
    <row r="891" spans="1:27">
      <c r="A891" t="s">
        <v>907</v>
      </c>
      <c r="B891">
        <v>206</v>
      </c>
      <c r="C891">
        <f>MAX(Table13[Rank])-Table13[[#This Row],[Rank]]</f>
        <v>58</v>
      </c>
      <c r="D891" t="s">
        <v>780</v>
      </c>
      <c r="E891" t="s">
        <v>129</v>
      </c>
      <c r="F891" s="1">
        <v>45178</v>
      </c>
      <c r="G891">
        <f>YEAR(Table13[[#This Row],[Date]])</f>
        <v>2023</v>
      </c>
      <c r="H891" t="s">
        <v>907</v>
      </c>
      <c r="I891">
        <f>IF(COUNTIF($E891, _xlfn.CONCAT("*",Table13[[#Headers],[Action]],"*")),1,0)</f>
        <v>0</v>
      </c>
      <c r="J891">
        <f>IF(COUNTIF($E891, _xlfn.CONCAT("*",Table13[[#Headers],[Adventure]],"*")),1,0)</f>
        <v>0</v>
      </c>
      <c r="K891">
        <f>IF(COUNTIF($E891, _xlfn.CONCAT("*",Table13[[#Headers],[Animation]],"*")),1,0)</f>
        <v>0</v>
      </c>
      <c r="L891">
        <f>IF(COUNTIF($E891, _xlfn.CONCAT("*",Table13[[#Headers],[Comedy]],"*")),1,0)</f>
        <v>0</v>
      </c>
      <c r="M891">
        <f>IF(COUNTIF($E891, _xlfn.CONCAT("*",Table13[[#Headers],[Crime]],"*")),1,0)</f>
        <v>0</v>
      </c>
      <c r="N891">
        <f>IF(COUNTIF($E891, _xlfn.CONCAT("*",Table13[[#Headers],[Documentary]],"*")),1,0)</f>
        <v>0</v>
      </c>
      <c r="O891">
        <f>IF(COUNTIF($E891, _xlfn.CONCAT("*",Table13[[#Headers],[Drama]],"*")),1,0)</f>
        <v>0</v>
      </c>
      <c r="P891">
        <f>IF(COUNTIF($E891, _xlfn.CONCAT("*",Table13[[#Headers],[Family]],"*")),1,0)</f>
        <v>0</v>
      </c>
      <c r="Q891">
        <f>IF(COUNTIF($E891, _xlfn.CONCAT("*",Table13[[#Headers],[Fantasy]],"*")),1,0)</f>
        <v>0</v>
      </c>
      <c r="R891">
        <f>IF(COUNTIF($E891, _xlfn.CONCAT("*",Table13[[#Headers],[History]],"*")),1,0)</f>
        <v>0</v>
      </c>
      <c r="S891">
        <f>IF(COUNTIF($E891, _xlfn.CONCAT("*",Table13[[#Headers],[Horror]],"*")),1,0)</f>
        <v>0</v>
      </c>
      <c r="T891">
        <f>IF(COUNTIF($E891, _xlfn.CONCAT("*",Table13[[#Headers],[Music]],"*")),1,0)</f>
        <v>0</v>
      </c>
      <c r="U891">
        <f>IF(COUNTIF($E891, _xlfn.CONCAT("*",Table13[[#Headers],[Mystery]],"*")),1,0)</f>
        <v>0</v>
      </c>
      <c r="V891">
        <f>IF(COUNTIF($E891, _xlfn.CONCAT("*",Table13[[#Headers],[Romance]],"*")),1,0)</f>
        <v>0</v>
      </c>
      <c r="W891">
        <f>IF(COUNTIF($E891, _xlfn.CONCAT("*",Table13[[#Headers],[Science Fiction]],"*")),1,0)</f>
        <v>0</v>
      </c>
      <c r="X891">
        <f>IF(COUNTIF($E891, _xlfn.CONCAT("*",Table13[[#Headers],[TV Movie]],"*")),1,0)</f>
        <v>0</v>
      </c>
      <c r="Y891">
        <f>IF(COUNTIF($E891, _xlfn.CONCAT("*",Table13[[#Headers],[Thriller]],"*")),1,0)</f>
        <v>0</v>
      </c>
      <c r="Z891">
        <f>IF(COUNTIF($E891, _xlfn.CONCAT("*",Table13[[#Headers],[War]],"*")),1,0)</f>
        <v>0</v>
      </c>
      <c r="AA891">
        <f>IF(COUNTIF($E891, _xlfn.CONCAT("*",Table13[[#Headers],[Western]],"*")),1,0)</f>
        <v>0</v>
      </c>
    </row>
    <row r="892" spans="1:27">
      <c r="A892" t="s">
        <v>908</v>
      </c>
      <c r="B892">
        <v>207</v>
      </c>
      <c r="C892">
        <f>MAX(Table13[Rank])-Table13[[#This Row],[Rank]]</f>
        <v>57</v>
      </c>
      <c r="D892" t="s">
        <v>780</v>
      </c>
      <c r="E892" t="s">
        <v>909</v>
      </c>
      <c r="F892" s="1">
        <v>44736</v>
      </c>
      <c r="G892">
        <f>YEAR(Table13[[#This Row],[Date]])</f>
        <v>2022</v>
      </c>
      <c r="H892" t="s">
        <v>908</v>
      </c>
      <c r="I892">
        <f>IF(COUNTIF($E892, _xlfn.CONCAT("*",Table13[[#Headers],[Action]],"*")),1,0)</f>
        <v>0</v>
      </c>
      <c r="J892">
        <f>IF(COUNTIF($E892, _xlfn.CONCAT("*",Table13[[#Headers],[Adventure]],"*")),1,0)</f>
        <v>0</v>
      </c>
      <c r="K892">
        <f>IF(COUNTIF($E892, _xlfn.CONCAT("*",Table13[[#Headers],[Animation]],"*")),1,0)</f>
        <v>1</v>
      </c>
      <c r="L892">
        <f>IF(COUNTIF($E892, _xlfn.CONCAT("*",Table13[[#Headers],[Comedy]],"*")),1,0)</f>
        <v>1</v>
      </c>
      <c r="M892">
        <f>IF(COUNTIF($E892, _xlfn.CONCAT("*",Table13[[#Headers],[Crime]],"*")),1,0)</f>
        <v>0</v>
      </c>
      <c r="N892">
        <f>IF(COUNTIF($E892, _xlfn.CONCAT("*",Table13[[#Headers],[Documentary]],"*")),1,0)</f>
        <v>0</v>
      </c>
      <c r="O892">
        <f>IF(COUNTIF($E892, _xlfn.CONCAT("*",Table13[[#Headers],[Drama]],"*")),1,0)</f>
        <v>1</v>
      </c>
      <c r="P892">
        <f>IF(COUNTIF($E892, _xlfn.CONCAT("*",Table13[[#Headers],[Family]],"*")),1,0)</f>
        <v>1</v>
      </c>
      <c r="Q892">
        <f>IF(COUNTIF($E892, _xlfn.CONCAT("*",Table13[[#Headers],[Fantasy]],"*")),1,0)</f>
        <v>0</v>
      </c>
      <c r="R892">
        <f>IF(COUNTIF($E892, _xlfn.CONCAT("*",Table13[[#Headers],[History]],"*")),1,0)</f>
        <v>0</v>
      </c>
      <c r="S892">
        <f>IF(COUNTIF($E892, _xlfn.CONCAT("*",Table13[[#Headers],[Horror]],"*")),1,0)</f>
        <v>0</v>
      </c>
      <c r="T892">
        <f>IF(COUNTIF($E892, _xlfn.CONCAT("*",Table13[[#Headers],[Music]],"*")),1,0)</f>
        <v>0</v>
      </c>
      <c r="U892">
        <f>IF(COUNTIF($E892, _xlfn.CONCAT("*",Table13[[#Headers],[Mystery]],"*")),1,0)</f>
        <v>0</v>
      </c>
      <c r="V892">
        <f>IF(COUNTIF($E892, _xlfn.CONCAT("*",Table13[[#Headers],[Romance]],"*")),1,0)</f>
        <v>0</v>
      </c>
      <c r="W892">
        <f>IF(COUNTIF($E892, _xlfn.CONCAT("*",Table13[[#Headers],[Science Fiction]],"*")),1,0)</f>
        <v>0</v>
      </c>
      <c r="X892">
        <f>IF(COUNTIF($E892, _xlfn.CONCAT("*",Table13[[#Headers],[TV Movie]],"*")),1,0)</f>
        <v>0</v>
      </c>
      <c r="Y892">
        <f>IF(COUNTIF($E892, _xlfn.CONCAT("*",Table13[[#Headers],[Thriller]],"*")),1,0)</f>
        <v>0</v>
      </c>
      <c r="Z892">
        <f>IF(COUNTIF($E892, _xlfn.CONCAT("*",Table13[[#Headers],[War]],"*")),1,0)</f>
        <v>0</v>
      </c>
      <c r="AA892">
        <f>IF(COUNTIF($E892, _xlfn.CONCAT("*",Table13[[#Headers],[Western]],"*")),1,0)</f>
        <v>0</v>
      </c>
    </row>
    <row r="893" spans="1:27">
      <c r="A893" t="s">
        <v>486</v>
      </c>
      <c r="B893">
        <v>208</v>
      </c>
      <c r="C893">
        <f>MAX(Table13[Rank])-Table13[[#This Row],[Rank]]</f>
        <v>56</v>
      </c>
      <c r="D893" t="s">
        <v>780</v>
      </c>
      <c r="E893" t="s">
        <v>186</v>
      </c>
      <c r="F893" s="1">
        <v>36000</v>
      </c>
      <c r="G893">
        <f>YEAR(Table13[[#This Row],[Date]])</f>
        <v>1998</v>
      </c>
      <c r="H893" t="s">
        <v>486</v>
      </c>
      <c r="I893">
        <f>IF(COUNTIF($E893, _xlfn.CONCAT("*",Table13[[#Headers],[Action]],"*")),1,0)</f>
        <v>0</v>
      </c>
      <c r="J893">
        <f>IF(COUNTIF($E893, _xlfn.CONCAT("*",Table13[[#Headers],[Adventure]],"*")),1,0)</f>
        <v>0</v>
      </c>
      <c r="K893">
        <f>IF(COUNTIF($E893, _xlfn.CONCAT("*",Table13[[#Headers],[Animation]],"*")),1,0)</f>
        <v>0</v>
      </c>
      <c r="L893">
        <f>IF(COUNTIF($E893, _xlfn.CONCAT("*",Table13[[#Headers],[Comedy]],"*")),1,0)</f>
        <v>0</v>
      </c>
      <c r="M893">
        <f>IF(COUNTIF($E893, _xlfn.CONCAT("*",Table13[[#Headers],[Crime]],"*")),1,0)</f>
        <v>0</v>
      </c>
      <c r="N893">
        <f>IF(COUNTIF($E893, _xlfn.CONCAT("*",Table13[[#Headers],[Documentary]],"*")),1,0)</f>
        <v>0</v>
      </c>
      <c r="O893">
        <f>IF(COUNTIF($E893, _xlfn.CONCAT("*",Table13[[#Headers],[Drama]],"*")),1,0)</f>
        <v>1</v>
      </c>
      <c r="P893">
        <f>IF(COUNTIF($E893, _xlfn.CONCAT("*",Table13[[#Headers],[Family]],"*")),1,0)</f>
        <v>0</v>
      </c>
      <c r="Q893">
        <f>IF(COUNTIF($E893, _xlfn.CONCAT("*",Table13[[#Headers],[Fantasy]],"*")),1,0)</f>
        <v>0</v>
      </c>
      <c r="R893">
        <f>IF(COUNTIF($E893, _xlfn.CONCAT("*",Table13[[#Headers],[History]],"*")),1,0)</f>
        <v>1</v>
      </c>
      <c r="S893">
        <f>IF(COUNTIF($E893, _xlfn.CONCAT("*",Table13[[#Headers],[Horror]],"*")),1,0)</f>
        <v>0</v>
      </c>
      <c r="T893">
        <f>IF(COUNTIF($E893, _xlfn.CONCAT("*",Table13[[#Headers],[Music]],"*")),1,0)</f>
        <v>0</v>
      </c>
      <c r="U893">
        <f>IF(COUNTIF($E893, _xlfn.CONCAT("*",Table13[[#Headers],[Mystery]],"*")),1,0)</f>
        <v>0</v>
      </c>
      <c r="V893">
        <f>IF(COUNTIF($E893, _xlfn.CONCAT("*",Table13[[#Headers],[Romance]],"*")),1,0)</f>
        <v>0</v>
      </c>
      <c r="W893">
        <f>IF(COUNTIF($E893, _xlfn.CONCAT("*",Table13[[#Headers],[Science Fiction]],"*")),1,0)</f>
        <v>0</v>
      </c>
      <c r="X893">
        <f>IF(COUNTIF($E893, _xlfn.CONCAT("*",Table13[[#Headers],[TV Movie]],"*")),1,0)</f>
        <v>0</v>
      </c>
      <c r="Y893">
        <f>IF(COUNTIF($E893, _xlfn.CONCAT("*",Table13[[#Headers],[Thriller]],"*")),1,0)</f>
        <v>0</v>
      </c>
      <c r="Z893">
        <f>IF(COUNTIF($E893, _xlfn.CONCAT("*",Table13[[#Headers],[War]],"*")),1,0)</f>
        <v>1</v>
      </c>
      <c r="AA893">
        <f>IF(COUNTIF($E893, _xlfn.CONCAT("*",Table13[[#Headers],[Western]],"*")),1,0)</f>
        <v>0</v>
      </c>
    </row>
    <row r="894" spans="1:27">
      <c r="A894" t="s">
        <v>910</v>
      </c>
      <c r="B894">
        <v>209</v>
      </c>
      <c r="C894">
        <f>MAX(Table13[Rank])-Table13[[#This Row],[Rank]]</f>
        <v>55</v>
      </c>
      <c r="D894" t="s">
        <v>780</v>
      </c>
      <c r="E894" t="s">
        <v>21</v>
      </c>
      <c r="F894" s="1">
        <v>23053</v>
      </c>
      <c r="G894">
        <f>YEAR(Table13[[#This Row],[Date]])</f>
        <v>1963</v>
      </c>
      <c r="H894" t="s">
        <v>910</v>
      </c>
      <c r="I894">
        <f>IF(COUNTIF($E894, _xlfn.CONCAT("*",Table13[[#Headers],[Action]],"*")),1,0)</f>
        <v>0</v>
      </c>
      <c r="J894">
        <f>IF(COUNTIF($E894, _xlfn.CONCAT("*",Table13[[#Headers],[Adventure]],"*")),1,0)</f>
        <v>0</v>
      </c>
      <c r="K894">
        <f>IF(COUNTIF($E894, _xlfn.CONCAT("*",Table13[[#Headers],[Animation]],"*")),1,0)</f>
        <v>0</v>
      </c>
      <c r="L894">
        <f>IF(COUNTIF($E894, _xlfn.CONCAT("*",Table13[[#Headers],[Comedy]],"*")),1,0)</f>
        <v>0</v>
      </c>
      <c r="M894">
        <f>IF(COUNTIF($E894, _xlfn.CONCAT("*",Table13[[#Headers],[Crime]],"*")),1,0)</f>
        <v>0</v>
      </c>
      <c r="N894">
        <f>IF(COUNTIF($E894, _xlfn.CONCAT("*",Table13[[#Headers],[Documentary]],"*")),1,0)</f>
        <v>0</v>
      </c>
      <c r="O894">
        <f>IF(COUNTIF($E894, _xlfn.CONCAT("*",Table13[[#Headers],[Drama]],"*")),1,0)</f>
        <v>1</v>
      </c>
      <c r="P894">
        <f>IF(COUNTIF($E894, _xlfn.CONCAT("*",Table13[[#Headers],[Family]],"*")),1,0)</f>
        <v>0</v>
      </c>
      <c r="Q894">
        <f>IF(COUNTIF($E894, _xlfn.CONCAT("*",Table13[[#Headers],[Fantasy]],"*")),1,0)</f>
        <v>0</v>
      </c>
      <c r="R894">
        <f>IF(COUNTIF($E894, _xlfn.CONCAT("*",Table13[[#Headers],[History]],"*")),1,0)</f>
        <v>0</v>
      </c>
      <c r="S894">
        <f>IF(COUNTIF($E894, _xlfn.CONCAT("*",Table13[[#Headers],[Horror]],"*")),1,0)</f>
        <v>0</v>
      </c>
      <c r="T894">
        <f>IF(COUNTIF($E894, _xlfn.CONCAT("*",Table13[[#Headers],[Music]],"*")),1,0)</f>
        <v>0</v>
      </c>
      <c r="U894">
        <f>IF(COUNTIF($E894, _xlfn.CONCAT("*",Table13[[#Headers],[Mystery]],"*")),1,0)</f>
        <v>0</v>
      </c>
      <c r="V894">
        <f>IF(COUNTIF($E894, _xlfn.CONCAT("*",Table13[[#Headers],[Romance]],"*")),1,0)</f>
        <v>0</v>
      </c>
      <c r="W894">
        <f>IF(COUNTIF($E894, _xlfn.CONCAT("*",Table13[[#Headers],[Science Fiction]],"*")),1,0)</f>
        <v>0</v>
      </c>
      <c r="X894">
        <f>IF(COUNTIF($E894, _xlfn.CONCAT("*",Table13[[#Headers],[TV Movie]],"*")),1,0)</f>
        <v>0</v>
      </c>
      <c r="Y894">
        <f>IF(COUNTIF($E894, _xlfn.CONCAT("*",Table13[[#Headers],[Thriller]],"*")),1,0)</f>
        <v>0</v>
      </c>
      <c r="Z894">
        <f>IF(COUNTIF($E894, _xlfn.CONCAT("*",Table13[[#Headers],[War]],"*")),1,0)</f>
        <v>0</v>
      </c>
      <c r="AA894">
        <f>IF(COUNTIF($E894, _xlfn.CONCAT("*",Table13[[#Headers],[Western]],"*")),1,0)</f>
        <v>0</v>
      </c>
    </row>
    <row r="895" spans="1:27">
      <c r="A895" t="s">
        <v>911</v>
      </c>
      <c r="B895">
        <v>210</v>
      </c>
      <c r="C895">
        <f>MAX(Table13[Rank])-Table13[[#This Row],[Rank]]</f>
        <v>54</v>
      </c>
      <c r="D895" t="s">
        <v>780</v>
      </c>
      <c r="E895" t="s">
        <v>21</v>
      </c>
      <c r="F895" s="1">
        <v>32661</v>
      </c>
      <c r="G895">
        <f>YEAR(Table13[[#This Row],[Date]])</f>
        <v>1989</v>
      </c>
      <c r="H895" t="s">
        <v>911</v>
      </c>
      <c r="I895">
        <f>IF(COUNTIF($E895, _xlfn.CONCAT("*",Table13[[#Headers],[Action]],"*")),1,0)</f>
        <v>0</v>
      </c>
      <c r="J895">
        <f>IF(COUNTIF($E895, _xlfn.CONCAT("*",Table13[[#Headers],[Adventure]],"*")),1,0)</f>
        <v>0</v>
      </c>
      <c r="K895">
        <f>IF(COUNTIF($E895, _xlfn.CONCAT("*",Table13[[#Headers],[Animation]],"*")),1,0)</f>
        <v>0</v>
      </c>
      <c r="L895">
        <f>IF(COUNTIF($E895, _xlfn.CONCAT("*",Table13[[#Headers],[Comedy]],"*")),1,0)</f>
        <v>0</v>
      </c>
      <c r="M895">
        <f>IF(COUNTIF($E895, _xlfn.CONCAT("*",Table13[[#Headers],[Crime]],"*")),1,0)</f>
        <v>0</v>
      </c>
      <c r="N895">
        <f>IF(COUNTIF($E895, _xlfn.CONCAT("*",Table13[[#Headers],[Documentary]],"*")),1,0)</f>
        <v>0</v>
      </c>
      <c r="O895">
        <f>IF(COUNTIF($E895, _xlfn.CONCAT("*",Table13[[#Headers],[Drama]],"*")),1,0)</f>
        <v>1</v>
      </c>
      <c r="P895">
        <f>IF(COUNTIF($E895, _xlfn.CONCAT("*",Table13[[#Headers],[Family]],"*")),1,0)</f>
        <v>0</v>
      </c>
      <c r="Q895">
        <f>IF(COUNTIF($E895, _xlfn.CONCAT("*",Table13[[#Headers],[Fantasy]],"*")),1,0)</f>
        <v>0</v>
      </c>
      <c r="R895">
        <f>IF(COUNTIF($E895, _xlfn.CONCAT("*",Table13[[#Headers],[History]],"*")),1,0)</f>
        <v>0</v>
      </c>
      <c r="S895">
        <f>IF(COUNTIF($E895, _xlfn.CONCAT("*",Table13[[#Headers],[Horror]],"*")),1,0)</f>
        <v>0</v>
      </c>
      <c r="T895">
        <f>IF(COUNTIF($E895, _xlfn.CONCAT("*",Table13[[#Headers],[Music]],"*")),1,0)</f>
        <v>0</v>
      </c>
      <c r="U895">
        <f>IF(COUNTIF($E895, _xlfn.CONCAT("*",Table13[[#Headers],[Mystery]],"*")),1,0)</f>
        <v>0</v>
      </c>
      <c r="V895">
        <f>IF(COUNTIF($E895, _xlfn.CONCAT("*",Table13[[#Headers],[Romance]],"*")),1,0)</f>
        <v>0</v>
      </c>
      <c r="W895">
        <f>IF(COUNTIF($E895, _xlfn.CONCAT("*",Table13[[#Headers],[Science Fiction]],"*")),1,0)</f>
        <v>0</v>
      </c>
      <c r="X895">
        <f>IF(COUNTIF($E895, _xlfn.CONCAT("*",Table13[[#Headers],[TV Movie]],"*")),1,0)</f>
        <v>0</v>
      </c>
      <c r="Y895">
        <f>IF(COUNTIF($E895, _xlfn.CONCAT("*",Table13[[#Headers],[Thriller]],"*")),1,0)</f>
        <v>0</v>
      </c>
      <c r="Z895">
        <f>IF(COUNTIF($E895, _xlfn.CONCAT("*",Table13[[#Headers],[War]],"*")),1,0)</f>
        <v>0</v>
      </c>
      <c r="AA895">
        <f>IF(COUNTIF($E895, _xlfn.CONCAT("*",Table13[[#Headers],[Western]],"*")),1,0)</f>
        <v>0</v>
      </c>
    </row>
    <row r="896" spans="1:27">
      <c r="A896" t="s">
        <v>912</v>
      </c>
      <c r="B896">
        <v>211</v>
      </c>
      <c r="C896">
        <f>MAX(Table13[Rank])-Table13[[#This Row],[Rank]]</f>
        <v>53</v>
      </c>
      <c r="D896" t="s">
        <v>780</v>
      </c>
      <c r="E896" t="s">
        <v>29</v>
      </c>
      <c r="F896" s="1">
        <v>40544</v>
      </c>
      <c r="G896">
        <f>YEAR(Table13[[#This Row],[Date]])</f>
        <v>2011</v>
      </c>
      <c r="H896" t="s">
        <v>912</v>
      </c>
      <c r="I896">
        <f>IF(COUNTIF($E896, _xlfn.CONCAT("*",Table13[[#Headers],[Action]],"*")),1,0)</f>
        <v>0</v>
      </c>
      <c r="J896">
        <f>IF(COUNTIF($E896, _xlfn.CONCAT("*",Table13[[#Headers],[Adventure]],"*")),1,0)</f>
        <v>0</v>
      </c>
      <c r="K896">
        <f>IF(COUNTIF($E896, _xlfn.CONCAT("*",Table13[[#Headers],[Animation]],"*")),1,0)</f>
        <v>0</v>
      </c>
      <c r="L896">
        <f>IF(COUNTIF($E896, _xlfn.CONCAT("*",Table13[[#Headers],[Comedy]],"*")),1,0)</f>
        <v>0</v>
      </c>
      <c r="M896">
        <f>IF(COUNTIF($E896, _xlfn.CONCAT("*",Table13[[#Headers],[Crime]],"*")),1,0)</f>
        <v>0</v>
      </c>
      <c r="N896">
        <f>IF(COUNTIF($E896, _xlfn.CONCAT("*",Table13[[#Headers],[Documentary]],"*")),1,0)</f>
        <v>0</v>
      </c>
      <c r="O896">
        <f>IF(COUNTIF($E896, _xlfn.CONCAT("*",Table13[[#Headers],[Drama]],"*")),1,0)</f>
        <v>0</v>
      </c>
      <c r="P896">
        <f>IF(COUNTIF($E896, _xlfn.CONCAT("*",Table13[[#Headers],[Family]],"*")),1,0)</f>
        <v>0</v>
      </c>
      <c r="Q896">
        <f>IF(COUNTIF($E896, _xlfn.CONCAT("*",Table13[[#Headers],[Fantasy]],"*")),1,0)</f>
        <v>0</v>
      </c>
      <c r="R896">
        <f>IF(COUNTIF($E896, _xlfn.CONCAT("*",Table13[[#Headers],[History]],"*")),1,0)</f>
        <v>0</v>
      </c>
      <c r="S896">
        <f>IF(COUNTIF($E896, _xlfn.CONCAT("*",Table13[[#Headers],[Horror]],"*")),1,0)</f>
        <v>1</v>
      </c>
      <c r="T896">
        <f>IF(COUNTIF($E896, _xlfn.CONCAT("*",Table13[[#Headers],[Music]],"*")),1,0)</f>
        <v>0</v>
      </c>
      <c r="U896">
        <f>IF(COUNTIF($E896, _xlfn.CONCAT("*",Table13[[#Headers],[Mystery]],"*")),1,0)</f>
        <v>0</v>
      </c>
      <c r="V896">
        <f>IF(COUNTIF($E896, _xlfn.CONCAT("*",Table13[[#Headers],[Romance]],"*")),1,0)</f>
        <v>0</v>
      </c>
      <c r="W896">
        <f>IF(COUNTIF($E896, _xlfn.CONCAT("*",Table13[[#Headers],[Science Fiction]],"*")),1,0)</f>
        <v>0</v>
      </c>
      <c r="X896">
        <f>IF(COUNTIF($E896, _xlfn.CONCAT("*",Table13[[#Headers],[TV Movie]],"*")),1,0)</f>
        <v>0</v>
      </c>
      <c r="Y896">
        <f>IF(COUNTIF($E896, _xlfn.CONCAT("*",Table13[[#Headers],[Thriller]],"*")),1,0)</f>
        <v>0</v>
      </c>
      <c r="Z896">
        <f>IF(COUNTIF($E896, _xlfn.CONCAT("*",Table13[[#Headers],[War]],"*")),1,0)</f>
        <v>0</v>
      </c>
      <c r="AA896">
        <f>IF(COUNTIF($E896, _xlfn.CONCAT("*",Table13[[#Headers],[Western]],"*")),1,0)</f>
        <v>0</v>
      </c>
    </row>
    <row r="897" spans="1:27">
      <c r="A897" t="s">
        <v>913</v>
      </c>
      <c r="B897">
        <v>212</v>
      </c>
      <c r="C897">
        <f>MAX(Table13[Rank])-Table13[[#This Row],[Rank]]</f>
        <v>52</v>
      </c>
      <c r="D897" t="s">
        <v>780</v>
      </c>
      <c r="E897" t="s">
        <v>914</v>
      </c>
      <c r="F897" s="1">
        <v>41601</v>
      </c>
      <c r="G897">
        <f>YEAR(Table13[[#This Row],[Date]])</f>
        <v>2013</v>
      </c>
      <c r="H897" t="s">
        <v>1302</v>
      </c>
      <c r="I897">
        <f>IF(COUNTIF($E897, _xlfn.CONCAT("*",Table13[[#Headers],[Action]],"*")),1,0)</f>
        <v>0</v>
      </c>
      <c r="J897">
        <f>IF(COUNTIF($E897, _xlfn.CONCAT("*",Table13[[#Headers],[Adventure]],"*")),1,0)</f>
        <v>0</v>
      </c>
      <c r="K897">
        <f>IF(COUNTIF($E897, _xlfn.CONCAT("*",Table13[[#Headers],[Animation]],"*")),1,0)</f>
        <v>1</v>
      </c>
      <c r="L897">
        <f>IF(COUNTIF($E897, _xlfn.CONCAT("*",Table13[[#Headers],[Comedy]],"*")),1,0)</f>
        <v>0</v>
      </c>
      <c r="M897">
        <f>IF(COUNTIF($E897, _xlfn.CONCAT("*",Table13[[#Headers],[Crime]],"*")),1,0)</f>
        <v>0</v>
      </c>
      <c r="N897">
        <f>IF(COUNTIF($E897, _xlfn.CONCAT("*",Table13[[#Headers],[Documentary]],"*")),1,0)</f>
        <v>0</v>
      </c>
      <c r="O897">
        <f>IF(COUNTIF($E897, _xlfn.CONCAT("*",Table13[[#Headers],[Drama]],"*")),1,0)</f>
        <v>1</v>
      </c>
      <c r="P897">
        <f>IF(COUNTIF($E897, _xlfn.CONCAT("*",Table13[[#Headers],[Family]],"*")),1,0)</f>
        <v>0</v>
      </c>
      <c r="Q897">
        <f>IF(COUNTIF($E897, _xlfn.CONCAT("*",Table13[[#Headers],[Fantasy]],"*")),1,0)</f>
        <v>1</v>
      </c>
      <c r="R897">
        <f>IF(COUNTIF($E897, _xlfn.CONCAT("*",Table13[[#Headers],[History]],"*")),1,0)</f>
        <v>0</v>
      </c>
      <c r="S897">
        <f>IF(COUNTIF($E897, _xlfn.CONCAT("*",Table13[[#Headers],[Horror]],"*")),1,0)</f>
        <v>0</v>
      </c>
      <c r="T897">
        <f>IF(COUNTIF($E897, _xlfn.CONCAT("*",Table13[[#Headers],[Music]],"*")),1,0)</f>
        <v>0</v>
      </c>
      <c r="U897">
        <f>IF(COUNTIF($E897, _xlfn.CONCAT("*",Table13[[#Headers],[Mystery]],"*")),1,0)</f>
        <v>0</v>
      </c>
      <c r="V897">
        <f>IF(COUNTIF($E897, _xlfn.CONCAT("*",Table13[[#Headers],[Romance]],"*")),1,0)</f>
        <v>0</v>
      </c>
      <c r="W897">
        <f>IF(COUNTIF($E897, _xlfn.CONCAT("*",Table13[[#Headers],[Science Fiction]],"*")),1,0)</f>
        <v>0</v>
      </c>
      <c r="X897">
        <f>IF(COUNTIF($E897, _xlfn.CONCAT("*",Table13[[#Headers],[TV Movie]],"*")),1,0)</f>
        <v>0</v>
      </c>
      <c r="Y897">
        <f>IF(COUNTIF($E897, _xlfn.CONCAT("*",Table13[[#Headers],[Thriller]],"*")),1,0)</f>
        <v>0</v>
      </c>
      <c r="Z897">
        <f>IF(COUNTIF($E897, _xlfn.CONCAT("*",Table13[[#Headers],[War]],"*")),1,0)</f>
        <v>0</v>
      </c>
      <c r="AA897">
        <f>IF(COUNTIF($E897, _xlfn.CONCAT("*",Table13[[#Headers],[Western]],"*")),1,0)</f>
        <v>0</v>
      </c>
    </row>
    <row r="898" spans="1:27">
      <c r="A898" t="s">
        <v>915</v>
      </c>
      <c r="B898">
        <v>213</v>
      </c>
      <c r="C898">
        <f>MAX(Table13[Rank])-Table13[[#This Row],[Rank]]</f>
        <v>51</v>
      </c>
      <c r="D898" t="s">
        <v>780</v>
      </c>
      <c r="E898" t="s">
        <v>129</v>
      </c>
      <c r="G898">
        <f>YEAR(Table13[[#This Row],[Date]])</f>
        <v>1900</v>
      </c>
      <c r="H898" t="s">
        <v>915</v>
      </c>
      <c r="I898">
        <f>IF(COUNTIF($E898, _xlfn.CONCAT("*",Table13[[#Headers],[Action]],"*")),1,0)</f>
        <v>0</v>
      </c>
      <c r="J898">
        <f>IF(COUNTIF($E898, _xlfn.CONCAT("*",Table13[[#Headers],[Adventure]],"*")),1,0)</f>
        <v>0</v>
      </c>
      <c r="K898">
        <f>IF(COUNTIF($E898, _xlfn.CONCAT("*",Table13[[#Headers],[Animation]],"*")),1,0)</f>
        <v>0</v>
      </c>
      <c r="L898">
        <f>IF(COUNTIF($E898, _xlfn.CONCAT("*",Table13[[#Headers],[Comedy]],"*")),1,0)</f>
        <v>0</v>
      </c>
      <c r="M898">
        <f>IF(COUNTIF($E898, _xlfn.CONCAT("*",Table13[[#Headers],[Crime]],"*")),1,0)</f>
        <v>0</v>
      </c>
      <c r="N898">
        <f>IF(COUNTIF($E898, _xlfn.CONCAT("*",Table13[[#Headers],[Documentary]],"*")),1,0)</f>
        <v>0</v>
      </c>
      <c r="O898">
        <f>IF(COUNTIF($E898, _xlfn.CONCAT("*",Table13[[#Headers],[Drama]],"*")),1,0)</f>
        <v>0</v>
      </c>
      <c r="P898">
        <f>IF(COUNTIF($E898, _xlfn.CONCAT("*",Table13[[#Headers],[Family]],"*")),1,0)</f>
        <v>0</v>
      </c>
      <c r="Q898">
        <f>IF(COUNTIF($E898, _xlfn.CONCAT("*",Table13[[#Headers],[Fantasy]],"*")),1,0)</f>
        <v>0</v>
      </c>
      <c r="R898">
        <f>IF(COUNTIF($E898, _xlfn.CONCAT("*",Table13[[#Headers],[History]],"*")),1,0)</f>
        <v>0</v>
      </c>
      <c r="S898">
        <f>IF(COUNTIF($E898, _xlfn.CONCAT("*",Table13[[#Headers],[Horror]],"*")),1,0)</f>
        <v>0</v>
      </c>
      <c r="T898">
        <f>IF(COUNTIF($E898, _xlfn.CONCAT("*",Table13[[#Headers],[Music]],"*")),1,0)</f>
        <v>0</v>
      </c>
      <c r="U898">
        <f>IF(COUNTIF($E898, _xlfn.CONCAT("*",Table13[[#Headers],[Mystery]],"*")),1,0)</f>
        <v>0</v>
      </c>
      <c r="V898">
        <f>IF(COUNTIF($E898, _xlfn.CONCAT("*",Table13[[#Headers],[Romance]],"*")),1,0)</f>
        <v>0</v>
      </c>
      <c r="W898">
        <f>IF(COUNTIF($E898, _xlfn.CONCAT("*",Table13[[#Headers],[Science Fiction]],"*")),1,0)</f>
        <v>0</v>
      </c>
      <c r="X898">
        <f>IF(COUNTIF($E898, _xlfn.CONCAT("*",Table13[[#Headers],[TV Movie]],"*")),1,0)</f>
        <v>0</v>
      </c>
      <c r="Y898">
        <f>IF(COUNTIF($E898, _xlfn.CONCAT("*",Table13[[#Headers],[Thriller]],"*")),1,0)</f>
        <v>0</v>
      </c>
      <c r="Z898">
        <f>IF(COUNTIF($E898, _xlfn.CONCAT("*",Table13[[#Headers],[War]],"*")),1,0)</f>
        <v>0</v>
      </c>
      <c r="AA898">
        <f>IF(COUNTIF($E898, _xlfn.CONCAT("*",Table13[[#Headers],[Western]],"*")),1,0)</f>
        <v>0</v>
      </c>
    </row>
    <row r="899" spans="1:27">
      <c r="A899" t="s">
        <v>916</v>
      </c>
      <c r="B899">
        <v>214</v>
      </c>
      <c r="C899">
        <f>MAX(Table13[Rank])-Table13[[#This Row],[Rank]]</f>
        <v>50</v>
      </c>
      <c r="D899" t="s">
        <v>780</v>
      </c>
      <c r="E899" t="s">
        <v>21</v>
      </c>
      <c r="F899" s="1">
        <v>33898</v>
      </c>
      <c r="G899">
        <f>YEAR(Table13[[#This Row],[Date]])</f>
        <v>1992</v>
      </c>
      <c r="H899" t="s">
        <v>1303</v>
      </c>
      <c r="I899">
        <f>IF(COUNTIF($E899, _xlfn.CONCAT("*",Table13[[#Headers],[Action]],"*")),1,0)</f>
        <v>0</v>
      </c>
      <c r="J899">
        <f>IF(COUNTIF($E899, _xlfn.CONCAT("*",Table13[[#Headers],[Adventure]],"*")),1,0)</f>
        <v>0</v>
      </c>
      <c r="K899">
        <f>IF(COUNTIF($E899, _xlfn.CONCAT("*",Table13[[#Headers],[Animation]],"*")),1,0)</f>
        <v>0</v>
      </c>
      <c r="L899">
        <f>IF(COUNTIF($E899, _xlfn.CONCAT("*",Table13[[#Headers],[Comedy]],"*")),1,0)</f>
        <v>0</v>
      </c>
      <c r="M899">
        <f>IF(COUNTIF($E899, _xlfn.CONCAT("*",Table13[[#Headers],[Crime]],"*")),1,0)</f>
        <v>0</v>
      </c>
      <c r="N899">
        <f>IF(COUNTIF($E899, _xlfn.CONCAT("*",Table13[[#Headers],[Documentary]],"*")),1,0)</f>
        <v>0</v>
      </c>
      <c r="O899">
        <f>IF(COUNTIF($E899, _xlfn.CONCAT("*",Table13[[#Headers],[Drama]],"*")),1,0)</f>
        <v>1</v>
      </c>
      <c r="P899">
        <f>IF(COUNTIF($E899, _xlfn.CONCAT("*",Table13[[#Headers],[Family]],"*")),1,0)</f>
        <v>0</v>
      </c>
      <c r="Q899">
        <f>IF(COUNTIF($E899, _xlfn.CONCAT("*",Table13[[#Headers],[Fantasy]],"*")),1,0)</f>
        <v>0</v>
      </c>
      <c r="R899">
        <f>IF(COUNTIF($E899, _xlfn.CONCAT("*",Table13[[#Headers],[History]],"*")),1,0)</f>
        <v>0</v>
      </c>
      <c r="S899">
        <f>IF(COUNTIF($E899, _xlfn.CONCAT("*",Table13[[#Headers],[Horror]],"*")),1,0)</f>
        <v>0</v>
      </c>
      <c r="T899">
        <f>IF(COUNTIF($E899, _xlfn.CONCAT("*",Table13[[#Headers],[Music]],"*")),1,0)</f>
        <v>0</v>
      </c>
      <c r="U899">
        <f>IF(COUNTIF($E899, _xlfn.CONCAT("*",Table13[[#Headers],[Mystery]],"*")),1,0)</f>
        <v>0</v>
      </c>
      <c r="V899">
        <f>IF(COUNTIF($E899, _xlfn.CONCAT("*",Table13[[#Headers],[Romance]],"*")),1,0)</f>
        <v>0</v>
      </c>
      <c r="W899">
        <f>IF(COUNTIF($E899, _xlfn.CONCAT("*",Table13[[#Headers],[Science Fiction]],"*")),1,0)</f>
        <v>0</v>
      </c>
      <c r="X899">
        <f>IF(COUNTIF($E899, _xlfn.CONCAT("*",Table13[[#Headers],[TV Movie]],"*")),1,0)</f>
        <v>0</v>
      </c>
      <c r="Y899">
        <f>IF(COUNTIF($E899, _xlfn.CONCAT("*",Table13[[#Headers],[Thriller]],"*")),1,0)</f>
        <v>0</v>
      </c>
      <c r="Z899">
        <f>IF(COUNTIF($E899, _xlfn.CONCAT("*",Table13[[#Headers],[War]],"*")),1,0)</f>
        <v>0</v>
      </c>
      <c r="AA899">
        <f>IF(COUNTIF($E899, _xlfn.CONCAT("*",Table13[[#Headers],[Western]],"*")),1,0)</f>
        <v>0</v>
      </c>
    </row>
    <row r="900" spans="1:27">
      <c r="A900" t="s">
        <v>249</v>
      </c>
      <c r="B900">
        <v>215</v>
      </c>
      <c r="C900">
        <f>MAX(Table13[Rank])-Table13[[#This Row],[Rank]]</f>
        <v>49</v>
      </c>
      <c r="D900" t="s">
        <v>780</v>
      </c>
      <c r="E900" t="s">
        <v>141</v>
      </c>
      <c r="F900" s="1">
        <v>22749</v>
      </c>
      <c r="G900">
        <f>YEAR(Table13[[#This Row],[Date]])</f>
        <v>1962</v>
      </c>
      <c r="H900" t="s">
        <v>249</v>
      </c>
      <c r="I900">
        <f>IF(COUNTIF($E900, _xlfn.CONCAT("*",Table13[[#Headers],[Action]],"*")),1,0)</f>
        <v>0</v>
      </c>
      <c r="J900">
        <f>IF(COUNTIF($E900, _xlfn.CONCAT("*",Table13[[#Headers],[Adventure]],"*")),1,0)</f>
        <v>0</v>
      </c>
      <c r="K900">
        <f>IF(COUNTIF($E900, _xlfn.CONCAT("*",Table13[[#Headers],[Animation]],"*")),1,0)</f>
        <v>0</v>
      </c>
      <c r="L900">
        <f>IF(COUNTIF($E900, _xlfn.CONCAT("*",Table13[[#Headers],[Comedy]],"*")),1,0)</f>
        <v>0</v>
      </c>
      <c r="M900">
        <f>IF(COUNTIF($E900, _xlfn.CONCAT("*",Table13[[#Headers],[Crime]],"*")),1,0)</f>
        <v>0</v>
      </c>
      <c r="N900">
        <f>IF(COUNTIF($E900, _xlfn.CONCAT("*",Table13[[#Headers],[Documentary]],"*")),1,0)</f>
        <v>0</v>
      </c>
      <c r="O900">
        <f>IF(COUNTIF($E900, _xlfn.CONCAT("*",Table13[[#Headers],[Drama]],"*")),1,0)</f>
        <v>0</v>
      </c>
      <c r="P900">
        <f>IF(COUNTIF($E900, _xlfn.CONCAT("*",Table13[[#Headers],[Family]],"*")),1,0)</f>
        <v>0</v>
      </c>
      <c r="Q900">
        <f>IF(COUNTIF($E900, _xlfn.CONCAT("*",Table13[[#Headers],[Fantasy]],"*")),1,0)</f>
        <v>0</v>
      </c>
      <c r="R900">
        <f>IF(COUNTIF($E900, _xlfn.CONCAT("*",Table13[[#Headers],[History]],"*")),1,0)</f>
        <v>0</v>
      </c>
      <c r="S900">
        <f>IF(COUNTIF($E900, _xlfn.CONCAT("*",Table13[[#Headers],[Horror]],"*")),1,0)</f>
        <v>0</v>
      </c>
      <c r="T900">
        <f>IF(COUNTIF($E900, _xlfn.CONCAT("*",Table13[[#Headers],[Music]],"*")),1,0)</f>
        <v>0</v>
      </c>
      <c r="U900">
        <f>IF(COUNTIF($E900, _xlfn.CONCAT("*",Table13[[#Headers],[Mystery]],"*")),1,0)</f>
        <v>0</v>
      </c>
      <c r="V900">
        <f>IF(COUNTIF($E900, _xlfn.CONCAT("*",Table13[[#Headers],[Romance]],"*")),1,0)</f>
        <v>0</v>
      </c>
      <c r="W900">
        <f>IF(COUNTIF($E900, _xlfn.CONCAT("*",Table13[[#Headers],[Science Fiction]],"*")),1,0)</f>
        <v>0</v>
      </c>
      <c r="X900">
        <f>IF(COUNTIF($E900, _xlfn.CONCAT("*",Table13[[#Headers],[TV Movie]],"*")),1,0)</f>
        <v>0</v>
      </c>
      <c r="Y900">
        <f>IF(COUNTIF($E900, _xlfn.CONCAT("*",Table13[[#Headers],[Thriller]],"*")),1,0)</f>
        <v>0</v>
      </c>
      <c r="Z900">
        <f>IF(COUNTIF($E900, _xlfn.CONCAT("*",Table13[[#Headers],[War]],"*")),1,0)</f>
        <v>0</v>
      </c>
      <c r="AA900">
        <f>IF(COUNTIF($E900, _xlfn.CONCAT("*",Table13[[#Headers],[Western]],"*")),1,0)</f>
        <v>1</v>
      </c>
    </row>
    <row r="901" spans="1:27">
      <c r="A901" t="s">
        <v>917</v>
      </c>
      <c r="B901">
        <v>216</v>
      </c>
      <c r="C901">
        <f>MAX(Table13[Rank])-Table13[[#This Row],[Rank]]</f>
        <v>48</v>
      </c>
      <c r="D901" t="s">
        <v>780</v>
      </c>
      <c r="E901" t="s">
        <v>21</v>
      </c>
      <c r="F901" s="1">
        <v>19013</v>
      </c>
      <c r="G901">
        <f>YEAR(Table13[[#This Row],[Date]])</f>
        <v>1952</v>
      </c>
      <c r="H901" t="s">
        <v>917</v>
      </c>
      <c r="I901">
        <f>IF(COUNTIF($E901, _xlfn.CONCAT("*",Table13[[#Headers],[Action]],"*")),1,0)</f>
        <v>0</v>
      </c>
      <c r="J901">
        <f>IF(COUNTIF($E901, _xlfn.CONCAT("*",Table13[[#Headers],[Adventure]],"*")),1,0)</f>
        <v>0</v>
      </c>
      <c r="K901">
        <f>IF(COUNTIF($E901, _xlfn.CONCAT("*",Table13[[#Headers],[Animation]],"*")),1,0)</f>
        <v>0</v>
      </c>
      <c r="L901">
        <f>IF(COUNTIF($E901, _xlfn.CONCAT("*",Table13[[#Headers],[Comedy]],"*")),1,0)</f>
        <v>0</v>
      </c>
      <c r="M901">
        <f>IF(COUNTIF($E901, _xlfn.CONCAT("*",Table13[[#Headers],[Crime]],"*")),1,0)</f>
        <v>0</v>
      </c>
      <c r="N901">
        <f>IF(COUNTIF($E901, _xlfn.CONCAT("*",Table13[[#Headers],[Documentary]],"*")),1,0)</f>
        <v>0</v>
      </c>
      <c r="O901">
        <f>IF(COUNTIF($E901, _xlfn.CONCAT("*",Table13[[#Headers],[Drama]],"*")),1,0)</f>
        <v>1</v>
      </c>
      <c r="P901">
        <f>IF(COUNTIF($E901, _xlfn.CONCAT("*",Table13[[#Headers],[Family]],"*")),1,0)</f>
        <v>0</v>
      </c>
      <c r="Q901">
        <f>IF(COUNTIF($E901, _xlfn.CONCAT("*",Table13[[#Headers],[Fantasy]],"*")),1,0)</f>
        <v>0</v>
      </c>
      <c r="R901">
        <f>IF(COUNTIF($E901, _xlfn.CONCAT("*",Table13[[#Headers],[History]],"*")),1,0)</f>
        <v>0</v>
      </c>
      <c r="S901">
        <f>IF(COUNTIF($E901, _xlfn.CONCAT("*",Table13[[#Headers],[Horror]],"*")),1,0)</f>
        <v>0</v>
      </c>
      <c r="T901">
        <f>IF(COUNTIF($E901, _xlfn.CONCAT("*",Table13[[#Headers],[Music]],"*")),1,0)</f>
        <v>0</v>
      </c>
      <c r="U901">
        <f>IF(COUNTIF($E901, _xlfn.CONCAT("*",Table13[[#Headers],[Mystery]],"*")),1,0)</f>
        <v>0</v>
      </c>
      <c r="V901">
        <f>IF(COUNTIF($E901, _xlfn.CONCAT("*",Table13[[#Headers],[Romance]],"*")),1,0)</f>
        <v>0</v>
      </c>
      <c r="W901">
        <f>IF(COUNTIF($E901, _xlfn.CONCAT("*",Table13[[#Headers],[Science Fiction]],"*")),1,0)</f>
        <v>0</v>
      </c>
      <c r="X901">
        <f>IF(COUNTIF($E901, _xlfn.CONCAT("*",Table13[[#Headers],[TV Movie]],"*")),1,0)</f>
        <v>0</v>
      </c>
      <c r="Y901">
        <f>IF(COUNTIF($E901, _xlfn.CONCAT("*",Table13[[#Headers],[Thriller]],"*")),1,0)</f>
        <v>0</v>
      </c>
      <c r="Z901">
        <f>IF(COUNTIF($E901, _xlfn.CONCAT("*",Table13[[#Headers],[War]],"*")),1,0)</f>
        <v>0</v>
      </c>
      <c r="AA901">
        <f>IF(COUNTIF($E901, _xlfn.CONCAT("*",Table13[[#Headers],[Western]],"*")),1,0)</f>
        <v>0</v>
      </c>
    </row>
    <row r="902" spans="1:27">
      <c r="A902" t="s">
        <v>395</v>
      </c>
      <c r="B902">
        <v>217</v>
      </c>
      <c r="C902">
        <f>MAX(Table13[Rank])-Table13[[#This Row],[Rank]]</f>
        <v>47</v>
      </c>
      <c r="D902" t="s">
        <v>780</v>
      </c>
      <c r="E902" t="s">
        <v>152</v>
      </c>
      <c r="F902" s="1">
        <v>15083</v>
      </c>
      <c r="G902">
        <f>YEAR(Table13[[#This Row],[Date]])</f>
        <v>1941</v>
      </c>
      <c r="H902" t="s">
        <v>395</v>
      </c>
      <c r="I902">
        <f>IF(COUNTIF($E902, _xlfn.CONCAT("*",Table13[[#Headers],[Action]],"*")),1,0)</f>
        <v>0</v>
      </c>
      <c r="J902">
        <f>IF(COUNTIF($E902, _xlfn.CONCAT("*",Table13[[#Headers],[Adventure]],"*")),1,0)</f>
        <v>0</v>
      </c>
      <c r="K902">
        <f>IF(COUNTIF($E902, _xlfn.CONCAT("*",Table13[[#Headers],[Animation]],"*")),1,0)</f>
        <v>0</v>
      </c>
      <c r="L902">
        <f>IF(COUNTIF($E902, _xlfn.CONCAT("*",Table13[[#Headers],[Comedy]],"*")),1,0)</f>
        <v>0</v>
      </c>
      <c r="M902">
        <f>IF(COUNTIF($E902, _xlfn.CONCAT("*",Table13[[#Headers],[Crime]],"*")),1,0)</f>
        <v>0</v>
      </c>
      <c r="N902">
        <f>IF(COUNTIF($E902, _xlfn.CONCAT("*",Table13[[#Headers],[Documentary]],"*")),1,0)</f>
        <v>0</v>
      </c>
      <c r="O902">
        <f>IF(COUNTIF($E902, _xlfn.CONCAT("*",Table13[[#Headers],[Drama]],"*")),1,0)</f>
        <v>1</v>
      </c>
      <c r="P902">
        <f>IF(COUNTIF($E902, _xlfn.CONCAT("*",Table13[[#Headers],[Family]],"*")),1,0)</f>
        <v>0</v>
      </c>
      <c r="Q902">
        <f>IF(COUNTIF($E902, _xlfn.CONCAT("*",Table13[[#Headers],[Fantasy]],"*")),1,0)</f>
        <v>0</v>
      </c>
      <c r="R902">
        <f>IF(COUNTIF($E902, _xlfn.CONCAT("*",Table13[[#Headers],[History]],"*")),1,0)</f>
        <v>0</v>
      </c>
      <c r="S902">
        <f>IF(COUNTIF($E902, _xlfn.CONCAT("*",Table13[[#Headers],[Horror]],"*")),1,0)</f>
        <v>0</v>
      </c>
      <c r="T902">
        <f>IF(COUNTIF($E902, _xlfn.CONCAT("*",Table13[[#Headers],[Music]],"*")),1,0)</f>
        <v>0</v>
      </c>
      <c r="U902">
        <f>IF(COUNTIF($E902, _xlfn.CONCAT("*",Table13[[#Headers],[Mystery]],"*")),1,0)</f>
        <v>1</v>
      </c>
      <c r="V902">
        <f>IF(COUNTIF($E902, _xlfn.CONCAT("*",Table13[[#Headers],[Romance]],"*")),1,0)</f>
        <v>0</v>
      </c>
      <c r="W902">
        <f>IF(COUNTIF($E902, _xlfn.CONCAT("*",Table13[[#Headers],[Science Fiction]],"*")),1,0)</f>
        <v>0</v>
      </c>
      <c r="X902">
        <f>IF(COUNTIF($E902, _xlfn.CONCAT("*",Table13[[#Headers],[TV Movie]],"*")),1,0)</f>
        <v>0</v>
      </c>
      <c r="Y902">
        <f>IF(COUNTIF($E902, _xlfn.CONCAT("*",Table13[[#Headers],[Thriller]],"*")),1,0)</f>
        <v>0</v>
      </c>
      <c r="Z902">
        <f>IF(COUNTIF($E902, _xlfn.CONCAT("*",Table13[[#Headers],[War]],"*")),1,0)</f>
        <v>0</v>
      </c>
      <c r="AA902">
        <f>IF(COUNTIF($E902, _xlfn.CONCAT("*",Table13[[#Headers],[Western]],"*")),1,0)</f>
        <v>0</v>
      </c>
    </row>
    <row r="903" spans="1:27">
      <c r="A903" t="s">
        <v>133</v>
      </c>
      <c r="B903">
        <v>218</v>
      </c>
      <c r="C903">
        <f>MAX(Table13[Rank])-Table13[[#This Row],[Rank]]</f>
        <v>46</v>
      </c>
      <c r="D903" t="s">
        <v>780</v>
      </c>
      <c r="E903" t="s">
        <v>21</v>
      </c>
      <c r="F903" s="1">
        <v>36504</v>
      </c>
      <c r="G903">
        <f>YEAR(Table13[[#This Row],[Date]])</f>
        <v>1999</v>
      </c>
      <c r="H903" t="s">
        <v>133</v>
      </c>
      <c r="I903">
        <f>IF(COUNTIF($E903, _xlfn.CONCAT("*",Table13[[#Headers],[Action]],"*")),1,0)</f>
        <v>0</v>
      </c>
      <c r="J903">
        <f>IF(COUNTIF($E903, _xlfn.CONCAT("*",Table13[[#Headers],[Adventure]],"*")),1,0)</f>
        <v>0</v>
      </c>
      <c r="K903">
        <f>IF(COUNTIF($E903, _xlfn.CONCAT("*",Table13[[#Headers],[Animation]],"*")),1,0)</f>
        <v>0</v>
      </c>
      <c r="L903">
        <f>IF(COUNTIF($E903, _xlfn.CONCAT("*",Table13[[#Headers],[Comedy]],"*")),1,0)</f>
        <v>0</v>
      </c>
      <c r="M903">
        <f>IF(COUNTIF($E903, _xlfn.CONCAT("*",Table13[[#Headers],[Crime]],"*")),1,0)</f>
        <v>0</v>
      </c>
      <c r="N903">
        <f>IF(COUNTIF($E903, _xlfn.CONCAT("*",Table13[[#Headers],[Documentary]],"*")),1,0)</f>
        <v>0</v>
      </c>
      <c r="O903">
        <f>IF(COUNTIF($E903, _xlfn.CONCAT("*",Table13[[#Headers],[Drama]],"*")),1,0)</f>
        <v>1</v>
      </c>
      <c r="P903">
        <f>IF(COUNTIF($E903, _xlfn.CONCAT("*",Table13[[#Headers],[Family]],"*")),1,0)</f>
        <v>0</v>
      </c>
      <c r="Q903">
        <f>IF(COUNTIF($E903, _xlfn.CONCAT("*",Table13[[#Headers],[Fantasy]],"*")),1,0)</f>
        <v>0</v>
      </c>
      <c r="R903">
        <f>IF(COUNTIF($E903, _xlfn.CONCAT("*",Table13[[#Headers],[History]],"*")),1,0)</f>
        <v>0</v>
      </c>
      <c r="S903">
        <f>IF(COUNTIF($E903, _xlfn.CONCAT("*",Table13[[#Headers],[Horror]],"*")),1,0)</f>
        <v>0</v>
      </c>
      <c r="T903">
        <f>IF(COUNTIF($E903, _xlfn.CONCAT("*",Table13[[#Headers],[Music]],"*")),1,0)</f>
        <v>0</v>
      </c>
      <c r="U903">
        <f>IF(COUNTIF($E903, _xlfn.CONCAT("*",Table13[[#Headers],[Mystery]],"*")),1,0)</f>
        <v>0</v>
      </c>
      <c r="V903">
        <f>IF(COUNTIF($E903, _xlfn.CONCAT("*",Table13[[#Headers],[Romance]],"*")),1,0)</f>
        <v>0</v>
      </c>
      <c r="W903">
        <f>IF(COUNTIF($E903, _xlfn.CONCAT("*",Table13[[#Headers],[Science Fiction]],"*")),1,0)</f>
        <v>0</v>
      </c>
      <c r="X903">
        <f>IF(COUNTIF($E903, _xlfn.CONCAT("*",Table13[[#Headers],[TV Movie]],"*")),1,0)</f>
        <v>0</v>
      </c>
      <c r="Y903">
        <f>IF(COUNTIF($E903, _xlfn.CONCAT("*",Table13[[#Headers],[Thriller]],"*")),1,0)</f>
        <v>0</v>
      </c>
      <c r="Z903">
        <f>IF(COUNTIF($E903, _xlfn.CONCAT("*",Table13[[#Headers],[War]],"*")),1,0)</f>
        <v>0</v>
      </c>
      <c r="AA903">
        <f>IF(COUNTIF($E903, _xlfn.CONCAT("*",Table13[[#Headers],[Western]],"*")),1,0)</f>
        <v>0</v>
      </c>
    </row>
    <row r="904" spans="1:27">
      <c r="A904" t="s">
        <v>918</v>
      </c>
      <c r="B904">
        <v>219</v>
      </c>
      <c r="C904">
        <f>MAX(Table13[Rank])-Table13[[#This Row],[Rank]]</f>
        <v>45</v>
      </c>
      <c r="D904" t="s">
        <v>780</v>
      </c>
      <c r="E904" t="s">
        <v>21</v>
      </c>
      <c r="F904" s="1">
        <v>35209</v>
      </c>
      <c r="G904">
        <f>YEAR(Table13[[#This Row],[Date]])</f>
        <v>1996</v>
      </c>
      <c r="H904" t="s">
        <v>918</v>
      </c>
      <c r="I904">
        <f>IF(COUNTIF($E904, _xlfn.CONCAT("*",Table13[[#Headers],[Action]],"*")),1,0)</f>
        <v>0</v>
      </c>
      <c r="J904">
        <f>IF(COUNTIF($E904, _xlfn.CONCAT("*",Table13[[#Headers],[Adventure]],"*")),1,0)</f>
        <v>0</v>
      </c>
      <c r="K904">
        <f>IF(COUNTIF($E904, _xlfn.CONCAT("*",Table13[[#Headers],[Animation]],"*")),1,0)</f>
        <v>0</v>
      </c>
      <c r="L904">
        <f>IF(COUNTIF($E904, _xlfn.CONCAT("*",Table13[[#Headers],[Comedy]],"*")),1,0)</f>
        <v>0</v>
      </c>
      <c r="M904">
        <f>IF(COUNTIF($E904, _xlfn.CONCAT("*",Table13[[#Headers],[Crime]],"*")),1,0)</f>
        <v>0</v>
      </c>
      <c r="N904">
        <f>IF(COUNTIF($E904, _xlfn.CONCAT("*",Table13[[#Headers],[Documentary]],"*")),1,0)</f>
        <v>0</v>
      </c>
      <c r="O904">
        <f>IF(COUNTIF($E904, _xlfn.CONCAT("*",Table13[[#Headers],[Drama]],"*")),1,0)</f>
        <v>1</v>
      </c>
      <c r="P904">
        <f>IF(COUNTIF($E904, _xlfn.CONCAT("*",Table13[[#Headers],[Family]],"*")),1,0)</f>
        <v>0</v>
      </c>
      <c r="Q904">
        <f>IF(COUNTIF($E904, _xlfn.CONCAT("*",Table13[[#Headers],[Fantasy]],"*")),1,0)</f>
        <v>0</v>
      </c>
      <c r="R904">
        <f>IF(COUNTIF($E904, _xlfn.CONCAT("*",Table13[[#Headers],[History]],"*")),1,0)</f>
        <v>0</v>
      </c>
      <c r="S904">
        <f>IF(COUNTIF($E904, _xlfn.CONCAT("*",Table13[[#Headers],[Horror]],"*")),1,0)</f>
        <v>0</v>
      </c>
      <c r="T904">
        <f>IF(COUNTIF($E904, _xlfn.CONCAT("*",Table13[[#Headers],[Music]],"*")),1,0)</f>
        <v>0</v>
      </c>
      <c r="U904">
        <f>IF(COUNTIF($E904, _xlfn.CONCAT("*",Table13[[#Headers],[Mystery]],"*")),1,0)</f>
        <v>0</v>
      </c>
      <c r="V904">
        <f>IF(COUNTIF($E904, _xlfn.CONCAT("*",Table13[[#Headers],[Romance]],"*")),1,0)</f>
        <v>0</v>
      </c>
      <c r="W904">
        <f>IF(COUNTIF($E904, _xlfn.CONCAT("*",Table13[[#Headers],[Science Fiction]],"*")),1,0)</f>
        <v>0</v>
      </c>
      <c r="X904">
        <f>IF(COUNTIF($E904, _xlfn.CONCAT("*",Table13[[#Headers],[TV Movie]],"*")),1,0)</f>
        <v>0</v>
      </c>
      <c r="Y904">
        <f>IF(COUNTIF($E904, _xlfn.CONCAT("*",Table13[[#Headers],[Thriller]],"*")),1,0)</f>
        <v>0</v>
      </c>
      <c r="Z904">
        <f>IF(COUNTIF($E904, _xlfn.CONCAT("*",Table13[[#Headers],[War]],"*")),1,0)</f>
        <v>0</v>
      </c>
      <c r="AA904">
        <f>IF(COUNTIF($E904, _xlfn.CONCAT("*",Table13[[#Headers],[Western]],"*")),1,0)</f>
        <v>0</v>
      </c>
    </row>
    <row r="905" spans="1:27">
      <c r="A905" t="s">
        <v>447</v>
      </c>
      <c r="B905">
        <v>220</v>
      </c>
      <c r="C905">
        <f>MAX(Table13[Rank])-Table13[[#This Row],[Rank]]</f>
        <v>44</v>
      </c>
      <c r="D905" t="s">
        <v>780</v>
      </c>
      <c r="E905" t="s">
        <v>21</v>
      </c>
      <c r="F905" s="1">
        <v>35710</v>
      </c>
      <c r="G905">
        <f>YEAR(Table13[[#This Row],[Date]])</f>
        <v>1997</v>
      </c>
      <c r="H905" t="s">
        <v>447</v>
      </c>
      <c r="I905">
        <f>IF(COUNTIF($E905, _xlfn.CONCAT("*",Table13[[#Headers],[Action]],"*")),1,0)</f>
        <v>0</v>
      </c>
      <c r="J905">
        <f>IF(COUNTIF($E905, _xlfn.CONCAT("*",Table13[[#Headers],[Adventure]],"*")),1,0)</f>
        <v>0</v>
      </c>
      <c r="K905">
        <f>IF(COUNTIF($E905, _xlfn.CONCAT("*",Table13[[#Headers],[Animation]],"*")),1,0)</f>
        <v>0</v>
      </c>
      <c r="L905">
        <f>IF(COUNTIF($E905, _xlfn.CONCAT("*",Table13[[#Headers],[Comedy]],"*")),1,0)</f>
        <v>0</v>
      </c>
      <c r="M905">
        <f>IF(COUNTIF($E905, _xlfn.CONCAT("*",Table13[[#Headers],[Crime]],"*")),1,0)</f>
        <v>0</v>
      </c>
      <c r="N905">
        <f>IF(COUNTIF($E905, _xlfn.CONCAT("*",Table13[[#Headers],[Documentary]],"*")),1,0)</f>
        <v>0</v>
      </c>
      <c r="O905">
        <f>IF(COUNTIF($E905, _xlfn.CONCAT("*",Table13[[#Headers],[Drama]],"*")),1,0)</f>
        <v>1</v>
      </c>
      <c r="P905">
        <f>IF(COUNTIF($E905, _xlfn.CONCAT("*",Table13[[#Headers],[Family]],"*")),1,0)</f>
        <v>0</v>
      </c>
      <c r="Q905">
        <f>IF(COUNTIF($E905, _xlfn.CONCAT("*",Table13[[#Headers],[Fantasy]],"*")),1,0)</f>
        <v>0</v>
      </c>
      <c r="R905">
        <f>IF(COUNTIF($E905, _xlfn.CONCAT("*",Table13[[#Headers],[History]],"*")),1,0)</f>
        <v>0</v>
      </c>
      <c r="S905">
        <f>IF(COUNTIF($E905, _xlfn.CONCAT("*",Table13[[#Headers],[Horror]],"*")),1,0)</f>
        <v>0</v>
      </c>
      <c r="T905">
        <f>IF(COUNTIF($E905, _xlfn.CONCAT("*",Table13[[#Headers],[Music]],"*")),1,0)</f>
        <v>0</v>
      </c>
      <c r="U905">
        <f>IF(COUNTIF($E905, _xlfn.CONCAT("*",Table13[[#Headers],[Mystery]],"*")),1,0)</f>
        <v>0</v>
      </c>
      <c r="V905">
        <f>IF(COUNTIF($E905, _xlfn.CONCAT("*",Table13[[#Headers],[Romance]],"*")),1,0)</f>
        <v>0</v>
      </c>
      <c r="W905">
        <f>IF(COUNTIF($E905, _xlfn.CONCAT("*",Table13[[#Headers],[Science Fiction]],"*")),1,0)</f>
        <v>0</v>
      </c>
      <c r="X905">
        <f>IF(COUNTIF($E905, _xlfn.CONCAT("*",Table13[[#Headers],[TV Movie]],"*")),1,0)</f>
        <v>0</v>
      </c>
      <c r="Y905">
        <f>IF(COUNTIF($E905, _xlfn.CONCAT("*",Table13[[#Headers],[Thriller]],"*")),1,0)</f>
        <v>0</v>
      </c>
      <c r="Z905">
        <f>IF(COUNTIF($E905, _xlfn.CONCAT("*",Table13[[#Headers],[War]],"*")),1,0)</f>
        <v>0</v>
      </c>
      <c r="AA905">
        <f>IF(COUNTIF($E905, _xlfn.CONCAT("*",Table13[[#Headers],[Western]],"*")),1,0)</f>
        <v>0</v>
      </c>
    </row>
    <row r="906" spans="1:27">
      <c r="A906" t="s">
        <v>919</v>
      </c>
      <c r="B906">
        <v>221</v>
      </c>
      <c r="C906">
        <f>MAX(Table13[Rank])-Table13[[#This Row],[Rank]]</f>
        <v>43</v>
      </c>
      <c r="D906" t="s">
        <v>780</v>
      </c>
      <c r="E906" t="s">
        <v>920</v>
      </c>
      <c r="F906" s="1">
        <v>28300</v>
      </c>
      <c r="G906">
        <f>YEAR(Table13[[#This Row],[Date]])</f>
        <v>1977</v>
      </c>
      <c r="H906" t="s">
        <v>919</v>
      </c>
      <c r="I906">
        <f>IF(COUNTIF($E906, _xlfn.CONCAT("*",Table13[[#Headers],[Action]],"*")),1,0)</f>
        <v>0</v>
      </c>
      <c r="J906">
        <f>IF(COUNTIF($E906, _xlfn.CONCAT("*",Table13[[#Headers],[Adventure]],"*")),1,0)</f>
        <v>1</v>
      </c>
      <c r="K906">
        <f>IF(COUNTIF($E906, _xlfn.CONCAT("*",Table13[[#Headers],[Animation]],"*")),1,0)</f>
        <v>0</v>
      </c>
      <c r="L906">
        <f>IF(COUNTIF($E906, _xlfn.CONCAT("*",Table13[[#Headers],[Comedy]],"*")),1,0)</f>
        <v>0</v>
      </c>
      <c r="M906">
        <f>IF(COUNTIF($E906, _xlfn.CONCAT("*",Table13[[#Headers],[Crime]],"*")),1,0)</f>
        <v>0</v>
      </c>
      <c r="N906">
        <f>IF(COUNTIF($E906, _xlfn.CONCAT("*",Table13[[#Headers],[Documentary]],"*")),1,0)</f>
        <v>0</v>
      </c>
      <c r="O906">
        <f>IF(COUNTIF($E906, _xlfn.CONCAT("*",Table13[[#Headers],[Drama]],"*")),1,0)</f>
        <v>1</v>
      </c>
      <c r="P906">
        <f>IF(COUNTIF($E906, _xlfn.CONCAT("*",Table13[[#Headers],[Family]],"*")),1,0)</f>
        <v>0</v>
      </c>
      <c r="Q906">
        <f>IF(COUNTIF($E906, _xlfn.CONCAT("*",Table13[[#Headers],[Fantasy]],"*")),1,0)</f>
        <v>0</v>
      </c>
      <c r="R906">
        <f>IF(COUNTIF($E906, _xlfn.CONCAT("*",Table13[[#Headers],[History]],"*")),1,0)</f>
        <v>0</v>
      </c>
      <c r="S906">
        <f>IF(COUNTIF($E906, _xlfn.CONCAT("*",Table13[[#Headers],[Horror]],"*")),1,0)</f>
        <v>0</v>
      </c>
      <c r="T906">
        <f>IF(COUNTIF($E906, _xlfn.CONCAT("*",Table13[[#Headers],[Music]],"*")),1,0)</f>
        <v>0</v>
      </c>
      <c r="U906">
        <f>IF(COUNTIF($E906, _xlfn.CONCAT("*",Table13[[#Headers],[Mystery]],"*")),1,0)</f>
        <v>0</v>
      </c>
      <c r="V906">
        <f>IF(COUNTIF($E906, _xlfn.CONCAT("*",Table13[[#Headers],[Romance]],"*")),1,0)</f>
        <v>0</v>
      </c>
      <c r="W906">
        <f>IF(COUNTIF($E906, _xlfn.CONCAT("*",Table13[[#Headers],[Science Fiction]],"*")),1,0)</f>
        <v>0</v>
      </c>
      <c r="X906">
        <f>IF(COUNTIF($E906, _xlfn.CONCAT("*",Table13[[#Headers],[TV Movie]],"*")),1,0)</f>
        <v>0</v>
      </c>
      <c r="Y906">
        <f>IF(COUNTIF($E906, _xlfn.CONCAT("*",Table13[[#Headers],[Thriller]],"*")),1,0)</f>
        <v>1</v>
      </c>
      <c r="Z906">
        <f>IF(COUNTIF($E906, _xlfn.CONCAT("*",Table13[[#Headers],[War]],"*")),1,0)</f>
        <v>0</v>
      </c>
      <c r="AA906">
        <f>IF(COUNTIF($E906, _xlfn.CONCAT("*",Table13[[#Headers],[Western]],"*")),1,0)</f>
        <v>0</v>
      </c>
    </row>
    <row r="907" spans="1:27">
      <c r="A907" t="s">
        <v>760</v>
      </c>
      <c r="B907">
        <v>222</v>
      </c>
      <c r="C907">
        <f>MAX(Table13[Rank])-Table13[[#This Row],[Rank]]</f>
        <v>42</v>
      </c>
      <c r="D907" t="s">
        <v>780</v>
      </c>
      <c r="E907" t="s">
        <v>186</v>
      </c>
      <c r="F907" s="1">
        <v>21104</v>
      </c>
      <c r="G907">
        <f>YEAR(Table13[[#This Row],[Date]])</f>
        <v>1957</v>
      </c>
      <c r="H907" t="s">
        <v>760</v>
      </c>
      <c r="I907">
        <f>IF(COUNTIF($E907, _xlfn.CONCAT("*",Table13[[#Headers],[Action]],"*")),1,0)</f>
        <v>0</v>
      </c>
      <c r="J907">
        <f>IF(COUNTIF($E907, _xlfn.CONCAT("*",Table13[[#Headers],[Adventure]],"*")),1,0)</f>
        <v>0</v>
      </c>
      <c r="K907">
        <f>IF(COUNTIF($E907, _xlfn.CONCAT("*",Table13[[#Headers],[Animation]],"*")),1,0)</f>
        <v>0</v>
      </c>
      <c r="L907">
        <f>IF(COUNTIF($E907, _xlfn.CONCAT("*",Table13[[#Headers],[Comedy]],"*")),1,0)</f>
        <v>0</v>
      </c>
      <c r="M907">
        <f>IF(COUNTIF($E907, _xlfn.CONCAT("*",Table13[[#Headers],[Crime]],"*")),1,0)</f>
        <v>0</v>
      </c>
      <c r="N907">
        <f>IF(COUNTIF($E907, _xlfn.CONCAT("*",Table13[[#Headers],[Documentary]],"*")),1,0)</f>
        <v>0</v>
      </c>
      <c r="O907">
        <f>IF(COUNTIF($E907, _xlfn.CONCAT("*",Table13[[#Headers],[Drama]],"*")),1,0)</f>
        <v>1</v>
      </c>
      <c r="P907">
        <f>IF(COUNTIF($E907, _xlfn.CONCAT("*",Table13[[#Headers],[Family]],"*")),1,0)</f>
        <v>0</v>
      </c>
      <c r="Q907">
        <f>IF(COUNTIF($E907, _xlfn.CONCAT("*",Table13[[#Headers],[Fantasy]],"*")),1,0)</f>
        <v>0</v>
      </c>
      <c r="R907">
        <f>IF(COUNTIF($E907, _xlfn.CONCAT("*",Table13[[#Headers],[History]],"*")),1,0)</f>
        <v>1</v>
      </c>
      <c r="S907">
        <f>IF(COUNTIF($E907, _xlfn.CONCAT("*",Table13[[#Headers],[Horror]],"*")),1,0)</f>
        <v>0</v>
      </c>
      <c r="T907">
        <f>IF(COUNTIF($E907, _xlfn.CONCAT("*",Table13[[#Headers],[Music]],"*")),1,0)</f>
        <v>0</v>
      </c>
      <c r="U907">
        <f>IF(COUNTIF($E907, _xlfn.CONCAT("*",Table13[[#Headers],[Mystery]],"*")),1,0)</f>
        <v>0</v>
      </c>
      <c r="V907">
        <f>IF(COUNTIF($E907, _xlfn.CONCAT("*",Table13[[#Headers],[Romance]],"*")),1,0)</f>
        <v>0</v>
      </c>
      <c r="W907">
        <f>IF(COUNTIF($E907, _xlfn.CONCAT("*",Table13[[#Headers],[Science Fiction]],"*")),1,0)</f>
        <v>0</v>
      </c>
      <c r="X907">
        <f>IF(COUNTIF($E907, _xlfn.CONCAT("*",Table13[[#Headers],[TV Movie]],"*")),1,0)</f>
        <v>0</v>
      </c>
      <c r="Y907">
        <f>IF(COUNTIF($E907, _xlfn.CONCAT("*",Table13[[#Headers],[Thriller]],"*")),1,0)</f>
        <v>0</v>
      </c>
      <c r="Z907">
        <f>IF(COUNTIF($E907, _xlfn.CONCAT("*",Table13[[#Headers],[War]],"*")),1,0)</f>
        <v>1</v>
      </c>
      <c r="AA907">
        <f>IF(COUNTIF($E907, _xlfn.CONCAT("*",Table13[[#Headers],[Western]],"*")),1,0)</f>
        <v>0</v>
      </c>
    </row>
    <row r="908" spans="1:27">
      <c r="A908" t="s">
        <v>921</v>
      </c>
      <c r="B908">
        <v>223</v>
      </c>
      <c r="C908">
        <f>MAX(Table13[Rank])-Table13[[#This Row],[Rank]]</f>
        <v>41</v>
      </c>
      <c r="D908" t="s">
        <v>780</v>
      </c>
      <c r="E908" t="s">
        <v>922</v>
      </c>
      <c r="F908" s="1">
        <v>39009</v>
      </c>
      <c r="G908">
        <f>YEAR(Table13[[#This Row],[Date]])</f>
        <v>2006</v>
      </c>
      <c r="H908" t="s">
        <v>921</v>
      </c>
      <c r="I908">
        <f>IF(COUNTIF($E908, _xlfn.CONCAT("*",Table13[[#Headers],[Action]],"*")),1,0)</f>
        <v>0</v>
      </c>
      <c r="J908">
        <f>IF(COUNTIF($E908, _xlfn.CONCAT("*",Table13[[#Headers],[Adventure]],"*")),1,0)</f>
        <v>0</v>
      </c>
      <c r="K908">
        <f>IF(COUNTIF($E908, _xlfn.CONCAT("*",Table13[[#Headers],[Animation]],"*")),1,0)</f>
        <v>0</v>
      </c>
      <c r="L908">
        <f>IF(COUNTIF($E908, _xlfn.CONCAT("*",Table13[[#Headers],[Comedy]],"*")),1,0)</f>
        <v>0</v>
      </c>
      <c r="M908">
        <f>IF(COUNTIF($E908, _xlfn.CONCAT("*",Table13[[#Headers],[Crime]],"*")),1,0)</f>
        <v>0</v>
      </c>
      <c r="N908">
        <f>IF(COUNTIF($E908, _xlfn.CONCAT("*",Table13[[#Headers],[Documentary]],"*")),1,0)</f>
        <v>0</v>
      </c>
      <c r="O908">
        <f>IF(COUNTIF($E908, _xlfn.CONCAT("*",Table13[[#Headers],[Drama]],"*")),1,0)</f>
        <v>1</v>
      </c>
      <c r="P908">
        <f>IF(COUNTIF($E908, _xlfn.CONCAT("*",Table13[[#Headers],[Family]],"*")),1,0)</f>
        <v>0</v>
      </c>
      <c r="Q908">
        <f>IF(COUNTIF($E908, _xlfn.CONCAT("*",Table13[[#Headers],[Fantasy]],"*")),1,0)</f>
        <v>0</v>
      </c>
      <c r="R908">
        <f>IF(COUNTIF($E908, _xlfn.CONCAT("*",Table13[[#Headers],[History]],"*")),1,0)</f>
        <v>0</v>
      </c>
      <c r="S908">
        <f>IF(COUNTIF($E908, _xlfn.CONCAT("*",Table13[[#Headers],[Horror]],"*")),1,0)</f>
        <v>0</v>
      </c>
      <c r="T908">
        <f>IF(COUNTIF($E908, _xlfn.CONCAT("*",Table13[[#Headers],[Music]],"*")),1,0)</f>
        <v>0</v>
      </c>
      <c r="U908">
        <f>IF(COUNTIF($E908, _xlfn.CONCAT("*",Table13[[#Headers],[Mystery]],"*")),1,0)</f>
        <v>1</v>
      </c>
      <c r="V908">
        <f>IF(COUNTIF($E908, _xlfn.CONCAT("*",Table13[[#Headers],[Romance]],"*")),1,0)</f>
        <v>0</v>
      </c>
      <c r="W908">
        <f>IF(COUNTIF($E908, _xlfn.CONCAT("*",Table13[[#Headers],[Science Fiction]],"*")),1,0)</f>
        <v>1</v>
      </c>
      <c r="X908">
        <f>IF(COUNTIF($E908, _xlfn.CONCAT("*",Table13[[#Headers],[TV Movie]],"*")),1,0)</f>
        <v>0</v>
      </c>
      <c r="Y908">
        <f>IF(COUNTIF($E908, _xlfn.CONCAT("*",Table13[[#Headers],[Thriller]],"*")),1,0)</f>
        <v>0</v>
      </c>
      <c r="Z908">
        <f>IF(COUNTIF($E908, _xlfn.CONCAT("*",Table13[[#Headers],[War]],"*")),1,0)</f>
        <v>0</v>
      </c>
      <c r="AA908">
        <f>IF(COUNTIF($E908, _xlfn.CONCAT("*",Table13[[#Headers],[Western]],"*")),1,0)</f>
        <v>0</v>
      </c>
    </row>
    <row r="909" spans="1:27">
      <c r="A909" t="s">
        <v>65</v>
      </c>
      <c r="B909">
        <v>224</v>
      </c>
      <c r="C909">
        <f>MAX(Table13[Rank])-Table13[[#This Row],[Rank]]</f>
        <v>40</v>
      </c>
      <c r="D909" t="s">
        <v>780</v>
      </c>
      <c r="E909" t="s">
        <v>35</v>
      </c>
      <c r="F909" s="1">
        <v>35580</v>
      </c>
      <c r="G909">
        <f>YEAR(Table13[[#This Row],[Date]])</f>
        <v>1997</v>
      </c>
      <c r="H909" t="s">
        <v>65</v>
      </c>
      <c r="I909">
        <f>IF(COUNTIF($E909, _xlfn.CONCAT("*",Table13[[#Headers],[Action]],"*")),1,0)</f>
        <v>0</v>
      </c>
      <c r="J909">
        <f>IF(COUNTIF($E909, _xlfn.CONCAT("*",Table13[[#Headers],[Adventure]],"*")),1,0)</f>
        <v>0</v>
      </c>
      <c r="K909">
        <f>IF(COUNTIF($E909, _xlfn.CONCAT("*",Table13[[#Headers],[Animation]],"*")),1,0)</f>
        <v>0</v>
      </c>
      <c r="L909">
        <f>IF(COUNTIF($E909, _xlfn.CONCAT("*",Table13[[#Headers],[Comedy]],"*")),1,0)</f>
        <v>0</v>
      </c>
      <c r="M909">
        <f>IF(COUNTIF($E909, _xlfn.CONCAT("*",Table13[[#Headers],[Crime]],"*")),1,0)</f>
        <v>0</v>
      </c>
      <c r="N909">
        <f>IF(COUNTIF($E909, _xlfn.CONCAT("*",Table13[[#Headers],[Documentary]],"*")),1,0)</f>
        <v>0</v>
      </c>
      <c r="O909">
        <f>IF(COUNTIF($E909, _xlfn.CONCAT("*",Table13[[#Headers],[Drama]],"*")),1,0)</f>
        <v>1</v>
      </c>
      <c r="P909">
        <f>IF(COUNTIF($E909, _xlfn.CONCAT("*",Table13[[#Headers],[Family]],"*")),1,0)</f>
        <v>0</v>
      </c>
      <c r="Q909">
        <f>IF(COUNTIF($E909, _xlfn.CONCAT("*",Table13[[#Headers],[Fantasy]],"*")),1,0)</f>
        <v>0</v>
      </c>
      <c r="R909">
        <f>IF(COUNTIF($E909, _xlfn.CONCAT("*",Table13[[#Headers],[History]],"*")),1,0)</f>
        <v>0</v>
      </c>
      <c r="S909">
        <f>IF(COUNTIF($E909, _xlfn.CONCAT("*",Table13[[#Headers],[Horror]],"*")),1,0)</f>
        <v>0</v>
      </c>
      <c r="T909">
        <f>IF(COUNTIF($E909, _xlfn.CONCAT("*",Table13[[#Headers],[Music]],"*")),1,0)</f>
        <v>0</v>
      </c>
      <c r="U909">
        <f>IF(COUNTIF($E909, _xlfn.CONCAT("*",Table13[[#Headers],[Mystery]],"*")),1,0)</f>
        <v>0</v>
      </c>
      <c r="V909">
        <f>IF(COUNTIF($E909, _xlfn.CONCAT("*",Table13[[#Headers],[Romance]],"*")),1,0)</f>
        <v>1</v>
      </c>
      <c r="W909">
        <f>IF(COUNTIF($E909, _xlfn.CONCAT("*",Table13[[#Headers],[Science Fiction]],"*")),1,0)</f>
        <v>0</v>
      </c>
      <c r="X909">
        <f>IF(COUNTIF($E909, _xlfn.CONCAT("*",Table13[[#Headers],[TV Movie]],"*")),1,0)</f>
        <v>0</v>
      </c>
      <c r="Y909">
        <f>IF(COUNTIF($E909, _xlfn.CONCAT("*",Table13[[#Headers],[Thriller]],"*")),1,0)</f>
        <v>0</v>
      </c>
      <c r="Z909">
        <f>IF(COUNTIF($E909, _xlfn.CONCAT("*",Table13[[#Headers],[War]],"*")),1,0)</f>
        <v>0</v>
      </c>
      <c r="AA909">
        <f>IF(COUNTIF($E909, _xlfn.CONCAT("*",Table13[[#Headers],[Western]],"*")),1,0)</f>
        <v>0</v>
      </c>
    </row>
    <row r="910" spans="1:27">
      <c r="A910" t="s">
        <v>923</v>
      </c>
      <c r="B910">
        <v>225</v>
      </c>
      <c r="C910">
        <f>MAX(Table13[Rank])-Table13[[#This Row],[Rank]]</f>
        <v>39</v>
      </c>
      <c r="D910" t="s">
        <v>780</v>
      </c>
      <c r="E910" t="s">
        <v>924</v>
      </c>
      <c r="F910" s="1">
        <v>24619</v>
      </c>
      <c r="G910">
        <f>YEAR(Table13[[#This Row],[Date]])</f>
        <v>1967</v>
      </c>
      <c r="H910" t="s">
        <v>923</v>
      </c>
      <c r="I910">
        <f>IF(COUNTIF($E910, _xlfn.CONCAT("*",Table13[[#Headers],[Action]],"*")),1,0)</f>
        <v>1</v>
      </c>
      <c r="J910">
        <f>IF(COUNTIF($E910, _xlfn.CONCAT("*",Table13[[#Headers],[Adventure]],"*")),1,0)</f>
        <v>0</v>
      </c>
      <c r="K910">
        <f>IF(COUNTIF($E910, _xlfn.CONCAT("*",Table13[[#Headers],[Animation]],"*")),1,0)</f>
        <v>0</v>
      </c>
      <c r="L910">
        <f>IF(COUNTIF($E910, _xlfn.CONCAT("*",Table13[[#Headers],[Comedy]],"*")),1,0)</f>
        <v>0</v>
      </c>
      <c r="M910">
        <f>IF(COUNTIF($E910, _xlfn.CONCAT("*",Table13[[#Headers],[Crime]],"*")),1,0)</f>
        <v>0</v>
      </c>
      <c r="N910">
        <f>IF(COUNTIF($E910, _xlfn.CONCAT("*",Table13[[#Headers],[Documentary]],"*")),1,0)</f>
        <v>0</v>
      </c>
      <c r="O910">
        <f>IF(COUNTIF($E910, _xlfn.CONCAT("*",Table13[[#Headers],[Drama]],"*")),1,0)</f>
        <v>1</v>
      </c>
      <c r="P910">
        <f>IF(COUNTIF($E910, _xlfn.CONCAT("*",Table13[[#Headers],[Family]],"*")),1,0)</f>
        <v>0</v>
      </c>
      <c r="Q910">
        <f>IF(COUNTIF($E910, _xlfn.CONCAT("*",Table13[[#Headers],[Fantasy]],"*")),1,0)</f>
        <v>0</v>
      </c>
      <c r="R910">
        <f>IF(COUNTIF($E910, _xlfn.CONCAT("*",Table13[[#Headers],[History]],"*")),1,0)</f>
        <v>1</v>
      </c>
      <c r="S910">
        <f>IF(COUNTIF($E910, _xlfn.CONCAT("*",Table13[[#Headers],[Horror]],"*")),1,0)</f>
        <v>0</v>
      </c>
      <c r="T910">
        <f>IF(COUNTIF($E910, _xlfn.CONCAT("*",Table13[[#Headers],[Music]],"*")),1,0)</f>
        <v>0</v>
      </c>
      <c r="U910">
        <f>IF(COUNTIF($E910, _xlfn.CONCAT("*",Table13[[#Headers],[Mystery]],"*")),1,0)</f>
        <v>0</v>
      </c>
      <c r="V910">
        <f>IF(COUNTIF($E910, _xlfn.CONCAT("*",Table13[[#Headers],[Romance]],"*")),1,0)</f>
        <v>0</v>
      </c>
      <c r="W910">
        <f>IF(COUNTIF($E910, _xlfn.CONCAT("*",Table13[[#Headers],[Science Fiction]],"*")),1,0)</f>
        <v>0</v>
      </c>
      <c r="X910">
        <f>IF(COUNTIF($E910, _xlfn.CONCAT("*",Table13[[#Headers],[TV Movie]],"*")),1,0)</f>
        <v>0</v>
      </c>
      <c r="Y910">
        <f>IF(COUNTIF($E910, _xlfn.CONCAT("*",Table13[[#Headers],[Thriller]],"*")),1,0)</f>
        <v>0</v>
      </c>
      <c r="Z910">
        <f>IF(COUNTIF($E910, _xlfn.CONCAT("*",Table13[[#Headers],[War]],"*")),1,0)</f>
        <v>0</v>
      </c>
      <c r="AA910">
        <f>IF(COUNTIF($E910, _xlfn.CONCAT("*",Table13[[#Headers],[Western]],"*")),1,0)</f>
        <v>0</v>
      </c>
    </row>
    <row r="911" spans="1:27">
      <c r="A911" t="s">
        <v>288</v>
      </c>
      <c r="B911">
        <v>226</v>
      </c>
      <c r="C911">
        <f>MAX(Table13[Rank])-Table13[[#This Row],[Rank]]</f>
        <v>38</v>
      </c>
      <c r="D911" t="s">
        <v>780</v>
      </c>
      <c r="E911" t="s">
        <v>289</v>
      </c>
      <c r="F911" s="1">
        <v>17151</v>
      </c>
      <c r="G911">
        <f>YEAR(Table13[[#This Row],[Date]])</f>
        <v>1946</v>
      </c>
      <c r="H911" t="s">
        <v>288</v>
      </c>
      <c r="I911">
        <f>IF(COUNTIF($E911, _xlfn.CONCAT("*",Table13[[#Headers],[Action]],"*")),1,0)</f>
        <v>0</v>
      </c>
      <c r="J911">
        <f>IF(COUNTIF($E911, _xlfn.CONCAT("*",Table13[[#Headers],[Adventure]],"*")),1,0)</f>
        <v>0</v>
      </c>
      <c r="K911">
        <f>IF(COUNTIF($E911, _xlfn.CONCAT("*",Table13[[#Headers],[Animation]],"*")),1,0)</f>
        <v>0</v>
      </c>
      <c r="L911">
        <f>IF(COUNTIF($E911, _xlfn.CONCAT("*",Table13[[#Headers],[Comedy]],"*")),1,0)</f>
        <v>1</v>
      </c>
      <c r="M911">
        <f>IF(COUNTIF($E911, _xlfn.CONCAT("*",Table13[[#Headers],[Crime]],"*")),1,0)</f>
        <v>0</v>
      </c>
      <c r="N911">
        <f>IF(COUNTIF($E911, _xlfn.CONCAT("*",Table13[[#Headers],[Documentary]],"*")),1,0)</f>
        <v>0</v>
      </c>
      <c r="O911">
        <f>IF(COUNTIF($E911, _xlfn.CONCAT("*",Table13[[#Headers],[Drama]],"*")),1,0)</f>
        <v>1</v>
      </c>
      <c r="P911">
        <f>IF(COUNTIF($E911, _xlfn.CONCAT("*",Table13[[#Headers],[Family]],"*")),1,0)</f>
        <v>0</v>
      </c>
      <c r="Q911">
        <f>IF(COUNTIF($E911, _xlfn.CONCAT("*",Table13[[#Headers],[Fantasy]],"*")),1,0)</f>
        <v>1</v>
      </c>
      <c r="R911">
        <f>IF(COUNTIF($E911, _xlfn.CONCAT("*",Table13[[#Headers],[History]],"*")),1,0)</f>
        <v>0</v>
      </c>
      <c r="S911">
        <f>IF(COUNTIF($E911, _xlfn.CONCAT("*",Table13[[#Headers],[Horror]],"*")),1,0)</f>
        <v>0</v>
      </c>
      <c r="T911">
        <f>IF(COUNTIF($E911, _xlfn.CONCAT("*",Table13[[#Headers],[Music]],"*")),1,0)</f>
        <v>0</v>
      </c>
      <c r="U911">
        <f>IF(COUNTIF($E911, _xlfn.CONCAT("*",Table13[[#Headers],[Mystery]],"*")),1,0)</f>
        <v>0</v>
      </c>
      <c r="V911">
        <f>IF(COUNTIF($E911, _xlfn.CONCAT("*",Table13[[#Headers],[Romance]],"*")),1,0)</f>
        <v>1</v>
      </c>
      <c r="W911">
        <f>IF(COUNTIF($E911, _xlfn.CONCAT("*",Table13[[#Headers],[Science Fiction]],"*")),1,0)</f>
        <v>0</v>
      </c>
      <c r="X911">
        <f>IF(COUNTIF($E911, _xlfn.CONCAT("*",Table13[[#Headers],[TV Movie]],"*")),1,0)</f>
        <v>0</v>
      </c>
      <c r="Y911">
        <f>IF(COUNTIF($E911, _xlfn.CONCAT("*",Table13[[#Headers],[Thriller]],"*")),1,0)</f>
        <v>0</v>
      </c>
      <c r="Z911">
        <f>IF(COUNTIF($E911, _xlfn.CONCAT("*",Table13[[#Headers],[War]],"*")),1,0)</f>
        <v>0</v>
      </c>
      <c r="AA911">
        <f>IF(COUNTIF($E911, _xlfn.CONCAT("*",Table13[[#Headers],[Western]],"*")),1,0)</f>
        <v>0</v>
      </c>
    </row>
    <row r="912" spans="1:27">
      <c r="A912" t="s">
        <v>925</v>
      </c>
      <c r="B912">
        <v>227</v>
      </c>
      <c r="C912">
        <f>MAX(Table13[Rank])-Table13[[#This Row],[Rank]]</f>
        <v>37</v>
      </c>
      <c r="D912" t="s">
        <v>780</v>
      </c>
      <c r="E912" t="s">
        <v>926</v>
      </c>
      <c r="F912" s="1">
        <v>39853</v>
      </c>
      <c r="G912">
        <f>YEAR(Table13[[#This Row],[Date]])</f>
        <v>2009</v>
      </c>
      <c r="H912" t="s">
        <v>925</v>
      </c>
      <c r="I912">
        <f>IF(COUNTIF($E912, _xlfn.CONCAT("*",Table13[[#Headers],[Action]],"*")),1,0)</f>
        <v>0</v>
      </c>
      <c r="J912">
        <f>IF(COUNTIF($E912, _xlfn.CONCAT("*",Table13[[#Headers],[Adventure]],"*")),1,0)</f>
        <v>0</v>
      </c>
      <c r="K912">
        <f>IF(COUNTIF($E912, _xlfn.CONCAT("*",Table13[[#Headers],[Animation]],"*")),1,0)</f>
        <v>1</v>
      </c>
      <c r="L912">
        <f>IF(COUNTIF($E912, _xlfn.CONCAT("*",Table13[[#Headers],[Comedy]],"*")),1,0)</f>
        <v>1</v>
      </c>
      <c r="M912">
        <f>IF(COUNTIF($E912, _xlfn.CONCAT("*",Table13[[#Headers],[Crime]],"*")),1,0)</f>
        <v>0</v>
      </c>
      <c r="N912">
        <f>IF(COUNTIF($E912, _xlfn.CONCAT("*",Table13[[#Headers],[Documentary]],"*")),1,0)</f>
        <v>0</v>
      </c>
      <c r="O912">
        <f>IF(COUNTIF($E912, _xlfn.CONCAT("*",Table13[[#Headers],[Drama]],"*")),1,0)</f>
        <v>1</v>
      </c>
      <c r="P912">
        <f>IF(COUNTIF($E912, _xlfn.CONCAT("*",Table13[[#Headers],[Family]],"*")),1,0)</f>
        <v>0</v>
      </c>
      <c r="Q912">
        <f>IF(COUNTIF($E912, _xlfn.CONCAT("*",Table13[[#Headers],[Fantasy]],"*")),1,0)</f>
        <v>0</v>
      </c>
      <c r="R912">
        <f>IF(COUNTIF($E912, _xlfn.CONCAT("*",Table13[[#Headers],[History]],"*")),1,0)</f>
        <v>0</v>
      </c>
      <c r="S912">
        <f>IF(COUNTIF($E912, _xlfn.CONCAT("*",Table13[[#Headers],[Horror]],"*")),1,0)</f>
        <v>0</v>
      </c>
      <c r="T912">
        <f>IF(COUNTIF($E912, _xlfn.CONCAT("*",Table13[[#Headers],[Music]],"*")),1,0)</f>
        <v>0</v>
      </c>
      <c r="U912">
        <f>IF(COUNTIF($E912, _xlfn.CONCAT("*",Table13[[#Headers],[Mystery]],"*")),1,0)</f>
        <v>0</v>
      </c>
      <c r="V912">
        <f>IF(COUNTIF($E912, _xlfn.CONCAT("*",Table13[[#Headers],[Romance]],"*")),1,0)</f>
        <v>0</v>
      </c>
      <c r="W912">
        <f>IF(COUNTIF($E912, _xlfn.CONCAT("*",Table13[[#Headers],[Science Fiction]],"*")),1,0)</f>
        <v>0</v>
      </c>
      <c r="X912">
        <f>IF(COUNTIF($E912, _xlfn.CONCAT("*",Table13[[#Headers],[TV Movie]],"*")),1,0)</f>
        <v>0</v>
      </c>
      <c r="Y912">
        <f>IF(COUNTIF($E912, _xlfn.CONCAT("*",Table13[[#Headers],[Thriller]],"*")),1,0)</f>
        <v>0</v>
      </c>
      <c r="Z912">
        <f>IF(COUNTIF($E912, _xlfn.CONCAT("*",Table13[[#Headers],[War]],"*")),1,0)</f>
        <v>0</v>
      </c>
      <c r="AA912">
        <f>IF(COUNTIF($E912, _xlfn.CONCAT("*",Table13[[#Headers],[Western]],"*")),1,0)</f>
        <v>0</v>
      </c>
    </row>
    <row r="913" spans="1:27">
      <c r="A913" t="s">
        <v>927</v>
      </c>
      <c r="B913">
        <v>228</v>
      </c>
      <c r="C913">
        <f>MAX(Table13[Rank])-Table13[[#This Row],[Rank]]</f>
        <v>36</v>
      </c>
      <c r="D913" t="s">
        <v>780</v>
      </c>
      <c r="E913" t="s">
        <v>928</v>
      </c>
      <c r="F913" s="1">
        <v>37513</v>
      </c>
      <c r="G913">
        <f>YEAR(Table13[[#This Row],[Date]])</f>
        <v>2002</v>
      </c>
      <c r="H913" t="s">
        <v>927</v>
      </c>
      <c r="I913">
        <f>IF(COUNTIF($E913, _xlfn.CONCAT("*",Table13[[#Headers],[Action]],"*")),1,0)</f>
        <v>0</v>
      </c>
      <c r="J913">
        <f>IF(COUNTIF($E913, _xlfn.CONCAT("*",Table13[[#Headers],[Adventure]],"*")),1,0)</f>
        <v>0</v>
      </c>
      <c r="K913">
        <f>IF(COUNTIF($E913, _xlfn.CONCAT("*",Table13[[#Headers],[Animation]],"*")),1,0)</f>
        <v>1</v>
      </c>
      <c r="L913">
        <f>IF(COUNTIF($E913, _xlfn.CONCAT("*",Table13[[#Headers],[Comedy]],"*")),1,0)</f>
        <v>0</v>
      </c>
      <c r="M913">
        <f>IF(COUNTIF($E913, _xlfn.CONCAT("*",Table13[[#Headers],[Crime]],"*")),1,0)</f>
        <v>0</v>
      </c>
      <c r="N913">
        <f>IF(COUNTIF($E913, _xlfn.CONCAT("*",Table13[[#Headers],[Documentary]],"*")),1,0)</f>
        <v>0</v>
      </c>
      <c r="O913">
        <f>IF(COUNTIF($E913, _xlfn.CONCAT("*",Table13[[#Headers],[Drama]],"*")),1,0)</f>
        <v>1</v>
      </c>
      <c r="P913">
        <f>IF(COUNTIF($E913, _xlfn.CONCAT("*",Table13[[#Headers],[Family]],"*")),1,0)</f>
        <v>0</v>
      </c>
      <c r="Q913">
        <f>IF(COUNTIF($E913, _xlfn.CONCAT("*",Table13[[#Headers],[Fantasy]],"*")),1,0)</f>
        <v>0</v>
      </c>
      <c r="R913">
        <f>IF(COUNTIF($E913, _xlfn.CONCAT("*",Table13[[#Headers],[History]],"*")),1,0)</f>
        <v>0</v>
      </c>
      <c r="S913">
        <f>IF(COUNTIF($E913, _xlfn.CONCAT("*",Table13[[#Headers],[Horror]],"*")),1,0)</f>
        <v>0</v>
      </c>
      <c r="T913">
        <f>IF(COUNTIF($E913, _xlfn.CONCAT("*",Table13[[#Headers],[Music]],"*")),1,0)</f>
        <v>0</v>
      </c>
      <c r="U913">
        <f>IF(COUNTIF($E913, _xlfn.CONCAT("*",Table13[[#Headers],[Mystery]],"*")),1,0)</f>
        <v>0</v>
      </c>
      <c r="V913">
        <f>IF(COUNTIF($E913, _xlfn.CONCAT("*",Table13[[#Headers],[Romance]],"*")),1,0)</f>
        <v>1</v>
      </c>
      <c r="W913">
        <f>IF(COUNTIF($E913, _xlfn.CONCAT("*",Table13[[#Headers],[Science Fiction]],"*")),1,0)</f>
        <v>0</v>
      </c>
      <c r="X913">
        <f>IF(COUNTIF($E913, _xlfn.CONCAT("*",Table13[[#Headers],[TV Movie]],"*")),1,0)</f>
        <v>0</v>
      </c>
      <c r="Y913">
        <f>IF(COUNTIF($E913, _xlfn.CONCAT("*",Table13[[#Headers],[Thriller]],"*")),1,0)</f>
        <v>0</v>
      </c>
      <c r="Z913">
        <f>IF(COUNTIF($E913, _xlfn.CONCAT("*",Table13[[#Headers],[War]],"*")),1,0)</f>
        <v>0</v>
      </c>
      <c r="AA913">
        <f>IF(COUNTIF($E913, _xlfn.CONCAT("*",Table13[[#Headers],[Western]],"*")),1,0)</f>
        <v>0</v>
      </c>
    </row>
    <row r="914" spans="1:27">
      <c r="A914" t="s">
        <v>55</v>
      </c>
      <c r="B914">
        <v>229</v>
      </c>
      <c r="C914">
        <f>MAX(Table13[Rank])-Table13[[#This Row],[Rank]]</f>
        <v>35</v>
      </c>
      <c r="D914" t="s">
        <v>780</v>
      </c>
      <c r="E914" t="s">
        <v>54</v>
      </c>
      <c r="F914" s="1">
        <v>45252</v>
      </c>
      <c r="G914">
        <f>YEAR(Table13[[#This Row],[Date]])</f>
        <v>2023</v>
      </c>
      <c r="H914" t="s">
        <v>55</v>
      </c>
      <c r="I914">
        <f>IF(COUNTIF($E914, _xlfn.CONCAT("*",Table13[[#Headers],[Action]],"*")),1,0)</f>
        <v>0</v>
      </c>
      <c r="J914">
        <f>IF(COUNTIF($E914, _xlfn.CONCAT("*",Table13[[#Headers],[Adventure]],"*")),1,0)</f>
        <v>0</v>
      </c>
      <c r="K914">
        <f>IF(COUNTIF($E914, _xlfn.CONCAT("*",Table13[[#Headers],[Animation]],"*")),1,0)</f>
        <v>0</v>
      </c>
      <c r="L914">
        <f>IF(COUNTIF($E914, _xlfn.CONCAT("*",Table13[[#Headers],[Comedy]],"*")),1,0)</f>
        <v>0</v>
      </c>
      <c r="M914">
        <f>IF(COUNTIF($E914, _xlfn.CONCAT("*",Table13[[#Headers],[Crime]],"*")),1,0)</f>
        <v>0</v>
      </c>
      <c r="N914">
        <f>IF(COUNTIF($E914, _xlfn.CONCAT("*",Table13[[#Headers],[Documentary]],"*")),1,0)</f>
        <v>0</v>
      </c>
      <c r="O914">
        <f>IF(COUNTIF($E914, _xlfn.CONCAT("*",Table13[[#Headers],[Drama]],"*")),1,0)</f>
        <v>1</v>
      </c>
      <c r="P914">
        <f>IF(COUNTIF($E914, _xlfn.CONCAT("*",Table13[[#Headers],[Family]],"*")),1,0)</f>
        <v>0</v>
      </c>
      <c r="Q914">
        <f>IF(COUNTIF($E914, _xlfn.CONCAT("*",Table13[[#Headers],[Fantasy]],"*")),1,0)</f>
        <v>0</v>
      </c>
      <c r="R914">
        <f>IF(COUNTIF($E914, _xlfn.CONCAT("*",Table13[[#Headers],[History]],"*")),1,0)</f>
        <v>1</v>
      </c>
      <c r="S914">
        <f>IF(COUNTIF($E914, _xlfn.CONCAT("*",Table13[[#Headers],[Horror]],"*")),1,0)</f>
        <v>0</v>
      </c>
      <c r="T914">
        <f>IF(COUNTIF($E914, _xlfn.CONCAT("*",Table13[[#Headers],[Music]],"*")),1,0)</f>
        <v>0</v>
      </c>
      <c r="U914">
        <f>IF(COUNTIF($E914, _xlfn.CONCAT("*",Table13[[#Headers],[Mystery]],"*")),1,0)</f>
        <v>0</v>
      </c>
      <c r="V914">
        <f>IF(COUNTIF($E914, _xlfn.CONCAT("*",Table13[[#Headers],[Romance]],"*")),1,0)</f>
        <v>0</v>
      </c>
      <c r="W914">
        <f>IF(COUNTIF($E914, _xlfn.CONCAT("*",Table13[[#Headers],[Science Fiction]],"*")),1,0)</f>
        <v>0</v>
      </c>
      <c r="X914">
        <f>IF(COUNTIF($E914, _xlfn.CONCAT("*",Table13[[#Headers],[TV Movie]],"*")),1,0)</f>
        <v>0</v>
      </c>
      <c r="Y914">
        <f>IF(COUNTIF($E914, _xlfn.CONCAT("*",Table13[[#Headers],[Thriller]],"*")),1,0)</f>
        <v>0</v>
      </c>
      <c r="Z914">
        <f>IF(COUNTIF($E914, _xlfn.CONCAT("*",Table13[[#Headers],[War]],"*")),1,0)</f>
        <v>1</v>
      </c>
      <c r="AA914">
        <f>IF(COUNTIF($E914, _xlfn.CONCAT("*",Table13[[#Headers],[Western]],"*")),1,0)</f>
        <v>0</v>
      </c>
    </row>
    <row r="915" spans="1:27">
      <c r="A915" t="s">
        <v>929</v>
      </c>
      <c r="B915">
        <v>230</v>
      </c>
      <c r="C915">
        <f>MAX(Table13[Rank])-Table13[[#This Row],[Rank]]</f>
        <v>34</v>
      </c>
      <c r="D915" t="s">
        <v>780</v>
      </c>
      <c r="E915" t="s">
        <v>29</v>
      </c>
      <c r="F915" s="1">
        <v>41639</v>
      </c>
      <c r="G915">
        <f>YEAR(Table13[[#This Row],[Date]])</f>
        <v>2013</v>
      </c>
      <c r="H915" t="s">
        <v>929</v>
      </c>
      <c r="I915">
        <f>IF(COUNTIF($E915, _xlfn.CONCAT("*",Table13[[#Headers],[Action]],"*")),1,0)</f>
        <v>0</v>
      </c>
      <c r="J915">
        <f>IF(COUNTIF($E915, _xlfn.CONCAT("*",Table13[[#Headers],[Adventure]],"*")),1,0)</f>
        <v>0</v>
      </c>
      <c r="K915">
        <f>IF(COUNTIF($E915, _xlfn.CONCAT("*",Table13[[#Headers],[Animation]],"*")),1,0)</f>
        <v>0</v>
      </c>
      <c r="L915">
        <f>IF(COUNTIF($E915, _xlfn.CONCAT("*",Table13[[#Headers],[Comedy]],"*")),1,0)</f>
        <v>0</v>
      </c>
      <c r="M915">
        <f>IF(COUNTIF($E915, _xlfn.CONCAT("*",Table13[[#Headers],[Crime]],"*")),1,0)</f>
        <v>0</v>
      </c>
      <c r="N915">
        <f>IF(COUNTIF($E915, _xlfn.CONCAT("*",Table13[[#Headers],[Documentary]],"*")),1,0)</f>
        <v>0</v>
      </c>
      <c r="O915">
        <f>IF(COUNTIF($E915, _xlfn.CONCAT("*",Table13[[#Headers],[Drama]],"*")),1,0)</f>
        <v>0</v>
      </c>
      <c r="P915">
        <f>IF(COUNTIF($E915, _xlfn.CONCAT("*",Table13[[#Headers],[Family]],"*")),1,0)</f>
        <v>0</v>
      </c>
      <c r="Q915">
        <f>IF(COUNTIF($E915, _xlfn.CONCAT("*",Table13[[#Headers],[Fantasy]],"*")),1,0)</f>
        <v>0</v>
      </c>
      <c r="R915">
        <f>IF(COUNTIF($E915, _xlfn.CONCAT("*",Table13[[#Headers],[History]],"*")),1,0)</f>
        <v>0</v>
      </c>
      <c r="S915">
        <f>IF(COUNTIF($E915, _xlfn.CONCAT("*",Table13[[#Headers],[Horror]],"*")),1,0)</f>
        <v>1</v>
      </c>
      <c r="T915">
        <f>IF(COUNTIF($E915, _xlfn.CONCAT("*",Table13[[#Headers],[Music]],"*")),1,0)</f>
        <v>0</v>
      </c>
      <c r="U915">
        <f>IF(COUNTIF($E915, _xlfn.CONCAT("*",Table13[[#Headers],[Mystery]],"*")),1,0)</f>
        <v>0</v>
      </c>
      <c r="V915">
        <f>IF(COUNTIF($E915, _xlfn.CONCAT("*",Table13[[#Headers],[Romance]],"*")),1,0)</f>
        <v>0</v>
      </c>
      <c r="W915">
        <f>IF(COUNTIF($E915, _xlfn.CONCAT("*",Table13[[#Headers],[Science Fiction]],"*")),1,0)</f>
        <v>0</v>
      </c>
      <c r="X915">
        <f>IF(COUNTIF($E915, _xlfn.CONCAT("*",Table13[[#Headers],[TV Movie]],"*")),1,0)</f>
        <v>0</v>
      </c>
      <c r="Y915">
        <f>IF(COUNTIF($E915, _xlfn.CONCAT("*",Table13[[#Headers],[Thriller]],"*")),1,0)</f>
        <v>0</v>
      </c>
      <c r="Z915">
        <f>IF(COUNTIF($E915, _xlfn.CONCAT("*",Table13[[#Headers],[War]],"*")),1,0)</f>
        <v>0</v>
      </c>
      <c r="AA915">
        <f>IF(COUNTIF($E915, _xlfn.CONCAT("*",Table13[[#Headers],[Western]],"*")),1,0)</f>
        <v>0</v>
      </c>
    </row>
    <row r="916" spans="1:27">
      <c r="A916" t="s">
        <v>930</v>
      </c>
      <c r="B916">
        <v>231</v>
      </c>
      <c r="C916">
        <f>MAX(Table13[Rank])-Table13[[#This Row],[Rank]]</f>
        <v>33</v>
      </c>
      <c r="D916" t="s">
        <v>780</v>
      </c>
      <c r="E916" t="s">
        <v>35</v>
      </c>
      <c r="F916" s="1">
        <v>13644</v>
      </c>
      <c r="G916">
        <f>YEAR(Table13[[#This Row],[Date]])</f>
        <v>1937</v>
      </c>
      <c r="H916" t="s">
        <v>930</v>
      </c>
      <c r="I916">
        <f>IF(COUNTIF($E916, _xlfn.CONCAT("*",Table13[[#Headers],[Action]],"*")),1,0)</f>
        <v>0</v>
      </c>
      <c r="J916">
        <f>IF(COUNTIF($E916, _xlfn.CONCAT("*",Table13[[#Headers],[Adventure]],"*")),1,0)</f>
        <v>0</v>
      </c>
      <c r="K916">
        <f>IF(COUNTIF($E916, _xlfn.CONCAT("*",Table13[[#Headers],[Animation]],"*")),1,0)</f>
        <v>0</v>
      </c>
      <c r="L916">
        <f>IF(COUNTIF($E916, _xlfn.CONCAT("*",Table13[[#Headers],[Comedy]],"*")),1,0)</f>
        <v>0</v>
      </c>
      <c r="M916">
        <f>IF(COUNTIF($E916, _xlfn.CONCAT("*",Table13[[#Headers],[Crime]],"*")),1,0)</f>
        <v>0</v>
      </c>
      <c r="N916">
        <f>IF(COUNTIF($E916, _xlfn.CONCAT("*",Table13[[#Headers],[Documentary]],"*")),1,0)</f>
        <v>0</v>
      </c>
      <c r="O916">
        <f>IF(COUNTIF($E916, _xlfn.CONCAT("*",Table13[[#Headers],[Drama]],"*")),1,0)</f>
        <v>1</v>
      </c>
      <c r="P916">
        <f>IF(COUNTIF($E916, _xlfn.CONCAT("*",Table13[[#Headers],[Family]],"*")),1,0)</f>
        <v>0</v>
      </c>
      <c r="Q916">
        <f>IF(COUNTIF($E916, _xlfn.CONCAT("*",Table13[[#Headers],[Fantasy]],"*")),1,0)</f>
        <v>0</v>
      </c>
      <c r="R916">
        <f>IF(COUNTIF($E916, _xlfn.CONCAT("*",Table13[[#Headers],[History]],"*")),1,0)</f>
        <v>0</v>
      </c>
      <c r="S916">
        <f>IF(COUNTIF($E916, _xlfn.CONCAT("*",Table13[[#Headers],[Horror]],"*")),1,0)</f>
        <v>0</v>
      </c>
      <c r="T916">
        <f>IF(COUNTIF($E916, _xlfn.CONCAT("*",Table13[[#Headers],[Music]],"*")),1,0)</f>
        <v>0</v>
      </c>
      <c r="U916">
        <f>IF(COUNTIF($E916, _xlfn.CONCAT("*",Table13[[#Headers],[Mystery]],"*")),1,0)</f>
        <v>0</v>
      </c>
      <c r="V916">
        <f>IF(COUNTIF($E916, _xlfn.CONCAT("*",Table13[[#Headers],[Romance]],"*")),1,0)</f>
        <v>1</v>
      </c>
      <c r="W916">
        <f>IF(COUNTIF($E916, _xlfn.CONCAT("*",Table13[[#Headers],[Science Fiction]],"*")),1,0)</f>
        <v>0</v>
      </c>
      <c r="X916">
        <f>IF(COUNTIF($E916, _xlfn.CONCAT("*",Table13[[#Headers],[TV Movie]],"*")),1,0)</f>
        <v>0</v>
      </c>
      <c r="Y916">
        <f>IF(COUNTIF($E916, _xlfn.CONCAT("*",Table13[[#Headers],[Thriller]],"*")),1,0)</f>
        <v>0</v>
      </c>
      <c r="Z916">
        <f>IF(COUNTIF($E916, _xlfn.CONCAT("*",Table13[[#Headers],[War]],"*")),1,0)</f>
        <v>0</v>
      </c>
      <c r="AA916">
        <f>IF(COUNTIF($E916, _xlfn.CONCAT("*",Table13[[#Headers],[Western]],"*")),1,0)</f>
        <v>0</v>
      </c>
    </row>
    <row r="917" spans="1:27">
      <c r="A917" t="s">
        <v>931</v>
      </c>
      <c r="B917">
        <v>232</v>
      </c>
      <c r="C917">
        <f>MAX(Table13[Rank])-Table13[[#This Row],[Rank]]</f>
        <v>32</v>
      </c>
      <c r="D917" t="s">
        <v>780</v>
      </c>
      <c r="E917" t="s">
        <v>932</v>
      </c>
      <c r="F917" s="1">
        <v>40214</v>
      </c>
      <c r="G917">
        <f>YEAR(Table13[[#This Row],[Date]])</f>
        <v>2010</v>
      </c>
      <c r="H917" t="s">
        <v>931</v>
      </c>
      <c r="I917">
        <f>IF(COUNTIF($E917, _xlfn.CONCAT("*",Table13[[#Headers],[Action]],"*")),1,0)</f>
        <v>0</v>
      </c>
      <c r="J917">
        <f>IF(COUNTIF($E917, _xlfn.CONCAT("*",Table13[[#Headers],[Adventure]],"*")),1,0)</f>
        <v>0</v>
      </c>
      <c r="K917">
        <f>IF(COUNTIF($E917, _xlfn.CONCAT("*",Table13[[#Headers],[Animation]],"*")),1,0)</f>
        <v>1</v>
      </c>
      <c r="L917">
        <f>IF(COUNTIF($E917, _xlfn.CONCAT("*",Table13[[#Headers],[Comedy]],"*")),1,0)</f>
        <v>1</v>
      </c>
      <c r="M917">
        <f>IF(COUNTIF($E917, _xlfn.CONCAT("*",Table13[[#Headers],[Crime]],"*")),1,0)</f>
        <v>0</v>
      </c>
      <c r="N917">
        <f>IF(COUNTIF($E917, _xlfn.CONCAT("*",Table13[[#Headers],[Documentary]],"*")),1,0)</f>
        <v>0</v>
      </c>
      <c r="O917">
        <f>IF(COUNTIF($E917, _xlfn.CONCAT("*",Table13[[#Headers],[Drama]],"*")),1,0)</f>
        <v>1</v>
      </c>
      <c r="P917">
        <f>IF(COUNTIF($E917, _xlfn.CONCAT("*",Table13[[#Headers],[Family]],"*")),1,0)</f>
        <v>0</v>
      </c>
      <c r="Q917">
        <f>IF(COUNTIF($E917, _xlfn.CONCAT("*",Table13[[#Headers],[Fantasy]],"*")),1,0)</f>
        <v>0</v>
      </c>
      <c r="R917">
        <f>IF(COUNTIF($E917, _xlfn.CONCAT("*",Table13[[#Headers],[History]],"*")),1,0)</f>
        <v>0</v>
      </c>
      <c r="S917">
        <f>IF(COUNTIF($E917, _xlfn.CONCAT("*",Table13[[#Headers],[Horror]],"*")),1,0)</f>
        <v>0</v>
      </c>
      <c r="T917">
        <f>IF(COUNTIF($E917, _xlfn.CONCAT("*",Table13[[#Headers],[Music]],"*")),1,0)</f>
        <v>0</v>
      </c>
      <c r="U917">
        <f>IF(COUNTIF($E917, _xlfn.CONCAT("*",Table13[[#Headers],[Mystery]],"*")),1,0)</f>
        <v>1</v>
      </c>
      <c r="V917">
        <f>IF(COUNTIF($E917, _xlfn.CONCAT("*",Table13[[#Headers],[Romance]],"*")),1,0)</f>
        <v>0</v>
      </c>
      <c r="W917">
        <f>IF(COUNTIF($E917, _xlfn.CONCAT("*",Table13[[#Headers],[Science Fiction]],"*")),1,0)</f>
        <v>1</v>
      </c>
      <c r="X917">
        <f>IF(COUNTIF($E917, _xlfn.CONCAT("*",Table13[[#Headers],[TV Movie]],"*")),1,0)</f>
        <v>0</v>
      </c>
      <c r="Y917">
        <f>IF(COUNTIF($E917, _xlfn.CONCAT("*",Table13[[#Headers],[Thriller]],"*")),1,0)</f>
        <v>0</v>
      </c>
      <c r="Z917">
        <f>IF(COUNTIF($E917, _xlfn.CONCAT("*",Table13[[#Headers],[War]],"*")),1,0)</f>
        <v>0</v>
      </c>
      <c r="AA917">
        <f>IF(COUNTIF($E917, _xlfn.CONCAT("*",Table13[[#Headers],[Western]],"*")),1,0)</f>
        <v>0</v>
      </c>
    </row>
    <row r="918" spans="1:27">
      <c r="A918" t="s">
        <v>933</v>
      </c>
      <c r="B918">
        <v>233</v>
      </c>
      <c r="C918">
        <f>MAX(Table13[Rank])-Table13[[#This Row],[Rank]]</f>
        <v>31</v>
      </c>
      <c r="D918" t="s">
        <v>780</v>
      </c>
      <c r="E918" t="s">
        <v>21</v>
      </c>
      <c r="F918" s="1">
        <v>39318</v>
      </c>
      <c r="G918">
        <f>YEAR(Table13[[#This Row],[Date]])</f>
        <v>2007</v>
      </c>
      <c r="H918" t="s">
        <v>933</v>
      </c>
      <c r="I918">
        <f>IF(COUNTIF($E918, _xlfn.CONCAT("*",Table13[[#Headers],[Action]],"*")),1,0)</f>
        <v>0</v>
      </c>
      <c r="J918">
        <f>IF(COUNTIF($E918, _xlfn.CONCAT("*",Table13[[#Headers],[Adventure]],"*")),1,0)</f>
        <v>0</v>
      </c>
      <c r="K918">
        <f>IF(COUNTIF($E918, _xlfn.CONCAT("*",Table13[[#Headers],[Animation]],"*")),1,0)</f>
        <v>0</v>
      </c>
      <c r="L918">
        <f>IF(COUNTIF($E918, _xlfn.CONCAT("*",Table13[[#Headers],[Comedy]],"*")),1,0)</f>
        <v>0</v>
      </c>
      <c r="M918">
        <f>IF(COUNTIF($E918, _xlfn.CONCAT("*",Table13[[#Headers],[Crime]],"*")),1,0)</f>
        <v>0</v>
      </c>
      <c r="N918">
        <f>IF(COUNTIF($E918, _xlfn.CONCAT("*",Table13[[#Headers],[Documentary]],"*")),1,0)</f>
        <v>0</v>
      </c>
      <c r="O918">
        <f>IF(COUNTIF($E918, _xlfn.CONCAT("*",Table13[[#Headers],[Drama]],"*")),1,0)</f>
        <v>1</v>
      </c>
      <c r="P918">
        <f>IF(COUNTIF($E918, _xlfn.CONCAT("*",Table13[[#Headers],[Family]],"*")),1,0)</f>
        <v>0</v>
      </c>
      <c r="Q918">
        <f>IF(COUNTIF($E918, _xlfn.CONCAT("*",Table13[[#Headers],[Fantasy]],"*")),1,0)</f>
        <v>0</v>
      </c>
      <c r="R918">
        <f>IF(COUNTIF($E918, _xlfn.CONCAT("*",Table13[[#Headers],[History]],"*")),1,0)</f>
        <v>0</v>
      </c>
      <c r="S918">
        <f>IF(COUNTIF($E918, _xlfn.CONCAT("*",Table13[[#Headers],[Horror]],"*")),1,0)</f>
        <v>0</v>
      </c>
      <c r="T918">
        <f>IF(COUNTIF($E918, _xlfn.CONCAT("*",Table13[[#Headers],[Music]],"*")),1,0)</f>
        <v>0</v>
      </c>
      <c r="U918">
        <f>IF(COUNTIF($E918, _xlfn.CONCAT("*",Table13[[#Headers],[Mystery]],"*")),1,0)</f>
        <v>0</v>
      </c>
      <c r="V918">
        <f>IF(COUNTIF($E918, _xlfn.CONCAT("*",Table13[[#Headers],[Romance]],"*")),1,0)</f>
        <v>0</v>
      </c>
      <c r="W918">
        <f>IF(COUNTIF($E918, _xlfn.CONCAT("*",Table13[[#Headers],[Science Fiction]],"*")),1,0)</f>
        <v>0</v>
      </c>
      <c r="X918">
        <f>IF(COUNTIF($E918, _xlfn.CONCAT("*",Table13[[#Headers],[TV Movie]],"*")),1,0)</f>
        <v>0</v>
      </c>
      <c r="Y918">
        <f>IF(COUNTIF($E918, _xlfn.CONCAT("*",Table13[[#Headers],[Thriller]],"*")),1,0)</f>
        <v>0</v>
      </c>
      <c r="Z918">
        <f>IF(COUNTIF($E918, _xlfn.CONCAT("*",Table13[[#Headers],[War]],"*")),1,0)</f>
        <v>0</v>
      </c>
      <c r="AA918">
        <f>IF(COUNTIF($E918, _xlfn.CONCAT("*",Table13[[#Headers],[Western]],"*")),1,0)</f>
        <v>0</v>
      </c>
    </row>
    <row r="919" spans="1:27">
      <c r="A919" t="s">
        <v>688</v>
      </c>
      <c r="B919">
        <v>234</v>
      </c>
      <c r="C919">
        <f>MAX(Table13[Rank])-Table13[[#This Row],[Rank]]</f>
        <v>30</v>
      </c>
      <c r="D919" t="s">
        <v>780</v>
      </c>
      <c r="E919" t="s">
        <v>689</v>
      </c>
      <c r="F919" s="1">
        <v>43658</v>
      </c>
      <c r="G919">
        <f>YEAR(Table13[[#This Row],[Date]])</f>
        <v>2019</v>
      </c>
      <c r="H919" t="s">
        <v>688</v>
      </c>
      <c r="I919">
        <f>IF(COUNTIF($E919, _xlfn.CONCAT("*",Table13[[#Headers],[Action]],"*")),1,0)</f>
        <v>0</v>
      </c>
      <c r="J919">
        <f>IF(COUNTIF($E919, _xlfn.CONCAT("*",Table13[[#Headers],[Adventure]],"*")),1,0)</f>
        <v>1</v>
      </c>
      <c r="K919">
        <f>IF(COUNTIF($E919, _xlfn.CONCAT("*",Table13[[#Headers],[Animation]],"*")),1,0)</f>
        <v>1</v>
      </c>
      <c r="L919">
        <f>IF(COUNTIF($E919, _xlfn.CONCAT("*",Table13[[#Headers],[Comedy]],"*")),1,0)</f>
        <v>0</v>
      </c>
      <c r="M919">
        <f>IF(COUNTIF($E919, _xlfn.CONCAT("*",Table13[[#Headers],[Crime]],"*")),1,0)</f>
        <v>0</v>
      </c>
      <c r="N919">
        <f>IF(COUNTIF($E919, _xlfn.CONCAT("*",Table13[[#Headers],[Documentary]],"*")),1,0)</f>
        <v>0</v>
      </c>
      <c r="O919">
        <f>IF(COUNTIF($E919, _xlfn.CONCAT("*",Table13[[#Headers],[Drama]],"*")),1,0)</f>
        <v>1</v>
      </c>
      <c r="P919">
        <f>IF(COUNTIF($E919, _xlfn.CONCAT("*",Table13[[#Headers],[Family]],"*")),1,0)</f>
        <v>1</v>
      </c>
      <c r="Q919">
        <f>IF(COUNTIF($E919, _xlfn.CONCAT("*",Table13[[#Headers],[Fantasy]],"*")),1,0)</f>
        <v>0</v>
      </c>
      <c r="R919">
        <f>IF(COUNTIF($E919, _xlfn.CONCAT("*",Table13[[#Headers],[History]],"*")),1,0)</f>
        <v>0</v>
      </c>
      <c r="S919">
        <f>IF(COUNTIF($E919, _xlfn.CONCAT("*",Table13[[#Headers],[Horror]],"*")),1,0)</f>
        <v>0</v>
      </c>
      <c r="T919">
        <f>IF(COUNTIF($E919, _xlfn.CONCAT("*",Table13[[#Headers],[Music]],"*")),1,0)</f>
        <v>0</v>
      </c>
      <c r="U919">
        <f>IF(COUNTIF($E919, _xlfn.CONCAT("*",Table13[[#Headers],[Mystery]],"*")),1,0)</f>
        <v>0</v>
      </c>
      <c r="V919">
        <f>IF(COUNTIF($E919, _xlfn.CONCAT("*",Table13[[#Headers],[Romance]],"*")),1,0)</f>
        <v>0</v>
      </c>
      <c r="W919">
        <f>IF(COUNTIF($E919, _xlfn.CONCAT("*",Table13[[#Headers],[Science Fiction]],"*")),1,0)</f>
        <v>0</v>
      </c>
      <c r="X919">
        <f>IF(COUNTIF($E919, _xlfn.CONCAT("*",Table13[[#Headers],[TV Movie]],"*")),1,0)</f>
        <v>0</v>
      </c>
      <c r="Y919">
        <f>IF(COUNTIF($E919, _xlfn.CONCAT("*",Table13[[#Headers],[Thriller]],"*")),1,0)</f>
        <v>0</v>
      </c>
      <c r="Z919">
        <f>IF(COUNTIF($E919, _xlfn.CONCAT("*",Table13[[#Headers],[War]],"*")),1,0)</f>
        <v>0</v>
      </c>
      <c r="AA919">
        <f>IF(COUNTIF($E919, _xlfn.CONCAT("*",Table13[[#Headers],[Western]],"*")),1,0)</f>
        <v>0</v>
      </c>
    </row>
    <row r="920" spans="1:27">
      <c r="A920" t="s">
        <v>934</v>
      </c>
      <c r="B920">
        <v>235</v>
      </c>
      <c r="C920">
        <f>MAX(Table13[Rank])-Table13[[#This Row],[Rank]]</f>
        <v>29</v>
      </c>
      <c r="D920" t="s">
        <v>780</v>
      </c>
      <c r="E920" t="s">
        <v>935</v>
      </c>
      <c r="F920" s="1">
        <v>42608</v>
      </c>
      <c r="G920">
        <f>YEAR(Table13[[#This Row],[Date]])</f>
        <v>2016</v>
      </c>
      <c r="H920" t="s">
        <v>934</v>
      </c>
      <c r="I920">
        <f>IF(COUNTIF($E920, _xlfn.CONCAT("*",Table13[[#Headers],[Action]],"*")),1,0)</f>
        <v>0</v>
      </c>
      <c r="J920">
        <f>IF(COUNTIF($E920, _xlfn.CONCAT("*",Table13[[#Headers],[Adventure]],"*")),1,0)</f>
        <v>0</v>
      </c>
      <c r="K920">
        <f>IF(COUNTIF($E920, _xlfn.CONCAT("*",Table13[[#Headers],[Animation]],"*")),1,0)</f>
        <v>1</v>
      </c>
      <c r="L920">
        <f>IF(COUNTIF($E920, _xlfn.CONCAT("*",Table13[[#Headers],[Comedy]],"*")),1,0)</f>
        <v>0</v>
      </c>
      <c r="M920">
        <f>IF(COUNTIF($E920, _xlfn.CONCAT("*",Table13[[#Headers],[Crime]],"*")),1,0)</f>
        <v>0</v>
      </c>
      <c r="N920">
        <f>IF(COUNTIF($E920, _xlfn.CONCAT("*",Table13[[#Headers],[Documentary]],"*")),1,0)</f>
        <v>0</v>
      </c>
      <c r="O920">
        <f>IF(COUNTIF($E920, _xlfn.CONCAT("*",Table13[[#Headers],[Drama]],"*")),1,0)</f>
        <v>1</v>
      </c>
      <c r="P920">
        <f>IF(COUNTIF($E920, _xlfn.CONCAT("*",Table13[[#Headers],[Family]],"*")),1,0)</f>
        <v>0</v>
      </c>
      <c r="Q920">
        <f>IF(COUNTIF($E920, _xlfn.CONCAT("*",Table13[[#Headers],[Fantasy]],"*")),1,0)</f>
        <v>0</v>
      </c>
      <c r="R920">
        <f>IF(COUNTIF($E920, _xlfn.CONCAT("*",Table13[[#Headers],[History]],"*")),1,0)</f>
        <v>0</v>
      </c>
      <c r="S920">
        <f>IF(COUNTIF($E920, _xlfn.CONCAT("*",Table13[[#Headers],[Horror]],"*")),1,0)</f>
        <v>0</v>
      </c>
      <c r="T920">
        <f>IF(COUNTIF($E920, _xlfn.CONCAT("*",Table13[[#Headers],[Music]],"*")),1,0)</f>
        <v>0</v>
      </c>
      <c r="U920">
        <f>IF(COUNTIF($E920, _xlfn.CONCAT("*",Table13[[#Headers],[Mystery]],"*")),1,0)</f>
        <v>0</v>
      </c>
      <c r="V920">
        <f>IF(COUNTIF($E920, _xlfn.CONCAT("*",Table13[[#Headers],[Romance]],"*")),1,0)</f>
        <v>1</v>
      </c>
      <c r="W920">
        <f>IF(COUNTIF($E920, _xlfn.CONCAT("*",Table13[[#Headers],[Science Fiction]],"*")),1,0)</f>
        <v>0</v>
      </c>
      <c r="X920">
        <f>IF(COUNTIF($E920, _xlfn.CONCAT("*",Table13[[#Headers],[TV Movie]],"*")),1,0)</f>
        <v>0</v>
      </c>
      <c r="Y920">
        <f>IF(COUNTIF($E920, _xlfn.CONCAT("*",Table13[[#Headers],[Thriller]],"*")),1,0)</f>
        <v>0</v>
      </c>
      <c r="Z920">
        <f>IF(COUNTIF($E920, _xlfn.CONCAT("*",Table13[[#Headers],[War]],"*")),1,0)</f>
        <v>0</v>
      </c>
      <c r="AA920">
        <f>IF(COUNTIF($E920, _xlfn.CONCAT("*",Table13[[#Headers],[Western]],"*")),1,0)</f>
        <v>0</v>
      </c>
    </row>
    <row r="921" spans="1:27">
      <c r="A921" t="s">
        <v>936</v>
      </c>
      <c r="B921">
        <v>236</v>
      </c>
      <c r="C921">
        <f>MAX(Table13[Rank])-Table13[[#This Row],[Rank]]</f>
        <v>28</v>
      </c>
      <c r="D921" t="s">
        <v>780</v>
      </c>
      <c r="E921" t="s">
        <v>35</v>
      </c>
      <c r="F921" s="1">
        <v>41172</v>
      </c>
      <c r="G921">
        <f>YEAR(Table13[[#This Row],[Date]])</f>
        <v>2012</v>
      </c>
      <c r="H921" t="s">
        <v>936</v>
      </c>
      <c r="I921">
        <f>IF(COUNTIF($E921, _xlfn.CONCAT("*",Table13[[#Headers],[Action]],"*")),1,0)</f>
        <v>0</v>
      </c>
      <c r="J921">
        <f>IF(COUNTIF($E921, _xlfn.CONCAT("*",Table13[[#Headers],[Adventure]],"*")),1,0)</f>
        <v>0</v>
      </c>
      <c r="K921">
        <f>IF(COUNTIF($E921, _xlfn.CONCAT("*",Table13[[#Headers],[Animation]],"*")),1,0)</f>
        <v>0</v>
      </c>
      <c r="L921">
        <f>IF(COUNTIF($E921, _xlfn.CONCAT("*",Table13[[#Headers],[Comedy]],"*")),1,0)</f>
        <v>0</v>
      </c>
      <c r="M921">
        <f>IF(COUNTIF($E921, _xlfn.CONCAT("*",Table13[[#Headers],[Crime]],"*")),1,0)</f>
        <v>0</v>
      </c>
      <c r="N921">
        <f>IF(COUNTIF($E921, _xlfn.CONCAT("*",Table13[[#Headers],[Documentary]],"*")),1,0)</f>
        <v>0</v>
      </c>
      <c r="O921">
        <f>IF(COUNTIF($E921, _xlfn.CONCAT("*",Table13[[#Headers],[Drama]],"*")),1,0)</f>
        <v>1</v>
      </c>
      <c r="P921">
        <f>IF(COUNTIF($E921, _xlfn.CONCAT("*",Table13[[#Headers],[Family]],"*")),1,0)</f>
        <v>0</v>
      </c>
      <c r="Q921">
        <f>IF(COUNTIF($E921, _xlfn.CONCAT("*",Table13[[#Headers],[Fantasy]],"*")),1,0)</f>
        <v>0</v>
      </c>
      <c r="R921">
        <f>IF(COUNTIF($E921, _xlfn.CONCAT("*",Table13[[#Headers],[History]],"*")),1,0)</f>
        <v>0</v>
      </c>
      <c r="S921">
        <f>IF(COUNTIF($E921, _xlfn.CONCAT("*",Table13[[#Headers],[Horror]],"*")),1,0)</f>
        <v>0</v>
      </c>
      <c r="T921">
        <f>IF(COUNTIF($E921, _xlfn.CONCAT("*",Table13[[#Headers],[Music]],"*")),1,0)</f>
        <v>0</v>
      </c>
      <c r="U921">
        <f>IF(COUNTIF($E921, _xlfn.CONCAT("*",Table13[[#Headers],[Mystery]],"*")),1,0)</f>
        <v>0</v>
      </c>
      <c r="V921">
        <f>IF(COUNTIF($E921, _xlfn.CONCAT("*",Table13[[#Headers],[Romance]],"*")),1,0)</f>
        <v>1</v>
      </c>
      <c r="W921">
        <f>IF(COUNTIF($E921, _xlfn.CONCAT("*",Table13[[#Headers],[Science Fiction]],"*")),1,0)</f>
        <v>0</v>
      </c>
      <c r="X921">
        <f>IF(COUNTIF($E921, _xlfn.CONCAT("*",Table13[[#Headers],[TV Movie]],"*")),1,0)</f>
        <v>0</v>
      </c>
      <c r="Y921">
        <f>IF(COUNTIF($E921, _xlfn.CONCAT("*",Table13[[#Headers],[Thriller]],"*")),1,0)</f>
        <v>0</v>
      </c>
      <c r="Z921">
        <f>IF(COUNTIF($E921, _xlfn.CONCAT("*",Table13[[#Headers],[War]],"*")),1,0)</f>
        <v>0</v>
      </c>
      <c r="AA921">
        <f>IF(COUNTIF($E921, _xlfn.CONCAT("*",Table13[[#Headers],[Western]],"*")),1,0)</f>
        <v>0</v>
      </c>
    </row>
    <row r="922" spans="1:27">
      <c r="A922" t="s">
        <v>167</v>
      </c>
      <c r="B922">
        <v>237</v>
      </c>
      <c r="C922">
        <f>MAX(Table13[Rank])-Table13[[#This Row],[Rank]]</f>
        <v>27</v>
      </c>
      <c r="D922" t="s">
        <v>780</v>
      </c>
      <c r="E922" t="s">
        <v>166</v>
      </c>
      <c r="F922" s="1">
        <v>30825</v>
      </c>
      <c r="G922">
        <f>YEAR(Table13[[#This Row],[Date]])</f>
        <v>1984</v>
      </c>
      <c r="H922" t="s">
        <v>167</v>
      </c>
      <c r="I922">
        <f>IF(COUNTIF($E922, _xlfn.CONCAT("*",Table13[[#Headers],[Action]],"*")),1,0)</f>
        <v>0</v>
      </c>
      <c r="J922">
        <f>IF(COUNTIF($E922, _xlfn.CONCAT("*",Table13[[#Headers],[Adventure]],"*")),1,0)</f>
        <v>0</v>
      </c>
      <c r="K922">
        <f>IF(COUNTIF($E922, _xlfn.CONCAT("*",Table13[[#Headers],[Animation]],"*")),1,0)</f>
        <v>0</v>
      </c>
      <c r="L922">
        <f>IF(COUNTIF($E922, _xlfn.CONCAT("*",Table13[[#Headers],[Comedy]],"*")),1,0)</f>
        <v>0</v>
      </c>
      <c r="M922">
        <f>IF(COUNTIF($E922, _xlfn.CONCAT("*",Table13[[#Headers],[Crime]],"*")),1,0)</f>
        <v>1</v>
      </c>
      <c r="N922">
        <f>IF(COUNTIF($E922, _xlfn.CONCAT("*",Table13[[#Headers],[Documentary]],"*")),1,0)</f>
        <v>0</v>
      </c>
      <c r="O922">
        <f>IF(COUNTIF($E922, _xlfn.CONCAT("*",Table13[[#Headers],[Drama]],"*")),1,0)</f>
        <v>1</v>
      </c>
      <c r="P922">
        <f>IF(COUNTIF($E922, _xlfn.CONCAT("*",Table13[[#Headers],[Family]],"*")),1,0)</f>
        <v>0</v>
      </c>
      <c r="Q922">
        <f>IF(COUNTIF($E922, _xlfn.CONCAT("*",Table13[[#Headers],[Fantasy]],"*")),1,0)</f>
        <v>0</v>
      </c>
      <c r="R922">
        <f>IF(COUNTIF($E922, _xlfn.CONCAT("*",Table13[[#Headers],[History]],"*")),1,0)</f>
        <v>0</v>
      </c>
      <c r="S922">
        <f>IF(COUNTIF($E922, _xlfn.CONCAT("*",Table13[[#Headers],[Horror]],"*")),1,0)</f>
        <v>0</v>
      </c>
      <c r="T922">
        <f>IF(COUNTIF($E922, _xlfn.CONCAT("*",Table13[[#Headers],[Music]],"*")),1,0)</f>
        <v>0</v>
      </c>
      <c r="U922">
        <f>IF(COUNTIF($E922, _xlfn.CONCAT("*",Table13[[#Headers],[Mystery]],"*")),1,0)</f>
        <v>0</v>
      </c>
      <c r="V922">
        <f>IF(COUNTIF($E922, _xlfn.CONCAT("*",Table13[[#Headers],[Romance]],"*")),1,0)</f>
        <v>0</v>
      </c>
      <c r="W922">
        <f>IF(COUNTIF($E922, _xlfn.CONCAT("*",Table13[[#Headers],[Science Fiction]],"*")),1,0)</f>
        <v>0</v>
      </c>
      <c r="X922">
        <f>IF(COUNTIF($E922, _xlfn.CONCAT("*",Table13[[#Headers],[TV Movie]],"*")),1,0)</f>
        <v>0</v>
      </c>
      <c r="Y922">
        <f>IF(COUNTIF($E922, _xlfn.CONCAT("*",Table13[[#Headers],[Thriller]],"*")),1,0)</f>
        <v>0</v>
      </c>
      <c r="Z922">
        <f>IF(COUNTIF($E922, _xlfn.CONCAT("*",Table13[[#Headers],[War]],"*")),1,0)</f>
        <v>0</v>
      </c>
      <c r="AA922">
        <f>IF(COUNTIF($E922, _xlfn.CONCAT("*",Table13[[#Headers],[Western]],"*")),1,0)</f>
        <v>0</v>
      </c>
    </row>
    <row r="923" spans="1:27">
      <c r="A923" t="s">
        <v>937</v>
      </c>
      <c r="B923">
        <v>238</v>
      </c>
      <c r="C923">
        <f>MAX(Table13[Rank])-Table13[[#This Row],[Rank]]</f>
        <v>26</v>
      </c>
      <c r="D923" t="s">
        <v>780</v>
      </c>
      <c r="E923" t="s">
        <v>21</v>
      </c>
      <c r="F923" s="1">
        <v>22633</v>
      </c>
      <c r="G923">
        <f>YEAR(Table13[[#This Row],[Date]])</f>
        <v>1961</v>
      </c>
      <c r="H923" t="s">
        <v>937</v>
      </c>
      <c r="I923">
        <f>IF(COUNTIF($E923, _xlfn.CONCAT("*",Table13[[#Headers],[Action]],"*")),1,0)</f>
        <v>0</v>
      </c>
      <c r="J923">
        <f>IF(COUNTIF($E923, _xlfn.CONCAT("*",Table13[[#Headers],[Adventure]],"*")),1,0)</f>
        <v>0</v>
      </c>
      <c r="K923">
        <f>IF(COUNTIF($E923, _xlfn.CONCAT("*",Table13[[#Headers],[Animation]],"*")),1,0)</f>
        <v>0</v>
      </c>
      <c r="L923">
        <f>IF(COUNTIF($E923, _xlfn.CONCAT("*",Table13[[#Headers],[Comedy]],"*")),1,0)</f>
        <v>0</v>
      </c>
      <c r="M923">
        <f>IF(COUNTIF($E923, _xlfn.CONCAT("*",Table13[[#Headers],[Crime]],"*")),1,0)</f>
        <v>0</v>
      </c>
      <c r="N923">
        <f>IF(COUNTIF($E923, _xlfn.CONCAT("*",Table13[[#Headers],[Documentary]],"*")),1,0)</f>
        <v>0</v>
      </c>
      <c r="O923">
        <f>IF(COUNTIF($E923, _xlfn.CONCAT("*",Table13[[#Headers],[Drama]],"*")),1,0)</f>
        <v>1</v>
      </c>
      <c r="P923">
        <f>IF(COUNTIF($E923, _xlfn.CONCAT("*",Table13[[#Headers],[Family]],"*")),1,0)</f>
        <v>0</v>
      </c>
      <c r="Q923">
        <f>IF(COUNTIF($E923, _xlfn.CONCAT("*",Table13[[#Headers],[Fantasy]],"*")),1,0)</f>
        <v>0</v>
      </c>
      <c r="R923">
        <f>IF(COUNTIF($E923, _xlfn.CONCAT("*",Table13[[#Headers],[History]],"*")),1,0)</f>
        <v>0</v>
      </c>
      <c r="S923">
        <f>IF(COUNTIF($E923, _xlfn.CONCAT("*",Table13[[#Headers],[Horror]],"*")),1,0)</f>
        <v>0</v>
      </c>
      <c r="T923">
        <f>IF(COUNTIF($E923, _xlfn.CONCAT("*",Table13[[#Headers],[Music]],"*")),1,0)</f>
        <v>0</v>
      </c>
      <c r="U923">
        <f>IF(COUNTIF($E923, _xlfn.CONCAT("*",Table13[[#Headers],[Mystery]],"*")),1,0)</f>
        <v>0</v>
      </c>
      <c r="V923">
        <f>IF(COUNTIF($E923, _xlfn.CONCAT("*",Table13[[#Headers],[Romance]],"*")),1,0)</f>
        <v>0</v>
      </c>
      <c r="W923">
        <f>IF(COUNTIF($E923, _xlfn.CONCAT("*",Table13[[#Headers],[Science Fiction]],"*")),1,0)</f>
        <v>0</v>
      </c>
      <c r="X923">
        <f>IF(COUNTIF($E923, _xlfn.CONCAT("*",Table13[[#Headers],[TV Movie]],"*")),1,0)</f>
        <v>0</v>
      </c>
      <c r="Y923">
        <f>IF(COUNTIF($E923, _xlfn.CONCAT("*",Table13[[#Headers],[Thriller]],"*")),1,0)</f>
        <v>0</v>
      </c>
      <c r="Z923">
        <f>IF(COUNTIF($E923, _xlfn.CONCAT("*",Table13[[#Headers],[War]],"*")),1,0)</f>
        <v>0</v>
      </c>
      <c r="AA923">
        <f>IF(COUNTIF($E923, _xlfn.CONCAT("*",Table13[[#Headers],[Western]],"*")),1,0)</f>
        <v>0</v>
      </c>
    </row>
    <row r="924" spans="1:27">
      <c r="A924" t="s">
        <v>320</v>
      </c>
      <c r="B924">
        <v>239</v>
      </c>
      <c r="C924">
        <f>MAX(Table13[Rank])-Table13[[#This Row],[Rank]]</f>
        <v>25</v>
      </c>
      <c r="D924" t="s">
        <v>780</v>
      </c>
      <c r="E924" t="s">
        <v>21</v>
      </c>
      <c r="F924" s="1">
        <v>42664</v>
      </c>
      <c r="G924">
        <f>YEAR(Table13[[#This Row],[Date]])</f>
        <v>2016</v>
      </c>
      <c r="H924" t="s">
        <v>320</v>
      </c>
      <c r="I924">
        <f>IF(COUNTIF($E924, _xlfn.CONCAT("*",Table13[[#Headers],[Action]],"*")),1,0)</f>
        <v>0</v>
      </c>
      <c r="J924">
        <f>IF(COUNTIF($E924, _xlfn.CONCAT("*",Table13[[#Headers],[Adventure]],"*")),1,0)</f>
        <v>0</v>
      </c>
      <c r="K924">
        <f>IF(COUNTIF($E924, _xlfn.CONCAT("*",Table13[[#Headers],[Animation]],"*")),1,0)</f>
        <v>0</v>
      </c>
      <c r="L924">
        <f>IF(COUNTIF($E924, _xlfn.CONCAT("*",Table13[[#Headers],[Comedy]],"*")),1,0)</f>
        <v>0</v>
      </c>
      <c r="M924">
        <f>IF(COUNTIF($E924, _xlfn.CONCAT("*",Table13[[#Headers],[Crime]],"*")),1,0)</f>
        <v>0</v>
      </c>
      <c r="N924">
        <f>IF(COUNTIF($E924, _xlfn.CONCAT("*",Table13[[#Headers],[Documentary]],"*")),1,0)</f>
        <v>0</v>
      </c>
      <c r="O924">
        <f>IF(COUNTIF($E924, _xlfn.CONCAT("*",Table13[[#Headers],[Drama]],"*")),1,0)</f>
        <v>1</v>
      </c>
      <c r="P924">
        <f>IF(COUNTIF($E924, _xlfn.CONCAT("*",Table13[[#Headers],[Family]],"*")),1,0)</f>
        <v>0</v>
      </c>
      <c r="Q924">
        <f>IF(COUNTIF($E924, _xlfn.CONCAT("*",Table13[[#Headers],[Fantasy]],"*")),1,0)</f>
        <v>0</v>
      </c>
      <c r="R924">
        <f>IF(COUNTIF($E924, _xlfn.CONCAT("*",Table13[[#Headers],[History]],"*")),1,0)</f>
        <v>0</v>
      </c>
      <c r="S924">
        <f>IF(COUNTIF($E924, _xlfn.CONCAT("*",Table13[[#Headers],[Horror]],"*")),1,0)</f>
        <v>0</v>
      </c>
      <c r="T924">
        <f>IF(COUNTIF($E924, _xlfn.CONCAT("*",Table13[[#Headers],[Music]],"*")),1,0)</f>
        <v>0</v>
      </c>
      <c r="U924">
        <f>IF(COUNTIF($E924, _xlfn.CONCAT("*",Table13[[#Headers],[Mystery]],"*")),1,0)</f>
        <v>0</v>
      </c>
      <c r="V924">
        <f>IF(COUNTIF($E924, _xlfn.CONCAT("*",Table13[[#Headers],[Romance]],"*")),1,0)</f>
        <v>0</v>
      </c>
      <c r="W924">
        <f>IF(COUNTIF($E924, _xlfn.CONCAT("*",Table13[[#Headers],[Science Fiction]],"*")),1,0)</f>
        <v>0</v>
      </c>
      <c r="X924">
        <f>IF(COUNTIF($E924, _xlfn.CONCAT("*",Table13[[#Headers],[TV Movie]],"*")),1,0)</f>
        <v>0</v>
      </c>
      <c r="Y924">
        <f>IF(COUNTIF($E924, _xlfn.CONCAT("*",Table13[[#Headers],[Thriller]],"*")),1,0)</f>
        <v>0</v>
      </c>
      <c r="Z924">
        <f>IF(COUNTIF($E924, _xlfn.CONCAT("*",Table13[[#Headers],[War]],"*")),1,0)</f>
        <v>0</v>
      </c>
      <c r="AA924">
        <f>IF(COUNTIF($E924, _xlfn.CONCAT("*",Table13[[#Headers],[Western]],"*")),1,0)</f>
        <v>0</v>
      </c>
    </row>
    <row r="925" spans="1:27">
      <c r="A925" t="s">
        <v>124</v>
      </c>
      <c r="B925">
        <v>240</v>
      </c>
      <c r="C925">
        <f>MAX(Table13[Rank])-Table13[[#This Row],[Rank]]</f>
        <v>24</v>
      </c>
      <c r="D925" t="s">
        <v>780</v>
      </c>
      <c r="E925" t="s">
        <v>21</v>
      </c>
      <c r="F925" s="1">
        <v>22968</v>
      </c>
      <c r="G925">
        <f>YEAR(Table13[[#This Row],[Date]])</f>
        <v>1962</v>
      </c>
      <c r="H925" t="s">
        <v>124</v>
      </c>
      <c r="I925">
        <f>IF(COUNTIF($E925, _xlfn.CONCAT("*",Table13[[#Headers],[Action]],"*")),1,0)</f>
        <v>0</v>
      </c>
      <c r="J925">
        <f>IF(COUNTIF($E925, _xlfn.CONCAT("*",Table13[[#Headers],[Adventure]],"*")),1,0)</f>
        <v>0</v>
      </c>
      <c r="K925">
        <f>IF(COUNTIF($E925, _xlfn.CONCAT("*",Table13[[#Headers],[Animation]],"*")),1,0)</f>
        <v>0</v>
      </c>
      <c r="L925">
        <f>IF(COUNTIF($E925, _xlfn.CONCAT("*",Table13[[#Headers],[Comedy]],"*")),1,0)</f>
        <v>0</v>
      </c>
      <c r="M925">
        <f>IF(COUNTIF($E925, _xlfn.CONCAT("*",Table13[[#Headers],[Crime]],"*")),1,0)</f>
        <v>0</v>
      </c>
      <c r="N925">
        <f>IF(COUNTIF($E925, _xlfn.CONCAT("*",Table13[[#Headers],[Documentary]],"*")),1,0)</f>
        <v>0</v>
      </c>
      <c r="O925">
        <f>IF(COUNTIF($E925, _xlfn.CONCAT("*",Table13[[#Headers],[Drama]],"*")),1,0)</f>
        <v>1</v>
      </c>
      <c r="P925">
        <f>IF(COUNTIF($E925, _xlfn.CONCAT("*",Table13[[#Headers],[Family]],"*")),1,0)</f>
        <v>0</v>
      </c>
      <c r="Q925">
        <f>IF(COUNTIF($E925, _xlfn.CONCAT("*",Table13[[#Headers],[Fantasy]],"*")),1,0)</f>
        <v>0</v>
      </c>
      <c r="R925">
        <f>IF(COUNTIF($E925, _xlfn.CONCAT("*",Table13[[#Headers],[History]],"*")),1,0)</f>
        <v>0</v>
      </c>
      <c r="S925">
        <f>IF(COUNTIF($E925, _xlfn.CONCAT("*",Table13[[#Headers],[Horror]],"*")),1,0)</f>
        <v>0</v>
      </c>
      <c r="T925">
        <f>IF(COUNTIF($E925, _xlfn.CONCAT("*",Table13[[#Headers],[Music]],"*")),1,0)</f>
        <v>0</v>
      </c>
      <c r="U925">
        <f>IF(COUNTIF($E925, _xlfn.CONCAT("*",Table13[[#Headers],[Mystery]],"*")),1,0)</f>
        <v>0</v>
      </c>
      <c r="V925">
        <f>IF(COUNTIF($E925, _xlfn.CONCAT("*",Table13[[#Headers],[Romance]],"*")),1,0)</f>
        <v>0</v>
      </c>
      <c r="W925">
        <f>IF(COUNTIF($E925, _xlfn.CONCAT("*",Table13[[#Headers],[Science Fiction]],"*")),1,0)</f>
        <v>0</v>
      </c>
      <c r="X925">
        <f>IF(COUNTIF($E925, _xlfn.CONCAT("*",Table13[[#Headers],[TV Movie]],"*")),1,0)</f>
        <v>0</v>
      </c>
      <c r="Y925">
        <f>IF(COUNTIF($E925, _xlfn.CONCAT("*",Table13[[#Headers],[Thriller]],"*")),1,0)</f>
        <v>0</v>
      </c>
      <c r="Z925">
        <f>IF(COUNTIF($E925, _xlfn.CONCAT("*",Table13[[#Headers],[War]],"*")),1,0)</f>
        <v>0</v>
      </c>
      <c r="AA925">
        <f>IF(COUNTIF($E925, _xlfn.CONCAT("*",Table13[[#Headers],[Western]],"*")),1,0)</f>
        <v>0</v>
      </c>
    </row>
    <row r="926" spans="1:27">
      <c r="A926" t="s">
        <v>464</v>
      </c>
      <c r="B926">
        <v>241</v>
      </c>
      <c r="C926">
        <f>MAX(Table13[Rank])-Table13[[#This Row],[Rank]]</f>
        <v>23</v>
      </c>
      <c r="D926" t="s">
        <v>780</v>
      </c>
      <c r="E926" t="s">
        <v>465</v>
      </c>
      <c r="F926" s="1">
        <v>25001</v>
      </c>
      <c r="G926">
        <f>YEAR(Table13[[#This Row],[Date]])</f>
        <v>1968</v>
      </c>
      <c r="H926" t="s">
        <v>464</v>
      </c>
      <c r="I926">
        <f>IF(COUNTIF($E926, _xlfn.CONCAT("*",Table13[[#Headers],[Action]],"*")),1,0)</f>
        <v>0</v>
      </c>
      <c r="J926">
        <f>IF(COUNTIF($E926, _xlfn.CONCAT("*",Table13[[#Headers],[Adventure]],"*")),1,0)</f>
        <v>0</v>
      </c>
      <c r="K926">
        <f>IF(COUNTIF($E926, _xlfn.CONCAT("*",Table13[[#Headers],[Animation]],"*")),1,0)</f>
        <v>0</v>
      </c>
      <c r="L926">
        <f>IF(COUNTIF($E926, _xlfn.CONCAT("*",Table13[[#Headers],[Comedy]],"*")),1,0)</f>
        <v>0</v>
      </c>
      <c r="M926">
        <f>IF(COUNTIF($E926, _xlfn.CONCAT("*",Table13[[#Headers],[Crime]],"*")),1,0)</f>
        <v>0</v>
      </c>
      <c r="N926">
        <f>IF(COUNTIF($E926, _xlfn.CONCAT("*",Table13[[#Headers],[Documentary]],"*")),1,0)</f>
        <v>0</v>
      </c>
      <c r="O926">
        <f>IF(COUNTIF($E926, _xlfn.CONCAT("*",Table13[[#Headers],[Drama]],"*")),1,0)</f>
        <v>1</v>
      </c>
      <c r="P926">
        <f>IF(COUNTIF($E926, _xlfn.CONCAT("*",Table13[[#Headers],[Family]],"*")),1,0)</f>
        <v>0</v>
      </c>
      <c r="Q926">
        <f>IF(COUNTIF($E926, _xlfn.CONCAT("*",Table13[[#Headers],[Fantasy]],"*")),1,0)</f>
        <v>0</v>
      </c>
      <c r="R926">
        <f>IF(COUNTIF($E926, _xlfn.CONCAT("*",Table13[[#Headers],[History]],"*")),1,0)</f>
        <v>0</v>
      </c>
      <c r="S926">
        <f>IF(COUNTIF($E926, _xlfn.CONCAT("*",Table13[[#Headers],[Horror]],"*")),1,0)</f>
        <v>1</v>
      </c>
      <c r="T926">
        <f>IF(COUNTIF($E926, _xlfn.CONCAT("*",Table13[[#Headers],[Music]],"*")),1,0)</f>
        <v>0</v>
      </c>
      <c r="U926">
        <f>IF(COUNTIF($E926, _xlfn.CONCAT("*",Table13[[#Headers],[Mystery]],"*")),1,0)</f>
        <v>0</v>
      </c>
      <c r="V926">
        <f>IF(COUNTIF($E926, _xlfn.CONCAT("*",Table13[[#Headers],[Romance]],"*")),1,0)</f>
        <v>0</v>
      </c>
      <c r="W926">
        <f>IF(COUNTIF($E926, _xlfn.CONCAT("*",Table13[[#Headers],[Science Fiction]],"*")),1,0)</f>
        <v>0</v>
      </c>
      <c r="X926">
        <f>IF(COUNTIF($E926, _xlfn.CONCAT("*",Table13[[#Headers],[TV Movie]],"*")),1,0)</f>
        <v>0</v>
      </c>
      <c r="Y926">
        <f>IF(COUNTIF($E926, _xlfn.CONCAT("*",Table13[[#Headers],[Thriller]],"*")),1,0)</f>
        <v>1</v>
      </c>
      <c r="Z926">
        <f>IF(COUNTIF($E926, _xlfn.CONCAT("*",Table13[[#Headers],[War]],"*")),1,0)</f>
        <v>0</v>
      </c>
      <c r="AA926">
        <f>IF(COUNTIF($E926, _xlfn.CONCAT("*",Table13[[#Headers],[Western]],"*")),1,0)</f>
        <v>0</v>
      </c>
    </row>
    <row r="927" spans="1:27">
      <c r="A927" t="s">
        <v>657</v>
      </c>
      <c r="B927">
        <v>242</v>
      </c>
      <c r="C927">
        <f>MAX(Table13[Rank])-Table13[[#This Row],[Rank]]</f>
        <v>22</v>
      </c>
      <c r="D927" t="s">
        <v>780</v>
      </c>
      <c r="E927" t="s">
        <v>656</v>
      </c>
      <c r="F927" s="1">
        <v>31231</v>
      </c>
      <c r="G927">
        <f>YEAR(Table13[[#This Row],[Date]])</f>
        <v>1985</v>
      </c>
      <c r="H927" t="s">
        <v>657</v>
      </c>
      <c r="I927">
        <f>IF(COUNTIF($E927, _xlfn.CONCAT("*",Table13[[#Headers],[Action]],"*")),1,0)</f>
        <v>0</v>
      </c>
      <c r="J927">
        <f>IF(COUNTIF($E927, _xlfn.CONCAT("*",Table13[[#Headers],[Adventure]],"*")),1,0)</f>
        <v>1</v>
      </c>
      <c r="K927">
        <f>IF(COUNTIF($E927, _xlfn.CONCAT("*",Table13[[#Headers],[Animation]],"*")),1,0)</f>
        <v>0</v>
      </c>
      <c r="L927">
        <f>IF(COUNTIF($E927, _xlfn.CONCAT("*",Table13[[#Headers],[Comedy]],"*")),1,0)</f>
        <v>1</v>
      </c>
      <c r="M927">
        <f>IF(COUNTIF($E927, _xlfn.CONCAT("*",Table13[[#Headers],[Crime]],"*")),1,0)</f>
        <v>0</v>
      </c>
      <c r="N927">
        <f>IF(COUNTIF($E927, _xlfn.CONCAT("*",Table13[[#Headers],[Documentary]],"*")),1,0)</f>
        <v>0</v>
      </c>
      <c r="O927">
        <f>IF(COUNTIF($E927, _xlfn.CONCAT("*",Table13[[#Headers],[Drama]],"*")),1,0)</f>
        <v>0</v>
      </c>
      <c r="P927">
        <f>IF(COUNTIF($E927, _xlfn.CONCAT("*",Table13[[#Headers],[Family]],"*")),1,0)</f>
        <v>0</v>
      </c>
      <c r="Q927">
        <f>IF(COUNTIF($E927, _xlfn.CONCAT("*",Table13[[#Headers],[Fantasy]],"*")),1,0)</f>
        <v>0</v>
      </c>
      <c r="R927">
        <f>IF(COUNTIF($E927, _xlfn.CONCAT("*",Table13[[#Headers],[History]],"*")),1,0)</f>
        <v>0</v>
      </c>
      <c r="S927">
        <f>IF(COUNTIF($E927, _xlfn.CONCAT("*",Table13[[#Headers],[Horror]],"*")),1,0)</f>
        <v>0</v>
      </c>
      <c r="T927">
        <f>IF(COUNTIF($E927, _xlfn.CONCAT("*",Table13[[#Headers],[Music]],"*")),1,0)</f>
        <v>0</v>
      </c>
      <c r="U927">
        <f>IF(COUNTIF($E927, _xlfn.CONCAT("*",Table13[[#Headers],[Mystery]],"*")),1,0)</f>
        <v>0</v>
      </c>
      <c r="V927">
        <f>IF(COUNTIF($E927, _xlfn.CONCAT("*",Table13[[#Headers],[Romance]],"*")),1,0)</f>
        <v>0</v>
      </c>
      <c r="W927">
        <f>IF(COUNTIF($E927, _xlfn.CONCAT("*",Table13[[#Headers],[Science Fiction]],"*")),1,0)</f>
        <v>1</v>
      </c>
      <c r="X927">
        <f>IF(COUNTIF($E927, _xlfn.CONCAT("*",Table13[[#Headers],[TV Movie]],"*")),1,0)</f>
        <v>0</v>
      </c>
      <c r="Y927">
        <f>IF(COUNTIF($E927, _xlfn.CONCAT("*",Table13[[#Headers],[Thriller]],"*")),1,0)</f>
        <v>0</v>
      </c>
      <c r="Z927">
        <f>IF(COUNTIF($E927, _xlfn.CONCAT("*",Table13[[#Headers],[War]],"*")),1,0)</f>
        <v>0</v>
      </c>
      <c r="AA927">
        <f>IF(COUNTIF($E927, _xlfn.CONCAT("*",Table13[[#Headers],[Western]],"*")),1,0)</f>
        <v>0</v>
      </c>
    </row>
    <row r="928" spans="1:27">
      <c r="A928" t="s">
        <v>938</v>
      </c>
      <c r="B928">
        <v>243</v>
      </c>
      <c r="C928">
        <f>MAX(Table13[Rank])-Table13[[#This Row],[Rank]]</f>
        <v>21</v>
      </c>
      <c r="D928" t="s">
        <v>780</v>
      </c>
      <c r="E928" t="s">
        <v>939</v>
      </c>
      <c r="F928" s="1">
        <v>34948</v>
      </c>
      <c r="G928">
        <f>YEAR(Table13[[#This Row],[Date]])</f>
        <v>1995</v>
      </c>
      <c r="H928" t="s">
        <v>938</v>
      </c>
      <c r="I928">
        <f>IF(COUNTIF($E928, _xlfn.CONCAT("*",Table13[[#Headers],[Action]],"*")),1,0)</f>
        <v>1</v>
      </c>
      <c r="J928">
        <f>IF(COUNTIF($E928, _xlfn.CONCAT("*",Table13[[#Headers],[Adventure]],"*")),1,0)</f>
        <v>0</v>
      </c>
      <c r="K928">
        <f>IF(COUNTIF($E928, _xlfn.CONCAT("*",Table13[[#Headers],[Animation]],"*")),1,0)</f>
        <v>0</v>
      </c>
      <c r="L928">
        <f>IF(COUNTIF($E928, _xlfn.CONCAT("*",Table13[[#Headers],[Comedy]],"*")),1,0)</f>
        <v>0</v>
      </c>
      <c r="M928">
        <f>IF(COUNTIF($E928, _xlfn.CONCAT("*",Table13[[#Headers],[Crime]],"*")),1,0)</f>
        <v>1</v>
      </c>
      <c r="N928">
        <f>IF(COUNTIF($E928, _xlfn.CONCAT("*",Table13[[#Headers],[Documentary]],"*")),1,0)</f>
        <v>0</v>
      </c>
      <c r="O928">
        <f>IF(COUNTIF($E928, _xlfn.CONCAT("*",Table13[[#Headers],[Drama]],"*")),1,0)</f>
        <v>0</v>
      </c>
      <c r="P928">
        <f>IF(COUNTIF($E928, _xlfn.CONCAT("*",Table13[[#Headers],[Family]],"*")),1,0)</f>
        <v>0</v>
      </c>
      <c r="Q928">
        <f>IF(COUNTIF($E928, _xlfn.CONCAT("*",Table13[[#Headers],[Fantasy]],"*")),1,0)</f>
        <v>0</v>
      </c>
      <c r="R928">
        <f>IF(COUNTIF($E928, _xlfn.CONCAT("*",Table13[[#Headers],[History]],"*")),1,0)</f>
        <v>0</v>
      </c>
      <c r="S928">
        <f>IF(COUNTIF($E928, _xlfn.CONCAT("*",Table13[[#Headers],[Horror]],"*")),1,0)</f>
        <v>0</v>
      </c>
      <c r="T928">
        <f>IF(COUNTIF($E928, _xlfn.CONCAT("*",Table13[[#Headers],[Music]],"*")),1,0)</f>
        <v>0</v>
      </c>
      <c r="U928">
        <f>IF(COUNTIF($E928, _xlfn.CONCAT("*",Table13[[#Headers],[Mystery]],"*")),1,0)</f>
        <v>0</v>
      </c>
      <c r="V928">
        <f>IF(COUNTIF($E928, _xlfn.CONCAT("*",Table13[[#Headers],[Romance]],"*")),1,0)</f>
        <v>1</v>
      </c>
      <c r="W928">
        <f>IF(COUNTIF($E928, _xlfn.CONCAT("*",Table13[[#Headers],[Science Fiction]],"*")),1,0)</f>
        <v>0</v>
      </c>
      <c r="X928">
        <f>IF(COUNTIF($E928, _xlfn.CONCAT("*",Table13[[#Headers],[TV Movie]],"*")),1,0)</f>
        <v>0</v>
      </c>
      <c r="Y928">
        <f>IF(COUNTIF($E928, _xlfn.CONCAT("*",Table13[[#Headers],[Thriller]],"*")),1,0)</f>
        <v>0</v>
      </c>
      <c r="Z928">
        <f>IF(COUNTIF($E928, _xlfn.CONCAT("*",Table13[[#Headers],[War]],"*")),1,0)</f>
        <v>0</v>
      </c>
      <c r="AA928">
        <f>IF(COUNTIF($E928, _xlfn.CONCAT("*",Table13[[#Headers],[Western]],"*")),1,0)</f>
        <v>0</v>
      </c>
    </row>
    <row r="929" spans="1:27">
      <c r="A929" t="s">
        <v>940</v>
      </c>
      <c r="B929">
        <v>244</v>
      </c>
      <c r="C929">
        <f>MAX(Table13[Rank])-Table13[[#This Row],[Rank]]</f>
        <v>20</v>
      </c>
      <c r="D929" t="s">
        <v>780</v>
      </c>
      <c r="E929" t="s">
        <v>164</v>
      </c>
      <c r="F929" s="1">
        <v>35950</v>
      </c>
      <c r="G929">
        <f>YEAR(Table13[[#This Row],[Date]])</f>
        <v>1998</v>
      </c>
      <c r="H929" t="s">
        <v>940</v>
      </c>
      <c r="I929">
        <f>IF(COUNTIF($E929, _xlfn.CONCAT("*",Table13[[#Headers],[Action]],"*")),1,0)</f>
        <v>0</v>
      </c>
      <c r="J929">
        <f>IF(COUNTIF($E929, _xlfn.CONCAT("*",Table13[[#Headers],[Adventure]],"*")),1,0)</f>
        <v>0</v>
      </c>
      <c r="K929">
        <f>IF(COUNTIF($E929, _xlfn.CONCAT("*",Table13[[#Headers],[Animation]],"*")),1,0)</f>
        <v>0</v>
      </c>
      <c r="L929">
        <f>IF(COUNTIF($E929, _xlfn.CONCAT("*",Table13[[#Headers],[Comedy]],"*")),1,0)</f>
        <v>1</v>
      </c>
      <c r="M929">
        <f>IF(COUNTIF($E929, _xlfn.CONCAT("*",Table13[[#Headers],[Crime]],"*")),1,0)</f>
        <v>0</v>
      </c>
      <c r="N929">
        <f>IF(COUNTIF($E929, _xlfn.CONCAT("*",Table13[[#Headers],[Documentary]],"*")),1,0)</f>
        <v>0</v>
      </c>
      <c r="O929">
        <f>IF(COUNTIF($E929, _xlfn.CONCAT("*",Table13[[#Headers],[Drama]],"*")),1,0)</f>
        <v>1</v>
      </c>
      <c r="P929">
        <f>IF(COUNTIF($E929, _xlfn.CONCAT("*",Table13[[#Headers],[Family]],"*")),1,0)</f>
        <v>0</v>
      </c>
      <c r="Q929">
        <f>IF(COUNTIF($E929, _xlfn.CONCAT("*",Table13[[#Headers],[Fantasy]],"*")),1,0)</f>
        <v>0</v>
      </c>
      <c r="R929">
        <f>IF(COUNTIF($E929, _xlfn.CONCAT("*",Table13[[#Headers],[History]],"*")),1,0)</f>
        <v>0</v>
      </c>
      <c r="S929">
        <f>IF(COUNTIF($E929, _xlfn.CONCAT("*",Table13[[#Headers],[Horror]],"*")),1,0)</f>
        <v>0</v>
      </c>
      <c r="T929">
        <f>IF(COUNTIF($E929, _xlfn.CONCAT("*",Table13[[#Headers],[Music]],"*")),1,0)</f>
        <v>0</v>
      </c>
      <c r="U929">
        <f>IF(COUNTIF($E929, _xlfn.CONCAT("*",Table13[[#Headers],[Mystery]],"*")),1,0)</f>
        <v>0</v>
      </c>
      <c r="V929">
        <f>IF(COUNTIF($E929, _xlfn.CONCAT("*",Table13[[#Headers],[Romance]],"*")),1,0)</f>
        <v>0</v>
      </c>
      <c r="W929">
        <f>IF(COUNTIF($E929, _xlfn.CONCAT("*",Table13[[#Headers],[Science Fiction]],"*")),1,0)</f>
        <v>0</v>
      </c>
      <c r="X929">
        <f>IF(COUNTIF($E929, _xlfn.CONCAT("*",Table13[[#Headers],[TV Movie]],"*")),1,0)</f>
        <v>0</v>
      </c>
      <c r="Y929">
        <f>IF(COUNTIF($E929, _xlfn.CONCAT("*",Table13[[#Headers],[Thriller]],"*")),1,0)</f>
        <v>0</v>
      </c>
      <c r="Z929">
        <f>IF(COUNTIF($E929, _xlfn.CONCAT("*",Table13[[#Headers],[War]],"*")),1,0)</f>
        <v>0</v>
      </c>
      <c r="AA929">
        <f>IF(COUNTIF($E929, _xlfn.CONCAT("*",Table13[[#Headers],[Western]],"*")),1,0)</f>
        <v>0</v>
      </c>
    </row>
    <row r="930" spans="1:27">
      <c r="A930" t="s">
        <v>941</v>
      </c>
      <c r="B930">
        <v>245</v>
      </c>
      <c r="C930">
        <f>MAX(Table13[Rank])-Table13[[#This Row],[Rank]]</f>
        <v>19</v>
      </c>
      <c r="D930" t="s">
        <v>780</v>
      </c>
      <c r="E930" t="s">
        <v>21</v>
      </c>
      <c r="F930" s="1">
        <v>23281</v>
      </c>
      <c r="G930">
        <f>YEAR(Table13[[#This Row],[Date]])</f>
        <v>1963</v>
      </c>
      <c r="H930" t="s">
        <v>941</v>
      </c>
      <c r="I930">
        <f>IF(COUNTIF($E930, _xlfn.CONCAT("*",Table13[[#Headers],[Action]],"*")),1,0)</f>
        <v>0</v>
      </c>
      <c r="J930">
        <f>IF(COUNTIF($E930, _xlfn.CONCAT("*",Table13[[#Headers],[Adventure]],"*")),1,0)</f>
        <v>0</v>
      </c>
      <c r="K930">
        <f>IF(COUNTIF($E930, _xlfn.CONCAT("*",Table13[[#Headers],[Animation]],"*")),1,0)</f>
        <v>0</v>
      </c>
      <c r="L930">
        <f>IF(COUNTIF($E930, _xlfn.CONCAT("*",Table13[[#Headers],[Comedy]],"*")),1,0)</f>
        <v>0</v>
      </c>
      <c r="M930">
        <f>IF(COUNTIF($E930, _xlfn.CONCAT("*",Table13[[#Headers],[Crime]],"*")),1,0)</f>
        <v>0</v>
      </c>
      <c r="N930">
        <f>IF(COUNTIF($E930, _xlfn.CONCAT("*",Table13[[#Headers],[Documentary]],"*")),1,0)</f>
        <v>0</v>
      </c>
      <c r="O930">
        <f>IF(COUNTIF($E930, _xlfn.CONCAT("*",Table13[[#Headers],[Drama]],"*")),1,0)</f>
        <v>1</v>
      </c>
      <c r="P930">
        <f>IF(COUNTIF($E930, _xlfn.CONCAT("*",Table13[[#Headers],[Family]],"*")),1,0)</f>
        <v>0</v>
      </c>
      <c r="Q930">
        <f>IF(COUNTIF($E930, _xlfn.CONCAT("*",Table13[[#Headers],[Fantasy]],"*")),1,0)</f>
        <v>0</v>
      </c>
      <c r="R930">
        <f>IF(COUNTIF($E930, _xlfn.CONCAT("*",Table13[[#Headers],[History]],"*")),1,0)</f>
        <v>0</v>
      </c>
      <c r="S930">
        <f>IF(COUNTIF($E930, _xlfn.CONCAT("*",Table13[[#Headers],[Horror]],"*")),1,0)</f>
        <v>0</v>
      </c>
      <c r="T930">
        <f>IF(COUNTIF($E930, _xlfn.CONCAT("*",Table13[[#Headers],[Music]],"*")),1,0)</f>
        <v>0</v>
      </c>
      <c r="U930">
        <f>IF(COUNTIF($E930, _xlfn.CONCAT("*",Table13[[#Headers],[Mystery]],"*")),1,0)</f>
        <v>0</v>
      </c>
      <c r="V930">
        <f>IF(COUNTIF($E930, _xlfn.CONCAT("*",Table13[[#Headers],[Romance]],"*")),1,0)</f>
        <v>0</v>
      </c>
      <c r="W930">
        <f>IF(COUNTIF($E930, _xlfn.CONCAT("*",Table13[[#Headers],[Science Fiction]],"*")),1,0)</f>
        <v>0</v>
      </c>
      <c r="X930">
        <f>IF(COUNTIF($E930, _xlfn.CONCAT("*",Table13[[#Headers],[TV Movie]],"*")),1,0)</f>
        <v>0</v>
      </c>
      <c r="Y930">
        <f>IF(COUNTIF($E930, _xlfn.CONCAT("*",Table13[[#Headers],[Thriller]],"*")),1,0)</f>
        <v>0</v>
      </c>
      <c r="Z930">
        <f>IF(COUNTIF($E930, _xlfn.CONCAT("*",Table13[[#Headers],[War]],"*")),1,0)</f>
        <v>0</v>
      </c>
      <c r="AA930">
        <f>IF(COUNTIF($E930, _xlfn.CONCAT("*",Table13[[#Headers],[Western]],"*")),1,0)</f>
        <v>0</v>
      </c>
    </row>
    <row r="931" spans="1:27">
      <c r="A931" t="s">
        <v>713</v>
      </c>
      <c r="B931">
        <v>246</v>
      </c>
      <c r="C931">
        <f>MAX(Table13[Rank])-Table13[[#This Row],[Rank]]</f>
        <v>18</v>
      </c>
      <c r="D931" t="s">
        <v>780</v>
      </c>
      <c r="E931" t="s">
        <v>81</v>
      </c>
      <c r="F931" s="1">
        <v>31954</v>
      </c>
      <c r="G931">
        <f>YEAR(Table13[[#This Row],[Date]])</f>
        <v>1987</v>
      </c>
      <c r="H931" t="s">
        <v>713</v>
      </c>
      <c r="I931">
        <f>IF(COUNTIF($E931, _xlfn.CONCAT("*",Table13[[#Headers],[Action]],"*")),1,0)</f>
        <v>0</v>
      </c>
      <c r="J931">
        <f>IF(COUNTIF($E931, _xlfn.CONCAT("*",Table13[[#Headers],[Adventure]],"*")),1,0)</f>
        <v>0</v>
      </c>
      <c r="K931">
        <f>IF(COUNTIF($E931, _xlfn.CONCAT("*",Table13[[#Headers],[Animation]],"*")),1,0)</f>
        <v>0</v>
      </c>
      <c r="L931">
        <f>IF(COUNTIF($E931, _xlfn.CONCAT("*",Table13[[#Headers],[Comedy]],"*")),1,0)</f>
        <v>0</v>
      </c>
      <c r="M931">
        <f>IF(COUNTIF($E931, _xlfn.CONCAT("*",Table13[[#Headers],[Crime]],"*")),1,0)</f>
        <v>0</v>
      </c>
      <c r="N931">
        <f>IF(COUNTIF($E931, _xlfn.CONCAT("*",Table13[[#Headers],[Documentary]],"*")),1,0)</f>
        <v>0</v>
      </c>
      <c r="O931">
        <f>IF(COUNTIF($E931, _xlfn.CONCAT("*",Table13[[#Headers],[Drama]],"*")),1,0)</f>
        <v>1</v>
      </c>
      <c r="P931">
        <f>IF(COUNTIF($E931, _xlfn.CONCAT("*",Table13[[#Headers],[Family]],"*")),1,0)</f>
        <v>0</v>
      </c>
      <c r="Q931">
        <f>IF(COUNTIF($E931, _xlfn.CONCAT("*",Table13[[#Headers],[Fantasy]],"*")),1,0)</f>
        <v>0</v>
      </c>
      <c r="R931">
        <f>IF(COUNTIF($E931, _xlfn.CONCAT("*",Table13[[#Headers],[History]],"*")),1,0)</f>
        <v>0</v>
      </c>
      <c r="S931">
        <f>IF(COUNTIF($E931, _xlfn.CONCAT("*",Table13[[#Headers],[Horror]],"*")),1,0)</f>
        <v>0</v>
      </c>
      <c r="T931">
        <f>IF(COUNTIF($E931, _xlfn.CONCAT("*",Table13[[#Headers],[Music]],"*")),1,0)</f>
        <v>0</v>
      </c>
      <c r="U931">
        <f>IF(COUNTIF($E931, _xlfn.CONCAT("*",Table13[[#Headers],[Mystery]],"*")),1,0)</f>
        <v>0</v>
      </c>
      <c r="V931">
        <f>IF(COUNTIF($E931, _xlfn.CONCAT("*",Table13[[#Headers],[Romance]],"*")),1,0)</f>
        <v>0</v>
      </c>
      <c r="W931">
        <f>IF(COUNTIF($E931, _xlfn.CONCAT("*",Table13[[#Headers],[Science Fiction]],"*")),1,0)</f>
        <v>0</v>
      </c>
      <c r="X931">
        <f>IF(COUNTIF($E931, _xlfn.CONCAT("*",Table13[[#Headers],[TV Movie]],"*")),1,0)</f>
        <v>0</v>
      </c>
      <c r="Y931">
        <f>IF(COUNTIF($E931, _xlfn.CONCAT("*",Table13[[#Headers],[Thriller]],"*")),1,0)</f>
        <v>0</v>
      </c>
      <c r="Z931">
        <f>IF(COUNTIF($E931, _xlfn.CONCAT("*",Table13[[#Headers],[War]],"*")),1,0)</f>
        <v>1</v>
      </c>
      <c r="AA931">
        <f>IF(COUNTIF($E931, _xlfn.CONCAT("*",Table13[[#Headers],[Western]],"*")),1,0)</f>
        <v>0</v>
      </c>
    </row>
    <row r="932" spans="1:27">
      <c r="A932" t="s">
        <v>94</v>
      </c>
      <c r="B932">
        <v>247</v>
      </c>
      <c r="C932">
        <f>MAX(Table13[Rank])-Table13[[#This Row],[Rank]]</f>
        <v>17</v>
      </c>
      <c r="D932" t="s">
        <v>780</v>
      </c>
      <c r="E932" t="s">
        <v>95</v>
      </c>
      <c r="F932" s="1">
        <v>15913</v>
      </c>
      <c r="G932">
        <f>YEAR(Table13[[#This Row],[Date]])</f>
        <v>1943</v>
      </c>
      <c r="H932" t="s">
        <v>94</v>
      </c>
      <c r="I932">
        <f>IF(COUNTIF($E932, _xlfn.CONCAT("*",Table13[[#Headers],[Action]],"*")),1,0)</f>
        <v>0</v>
      </c>
      <c r="J932">
        <f>IF(COUNTIF($E932, _xlfn.CONCAT("*",Table13[[#Headers],[Adventure]],"*")),1,0)</f>
        <v>0</v>
      </c>
      <c r="K932">
        <f>IF(COUNTIF($E932, _xlfn.CONCAT("*",Table13[[#Headers],[Animation]],"*")),1,0)</f>
        <v>0</v>
      </c>
      <c r="L932">
        <f>IF(COUNTIF($E932, _xlfn.CONCAT("*",Table13[[#Headers],[Comedy]],"*")),1,0)</f>
        <v>1</v>
      </c>
      <c r="M932">
        <f>IF(COUNTIF($E932, _xlfn.CONCAT("*",Table13[[#Headers],[Crime]],"*")),1,0)</f>
        <v>0</v>
      </c>
      <c r="N932">
        <f>IF(COUNTIF($E932, _xlfn.CONCAT("*",Table13[[#Headers],[Documentary]],"*")),1,0)</f>
        <v>0</v>
      </c>
      <c r="O932">
        <f>IF(COUNTIF($E932, _xlfn.CONCAT("*",Table13[[#Headers],[Drama]],"*")),1,0)</f>
        <v>1</v>
      </c>
      <c r="P932">
        <f>IF(COUNTIF($E932, _xlfn.CONCAT("*",Table13[[#Headers],[Family]],"*")),1,0)</f>
        <v>0</v>
      </c>
      <c r="Q932">
        <f>IF(COUNTIF($E932, _xlfn.CONCAT("*",Table13[[#Headers],[Fantasy]],"*")),1,0)</f>
        <v>0</v>
      </c>
      <c r="R932">
        <f>IF(COUNTIF($E932, _xlfn.CONCAT("*",Table13[[#Headers],[History]],"*")),1,0)</f>
        <v>0</v>
      </c>
      <c r="S932">
        <f>IF(COUNTIF($E932, _xlfn.CONCAT("*",Table13[[#Headers],[Horror]],"*")),1,0)</f>
        <v>0</v>
      </c>
      <c r="T932">
        <f>IF(COUNTIF($E932, _xlfn.CONCAT("*",Table13[[#Headers],[Music]],"*")),1,0)</f>
        <v>0</v>
      </c>
      <c r="U932">
        <f>IF(COUNTIF($E932, _xlfn.CONCAT("*",Table13[[#Headers],[Mystery]],"*")),1,0)</f>
        <v>0</v>
      </c>
      <c r="V932">
        <f>IF(COUNTIF($E932, _xlfn.CONCAT("*",Table13[[#Headers],[Romance]],"*")),1,0)</f>
        <v>1</v>
      </c>
      <c r="W932">
        <f>IF(COUNTIF($E932, _xlfn.CONCAT("*",Table13[[#Headers],[Science Fiction]],"*")),1,0)</f>
        <v>0</v>
      </c>
      <c r="X932">
        <f>IF(COUNTIF($E932, _xlfn.CONCAT("*",Table13[[#Headers],[TV Movie]],"*")),1,0)</f>
        <v>0</v>
      </c>
      <c r="Y932">
        <f>IF(COUNTIF($E932, _xlfn.CONCAT("*",Table13[[#Headers],[Thriller]],"*")),1,0)</f>
        <v>0</v>
      </c>
      <c r="Z932">
        <f>IF(COUNTIF($E932, _xlfn.CONCAT("*",Table13[[#Headers],[War]],"*")),1,0)</f>
        <v>1</v>
      </c>
      <c r="AA932">
        <f>IF(COUNTIF($E932, _xlfn.CONCAT("*",Table13[[#Headers],[Western]],"*")),1,0)</f>
        <v>0</v>
      </c>
    </row>
    <row r="933" spans="1:27">
      <c r="A933" t="s">
        <v>942</v>
      </c>
      <c r="B933">
        <v>248</v>
      </c>
      <c r="C933">
        <f>MAX(Table13[Rank])-Table13[[#This Row],[Rank]]</f>
        <v>16</v>
      </c>
      <c r="D933" t="s">
        <v>780</v>
      </c>
      <c r="E933" t="s">
        <v>21</v>
      </c>
      <c r="F933" s="1">
        <v>20739</v>
      </c>
      <c r="G933">
        <f>YEAR(Table13[[#This Row],[Date]])</f>
        <v>1956</v>
      </c>
      <c r="H933" t="s">
        <v>942</v>
      </c>
      <c r="I933">
        <f>IF(COUNTIF($E933, _xlfn.CONCAT("*",Table13[[#Headers],[Action]],"*")),1,0)</f>
        <v>0</v>
      </c>
      <c r="J933">
        <f>IF(COUNTIF($E933, _xlfn.CONCAT("*",Table13[[#Headers],[Adventure]],"*")),1,0)</f>
        <v>0</v>
      </c>
      <c r="K933">
        <f>IF(COUNTIF($E933, _xlfn.CONCAT("*",Table13[[#Headers],[Animation]],"*")),1,0)</f>
        <v>0</v>
      </c>
      <c r="L933">
        <f>IF(COUNTIF($E933, _xlfn.CONCAT("*",Table13[[#Headers],[Comedy]],"*")),1,0)</f>
        <v>0</v>
      </c>
      <c r="M933">
        <f>IF(COUNTIF($E933, _xlfn.CONCAT("*",Table13[[#Headers],[Crime]],"*")),1,0)</f>
        <v>0</v>
      </c>
      <c r="N933">
        <f>IF(COUNTIF($E933, _xlfn.CONCAT("*",Table13[[#Headers],[Documentary]],"*")),1,0)</f>
        <v>0</v>
      </c>
      <c r="O933">
        <f>IF(COUNTIF($E933, _xlfn.CONCAT("*",Table13[[#Headers],[Drama]],"*")),1,0)</f>
        <v>1</v>
      </c>
      <c r="P933">
        <f>IF(COUNTIF($E933, _xlfn.CONCAT("*",Table13[[#Headers],[Family]],"*")),1,0)</f>
        <v>0</v>
      </c>
      <c r="Q933">
        <f>IF(COUNTIF($E933, _xlfn.CONCAT("*",Table13[[#Headers],[Fantasy]],"*")),1,0)</f>
        <v>0</v>
      </c>
      <c r="R933">
        <f>IF(COUNTIF($E933, _xlfn.CONCAT("*",Table13[[#Headers],[History]],"*")),1,0)</f>
        <v>0</v>
      </c>
      <c r="S933">
        <f>IF(COUNTIF($E933, _xlfn.CONCAT("*",Table13[[#Headers],[Horror]],"*")),1,0)</f>
        <v>0</v>
      </c>
      <c r="T933">
        <f>IF(COUNTIF($E933, _xlfn.CONCAT("*",Table13[[#Headers],[Music]],"*")),1,0)</f>
        <v>0</v>
      </c>
      <c r="U933">
        <f>IF(COUNTIF($E933, _xlfn.CONCAT("*",Table13[[#Headers],[Mystery]],"*")),1,0)</f>
        <v>0</v>
      </c>
      <c r="V933">
        <f>IF(COUNTIF($E933, _xlfn.CONCAT("*",Table13[[#Headers],[Romance]],"*")),1,0)</f>
        <v>0</v>
      </c>
      <c r="W933">
        <f>IF(COUNTIF($E933, _xlfn.CONCAT("*",Table13[[#Headers],[Science Fiction]],"*")),1,0)</f>
        <v>0</v>
      </c>
      <c r="X933">
        <f>IF(COUNTIF($E933, _xlfn.CONCAT("*",Table13[[#Headers],[TV Movie]],"*")),1,0)</f>
        <v>0</v>
      </c>
      <c r="Y933">
        <f>IF(COUNTIF($E933, _xlfn.CONCAT("*",Table13[[#Headers],[Thriller]],"*")),1,0)</f>
        <v>0</v>
      </c>
      <c r="Z933">
        <f>IF(COUNTIF($E933, _xlfn.CONCAT("*",Table13[[#Headers],[War]],"*")),1,0)</f>
        <v>0</v>
      </c>
      <c r="AA933">
        <f>IF(COUNTIF($E933, _xlfn.CONCAT("*",Table13[[#Headers],[Western]],"*")),1,0)</f>
        <v>0</v>
      </c>
    </row>
    <row r="934" spans="1:27">
      <c r="A934" t="s">
        <v>943</v>
      </c>
      <c r="B934">
        <v>249</v>
      </c>
      <c r="C934">
        <f>MAX(Table13[Rank])-Table13[[#This Row],[Rank]]</f>
        <v>15</v>
      </c>
      <c r="D934" t="s">
        <v>780</v>
      </c>
      <c r="E934" t="s">
        <v>944</v>
      </c>
      <c r="F934" s="1">
        <v>27608</v>
      </c>
      <c r="G934">
        <f>YEAR(Table13[[#This Row],[Date]])</f>
        <v>1975</v>
      </c>
      <c r="H934" t="s">
        <v>943</v>
      </c>
      <c r="I934">
        <f>IF(COUNTIF($E934, _xlfn.CONCAT("*",Table13[[#Headers],[Action]],"*")),1,0)</f>
        <v>1</v>
      </c>
      <c r="J934">
        <f>IF(COUNTIF($E934, _xlfn.CONCAT("*",Table13[[#Headers],[Adventure]],"*")),1,0)</f>
        <v>1</v>
      </c>
      <c r="K934">
        <f>IF(COUNTIF($E934, _xlfn.CONCAT("*",Table13[[#Headers],[Animation]],"*")),1,0)</f>
        <v>0</v>
      </c>
      <c r="L934">
        <f>IF(COUNTIF($E934, _xlfn.CONCAT("*",Table13[[#Headers],[Comedy]],"*")),1,0)</f>
        <v>0</v>
      </c>
      <c r="M934">
        <f>IF(COUNTIF($E934, _xlfn.CONCAT("*",Table13[[#Headers],[Crime]],"*")),1,0)</f>
        <v>0</v>
      </c>
      <c r="N934">
        <f>IF(COUNTIF($E934, _xlfn.CONCAT("*",Table13[[#Headers],[Documentary]],"*")),1,0)</f>
        <v>0</v>
      </c>
      <c r="O934">
        <f>IF(COUNTIF($E934, _xlfn.CONCAT("*",Table13[[#Headers],[Drama]],"*")),1,0)</f>
        <v>1</v>
      </c>
      <c r="P934">
        <f>IF(COUNTIF($E934, _xlfn.CONCAT("*",Table13[[#Headers],[Family]],"*")),1,0)</f>
        <v>0</v>
      </c>
      <c r="Q934">
        <f>IF(COUNTIF($E934, _xlfn.CONCAT("*",Table13[[#Headers],[Fantasy]],"*")),1,0)</f>
        <v>0</v>
      </c>
      <c r="R934">
        <f>IF(COUNTIF($E934, _xlfn.CONCAT("*",Table13[[#Headers],[History]],"*")),1,0)</f>
        <v>0</v>
      </c>
      <c r="S934">
        <f>IF(COUNTIF($E934, _xlfn.CONCAT("*",Table13[[#Headers],[Horror]],"*")),1,0)</f>
        <v>0</v>
      </c>
      <c r="T934">
        <f>IF(COUNTIF($E934, _xlfn.CONCAT("*",Table13[[#Headers],[Music]],"*")),1,0)</f>
        <v>0</v>
      </c>
      <c r="U934">
        <f>IF(COUNTIF($E934, _xlfn.CONCAT("*",Table13[[#Headers],[Mystery]],"*")),1,0)</f>
        <v>0</v>
      </c>
      <c r="V934">
        <f>IF(COUNTIF($E934, _xlfn.CONCAT("*",Table13[[#Headers],[Romance]],"*")),1,0)</f>
        <v>0</v>
      </c>
      <c r="W934">
        <f>IF(COUNTIF($E934, _xlfn.CONCAT("*",Table13[[#Headers],[Science Fiction]],"*")),1,0)</f>
        <v>0</v>
      </c>
      <c r="X934">
        <f>IF(COUNTIF($E934, _xlfn.CONCAT("*",Table13[[#Headers],[TV Movie]],"*")),1,0)</f>
        <v>0</v>
      </c>
      <c r="Y934">
        <f>IF(COUNTIF($E934, _xlfn.CONCAT("*",Table13[[#Headers],[Thriller]],"*")),1,0)</f>
        <v>0</v>
      </c>
      <c r="Z934">
        <f>IF(COUNTIF($E934, _xlfn.CONCAT("*",Table13[[#Headers],[War]],"*")),1,0)</f>
        <v>0</v>
      </c>
      <c r="AA934">
        <f>IF(COUNTIF($E934, _xlfn.CONCAT("*",Table13[[#Headers],[Western]],"*")),1,0)</f>
        <v>0</v>
      </c>
    </row>
    <row r="935" spans="1:27">
      <c r="A935" t="s">
        <v>695</v>
      </c>
      <c r="B935">
        <v>250</v>
      </c>
      <c r="C935">
        <f>MAX(Table13[Rank])-Table13[[#This Row],[Rank]]</f>
        <v>14</v>
      </c>
      <c r="D935" t="s">
        <v>780</v>
      </c>
      <c r="E935" t="s">
        <v>696</v>
      </c>
      <c r="F935" s="1">
        <v>36504</v>
      </c>
      <c r="G935">
        <f>YEAR(Table13[[#This Row],[Date]])</f>
        <v>1999</v>
      </c>
      <c r="H935" t="s">
        <v>695</v>
      </c>
      <c r="I935">
        <f>IF(COUNTIF($E935, _xlfn.CONCAT("*",Table13[[#Headers],[Action]],"*")),1,0)</f>
        <v>0</v>
      </c>
      <c r="J935">
        <f>IF(COUNTIF($E935, _xlfn.CONCAT("*",Table13[[#Headers],[Adventure]],"*")),1,0)</f>
        <v>0</v>
      </c>
      <c r="K935">
        <f>IF(COUNTIF($E935, _xlfn.CONCAT("*",Table13[[#Headers],[Animation]],"*")),1,0)</f>
        <v>0</v>
      </c>
      <c r="L935">
        <f>IF(COUNTIF($E935, _xlfn.CONCAT("*",Table13[[#Headers],[Comedy]],"*")),1,0)</f>
        <v>0</v>
      </c>
      <c r="M935">
        <f>IF(COUNTIF($E935, _xlfn.CONCAT("*",Table13[[#Headers],[Crime]],"*")),1,0)</f>
        <v>1</v>
      </c>
      <c r="N935">
        <f>IF(COUNTIF($E935, _xlfn.CONCAT("*",Table13[[#Headers],[Documentary]],"*")),1,0)</f>
        <v>0</v>
      </c>
      <c r="O935">
        <f>IF(COUNTIF($E935, _xlfn.CONCAT("*",Table13[[#Headers],[Drama]],"*")),1,0)</f>
        <v>1</v>
      </c>
      <c r="P935">
        <f>IF(COUNTIF($E935, _xlfn.CONCAT("*",Table13[[#Headers],[Family]],"*")),1,0)</f>
        <v>0</v>
      </c>
      <c r="Q935">
        <f>IF(COUNTIF($E935, _xlfn.CONCAT("*",Table13[[#Headers],[Fantasy]],"*")),1,0)</f>
        <v>1</v>
      </c>
      <c r="R935">
        <f>IF(COUNTIF($E935, _xlfn.CONCAT("*",Table13[[#Headers],[History]],"*")),1,0)</f>
        <v>0</v>
      </c>
      <c r="S935">
        <f>IF(COUNTIF($E935, _xlfn.CONCAT("*",Table13[[#Headers],[Horror]],"*")),1,0)</f>
        <v>0</v>
      </c>
      <c r="T935">
        <f>IF(COUNTIF($E935, _xlfn.CONCAT("*",Table13[[#Headers],[Music]],"*")),1,0)</f>
        <v>0</v>
      </c>
      <c r="U935">
        <f>IF(COUNTIF($E935, _xlfn.CONCAT("*",Table13[[#Headers],[Mystery]],"*")),1,0)</f>
        <v>0</v>
      </c>
      <c r="V935">
        <f>IF(COUNTIF($E935, _xlfn.CONCAT("*",Table13[[#Headers],[Romance]],"*")),1,0)</f>
        <v>0</v>
      </c>
      <c r="W935">
        <f>IF(COUNTIF($E935, _xlfn.CONCAT("*",Table13[[#Headers],[Science Fiction]],"*")),1,0)</f>
        <v>0</v>
      </c>
      <c r="X935">
        <f>IF(COUNTIF($E935, _xlfn.CONCAT("*",Table13[[#Headers],[TV Movie]],"*")),1,0)</f>
        <v>0</v>
      </c>
      <c r="Y935">
        <f>IF(COUNTIF($E935, _xlfn.CONCAT("*",Table13[[#Headers],[Thriller]],"*")),1,0)</f>
        <v>0</v>
      </c>
      <c r="Z935">
        <f>IF(COUNTIF($E935, _xlfn.CONCAT("*",Table13[[#Headers],[War]],"*")),1,0)</f>
        <v>0</v>
      </c>
      <c r="AA935">
        <f>IF(COUNTIF($E935, _xlfn.CONCAT("*",Table13[[#Headers],[Western]],"*")),1,0)</f>
        <v>0</v>
      </c>
    </row>
    <row r="936" spans="1:27">
      <c r="A936" t="s">
        <v>945</v>
      </c>
      <c r="B936">
        <v>100</v>
      </c>
      <c r="C936">
        <f>MAX(Table13[Rank])-Table13[[#This Row],[Rank]]</f>
        <v>164</v>
      </c>
      <c r="D936" t="s">
        <v>946</v>
      </c>
      <c r="E936" t="s">
        <v>740</v>
      </c>
      <c r="F936" s="1">
        <v>37904</v>
      </c>
      <c r="G936">
        <f>YEAR(Table13[[#This Row],[Date]])</f>
        <v>2003</v>
      </c>
      <c r="H936" t="s">
        <v>741</v>
      </c>
      <c r="I936">
        <f>IF(COUNTIF($E936, _xlfn.CONCAT("*",Table13[[#Headers],[Action]],"*")),1,0)</f>
        <v>1</v>
      </c>
      <c r="J936">
        <f>IF(COUNTIF($E936, _xlfn.CONCAT("*",Table13[[#Headers],[Adventure]],"*")),1,0)</f>
        <v>0</v>
      </c>
      <c r="K936">
        <f>IF(COUNTIF($E936, _xlfn.CONCAT("*",Table13[[#Headers],[Animation]],"*")),1,0)</f>
        <v>0</v>
      </c>
      <c r="L936">
        <f>IF(COUNTIF($E936, _xlfn.CONCAT("*",Table13[[#Headers],[Comedy]],"*")),1,0)</f>
        <v>0</v>
      </c>
      <c r="M936">
        <f>IF(COUNTIF($E936, _xlfn.CONCAT("*",Table13[[#Headers],[Crime]],"*")),1,0)</f>
        <v>1</v>
      </c>
      <c r="N936">
        <f>IF(COUNTIF($E936, _xlfn.CONCAT("*",Table13[[#Headers],[Documentary]],"*")),1,0)</f>
        <v>0</v>
      </c>
      <c r="O936">
        <f>IF(COUNTIF($E936, _xlfn.CONCAT("*",Table13[[#Headers],[Drama]],"*")),1,0)</f>
        <v>0</v>
      </c>
      <c r="P936">
        <f>IF(COUNTIF($E936, _xlfn.CONCAT("*",Table13[[#Headers],[Family]],"*")),1,0)</f>
        <v>0</v>
      </c>
      <c r="Q936">
        <f>IF(COUNTIF($E936, _xlfn.CONCAT("*",Table13[[#Headers],[Fantasy]],"*")),1,0)</f>
        <v>0</v>
      </c>
      <c r="R936">
        <f>IF(COUNTIF($E936, _xlfn.CONCAT("*",Table13[[#Headers],[History]],"*")),1,0)</f>
        <v>0</v>
      </c>
      <c r="S936">
        <f>IF(COUNTIF($E936, _xlfn.CONCAT("*",Table13[[#Headers],[Horror]],"*")),1,0)</f>
        <v>0</v>
      </c>
      <c r="T936">
        <f>IF(COUNTIF($E936, _xlfn.CONCAT("*",Table13[[#Headers],[Music]],"*")),1,0)</f>
        <v>0</v>
      </c>
      <c r="U936">
        <f>IF(COUNTIF($E936, _xlfn.CONCAT("*",Table13[[#Headers],[Mystery]],"*")),1,0)</f>
        <v>0</v>
      </c>
      <c r="V936">
        <f>IF(COUNTIF($E936, _xlfn.CONCAT("*",Table13[[#Headers],[Romance]],"*")),1,0)</f>
        <v>0</v>
      </c>
      <c r="W936">
        <f>IF(COUNTIF($E936, _xlfn.CONCAT("*",Table13[[#Headers],[Science Fiction]],"*")),1,0)</f>
        <v>0</v>
      </c>
      <c r="X936">
        <f>IF(COUNTIF($E936, _xlfn.CONCAT("*",Table13[[#Headers],[TV Movie]],"*")),1,0)</f>
        <v>0</v>
      </c>
      <c r="Y936">
        <f>IF(COUNTIF($E936, _xlfn.CONCAT("*",Table13[[#Headers],[Thriller]],"*")),1,0)</f>
        <v>0</v>
      </c>
      <c r="Z936">
        <f>IF(COUNTIF($E936, _xlfn.CONCAT("*",Table13[[#Headers],[War]],"*")),1,0)</f>
        <v>0</v>
      </c>
      <c r="AA936">
        <f>IF(COUNTIF($E936, _xlfn.CONCAT("*",Table13[[#Headers],[Western]],"*")),1,0)</f>
        <v>0</v>
      </c>
    </row>
    <row r="937" spans="1:27">
      <c r="A937" t="s">
        <v>947</v>
      </c>
      <c r="B937">
        <v>99</v>
      </c>
      <c r="C937">
        <f>MAX(Table13[Rank])-Table13[[#This Row],[Rank]]</f>
        <v>165</v>
      </c>
      <c r="D937" t="s">
        <v>946</v>
      </c>
      <c r="E937" t="s">
        <v>49</v>
      </c>
      <c r="F937" s="1">
        <v>38489</v>
      </c>
      <c r="G937">
        <f>YEAR(Table13[[#This Row],[Date]])</f>
        <v>2005</v>
      </c>
      <c r="H937" t="s">
        <v>948</v>
      </c>
      <c r="I937">
        <f>IF(COUNTIF($E937, _xlfn.CONCAT("*",Table13[[#Headers],[Action]],"*")),1,0)</f>
        <v>1</v>
      </c>
      <c r="J937">
        <f>IF(COUNTIF($E937, _xlfn.CONCAT("*",Table13[[#Headers],[Adventure]],"*")),1,0)</f>
        <v>1</v>
      </c>
      <c r="K937">
        <f>IF(COUNTIF($E937, _xlfn.CONCAT("*",Table13[[#Headers],[Animation]],"*")),1,0)</f>
        <v>0</v>
      </c>
      <c r="L937">
        <f>IF(COUNTIF($E937, _xlfn.CONCAT("*",Table13[[#Headers],[Comedy]],"*")),1,0)</f>
        <v>0</v>
      </c>
      <c r="M937">
        <f>IF(COUNTIF($E937, _xlfn.CONCAT("*",Table13[[#Headers],[Crime]],"*")),1,0)</f>
        <v>0</v>
      </c>
      <c r="N937">
        <f>IF(COUNTIF($E937, _xlfn.CONCAT("*",Table13[[#Headers],[Documentary]],"*")),1,0)</f>
        <v>0</v>
      </c>
      <c r="O937">
        <f>IF(COUNTIF($E937, _xlfn.CONCAT("*",Table13[[#Headers],[Drama]],"*")),1,0)</f>
        <v>0</v>
      </c>
      <c r="P937">
        <f>IF(COUNTIF($E937, _xlfn.CONCAT("*",Table13[[#Headers],[Family]],"*")),1,0)</f>
        <v>0</v>
      </c>
      <c r="Q937">
        <f>IF(COUNTIF($E937, _xlfn.CONCAT("*",Table13[[#Headers],[Fantasy]],"*")),1,0)</f>
        <v>0</v>
      </c>
      <c r="R937">
        <f>IF(COUNTIF($E937, _xlfn.CONCAT("*",Table13[[#Headers],[History]],"*")),1,0)</f>
        <v>0</v>
      </c>
      <c r="S937">
        <f>IF(COUNTIF($E937, _xlfn.CONCAT("*",Table13[[#Headers],[Horror]],"*")),1,0)</f>
        <v>0</v>
      </c>
      <c r="T937">
        <f>IF(COUNTIF($E937, _xlfn.CONCAT("*",Table13[[#Headers],[Music]],"*")),1,0)</f>
        <v>0</v>
      </c>
      <c r="U937">
        <f>IF(COUNTIF($E937, _xlfn.CONCAT("*",Table13[[#Headers],[Mystery]],"*")),1,0)</f>
        <v>0</v>
      </c>
      <c r="V937">
        <f>IF(COUNTIF($E937, _xlfn.CONCAT("*",Table13[[#Headers],[Romance]],"*")),1,0)</f>
        <v>0</v>
      </c>
      <c r="W937">
        <f>IF(COUNTIF($E937, _xlfn.CONCAT("*",Table13[[#Headers],[Science Fiction]],"*")),1,0)</f>
        <v>1</v>
      </c>
      <c r="X937">
        <f>IF(COUNTIF($E937, _xlfn.CONCAT("*",Table13[[#Headers],[TV Movie]],"*")),1,0)</f>
        <v>0</v>
      </c>
      <c r="Y937">
        <f>IF(COUNTIF($E937, _xlfn.CONCAT("*",Table13[[#Headers],[Thriller]],"*")),1,0)</f>
        <v>0</v>
      </c>
      <c r="Z937">
        <f>IF(COUNTIF($E937, _xlfn.CONCAT("*",Table13[[#Headers],[War]],"*")),1,0)</f>
        <v>0</v>
      </c>
      <c r="AA937">
        <f>IF(COUNTIF($E937, _xlfn.CONCAT("*",Table13[[#Headers],[Western]],"*")),1,0)</f>
        <v>0</v>
      </c>
    </row>
    <row r="938" spans="1:27">
      <c r="A938" t="s">
        <v>949</v>
      </c>
      <c r="B938">
        <v>98</v>
      </c>
      <c r="C938">
        <f>MAX(Table13[Rank])-Table13[[#This Row],[Rank]]</f>
        <v>166</v>
      </c>
      <c r="D938" t="s">
        <v>946</v>
      </c>
      <c r="E938" t="s">
        <v>461</v>
      </c>
      <c r="F938" s="1">
        <v>37035</v>
      </c>
      <c r="G938">
        <f>YEAR(Table13[[#This Row],[Date]])</f>
        <v>2001</v>
      </c>
      <c r="H938" t="s">
        <v>460</v>
      </c>
      <c r="I938">
        <f>IF(COUNTIF($E938, _xlfn.CONCAT("*",Table13[[#Headers],[Action]],"*")),1,0)</f>
        <v>0</v>
      </c>
      <c r="J938">
        <f>IF(COUNTIF($E938, _xlfn.CONCAT("*",Table13[[#Headers],[Adventure]],"*")),1,0)</f>
        <v>0</v>
      </c>
      <c r="K938">
        <f>IF(COUNTIF($E938, _xlfn.CONCAT("*",Table13[[#Headers],[Animation]],"*")),1,0)</f>
        <v>0</v>
      </c>
      <c r="L938">
        <f>IF(COUNTIF($E938, _xlfn.CONCAT("*",Table13[[#Headers],[Comedy]],"*")),1,0)</f>
        <v>0</v>
      </c>
      <c r="M938">
        <f>IF(COUNTIF($E938, _xlfn.CONCAT("*",Table13[[#Headers],[Crime]],"*")),1,0)</f>
        <v>0</v>
      </c>
      <c r="N938">
        <f>IF(COUNTIF($E938, _xlfn.CONCAT("*",Table13[[#Headers],[Documentary]],"*")),1,0)</f>
        <v>0</v>
      </c>
      <c r="O938">
        <f>IF(COUNTIF($E938, _xlfn.CONCAT("*",Table13[[#Headers],[Drama]],"*")),1,0)</f>
        <v>1</v>
      </c>
      <c r="P938">
        <f>IF(COUNTIF($E938, _xlfn.CONCAT("*",Table13[[#Headers],[Family]],"*")),1,0)</f>
        <v>0</v>
      </c>
      <c r="Q938">
        <f>IF(COUNTIF($E938, _xlfn.CONCAT("*",Table13[[#Headers],[Fantasy]],"*")),1,0)</f>
        <v>0</v>
      </c>
      <c r="R938">
        <f>IF(COUNTIF($E938, _xlfn.CONCAT("*",Table13[[#Headers],[History]],"*")),1,0)</f>
        <v>0</v>
      </c>
      <c r="S938">
        <f>IF(COUNTIF($E938, _xlfn.CONCAT("*",Table13[[#Headers],[Horror]],"*")),1,0)</f>
        <v>0</v>
      </c>
      <c r="T938">
        <f>IF(COUNTIF($E938, _xlfn.CONCAT("*",Table13[[#Headers],[Music]],"*")),1,0)</f>
        <v>1</v>
      </c>
      <c r="U938">
        <f>IF(COUNTIF($E938, _xlfn.CONCAT("*",Table13[[#Headers],[Mystery]],"*")),1,0)</f>
        <v>0</v>
      </c>
      <c r="V938">
        <f>IF(COUNTIF($E938, _xlfn.CONCAT("*",Table13[[#Headers],[Romance]],"*")),1,0)</f>
        <v>1</v>
      </c>
      <c r="W938">
        <f>IF(COUNTIF($E938, _xlfn.CONCAT("*",Table13[[#Headers],[Science Fiction]],"*")),1,0)</f>
        <v>0</v>
      </c>
      <c r="X938">
        <f>IF(COUNTIF($E938, _xlfn.CONCAT("*",Table13[[#Headers],[TV Movie]],"*")),1,0)</f>
        <v>0</v>
      </c>
      <c r="Y938">
        <f>IF(COUNTIF($E938, _xlfn.CONCAT("*",Table13[[#Headers],[Thriller]],"*")),1,0)</f>
        <v>0</v>
      </c>
      <c r="Z938">
        <f>IF(COUNTIF($E938, _xlfn.CONCAT("*",Table13[[#Headers],[War]],"*")),1,0)</f>
        <v>0</v>
      </c>
      <c r="AA938">
        <f>IF(COUNTIF($E938, _xlfn.CONCAT("*",Table13[[#Headers],[Western]],"*")),1,0)</f>
        <v>0</v>
      </c>
    </row>
    <row r="939" spans="1:27">
      <c r="A939" t="s">
        <v>950</v>
      </c>
      <c r="B939">
        <v>97</v>
      </c>
      <c r="C939">
        <f>MAX(Table13[Rank])-Table13[[#This Row],[Rank]]</f>
        <v>167</v>
      </c>
      <c r="D939" t="s">
        <v>946</v>
      </c>
      <c r="E939" t="s">
        <v>111</v>
      </c>
      <c r="F939" s="1">
        <v>43644</v>
      </c>
      <c r="G939">
        <f>YEAR(Table13[[#This Row],[Date]])</f>
        <v>2019</v>
      </c>
      <c r="H939" t="s">
        <v>950</v>
      </c>
      <c r="I939">
        <f>IF(COUNTIF($E939, _xlfn.CONCAT("*",Table13[[#Headers],[Action]],"*")),1,0)</f>
        <v>1</v>
      </c>
      <c r="J939">
        <f>IF(COUNTIF($E939, _xlfn.CONCAT("*",Table13[[#Headers],[Adventure]],"*")),1,0)</f>
        <v>1</v>
      </c>
      <c r="K939">
        <f>IF(COUNTIF($E939, _xlfn.CONCAT("*",Table13[[#Headers],[Animation]],"*")),1,0)</f>
        <v>0</v>
      </c>
      <c r="L939">
        <f>IF(COUNTIF($E939, _xlfn.CONCAT("*",Table13[[#Headers],[Comedy]],"*")),1,0)</f>
        <v>0</v>
      </c>
      <c r="M939">
        <f>IF(COUNTIF($E939, _xlfn.CONCAT("*",Table13[[#Headers],[Crime]],"*")),1,0)</f>
        <v>0</v>
      </c>
      <c r="N939">
        <f>IF(COUNTIF($E939, _xlfn.CONCAT("*",Table13[[#Headers],[Documentary]],"*")),1,0)</f>
        <v>0</v>
      </c>
      <c r="O939">
        <f>IF(COUNTIF($E939, _xlfn.CONCAT("*",Table13[[#Headers],[Drama]],"*")),1,0)</f>
        <v>0</v>
      </c>
      <c r="P939">
        <f>IF(COUNTIF($E939, _xlfn.CONCAT("*",Table13[[#Headers],[Family]],"*")),1,0)</f>
        <v>0</v>
      </c>
      <c r="Q939">
        <f>IF(COUNTIF($E939, _xlfn.CONCAT("*",Table13[[#Headers],[Fantasy]],"*")),1,0)</f>
        <v>0</v>
      </c>
      <c r="R939">
        <f>IF(COUNTIF($E939, _xlfn.CONCAT("*",Table13[[#Headers],[History]],"*")),1,0)</f>
        <v>0</v>
      </c>
      <c r="S939">
        <f>IF(COUNTIF($E939, _xlfn.CONCAT("*",Table13[[#Headers],[Horror]],"*")),1,0)</f>
        <v>0</v>
      </c>
      <c r="T939">
        <f>IF(COUNTIF($E939, _xlfn.CONCAT("*",Table13[[#Headers],[Music]],"*")),1,0)</f>
        <v>0</v>
      </c>
      <c r="U939">
        <f>IF(COUNTIF($E939, _xlfn.CONCAT("*",Table13[[#Headers],[Mystery]],"*")),1,0)</f>
        <v>0</v>
      </c>
      <c r="V939">
        <f>IF(COUNTIF($E939, _xlfn.CONCAT("*",Table13[[#Headers],[Romance]],"*")),1,0)</f>
        <v>0</v>
      </c>
      <c r="W939">
        <f>IF(COUNTIF($E939, _xlfn.CONCAT("*",Table13[[#Headers],[Science Fiction]],"*")),1,0)</f>
        <v>1</v>
      </c>
      <c r="X939">
        <f>IF(COUNTIF($E939, _xlfn.CONCAT("*",Table13[[#Headers],[TV Movie]],"*")),1,0)</f>
        <v>0</v>
      </c>
      <c r="Y939">
        <f>IF(COUNTIF($E939, _xlfn.CONCAT("*",Table13[[#Headers],[Thriller]],"*")),1,0)</f>
        <v>0</v>
      </c>
      <c r="Z939">
        <f>IF(COUNTIF($E939, _xlfn.CONCAT("*",Table13[[#Headers],[War]],"*")),1,0)</f>
        <v>0</v>
      </c>
      <c r="AA939">
        <f>IF(COUNTIF($E939, _xlfn.CONCAT("*",Table13[[#Headers],[Western]],"*")),1,0)</f>
        <v>0</v>
      </c>
    </row>
    <row r="940" spans="1:27">
      <c r="A940" t="s">
        <v>951</v>
      </c>
      <c r="B940">
        <v>96</v>
      </c>
      <c r="C940">
        <f>MAX(Table13[Rank])-Table13[[#This Row],[Rank]]</f>
        <v>168</v>
      </c>
      <c r="D940" t="s">
        <v>946</v>
      </c>
      <c r="E940" t="s">
        <v>952</v>
      </c>
      <c r="F940" s="1">
        <v>35552</v>
      </c>
      <c r="G940">
        <f>YEAR(Table13[[#This Row],[Date]])</f>
        <v>1997</v>
      </c>
      <c r="H940" t="s">
        <v>951</v>
      </c>
      <c r="I940">
        <f>IF(COUNTIF($E940, _xlfn.CONCAT("*",Table13[[#Headers],[Action]],"*")),1,0)</f>
        <v>1</v>
      </c>
      <c r="J940">
        <f>IF(COUNTIF($E940, _xlfn.CONCAT("*",Table13[[#Headers],[Adventure]],"*")),1,0)</f>
        <v>1</v>
      </c>
      <c r="K940">
        <f>IF(COUNTIF($E940, _xlfn.CONCAT("*",Table13[[#Headers],[Animation]],"*")),1,0)</f>
        <v>0</v>
      </c>
      <c r="L940">
        <f>IF(COUNTIF($E940, _xlfn.CONCAT("*",Table13[[#Headers],[Comedy]],"*")),1,0)</f>
        <v>0</v>
      </c>
      <c r="M940">
        <f>IF(COUNTIF($E940, _xlfn.CONCAT("*",Table13[[#Headers],[Crime]],"*")),1,0)</f>
        <v>0</v>
      </c>
      <c r="N940">
        <f>IF(COUNTIF($E940, _xlfn.CONCAT("*",Table13[[#Headers],[Documentary]],"*")),1,0)</f>
        <v>0</v>
      </c>
      <c r="O940">
        <f>IF(COUNTIF($E940, _xlfn.CONCAT("*",Table13[[#Headers],[Drama]],"*")),1,0)</f>
        <v>0</v>
      </c>
      <c r="P940">
        <f>IF(COUNTIF($E940, _xlfn.CONCAT("*",Table13[[#Headers],[Family]],"*")),1,0)</f>
        <v>0</v>
      </c>
      <c r="Q940">
        <f>IF(COUNTIF($E940, _xlfn.CONCAT("*",Table13[[#Headers],[Fantasy]],"*")),1,0)</f>
        <v>1</v>
      </c>
      <c r="R940">
        <f>IF(COUNTIF($E940, _xlfn.CONCAT("*",Table13[[#Headers],[History]],"*")),1,0)</f>
        <v>0</v>
      </c>
      <c r="S940">
        <f>IF(COUNTIF($E940, _xlfn.CONCAT("*",Table13[[#Headers],[Horror]],"*")),1,0)</f>
        <v>0</v>
      </c>
      <c r="T940">
        <f>IF(COUNTIF($E940, _xlfn.CONCAT("*",Table13[[#Headers],[Music]],"*")),1,0)</f>
        <v>0</v>
      </c>
      <c r="U940">
        <f>IF(COUNTIF($E940, _xlfn.CONCAT("*",Table13[[#Headers],[Mystery]],"*")),1,0)</f>
        <v>0</v>
      </c>
      <c r="V940">
        <f>IF(COUNTIF($E940, _xlfn.CONCAT("*",Table13[[#Headers],[Romance]],"*")),1,0)</f>
        <v>0</v>
      </c>
      <c r="W940">
        <f>IF(COUNTIF($E940, _xlfn.CONCAT("*",Table13[[#Headers],[Science Fiction]],"*")),1,0)</f>
        <v>1</v>
      </c>
      <c r="X940">
        <f>IF(COUNTIF($E940, _xlfn.CONCAT("*",Table13[[#Headers],[TV Movie]],"*")),1,0)</f>
        <v>0</v>
      </c>
      <c r="Y940">
        <f>IF(COUNTIF($E940, _xlfn.CONCAT("*",Table13[[#Headers],[Thriller]],"*")),1,0)</f>
        <v>1</v>
      </c>
      <c r="Z940">
        <f>IF(COUNTIF($E940, _xlfn.CONCAT("*",Table13[[#Headers],[War]],"*")),1,0)</f>
        <v>0</v>
      </c>
      <c r="AA940">
        <f>IF(COUNTIF($E940, _xlfn.CONCAT("*",Table13[[#Headers],[Western]],"*")),1,0)</f>
        <v>0</v>
      </c>
    </row>
    <row r="941" spans="1:27">
      <c r="A941" t="s">
        <v>396</v>
      </c>
      <c r="B941">
        <v>95</v>
      </c>
      <c r="C941">
        <f>MAX(Table13[Rank])-Table13[[#This Row],[Rank]]</f>
        <v>169</v>
      </c>
      <c r="D941" t="s">
        <v>946</v>
      </c>
      <c r="E941" t="s">
        <v>397</v>
      </c>
      <c r="F941" s="1">
        <v>21333</v>
      </c>
      <c r="G941">
        <f>YEAR(Table13[[#This Row],[Date]])</f>
        <v>1958</v>
      </c>
      <c r="H941" t="s">
        <v>396</v>
      </c>
      <c r="I941">
        <f>IF(COUNTIF($E941, _xlfn.CONCAT("*",Table13[[#Headers],[Action]],"*")),1,0)</f>
        <v>0</v>
      </c>
      <c r="J941">
        <f>IF(COUNTIF($E941, _xlfn.CONCAT("*",Table13[[#Headers],[Adventure]],"*")),1,0)</f>
        <v>0</v>
      </c>
      <c r="K941">
        <f>IF(COUNTIF($E941, _xlfn.CONCAT("*",Table13[[#Headers],[Animation]],"*")),1,0)</f>
        <v>0</v>
      </c>
      <c r="L941">
        <f>IF(COUNTIF($E941, _xlfn.CONCAT("*",Table13[[#Headers],[Comedy]],"*")),1,0)</f>
        <v>0</v>
      </c>
      <c r="M941">
        <f>IF(COUNTIF($E941, _xlfn.CONCAT("*",Table13[[#Headers],[Crime]],"*")),1,0)</f>
        <v>0</v>
      </c>
      <c r="N941">
        <f>IF(COUNTIF($E941, _xlfn.CONCAT("*",Table13[[#Headers],[Documentary]],"*")),1,0)</f>
        <v>0</v>
      </c>
      <c r="O941">
        <f>IF(COUNTIF($E941, _xlfn.CONCAT("*",Table13[[#Headers],[Drama]],"*")),1,0)</f>
        <v>0</v>
      </c>
      <c r="P941">
        <f>IF(COUNTIF($E941, _xlfn.CONCAT("*",Table13[[#Headers],[Family]],"*")),1,0)</f>
        <v>0</v>
      </c>
      <c r="Q941">
        <f>IF(COUNTIF($E941, _xlfn.CONCAT("*",Table13[[#Headers],[Fantasy]],"*")),1,0)</f>
        <v>0</v>
      </c>
      <c r="R941">
        <f>IF(COUNTIF($E941, _xlfn.CONCAT("*",Table13[[#Headers],[History]],"*")),1,0)</f>
        <v>0</v>
      </c>
      <c r="S941">
        <f>IF(COUNTIF($E941, _xlfn.CONCAT("*",Table13[[#Headers],[Horror]],"*")),1,0)</f>
        <v>0</v>
      </c>
      <c r="T941">
        <f>IF(COUNTIF($E941, _xlfn.CONCAT("*",Table13[[#Headers],[Music]],"*")),1,0)</f>
        <v>0</v>
      </c>
      <c r="U941">
        <f>IF(COUNTIF($E941, _xlfn.CONCAT("*",Table13[[#Headers],[Mystery]],"*")),1,0)</f>
        <v>1</v>
      </c>
      <c r="V941">
        <f>IF(COUNTIF($E941, _xlfn.CONCAT("*",Table13[[#Headers],[Romance]],"*")),1,0)</f>
        <v>1</v>
      </c>
      <c r="W941">
        <f>IF(COUNTIF($E941, _xlfn.CONCAT("*",Table13[[#Headers],[Science Fiction]],"*")),1,0)</f>
        <v>0</v>
      </c>
      <c r="X941">
        <f>IF(COUNTIF($E941, _xlfn.CONCAT("*",Table13[[#Headers],[TV Movie]],"*")),1,0)</f>
        <v>0</v>
      </c>
      <c r="Y941">
        <f>IF(COUNTIF($E941, _xlfn.CONCAT("*",Table13[[#Headers],[Thriller]],"*")),1,0)</f>
        <v>1</v>
      </c>
      <c r="Z941">
        <f>IF(COUNTIF($E941, _xlfn.CONCAT("*",Table13[[#Headers],[War]],"*")),1,0)</f>
        <v>0</v>
      </c>
      <c r="AA941">
        <f>IF(COUNTIF($E941, _xlfn.CONCAT("*",Table13[[#Headers],[Western]],"*")),1,0)</f>
        <v>0</v>
      </c>
    </row>
    <row r="942" spans="1:27">
      <c r="A942" t="s">
        <v>953</v>
      </c>
      <c r="B942">
        <v>94</v>
      </c>
      <c r="C942">
        <f>MAX(Table13[Rank])-Table13[[#This Row],[Rank]]</f>
        <v>170</v>
      </c>
      <c r="D942" t="s">
        <v>946</v>
      </c>
      <c r="E942" t="s">
        <v>44</v>
      </c>
      <c r="F942" s="1">
        <v>29084</v>
      </c>
      <c r="G942">
        <f>YEAR(Table13[[#This Row],[Date]])</f>
        <v>1979</v>
      </c>
      <c r="H942" t="s">
        <v>954</v>
      </c>
      <c r="I942">
        <f>IF(COUNTIF($E942, _xlfn.CONCAT("*",Table13[[#Headers],[Action]],"*")),1,0)</f>
        <v>0</v>
      </c>
      <c r="J942">
        <f>IF(COUNTIF($E942, _xlfn.CONCAT("*",Table13[[#Headers],[Adventure]],"*")),1,0)</f>
        <v>0</v>
      </c>
      <c r="K942">
        <f>IF(COUNTIF($E942, _xlfn.CONCAT("*",Table13[[#Headers],[Animation]],"*")),1,0)</f>
        <v>0</v>
      </c>
      <c r="L942">
        <f>IF(COUNTIF($E942, _xlfn.CONCAT("*",Table13[[#Headers],[Comedy]],"*")),1,0)</f>
        <v>1</v>
      </c>
      <c r="M942">
        <f>IF(COUNTIF($E942, _xlfn.CONCAT("*",Table13[[#Headers],[Crime]],"*")),1,0)</f>
        <v>0</v>
      </c>
      <c r="N942">
        <f>IF(COUNTIF($E942, _xlfn.CONCAT("*",Table13[[#Headers],[Documentary]],"*")),1,0)</f>
        <v>0</v>
      </c>
      <c r="O942">
        <f>IF(COUNTIF($E942, _xlfn.CONCAT("*",Table13[[#Headers],[Drama]],"*")),1,0)</f>
        <v>0</v>
      </c>
      <c r="P942">
        <f>IF(COUNTIF($E942, _xlfn.CONCAT("*",Table13[[#Headers],[Family]],"*")),1,0)</f>
        <v>0</v>
      </c>
      <c r="Q942">
        <f>IF(COUNTIF($E942, _xlfn.CONCAT("*",Table13[[#Headers],[Fantasy]],"*")),1,0)</f>
        <v>0</v>
      </c>
      <c r="R942">
        <f>IF(COUNTIF($E942, _xlfn.CONCAT("*",Table13[[#Headers],[History]],"*")),1,0)</f>
        <v>0</v>
      </c>
      <c r="S942">
        <f>IF(COUNTIF($E942, _xlfn.CONCAT("*",Table13[[#Headers],[Horror]],"*")),1,0)</f>
        <v>0</v>
      </c>
      <c r="T942">
        <f>IF(COUNTIF($E942, _xlfn.CONCAT("*",Table13[[#Headers],[Music]],"*")),1,0)</f>
        <v>0</v>
      </c>
      <c r="U942">
        <f>IF(COUNTIF($E942, _xlfn.CONCAT("*",Table13[[#Headers],[Mystery]],"*")),1,0)</f>
        <v>0</v>
      </c>
      <c r="V942">
        <f>IF(COUNTIF($E942, _xlfn.CONCAT("*",Table13[[#Headers],[Romance]],"*")),1,0)</f>
        <v>0</v>
      </c>
      <c r="W942">
        <f>IF(COUNTIF($E942, _xlfn.CONCAT("*",Table13[[#Headers],[Science Fiction]],"*")),1,0)</f>
        <v>0</v>
      </c>
      <c r="X942">
        <f>IF(COUNTIF($E942, _xlfn.CONCAT("*",Table13[[#Headers],[TV Movie]],"*")),1,0)</f>
        <v>0</v>
      </c>
      <c r="Y942">
        <f>IF(COUNTIF($E942, _xlfn.CONCAT("*",Table13[[#Headers],[Thriller]],"*")),1,0)</f>
        <v>0</v>
      </c>
      <c r="Z942">
        <f>IF(COUNTIF($E942, _xlfn.CONCAT("*",Table13[[#Headers],[War]],"*")),1,0)</f>
        <v>0</v>
      </c>
      <c r="AA942">
        <f>IF(COUNTIF($E942, _xlfn.CONCAT("*",Table13[[#Headers],[Western]],"*")),1,0)</f>
        <v>0</v>
      </c>
    </row>
    <row r="943" spans="1:27">
      <c r="A943" t="s">
        <v>234</v>
      </c>
      <c r="B943">
        <v>93</v>
      </c>
      <c r="C943">
        <f>MAX(Table13[Rank])-Table13[[#This Row],[Rank]]</f>
        <v>171</v>
      </c>
      <c r="D943" t="s">
        <v>946</v>
      </c>
      <c r="E943" t="s">
        <v>21</v>
      </c>
      <c r="F943" s="1">
        <v>39442</v>
      </c>
      <c r="G943">
        <f>YEAR(Table13[[#This Row],[Date]])</f>
        <v>2007</v>
      </c>
      <c r="H943" t="s">
        <v>234</v>
      </c>
      <c r="I943">
        <f>IF(COUNTIF($E943, _xlfn.CONCAT("*",Table13[[#Headers],[Action]],"*")),1,0)</f>
        <v>0</v>
      </c>
      <c r="J943">
        <f>IF(COUNTIF($E943, _xlfn.CONCAT("*",Table13[[#Headers],[Adventure]],"*")),1,0)</f>
        <v>0</v>
      </c>
      <c r="K943">
        <f>IF(COUNTIF($E943, _xlfn.CONCAT("*",Table13[[#Headers],[Animation]],"*")),1,0)</f>
        <v>0</v>
      </c>
      <c r="L943">
        <f>IF(COUNTIF($E943, _xlfn.CONCAT("*",Table13[[#Headers],[Comedy]],"*")),1,0)</f>
        <v>0</v>
      </c>
      <c r="M943">
        <f>IF(COUNTIF($E943, _xlfn.CONCAT("*",Table13[[#Headers],[Crime]],"*")),1,0)</f>
        <v>0</v>
      </c>
      <c r="N943">
        <f>IF(COUNTIF($E943, _xlfn.CONCAT("*",Table13[[#Headers],[Documentary]],"*")),1,0)</f>
        <v>0</v>
      </c>
      <c r="O943">
        <f>IF(COUNTIF($E943, _xlfn.CONCAT("*",Table13[[#Headers],[Drama]],"*")),1,0)</f>
        <v>1</v>
      </c>
      <c r="P943">
        <f>IF(COUNTIF($E943, _xlfn.CONCAT("*",Table13[[#Headers],[Family]],"*")),1,0)</f>
        <v>0</v>
      </c>
      <c r="Q943">
        <f>IF(COUNTIF($E943, _xlfn.CONCAT("*",Table13[[#Headers],[Fantasy]],"*")),1,0)</f>
        <v>0</v>
      </c>
      <c r="R943">
        <f>IF(COUNTIF($E943, _xlfn.CONCAT("*",Table13[[#Headers],[History]],"*")),1,0)</f>
        <v>0</v>
      </c>
      <c r="S943">
        <f>IF(COUNTIF($E943, _xlfn.CONCAT("*",Table13[[#Headers],[Horror]],"*")),1,0)</f>
        <v>0</v>
      </c>
      <c r="T943">
        <f>IF(COUNTIF($E943, _xlfn.CONCAT("*",Table13[[#Headers],[Music]],"*")),1,0)</f>
        <v>0</v>
      </c>
      <c r="U943">
        <f>IF(COUNTIF($E943, _xlfn.CONCAT("*",Table13[[#Headers],[Mystery]],"*")),1,0)</f>
        <v>0</v>
      </c>
      <c r="V943">
        <f>IF(COUNTIF($E943, _xlfn.CONCAT("*",Table13[[#Headers],[Romance]],"*")),1,0)</f>
        <v>0</v>
      </c>
      <c r="W943">
        <f>IF(COUNTIF($E943, _xlfn.CONCAT("*",Table13[[#Headers],[Science Fiction]],"*")),1,0)</f>
        <v>0</v>
      </c>
      <c r="X943">
        <f>IF(COUNTIF($E943, _xlfn.CONCAT("*",Table13[[#Headers],[TV Movie]],"*")),1,0)</f>
        <v>0</v>
      </c>
      <c r="Y943">
        <f>IF(COUNTIF($E943, _xlfn.CONCAT("*",Table13[[#Headers],[Thriller]],"*")),1,0)</f>
        <v>0</v>
      </c>
      <c r="Z943">
        <f>IF(COUNTIF($E943, _xlfn.CONCAT("*",Table13[[#Headers],[War]],"*")),1,0)</f>
        <v>0</v>
      </c>
      <c r="AA943">
        <f>IF(COUNTIF($E943, _xlfn.CONCAT("*",Table13[[#Headers],[Western]],"*")),1,0)</f>
        <v>0</v>
      </c>
    </row>
    <row r="944" spans="1:27">
      <c r="A944" t="s">
        <v>592</v>
      </c>
      <c r="B944">
        <v>92</v>
      </c>
      <c r="C944">
        <f>MAX(Table13[Rank])-Table13[[#This Row],[Rank]]</f>
        <v>172</v>
      </c>
      <c r="D944" t="s">
        <v>946</v>
      </c>
      <c r="E944" t="s">
        <v>32</v>
      </c>
      <c r="F944" s="1">
        <v>41922</v>
      </c>
      <c r="G944">
        <f>YEAR(Table13[[#This Row],[Date]])</f>
        <v>2014</v>
      </c>
      <c r="H944" t="s">
        <v>592</v>
      </c>
      <c r="I944">
        <f>IF(COUNTIF($E944, _xlfn.CONCAT("*",Table13[[#Headers],[Action]],"*")),1,0)</f>
        <v>0</v>
      </c>
      <c r="J944">
        <f>IF(COUNTIF($E944, _xlfn.CONCAT("*",Table13[[#Headers],[Adventure]],"*")),1,0)</f>
        <v>0</v>
      </c>
      <c r="K944">
        <f>IF(COUNTIF($E944, _xlfn.CONCAT("*",Table13[[#Headers],[Animation]],"*")),1,0)</f>
        <v>0</v>
      </c>
      <c r="L944">
        <f>IF(COUNTIF($E944, _xlfn.CONCAT("*",Table13[[#Headers],[Comedy]],"*")),1,0)</f>
        <v>0</v>
      </c>
      <c r="M944">
        <f>IF(COUNTIF($E944, _xlfn.CONCAT("*",Table13[[#Headers],[Crime]],"*")),1,0)</f>
        <v>0</v>
      </c>
      <c r="N944">
        <f>IF(COUNTIF($E944, _xlfn.CONCAT("*",Table13[[#Headers],[Documentary]],"*")),1,0)</f>
        <v>0</v>
      </c>
      <c r="O944">
        <f>IF(COUNTIF($E944, _xlfn.CONCAT("*",Table13[[#Headers],[Drama]],"*")),1,0)</f>
        <v>1</v>
      </c>
      <c r="P944">
        <f>IF(COUNTIF($E944, _xlfn.CONCAT("*",Table13[[#Headers],[Family]],"*")),1,0)</f>
        <v>0</v>
      </c>
      <c r="Q944">
        <f>IF(COUNTIF($E944, _xlfn.CONCAT("*",Table13[[#Headers],[Fantasy]],"*")),1,0)</f>
        <v>0</v>
      </c>
      <c r="R944">
        <f>IF(COUNTIF($E944, _xlfn.CONCAT("*",Table13[[#Headers],[History]],"*")),1,0)</f>
        <v>0</v>
      </c>
      <c r="S944">
        <f>IF(COUNTIF($E944, _xlfn.CONCAT("*",Table13[[#Headers],[Horror]],"*")),1,0)</f>
        <v>0</v>
      </c>
      <c r="T944">
        <f>IF(COUNTIF($E944, _xlfn.CONCAT("*",Table13[[#Headers],[Music]],"*")),1,0)</f>
        <v>1</v>
      </c>
      <c r="U944">
        <f>IF(COUNTIF($E944, _xlfn.CONCAT("*",Table13[[#Headers],[Mystery]],"*")),1,0)</f>
        <v>0</v>
      </c>
      <c r="V944">
        <f>IF(COUNTIF($E944, _xlfn.CONCAT("*",Table13[[#Headers],[Romance]],"*")),1,0)</f>
        <v>0</v>
      </c>
      <c r="W944">
        <f>IF(COUNTIF($E944, _xlfn.CONCAT("*",Table13[[#Headers],[Science Fiction]],"*")),1,0)</f>
        <v>0</v>
      </c>
      <c r="X944">
        <f>IF(COUNTIF($E944, _xlfn.CONCAT("*",Table13[[#Headers],[TV Movie]],"*")),1,0)</f>
        <v>0</v>
      </c>
      <c r="Y944">
        <f>IF(COUNTIF($E944, _xlfn.CONCAT("*",Table13[[#Headers],[Thriller]],"*")),1,0)</f>
        <v>0</v>
      </c>
      <c r="Z944">
        <f>IF(COUNTIF($E944, _xlfn.CONCAT("*",Table13[[#Headers],[War]],"*")),1,0)</f>
        <v>0</v>
      </c>
      <c r="AA944">
        <f>IF(COUNTIF($E944, _xlfn.CONCAT("*",Table13[[#Headers],[Western]],"*")),1,0)</f>
        <v>0</v>
      </c>
    </row>
    <row r="945" spans="1:27">
      <c r="A945" t="s">
        <v>955</v>
      </c>
      <c r="B945">
        <v>91</v>
      </c>
      <c r="C945">
        <f>MAX(Table13[Rank])-Table13[[#This Row],[Rank]]</f>
        <v>173</v>
      </c>
      <c r="D945" t="s">
        <v>946</v>
      </c>
      <c r="E945" t="s">
        <v>495</v>
      </c>
      <c r="F945" s="1">
        <v>31205</v>
      </c>
      <c r="G945">
        <f>YEAR(Table13[[#This Row],[Date]])</f>
        <v>1985</v>
      </c>
      <c r="H945" t="s">
        <v>955</v>
      </c>
      <c r="I945">
        <f>IF(COUNTIF($E945, _xlfn.CONCAT("*",Table13[[#Headers],[Action]],"*")),1,0)</f>
        <v>0</v>
      </c>
      <c r="J945">
        <f>IF(COUNTIF($E945, _xlfn.CONCAT("*",Table13[[#Headers],[Adventure]],"*")),1,0)</f>
        <v>1</v>
      </c>
      <c r="K945">
        <f>IF(COUNTIF($E945, _xlfn.CONCAT("*",Table13[[#Headers],[Animation]],"*")),1,0)</f>
        <v>0</v>
      </c>
      <c r="L945">
        <f>IF(COUNTIF($E945, _xlfn.CONCAT("*",Table13[[#Headers],[Comedy]],"*")),1,0)</f>
        <v>1</v>
      </c>
      <c r="M945">
        <f>IF(COUNTIF($E945, _xlfn.CONCAT("*",Table13[[#Headers],[Crime]],"*")),1,0)</f>
        <v>0</v>
      </c>
      <c r="N945">
        <f>IF(COUNTIF($E945, _xlfn.CONCAT("*",Table13[[#Headers],[Documentary]],"*")),1,0)</f>
        <v>0</v>
      </c>
      <c r="O945">
        <f>IF(COUNTIF($E945, _xlfn.CONCAT("*",Table13[[#Headers],[Drama]],"*")),1,0)</f>
        <v>0</v>
      </c>
      <c r="P945">
        <f>IF(COUNTIF($E945, _xlfn.CONCAT("*",Table13[[#Headers],[Family]],"*")),1,0)</f>
        <v>1</v>
      </c>
      <c r="Q945">
        <f>IF(COUNTIF($E945, _xlfn.CONCAT("*",Table13[[#Headers],[Fantasy]],"*")),1,0)</f>
        <v>0</v>
      </c>
      <c r="R945">
        <f>IF(COUNTIF($E945, _xlfn.CONCAT("*",Table13[[#Headers],[History]],"*")),1,0)</f>
        <v>0</v>
      </c>
      <c r="S945">
        <f>IF(COUNTIF($E945, _xlfn.CONCAT("*",Table13[[#Headers],[Horror]],"*")),1,0)</f>
        <v>0</v>
      </c>
      <c r="T945">
        <f>IF(COUNTIF($E945, _xlfn.CONCAT("*",Table13[[#Headers],[Music]],"*")),1,0)</f>
        <v>0</v>
      </c>
      <c r="U945">
        <f>IF(COUNTIF($E945, _xlfn.CONCAT("*",Table13[[#Headers],[Mystery]],"*")),1,0)</f>
        <v>0</v>
      </c>
      <c r="V945">
        <f>IF(COUNTIF($E945, _xlfn.CONCAT("*",Table13[[#Headers],[Romance]],"*")),1,0)</f>
        <v>0</v>
      </c>
      <c r="W945">
        <f>IF(COUNTIF($E945, _xlfn.CONCAT("*",Table13[[#Headers],[Science Fiction]],"*")),1,0)</f>
        <v>0</v>
      </c>
      <c r="X945">
        <f>IF(COUNTIF($E945, _xlfn.CONCAT("*",Table13[[#Headers],[TV Movie]],"*")),1,0)</f>
        <v>0</v>
      </c>
      <c r="Y945">
        <f>IF(COUNTIF($E945, _xlfn.CONCAT("*",Table13[[#Headers],[Thriller]],"*")),1,0)</f>
        <v>0</v>
      </c>
      <c r="Z945">
        <f>IF(COUNTIF($E945, _xlfn.CONCAT("*",Table13[[#Headers],[War]],"*")),1,0)</f>
        <v>0</v>
      </c>
      <c r="AA945">
        <f>IF(COUNTIF($E945, _xlfn.CONCAT("*",Table13[[#Headers],[Western]],"*")),1,0)</f>
        <v>0</v>
      </c>
    </row>
    <row r="946" spans="1:27">
      <c r="A946" t="s">
        <v>580</v>
      </c>
      <c r="B946">
        <v>90</v>
      </c>
      <c r="C946">
        <f>MAX(Table13[Rank])-Table13[[#This Row],[Rank]]</f>
        <v>174</v>
      </c>
      <c r="D946" t="s">
        <v>946</v>
      </c>
      <c r="E946" t="s">
        <v>579</v>
      </c>
      <c r="F946" s="1">
        <v>43012</v>
      </c>
      <c r="G946">
        <f>YEAR(Table13[[#This Row],[Date]])</f>
        <v>2017</v>
      </c>
      <c r="H946" t="s">
        <v>580</v>
      </c>
      <c r="I946">
        <f>IF(COUNTIF($E946, _xlfn.CONCAT("*",Table13[[#Headers],[Action]],"*")),1,0)</f>
        <v>0</v>
      </c>
      <c r="J946">
        <f>IF(COUNTIF($E946, _xlfn.CONCAT("*",Table13[[#Headers],[Adventure]],"*")),1,0)</f>
        <v>0</v>
      </c>
      <c r="K946">
        <f>IF(COUNTIF($E946, _xlfn.CONCAT("*",Table13[[#Headers],[Animation]],"*")),1,0)</f>
        <v>0</v>
      </c>
      <c r="L946">
        <f>IF(COUNTIF($E946, _xlfn.CONCAT("*",Table13[[#Headers],[Comedy]],"*")),1,0)</f>
        <v>0</v>
      </c>
      <c r="M946">
        <f>IF(COUNTIF($E946, _xlfn.CONCAT("*",Table13[[#Headers],[Crime]],"*")),1,0)</f>
        <v>0</v>
      </c>
      <c r="N946">
        <f>IF(COUNTIF($E946, _xlfn.CONCAT("*",Table13[[#Headers],[Documentary]],"*")),1,0)</f>
        <v>0</v>
      </c>
      <c r="O946">
        <f>IF(COUNTIF($E946, _xlfn.CONCAT("*",Table13[[#Headers],[Drama]],"*")),1,0)</f>
        <v>1</v>
      </c>
      <c r="P946">
        <f>IF(COUNTIF($E946, _xlfn.CONCAT("*",Table13[[#Headers],[Family]],"*")),1,0)</f>
        <v>0</v>
      </c>
      <c r="Q946">
        <f>IF(COUNTIF($E946, _xlfn.CONCAT("*",Table13[[#Headers],[Fantasy]],"*")),1,0)</f>
        <v>0</v>
      </c>
      <c r="R946">
        <f>IF(COUNTIF($E946, _xlfn.CONCAT("*",Table13[[#Headers],[History]],"*")),1,0)</f>
        <v>0</v>
      </c>
      <c r="S946">
        <f>IF(COUNTIF($E946, _xlfn.CONCAT("*",Table13[[#Headers],[Horror]],"*")),1,0)</f>
        <v>0</v>
      </c>
      <c r="T946">
        <f>IF(COUNTIF($E946, _xlfn.CONCAT("*",Table13[[#Headers],[Music]],"*")),1,0)</f>
        <v>0</v>
      </c>
      <c r="U946">
        <f>IF(COUNTIF($E946, _xlfn.CONCAT("*",Table13[[#Headers],[Mystery]],"*")),1,0)</f>
        <v>0</v>
      </c>
      <c r="V946">
        <f>IF(COUNTIF($E946, _xlfn.CONCAT("*",Table13[[#Headers],[Romance]],"*")),1,0)</f>
        <v>0</v>
      </c>
      <c r="W946">
        <f>IF(COUNTIF($E946, _xlfn.CONCAT("*",Table13[[#Headers],[Science Fiction]],"*")),1,0)</f>
        <v>1</v>
      </c>
      <c r="X946">
        <f>IF(COUNTIF($E946, _xlfn.CONCAT("*",Table13[[#Headers],[TV Movie]],"*")),1,0)</f>
        <v>0</v>
      </c>
      <c r="Y946">
        <f>IF(COUNTIF($E946, _xlfn.CONCAT("*",Table13[[#Headers],[Thriller]],"*")),1,0)</f>
        <v>0</v>
      </c>
      <c r="Z946">
        <f>IF(COUNTIF($E946, _xlfn.CONCAT("*",Table13[[#Headers],[War]],"*")),1,0)</f>
        <v>0</v>
      </c>
      <c r="AA946">
        <f>IF(COUNTIF($E946, _xlfn.CONCAT("*",Table13[[#Headers],[Western]],"*")),1,0)</f>
        <v>0</v>
      </c>
    </row>
    <row r="947" spans="1:27">
      <c r="A947" t="s">
        <v>956</v>
      </c>
      <c r="B947">
        <v>89</v>
      </c>
      <c r="C947">
        <f>MAX(Table13[Rank])-Table13[[#This Row],[Rank]]</f>
        <v>175</v>
      </c>
      <c r="D947" t="s">
        <v>946</v>
      </c>
      <c r="E947" t="s">
        <v>957</v>
      </c>
      <c r="F947" s="1">
        <v>42703</v>
      </c>
      <c r="G947">
        <f>YEAR(Table13[[#This Row],[Date]])</f>
        <v>2016</v>
      </c>
      <c r="H947" t="s">
        <v>956</v>
      </c>
      <c r="I947">
        <f>IF(COUNTIF($E947, _xlfn.CONCAT("*",Table13[[#Headers],[Action]],"*")),1,0)</f>
        <v>0</v>
      </c>
      <c r="J947">
        <f>IF(COUNTIF($E947, _xlfn.CONCAT("*",Table13[[#Headers],[Adventure]],"*")),1,0)</f>
        <v>0</v>
      </c>
      <c r="K947">
        <f>IF(COUNTIF($E947, _xlfn.CONCAT("*",Table13[[#Headers],[Animation]],"*")),1,0)</f>
        <v>0</v>
      </c>
      <c r="L947">
        <f>IF(COUNTIF($E947, _xlfn.CONCAT("*",Table13[[#Headers],[Comedy]],"*")),1,0)</f>
        <v>1</v>
      </c>
      <c r="M947">
        <f>IF(COUNTIF($E947, _xlfn.CONCAT("*",Table13[[#Headers],[Crime]],"*")),1,0)</f>
        <v>0</v>
      </c>
      <c r="N947">
        <f>IF(COUNTIF($E947, _xlfn.CONCAT("*",Table13[[#Headers],[Documentary]],"*")),1,0)</f>
        <v>0</v>
      </c>
      <c r="O947">
        <f>IF(COUNTIF($E947, _xlfn.CONCAT("*",Table13[[#Headers],[Drama]],"*")),1,0)</f>
        <v>1</v>
      </c>
      <c r="P947">
        <f>IF(COUNTIF($E947, _xlfn.CONCAT("*",Table13[[#Headers],[Family]],"*")),1,0)</f>
        <v>0</v>
      </c>
      <c r="Q947">
        <f>IF(COUNTIF($E947, _xlfn.CONCAT("*",Table13[[#Headers],[Fantasy]],"*")),1,0)</f>
        <v>0</v>
      </c>
      <c r="R947">
        <f>IF(COUNTIF($E947, _xlfn.CONCAT("*",Table13[[#Headers],[History]],"*")),1,0)</f>
        <v>0</v>
      </c>
      <c r="S947">
        <f>IF(COUNTIF($E947, _xlfn.CONCAT("*",Table13[[#Headers],[Horror]],"*")),1,0)</f>
        <v>0</v>
      </c>
      <c r="T947">
        <f>IF(COUNTIF($E947, _xlfn.CONCAT("*",Table13[[#Headers],[Music]],"*")),1,0)</f>
        <v>1</v>
      </c>
      <c r="U947">
        <f>IF(COUNTIF($E947, _xlfn.CONCAT("*",Table13[[#Headers],[Mystery]],"*")),1,0)</f>
        <v>0</v>
      </c>
      <c r="V947">
        <f>IF(COUNTIF($E947, _xlfn.CONCAT("*",Table13[[#Headers],[Romance]],"*")),1,0)</f>
        <v>1</v>
      </c>
      <c r="W947">
        <f>IF(COUNTIF($E947, _xlfn.CONCAT("*",Table13[[#Headers],[Science Fiction]],"*")),1,0)</f>
        <v>0</v>
      </c>
      <c r="X947">
        <f>IF(COUNTIF($E947, _xlfn.CONCAT("*",Table13[[#Headers],[TV Movie]],"*")),1,0)</f>
        <v>0</v>
      </c>
      <c r="Y947">
        <f>IF(COUNTIF($E947, _xlfn.CONCAT("*",Table13[[#Headers],[Thriller]],"*")),1,0)</f>
        <v>0</v>
      </c>
      <c r="Z947">
        <f>IF(COUNTIF($E947, _xlfn.CONCAT("*",Table13[[#Headers],[War]],"*")),1,0)</f>
        <v>0</v>
      </c>
      <c r="AA947">
        <f>IF(COUNTIF($E947, _xlfn.CONCAT("*",Table13[[#Headers],[Western]],"*")),1,0)</f>
        <v>0</v>
      </c>
    </row>
    <row r="948" spans="1:27">
      <c r="A948" t="s">
        <v>704</v>
      </c>
      <c r="B948">
        <v>88</v>
      </c>
      <c r="C948">
        <f>MAX(Table13[Rank])-Table13[[#This Row],[Rank]]</f>
        <v>176</v>
      </c>
      <c r="D948" t="s">
        <v>946</v>
      </c>
      <c r="E948" t="s">
        <v>705</v>
      </c>
      <c r="F948" s="1">
        <v>41024</v>
      </c>
      <c r="G948">
        <f>YEAR(Table13[[#This Row],[Date]])</f>
        <v>2012</v>
      </c>
      <c r="H948" t="s">
        <v>704</v>
      </c>
      <c r="I948">
        <f>IF(COUNTIF($E948, _xlfn.CONCAT("*",Table13[[#Headers],[Action]],"*")),1,0)</f>
        <v>1</v>
      </c>
      <c r="J948">
        <f>IF(COUNTIF($E948, _xlfn.CONCAT("*",Table13[[#Headers],[Adventure]],"*")),1,0)</f>
        <v>1</v>
      </c>
      <c r="K948">
        <f>IF(COUNTIF($E948, _xlfn.CONCAT("*",Table13[[#Headers],[Animation]],"*")),1,0)</f>
        <v>0</v>
      </c>
      <c r="L948">
        <f>IF(COUNTIF($E948, _xlfn.CONCAT("*",Table13[[#Headers],[Comedy]],"*")),1,0)</f>
        <v>0</v>
      </c>
      <c r="M948">
        <f>IF(COUNTIF($E948, _xlfn.CONCAT("*",Table13[[#Headers],[Crime]],"*")),1,0)</f>
        <v>0</v>
      </c>
      <c r="N948">
        <f>IF(COUNTIF($E948, _xlfn.CONCAT("*",Table13[[#Headers],[Documentary]],"*")),1,0)</f>
        <v>0</v>
      </c>
      <c r="O948">
        <f>IF(COUNTIF($E948, _xlfn.CONCAT("*",Table13[[#Headers],[Drama]],"*")),1,0)</f>
        <v>0</v>
      </c>
      <c r="P948">
        <f>IF(COUNTIF($E948, _xlfn.CONCAT("*",Table13[[#Headers],[Family]],"*")),1,0)</f>
        <v>0</v>
      </c>
      <c r="Q948">
        <f>IF(COUNTIF($E948, _xlfn.CONCAT("*",Table13[[#Headers],[Fantasy]],"*")),1,0)</f>
        <v>0</v>
      </c>
      <c r="R948">
        <f>IF(COUNTIF($E948, _xlfn.CONCAT("*",Table13[[#Headers],[History]],"*")),1,0)</f>
        <v>0</v>
      </c>
      <c r="S948">
        <f>IF(COUNTIF($E948, _xlfn.CONCAT("*",Table13[[#Headers],[Horror]],"*")),1,0)</f>
        <v>0</v>
      </c>
      <c r="T948">
        <f>IF(COUNTIF($E948, _xlfn.CONCAT("*",Table13[[#Headers],[Music]],"*")),1,0)</f>
        <v>0</v>
      </c>
      <c r="U948">
        <f>IF(COUNTIF($E948, _xlfn.CONCAT("*",Table13[[#Headers],[Mystery]],"*")),1,0)</f>
        <v>0</v>
      </c>
      <c r="V948">
        <f>IF(COUNTIF($E948, _xlfn.CONCAT("*",Table13[[#Headers],[Romance]],"*")),1,0)</f>
        <v>0</v>
      </c>
      <c r="W948">
        <f>IF(COUNTIF($E948, _xlfn.CONCAT("*",Table13[[#Headers],[Science Fiction]],"*")),1,0)</f>
        <v>1</v>
      </c>
      <c r="X948">
        <f>IF(COUNTIF($E948, _xlfn.CONCAT("*",Table13[[#Headers],[TV Movie]],"*")),1,0)</f>
        <v>0</v>
      </c>
      <c r="Y948">
        <f>IF(COUNTIF($E948, _xlfn.CONCAT("*",Table13[[#Headers],[Thriller]],"*")),1,0)</f>
        <v>0</v>
      </c>
      <c r="Z948">
        <f>IF(COUNTIF($E948, _xlfn.CONCAT("*",Table13[[#Headers],[War]],"*")),1,0)</f>
        <v>0</v>
      </c>
      <c r="AA948">
        <f>IF(COUNTIF($E948, _xlfn.CONCAT("*",Table13[[#Headers],[Western]],"*")),1,0)</f>
        <v>0</v>
      </c>
    </row>
    <row r="949" spans="1:27">
      <c r="A949" t="s">
        <v>515</v>
      </c>
      <c r="B949">
        <v>87</v>
      </c>
      <c r="C949">
        <f>MAX(Table13[Rank])-Table13[[#This Row],[Rank]]</f>
        <v>177</v>
      </c>
      <c r="D949" t="s">
        <v>946</v>
      </c>
      <c r="E949" t="s">
        <v>367</v>
      </c>
      <c r="F949" s="1">
        <v>39246</v>
      </c>
      <c r="G949">
        <f>YEAR(Table13[[#This Row],[Date]])</f>
        <v>2007</v>
      </c>
      <c r="H949" t="s">
        <v>515</v>
      </c>
      <c r="I949">
        <f>IF(COUNTIF($E949, _xlfn.CONCAT("*",Table13[[#Headers],[Action]],"*")),1,0)</f>
        <v>0</v>
      </c>
      <c r="J949">
        <f>IF(COUNTIF($E949, _xlfn.CONCAT("*",Table13[[#Headers],[Adventure]],"*")),1,0)</f>
        <v>0</v>
      </c>
      <c r="K949">
        <f>IF(COUNTIF($E949, _xlfn.CONCAT("*",Table13[[#Headers],[Animation]],"*")),1,0)</f>
        <v>0</v>
      </c>
      <c r="L949">
        <f>IF(COUNTIF($E949, _xlfn.CONCAT("*",Table13[[#Headers],[Comedy]],"*")),1,0)</f>
        <v>0</v>
      </c>
      <c r="M949">
        <f>IF(COUNTIF($E949, _xlfn.CONCAT("*",Table13[[#Headers],[Crime]],"*")),1,0)</f>
        <v>1</v>
      </c>
      <c r="N949">
        <f>IF(COUNTIF($E949, _xlfn.CONCAT("*",Table13[[#Headers],[Documentary]],"*")),1,0)</f>
        <v>0</v>
      </c>
      <c r="O949">
        <f>IF(COUNTIF($E949, _xlfn.CONCAT("*",Table13[[#Headers],[Drama]],"*")),1,0)</f>
        <v>1</v>
      </c>
      <c r="P949">
        <f>IF(COUNTIF($E949, _xlfn.CONCAT("*",Table13[[#Headers],[Family]],"*")),1,0)</f>
        <v>0</v>
      </c>
      <c r="Q949">
        <f>IF(COUNTIF($E949, _xlfn.CONCAT("*",Table13[[#Headers],[Fantasy]],"*")),1,0)</f>
        <v>0</v>
      </c>
      <c r="R949">
        <f>IF(COUNTIF($E949, _xlfn.CONCAT("*",Table13[[#Headers],[History]],"*")),1,0)</f>
        <v>0</v>
      </c>
      <c r="S949">
        <f>IF(COUNTIF($E949, _xlfn.CONCAT("*",Table13[[#Headers],[Horror]],"*")),1,0)</f>
        <v>0</v>
      </c>
      <c r="T949">
        <f>IF(COUNTIF($E949, _xlfn.CONCAT("*",Table13[[#Headers],[Music]],"*")),1,0)</f>
        <v>0</v>
      </c>
      <c r="U949">
        <f>IF(COUNTIF($E949, _xlfn.CONCAT("*",Table13[[#Headers],[Mystery]],"*")),1,0)</f>
        <v>0</v>
      </c>
      <c r="V949">
        <f>IF(COUNTIF($E949, _xlfn.CONCAT("*",Table13[[#Headers],[Romance]],"*")),1,0)</f>
        <v>0</v>
      </c>
      <c r="W949">
        <f>IF(COUNTIF($E949, _xlfn.CONCAT("*",Table13[[#Headers],[Science Fiction]],"*")),1,0)</f>
        <v>0</v>
      </c>
      <c r="X949">
        <f>IF(COUNTIF($E949, _xlfn.CONCAT("*",Table13[[#Headers],[TV Movie]],"*")),1,0)</f>
        <v>0</v>
      </c>
      <c r="Y949">
        <f>IF(COUNTIF($E949, _xlfn.CONCAT("*",Table13[[#Headers],[Thriller]],"*")),1,0)</f>
        <v>1</v>
      </c>
      <c r="Z949">
        <f>IF(COUNTIF($E949, _xlfn.CONCAT("*",Table13[[#Headers],[War]],"*")),1,0)</f>
        <v>0</v>
      </c>
      <c r="AA949">
        <f>IF(COUNTIF($E949, _xlfn.CONCAT("*",Table13[[#Headers],[Western]],"*")),1,0)</f>
        <v>0</v>
      </c>
    </row>
    <row r="950" spans="1:27">
      <c r="A950" t="s">
        <v>911</v>
      </c>
      <c r="B950">
        <v>86</v>
      </c>
      <c r="C950">
        <f>MAX(Table13[Rank])-Table13[[#This Row],[Rank]]</f>
        <v>178</v>
      </c>
      <c r="D950" t="s">
        <v>946</v>
      </c>
      <c r="E950" t="s">
        <v>21</v>
      </c>
      <c r="F950" s="1">
        <v>32661</v>
      </c>
      <c r="G950">
        <f>YEAR(Table13[[#This Row],[Date]])</f>
        <v>1989</v>
      </c>
      <c r="H950" t="s">
        <v>911</v>
      </c>
      <c r="I950">
        <f>IF(COUNTIF($E950, _xlfn.CONCAT("*",Table13[[#Headers],[Action]],"*")),1,0)</f>
        <v>0</v>
      </c>
      <c r="J950">
        <f>IF(COUNTIF($E950, _xlfn.CONCAT("*",Table13[[#Headers],[Adventure]],"*")),1,0)</f>
        <v>0</v>
      </c>
      <c r="K950">
        <f>IF(COUNTIF($E950, _xlfn.CONCAT("*",Table13[[#Headers],[Animation]],"*")),1,0)</f>
        <v>0</v>
      </c>
      <c r="L950">
        <f>IF(COUNTIF($E950, _xlfn.CONCAT("*",Table13[[#Headers],[Comedy]],"*")),1,0)</f>
        <v>0</v>
      </c>
      <c r="M950">
        <f>IF(COUNTIF($E950, _xlfn.CONCAT("*",Table13[[#Headers],[Crime]],"*")),1,0)</f>
        <v>0</v>
      </c>
      <c r="N950">
        <f>IF(COUNTIF($E950, _xlfn.CONCAT("*",Table13[[#Headers],[Documentary]],"*")),1,0)</f>
        <v>0</v>
      </c>
      <c r="O950">
        <f>IF(COUNTIF($E950, _xlfn.CONCAT("*",Table13[[#Headers],[Drama]],"*")),1,0)</f>
        <v>1</v>
      </c>
      <c r="P950">
        <f>IF(COUNTIF($E950, _xlfn.CONCAT("*",Table13[[#Headers],[Family]],"*")),1,0)</f>
        <v>0</v>
      </c>
      <c r="Q950">
        <f>IF(COUNTIF($E950, _xlfn.CONCAT("*",Table13[[#Headers],[Fantasy]],"*")),1,0)</f>
        <v>0</v>
      </c>
      <c r="R950">
        <f>IF(COUNTIF($E950, _xlfn.CONCAT("*",Table13[[#Headers],[History]],"*")),1,0)</f>
        <v>0</v>
      </c>
      <c r="S950">
        <f>IF(COUNTIF($E950, _xlfn.CONCAT("*",Table13[[#Headers],[Horror]],"*")),1,0)</f>
        <v>0</v>
      </c>
      <c r="T950">
        <f>IF(COUNTIF($E950, _xlfn.CONCAT("*",Table13[[#Headers],[Music]],"*")),1,0)</f>
        <v>0</v>
      </c>
      <c r="U950">
        <f>IF(COUNTIF($E950, _xlfn.CONCAT("*",Table13[[#Headers],[Mystery]],"*")),1,0)</f>
        <v>0</v>
      </c>
      <c r="V950">
        <f>IF(COUNTIF($E950, _xlfn.CONCAT("*",Table13[[#Headers],[Romance]],"*")),1,0)</f>
        <v>0</v>
      </c>
      <c r="W950">
        <f>IF(COUNTIF($E950, _xlfn.CONCAT("*",Table13[[#Headers],[Science Fiction]],"*")),1,0)</f>
        <v>0</v>
      </c>
      <c r="X950">
        <f>IF(COUNTIF($E950, _xlfn.CONCAT("*",Table13[[#Headers],[TV Movie]],"*")),1,0)</f>
        <v>0</v>
      </c>
      <c r="Y950">
        <f>IF(COUNTIF($E950, _xlfn.CONCAT("*",Table13[[#Headers],[Thriller]],"*")),1,0)</f>
        <v>0</v>
      </c>
      <c r="Z950">
        <f>IF(COUNTIF($E950, _xlfn.CONCAT("*",Table13[[#Headers],[War]],"*")),1,0)</f>
        <v>0</v>
      </c>
      <c r="AA950">
        <f>IF(COUNTIF($E950, _xlfn.CONCAT("*",Table13[[#Headers],[Western]],"*")),1,0)</f>
        <v>0</v>
      </c>
    </row>
    <row r="951" spans="1:27">
      <c r="A951" t="s">
        <v>958</v>
      </c>
      <c r="B951">
        <v>85</v>
      </c>
      <c r="C951">
        <f>MAX(Table13[Rank])-Table13[[#This Row],[Rank]]</f>
        <v>179</v>
      </c>
      <c r="D951" t="s">
        <v>946</v>
      </c>
      <c r="E951" t="s">
        <v>180</v>
      </c>
      <c r="F951" t="s">
        <v>180</v>
      </c>
      <c r="G951" t="e">
        <f>YEAR(Table13[[#This Row],[Date]])</f>
        <v>#VALUE!</v>
      </c>
      <c r="H951" t="s">
        <v>180</v>
      </c>
      <c r="I951">
        <f>IF(COUNTIF($E951, _xlfn.CONCAT("*",Table13[[#Headers],[Action]],"*")),1,0)</f>
        <v>0</v>
      </c>
      <c r="J951">
        <f>IF(COUNTIF($E951, _xlfn.CONCAT("*",Table13[[#Headers],[Adventure]],"*")),1,0)</f>
        <v>0</v>
      </c>
      <c r="K951">
        <f>IF(COUNTIF($E951, _xlfn.CONCAT("*",Table13[[#Headers],[Animation]],"*")),1,0)</f>
        <v>0</v>
      </c>
      <c r="L951">
        <f>IF(COUNTIF($E951, _xlfn.CONCAT("*",Table13[[#Headers],[Comedy]],"*")),1,0)</f>
        <v>0</v>
      </c>
      <c r="M951">
        <f>IF(COUNTIF($E951, _xlfn.CONCAT("*",Table13[[#Headers],[Crime]],"*")),1,0)</f>
        <v>0</v>
      </c>
      <c r="N951">
        <f>IF(COUNTIF($E951, _xlfn.CONCAT("*",Table13[[#Headers],[Documentary]],"*")),1,0)</f>
        <v>0</v>
      </c>
      <c r="O951">
        <f>IF(COUNTIF($E951, _xlfn.CONCAT("*",Table13[[#Headers],[Drama]],"*")),1,0)</f>
        <v>0</v>
      </c>
      <c r="P951">
        <f>IF(COUNTIF($E951, _xlfn.CONCAT("*",Table13[[#Headers],[Family]],"*")),1,0)</f>
        <v>0</v>
      </c>
      <c r="Q951">
        <f>IF(COUNTIF($E951, _xlfn.CONCAT("*",Table13[[#Headers],[Fantasy]],"*")),1,0)</f>
        <v>0</v>
      </c>
      <c r="R951">
        <f>IF(COUNTIF($E951, _xlfn.CONCAT("*",Table13[[#Headers],[History]],"*")),1,0)</f>
        <v>0</v>
      </c>
      <c r="S951">
        <f>IF(COUNTIF($E951, _xlfn.CONCAT("*",Table13[[#Headers],[Horror]],"*")),1,0)</f>
        <v>0</v>
      </c>
      <c r="T951">
        <f>IF(COUNTIF($E951, _xlfn.CONCAT("*",Table13[[#Headers],[Music]],"*")),1,0)</f>
        <v>0</v>
      </c>
      <c r="U951">
        <f>IF(COUNTIF($E951, _xlfn.CONCAT("*",Table13[[#Headers],[Mystery]],"*")),1,0)</f>
        <v>0</v>
      </c>
      <c r="V951">
        <f>IF(COUNTIF($E951, _xlfn.CONCAT("*",Table13[[#Headers],[Romance]],"*")),1,0)</f>
        <v>0</v>
      </c>
      <c r="W951">
        <f>IF(COUNTIF($E951, _xlfn.CONCAT("*",Table13[[#Headers],[Science Fiction]],"*")),1,0)</f>
        <v>0</v>
      </c>
      <c r="X951">
        <f>IF(COUNTIF($E951, _xlfn.CONCAT("*",Table13[[#Headers],[TV Movie]],"*")),1,0)</f>
        <v>0</v>
      </c>
      <c r="Y951">
        <f>IF(COUNTIF($E951, _xlfn.CONCAT("*",Table13[[#Headers],[Thriller]],"*")),1,0)</f>
        <v>0</v>
      </c>
      <c r="Z951">
        <f>IF(COUNTIF($E951, _xlfn.CONCAT("*",Table13[[#Headers],[War]],"*")),1,0)</f>
        <v>0</v>
      </c>
      <c r="AA951">
        <f>IF(COUNTIF($E951, _xlfn.CONCAT("*",Table13[[#Headers],[Western]],"*")),1,0)</f>
        <v>0</v>
      </c>
    </row>
    <row r="952" spans="1:27">
      <c r="A952" t="s">
        <v>959</v>
      </c>
      <c r="B952">
        <v>84</v>
      </c>
      <c r="C952">
        <f>MAX(Table13[Rank])-Table13[[#This Row],[Rank]]</f>
        <v>180</v>
      </c>
      <c r="D952" t="s">
        <v>946</v>
      </c>
      <c r="E952" t="s">
        <v>436</v>
      </c>
      <c r="F952" s="1">
        <v>43739</v>
      </c>
      <c r="G952">
        <f>YEAR(Table13[[#This Row],[Date]])</f>
        <v>2019</v>
      </c>
      <c r="H952" t="s">
        <v>959</v>
      </c>
      <c r="I952">
        <f>IF(COUNTIF($E952, _xlfn.CONCAT("*",Table13[[#Headers],[Action]],"*")),1,0)</f>
        <v>0</v>
      </c>
      <c r="J952">
        <f>IF(COUNTIF($E952, _xlfn.CONCAT("*",Table13[[#Headers],[Adventure]],"*")),1,0)</f>
        <v>0</v>
      </c>
      <c r="K952">
        <f>IF(COUNTIF($E952, _xlfn.CONCAT("*",Table13[[#Headers],[Animation]],"*")),1,0)</f>
        <v>0</v>
      </c>
      <c r="L952">
        <f>IF(COUNTIF($E952, _xlfn.CONCAT("*",Table13[[#Headers],[Comedy]],"*")),1,0)</f>
        <v>0</v>
      </c>
      <c r="M952">
        <f>IF(COUNTIF($E952, _xlfn.CONCAT("*",Table13[[#Headers],[Crime]],"*")),1,0)</f>
        <v>1</v>
      </c>
      <c r="N952">
        <f>IF(COUNTIF($E952, _xlfn.CONCAT("*",Table13[[#Headers],[Documentary]],"*")),1,0)</f>
        <v>0</v>
      </c>
      <c r="O952">
        <f>IF(COUNTIF($E952, _xlfn.CONCAT("*",Table13[[#Headers],[Drama]],"*")),1,0)</f>
        <v>1</v>
      </c>
      <c r="P952">
        <f>IF(COUNTIF($E952, _xlfn.CONCAT("*",Table13[[#Headers],[Family]],"*")),1,0)</f>
        <v>0</v>
      </c>
      <c r="Q952">
        <f>IF(COUNTIF($E952, _xlfn.CONCAT("*",Table13[[#Headers],[Fantasy]],"*")),1,0)</f>
        <v>0</v>
      </c>
      <c r="R952">
        <f>IF(COUNTIF($E952, _xlfn.CONCAT("*",Table13[[#Headers],[History]],"*")),1,0)</f>
        <v>0</v>
      </c>
      <c r="S952">
        <f>IF(COUNTIF($E952, _xlfn.CONCAT("*",Table13[[#Headers],[Horror]],"*")),1,0)</f>
        <v>0</v>
      </c>
      <c r="T952">
        <f>IF(COUNTIF($E952, _xlfn.CONCAT("*",Table13[[#Headers],[Music]],"*")),1,0)</f>
        <v>0</v>
      </c>
      <c r="U952">
        <f>IF(COUNTIF($E952, _xlfn.CONCAT("*",Table13[[#Headers],[Mystery]],"*")),1,0)</f>
        <v>0</v>
      </c>
      <c r="V952">
        <f>IF(COUNTIF($E952, _xlfn.CONCAT("*",Table13[[#Headers],[Romance]],"*")),1,0)</f>
        <v>0</v>
      </c>
      <c r="W952">
        <f>IF(COUNTIF($E952, _xlfn.CONCAT("*",Table13[[#Headers],[Science Fiction]],"*")),1,0)</f>
        <v>0</v>
      </c>
      <c r="X952">
        <f>IF(COUNTIF($E952, _xlfn.CONCAT("*",Table13[[#Headers],[TV Movie]],"*")),1,0)</f>
        <v>0</v>
      </c>
      <c r="Y952">
        <f>IF(COUNTIF($E952, _xlfn.CONCAT("*",Table13[[#Headers],[Thriller]],"*")),1,0)</f>
        <v>1</v>
      </c>
      <c r="Z952">
        <f>IF(COUNTIF($E952, _xlfn.CONCAT("*",Table13[[#Headers],[War]],"*")),1,0)</f>
        <v>0</v>
      </c>
      <c r="AA952">
        <f>IF(COUNTIF($E952, _xlfn.CONCAT("*",Table13[[#Headers],[Western]],"*")),1,0)</f>
        <v>0</v>
      </c>
    </row>
    <row r="953" spans="1:27">
      <c r="A953" t="s">
        <v>960</v>
      </c>
      <c r="B953">
        <v>83</v>
      </c>
      <c r="C953">
        <f>MAX(Table13[Rank])-Table13[[#This Row],[Rank]]</f>
        <v>181</v>
      </c>
      <c r="D953" t="s">
        <v>946</v>
      </c>
      <c r="E953" t="s">
        <v>141</v>
      </c>
      <c r="F953" s="1">
        <v>17898</v>
      </c>
      <c r="G953">
        <f>YEAR(Table13[[#This Row],[Date]])</f>
        <v>1948</v>
      </c>
      <c r="H953" t="s">
        <v>960</v>
      </c>
      <c r="I953">
        <f>IF(COUNTIF($E953, _xlfn.CONCAT("*",Table13[[#Headers],[Action]],"*")),1,0)</f>
        <v>0</v>
      </c>
      <c r="J953">
        <f>IF(COUNTIF($E953, _xlfn.CONCAT("*",Table13[[#Headers],[Adventure]],"*")),1,0)</f>
        <v>0</v>
      </c>
      <c r="K953">
        <f>IF(COUNTIF($E953, _xlfn.CONCAT("*",Table13[[#Headers],[Animation]],"*")),1,0)</f>
        <v>0</v>
      </c>
      <c r="L953">
        <f>IF(COUNTIF($E953, _xlfn.CONCAT("*",Table13[[#Headers],[Comedy]],"*")),1,0)</f>
        <v>0</v>
      </c>
      <c r="M953">
        <f>IF(COUNTIF($E953, _xlfn.CONCAT("*",Table13[[#Headers],[Crime]],"*")),1,0)</f>
        <v>0</v>
      </c>
      <c r="N953">
        <f>IF(COUNTIF($E953, _xlfn.CONCAT("*",Table13[[#Headers],[Documentary]],"*")),1,0)</f>
        <v>0</v>
      </c>
      <c r="O953">
        <f>IF(COUNTIF($E953, _xlfn.CONCAT("*",Table13[[#Headers],[Drama]],"*")),1,0)</f>
        <v>0</v>
      </c>
      <c r="P953">
        <f>IF(COUNTIF($E953, _xlfn.CONCAT("*",Table13[[#Headers],[Family]],"*")),1,0)</f>
        <v>0</v>
      </c>
      <c r="Q953">
        <f>IF(COUNTIF($E953, _xlfn.CONCAT("*",Table13[[#Headers],[Fantasy]],"*")),1,0)</f>
        <v>0</v>
      </c>
      <c r="R953">
        <f>IF(COUNTIF($E953, _xlfn.CONCAT("*",Table13[[#Headers],[History]],"*")),1,0)</f>
        <v>0</v>
      </c>
      <c r="S953">
        <f>IF(COUNTIF($E953, _xlfn.CONCAT("*",Table13[[#Headers],[Horror]],"*")),1,0)</f>
        <v>0</v>
      </c>
      <c r="T953">
        <f>IF(COUNTIF($E953, _xlfn.CONCAT("*",Table13[[#Headers],[Music]],"*")),1,0)</f>
        <v>0</v>
      </c>
      <c r="U953">
        <f>IF(COUNTIF($E953, _xlfn.CONCAT("*",Table13[[#Headers],[Mystery]],"*")),1,0)</f>
        <v>0</v>
      </c>
      <c r="V953">
        <f>IF(COUNTIF($E953, _xlfn.CONCAT("*",Table13[[#Headers],[Romance]],"*")),1,0)</f>
        <v>0</v>
      </c>
      <c r="W953">
        <f>IF(COUNTIF($E953, _xlfn.CONCAT("*",Table13[[#Headers],[Science Fiction]],"*")),1,0)</f>
        <v>0</v>
      </c>
      <c r="X953">
        <f>IF(COUNTIF($E953, _xlfn.CONCAT("*",Table13[[#Headers],[TV Movie]],"*")),1,0)</f>
        <v>0</v>
      </c>
      <c r="Y953">
        <f>IF(COUNTIF($E953, _xlfn.CONCAT("*",Table13[[#Headers],[Thriller]],"*")),1,0)</f>
        <v>0</v>
      </c>
      <c r="Z953">
        <f>IF(COUNTIF($E953, _xlfn.CONCAT("*",Table13[[#Headers],[War]],"*")),1,0)</f>
        <v>0</v>
      </c>
      <c r="AA953">
        <f>IF(COUNTIF($E953, _xlfn.CONCAT("*",Table13[[#Headers],[Western]],"*")),1,0)</f>
        <v>1</v>
      </c>
    </row>
    <row r="954" spans="1:27">
      <c r="A954" t="s">
        <v>513</v>
      </c>
      <c r="B954">
        <v>82</v>
      </c>
      <c r="C954">
        <f>MAX(Table13[Rank])-Table13[[#This Row],[Rank]]</f>
        <v>182</v>
      </c>
      <c r="D954" t="s">
        <v>946</v>
      </c>
      <c r="E954" t="s">
        <v>512</v>
      </c>
      <c r="F954" s="1">
        <v>30981</v>
      </c>
      <c r="G954">
        <f>YEAR(Table13[[#This Row],[Date]])</f>
        <v>1984</v>
      </c>
      <c r="H954" t="s">
        <v>513</v>
      </c>
      <c r="I954">
        <f>IF(COUNTIF($E954, _xlfn.CONCAT("*",Table13[[#Headers],[Action]],"*")),1,0)</f>
        <v>1</v>
      </c>
      <c r="J954">
        <f>IF(COUNTIF($E954, _xlfn.CONCAT("*",Table13[[#Headers],[Adventure]],"*")),1,0)</f>
        <v>0</v>
      </c>
      <c r="K954">
        <f>IF(COUNTIF($E954, _xlfn.CONCAT("*",Table13[[#Headers],[Animation]],"*")),1,0)</f>
        <v>0</v>
      </c>
      <c r="L954">
        <f>IF(COUNTIF($E954, _xlfn.CONCAT("*",Table13[[#Headers],[Comedy]],"*")),1,0)</f>
        <v>0</v>
      </c>
      <c r="M954">
        <f>IF(COUNTIF($E954, _xlfn.CONCAT("*",Table13[[#Headers],[Crime]],"*")),1,0)</f>
        <v>0</v>
      </c>
      <c r="N954">
        <f>IF(COUNTIF($E954, _xlfn.CONCAT("*",Table13[[#Headers],[Documentary]],"*")),1,0)</f>
        <v>0</v>
      </c>
      <c r="O954">
        <f>IF(COUNTIF($E954, _xlfn.CONCAT("*",Table13[[#Headers],[Drama]],"*")),1,0)</f>
        <v>0</v>
      </c>
      <c r="P954">
        <f>IF(COUNTIF($E954, _xlfn.CONCAT("*",Table13[[#Headers],[Family]],"*")),1,0)</f>
        <v>0</v>
      </c>
      <c r="Q954">
        <f>IF(COUNTIF($E954, _xlfn.CONCAT("*",Table13[[#Headers],[Fantasy]],"*")),1,0)</f>
        <v>0</v>
      </c>
      <c r="R954">
        <f>IF(COUNTIF($E954, _xlfn.CONCAT("*",Table13[[#Headers],[History]],"*")),1,0)</f>
        <v>0</v>
      </c>
      <c r="S954">
        <f>IF(COUNTIF($E954, _xlfn.CONCAT("*",Table13[[#Headers],[Horror]],"*")),1,0)</f>
        <v>0</v>
      </c>
      <c r="T954">
        <f>IF(COUNTIF($E954, _xlfn.CONCAT("*",Table13[[#Headers],[Music]],"*")),1,0)</f>
        <v>0</v>
      </c>
      <c r="U954">
        <f>IF(COUNTIF($E954, _xlfn.CONCAT("*",Table13[[#Headers],[Mystery]],"*")),1,0)</f>
        <v>0</v>
      </c>
      <c r="V954">
        <f>IF(COUNTIF($E954, _xlfn.CONCAT("*",Table13[[#Headers],[Romance]],"*")),1,0)</f>
        <v>0</v>
      </c>
      <c r="W954">
        <f>IF(COUNTIF($E954, _xlfn.CONCAT("*",Table13[[#Headers],[Science Fiction]],"*")),1,0)</f>
        <v>1</v>
      </c>
      <c r="X954">
        <f>IF(COUNTIF($E954, _xlfn.CONCAT("*",Table13[[#Headers],[TV Movie]],"*")),1,0)</f>
        <v>0</v>
      </c>
      <c r="Y954">
        <f>IF(COUNTIF($E954, _xlfn.CONCAT("*",Table13[[#Headers],[Thriller]],"*")),1,0)</f>
        <v>1</v>
      </c>
      <c r="Z954">
        <f>IF(COUNTIF($E954, _xlfn.CONCAT("*",Table13[[#Headers],[War]],"*")),1,0)</f>
        <v>0</v>
      </c>
      <c r="AA954">
        <f>IF(COUNTIF($E954, _xlfn.CONCAT("*",Table13[[#Headers],[Western]],"*")),1,0)</f>
        <v>0</v>
      </c>
    </row>
    <row r="955" spans="1:27">
      <c r="A955" t="s">
        <v>961</v>
      </c>
      <c r="B955">
        <v>81</v>
      </c>
      <c r="C955">
        <f>MAX(Table13[Rank])-Table13[[#This Row],[Rank]]</f>
        <v>183</v>
      </c>
      <c r="D955" t="s">
        <v>946</v>
      </c>
      <c r="E955" t="s">
        <v>256</v>
      </c>
      <c r="F955" s="1">
        <v>35530</v>
      </c>
      <c r="G955">
        <f>YEAR(Table13[[#This Row],[Date]])</f>
        <v>1997</v>
      </c>
      <c r="H955" t="s">
        <v>961</v>
      </c>
      <c r="I955">
        <f>IF(COUNTIF($E955, _xlfn.CONCAT("*",Table13[[#Headers],[Action]],"*")),1,0)</f>
        <v>0</v>
      </c>
      <c r="J955">
        <f>IF(COUNTIF($E955, _xlfn.CONCAT("*",Table13[[#Headers],[Adventure]],"*")),1,0)</f>
        <v>0</v>
      </c>
      <c r="K955">
        <f>IF(COUNTIF($E955, _xlfn.CONCAT("*",Table13[[#Headers],[Animation]],"*")),1,0)</f>
        <v>0</v>
      </c>
      <c r="L955">
        <f>IF(COUNTIF($E955, _xlfn.CONCAT("*",Table13[[#Headers],[Comedy]],"*")),1,0)</f>
        <v>1</v>
      </c>
      <c r="M955">
        <f>IF(COUNTIF($E955, _xlfn.CONCAT("*",Table13[[#Headers],[Crime]],"*")),1,0)</f>
        <v>0</v>
      </c>
      <c r="N955">
        <f>IF(COUNTIF($E955, _xlfn.CONCAT("*",Table13[[#Headers],[Documentary]],"*")),1,0)</f>
        <v>0</v>
      </c>
      <c r="O955">
        <f>IF(COUNTIF($E955, _xlfn.CONCAT("*",Table13[[#Headers],[Drama]],"*")),1,0)</f>
        <v>1</v>
      </c>
      <c r="P955">
        <f>IF(COUNTIF($E955, _xlfn.CONCAT("*",Table13[[#Headers],[Family]],"*")),1,0)</f>
        <v>0</v>
      </c>
      <c r="Q955">
        <f>IF(COUNTIF($E955, _xlfn.CONCAT("*",Table13[[#Headers],[Fantasy]],"*")),1,0)</f>
        <v>0</v>
      </c>
      <c r="R955">
        <f>IF(COUNTIF($E955, _xlfn.CONCAT("*",Table13[[#Headers],[History]],"*")),1,0)</f>
        <v>0</v>
      </c>
      <c r="S955">
        <f>IF(COUNTIF($E955, _xlfn.CONCAT("*",Table13[[#Headers],[Horror]],"*")),1,0)</f>
        <v>0</v>
      </c>
      <c r="T955">
        <f>IF(COUNTIF($E955, _xlfn.CONCAT("*",Table13[[#Headers],[Music]],"*")),1,0)</f>
        <v>0</v>
      </c>
      <c r="U955">
        <f>IF(COUNTIF($E955, _xlfn.CONCAT("*",Table13[[#Headers],[Mystery]],"*")),1,0)</f>
        <v>0</v>
      </c>
      <c r="V955">
        <f>IF(COUNTIF($E955, _xlfn.CONCAT("*",Table13[[#Headers],[Romance]],"*")),1,0)</f>
        <v>0</v>
      </c>
      <c r="W955">
        <f>IF(COUNTIF($E955, _xlfn.CONCAT("*",Table13[[#Headers],[Science Fiction]],"*")),1,0)</f>
        <v>0</v>
      </c>
      <c r="X955">
        <f>IF(COUNTIF($E955, _xlfn.CONCAT("*",Table13[[#Headers],[TV Movie]],"*")),1,0)</f>
        <v>0</v>
      </c>
      <c r="Y955">
        <f>IF(COUNTIF($E955, _xlfn.CONCAT("*",Table13[[#Headers],[Thriller]],"*")),1,0)</f>
        <v>0</v>
      </c>
      <c r="Z955">
        <f>IF(COUNTIF($E955, _xlfn.CONCAT("*",Table13[[#Headers],[War]],"*")),1,0)</f>
        <v>0</v>
      </c>
      <c r="AA955">
        <f>IF(COUNTIF($E955, _xlfn.CONCAT("*",Table13[[#Headers],[Western]],"*")),1,0)</f>
        <v>0</v>
      </c>
    </row>
    <row r="956" spans="1:27">
      <c r="A956" t="s">
        <v>530</v>
      </c>
      <c r="B956">
        <v>80</v>
      </c>
      <c r="C956">
        <f>MAX(Table13[Rank])-Table13[[#This Row],[Rank]]</f>
        <v>184</v>
      </c>
      <c r="D956" t="s">
        <v>946</v>
      </c>
      <c r="E956" t="s">
        <v>529</v>
      </c>
      <c r="F956" s="1">
        <v>34899</v>
      </c>
      <c r="G956">
        <f>YEAR(Table13[[#This Row],[Date]])</f>
        <v>1995</v>
      </c>
      <c r="H956" t="s">
        <v>530</v>
      </c>
      <c r="I956">
        <f>IF(COUNTIF($E956, _xlfn.CONCAT("*",Table13[[#Headers],[Action]],"*")),1,0)</f>
        <v>0</v>
      </c>
      <c r="J956">
        <f>IF(COUNTIF($E956, _xlfn.CONCAT("*",Table13[[#Headers],[Adventure]],"*")),1,0)</f>
        <v>0</v>
      </c>
      <c r="K956">
        <f>IF(COUNTIF($E956, _xlfn.CONCAT("*",Table13[[#Headers],[Animation]],"*")),1,0)</f>
        <v>0</v>
      </c>
      <c r="L956">
        <f>IF(COUNTIF($E956, _xlfn.CONCAT("*",Table13[[#Headers],[Comedy]],"*")),1,0)</f>
        <v>0</v>
      </c>
      <c r="M956">
        <f>IF(COUNTIF($E956, _xlfn.CONCAT("*",Table13[[#Headers],[Crime]],"*")),1,0)</f>
        <v>1</v>
      </c>
      <c r="N956">
        <f>IF(COUNTIF($E956, _xlfn.CONCAT("*",Table13[[#Headers],[Documentary]],"*")),1,0)</f>
        <v>0</v>
      </c>
      <c r="O956">
        <f>IF(COUNTIF($E956, _xlfn.CONCAT("*",Table13[[#Headers],[Drama]],"*")),1,0)</f>
        <v>1</v>
      </c>
      <c r="P956">
        <f>IF(COUNTIF($E956, _xlfn.CONCAT("*",Table13[[#Headers],[Family]],"*")),1,0)</f>
        <v>0</v>
      </c>
      <c r="Q956">
        <f>IF(COUNTIF($E956, _xlfn.CONCAT("*",Table13[[#Headers],[Fantasy]],"*")),1,0)</f>
        <v>0</v>
      </c>
      <c r="R956">
        <f>IF(COUNTIF($E956, _xlfn.CONCAT("*",Table13[[#Headers],[History]],"*")),1,0)</f>
        <v>0</v>
      </c>
      <c r="S956">
        <f>IF(COUNTIF($E956, _xlfn.CONCAT("*",Table13[[#Headers],[Horror]],"*")),1,0)</f>
        <v>0</v>
      </c>
      <c r="T956">
        <f>IF(COUNTIF($E956, _xlfn.CONCAT("*",Table13[[#Headers],[Music]],"*")),1,0)</f>
        <v>0</v>
      </c>
      <c r="U956">
        <f>IF(COUNTIF($E956, _xlfn.CONCAT("*",Table13[[#Headers],[Mystery]],"*")),1,0)</f>
        <v>0</v>
      </c>
      <c r="V956">
        <f>IF(COUNTIF($E956, _xlfn.CONCAT("*",Table13[[#Headers],[Romance]],"*")),1,0)</f>
        <v>0</v>
      </c>
      <c r="W956">
        <f>IF(COUNTIF($E956, _xlfn.CONCAT("*",Table13[[#Headers],[Science Fiction]],"*")),1,0)</f>
        <v>0</v>
      </c>
      <c r="X956">
        <f>IF(COUNTIF($E956, _xlfn.CONCAT("*",Table13[[#Headers],[TV Movie]],"*")),1,0)</f>
        <v>0</v>
      </c>
      <c r="Y956">
        <f>IF(COUNTIF($E956, _xlfn.CONCAT("*",Table13[[#Headers],[Thriller]],"*")),1,0)</f>
        <v>1</v>
      </c>
      <c r="Z956">
        <f>IF(COUNTIF($E956, _xlfn.CONCAT("*",Table13[[#Headers],[War]],"*")),1,0)</f>
        <v>0</v>
      </c>
      <c r="AA956">
        <f>IF(COUNTIF($E956, _xlfn.CONCAT("*",Table13[[#Headers],[Western]],"*")),1,0)</f>
        <v>0</v>
      </c>
    </row>
    <row r="957" spans="1:27">
      <c r="A957" t="s">
        <v>962</v>
      </c>
      <c r="B957">
        <v>79</v>
      </c>
      <c r="C957">
        <f>MAX(Table13[Rank])-Table13[[#This Row],[Rank]]</f>
        <v>185</v>
      </c>
      <c r="D957" t="s">
        <v>946</v>
      </c>
      <c r="E957" t="s">
        <v>213</v>
      </c>
      <c r="F957" s="1">
        <v>43602</v>
      </c>
      <c r="G957">
        <f>YEAR(Table13[[#This Row],[Date]])</f>
        <v>2019</v>
      </c>
      <c r="H957" t="s">
        <v>962</v>
      </c>
      <c r="I957">
        <f>IF(COUNTIF($E957, _xlfn.CONCAT("*",Table13[[#Headers],[Action]],"*")),1,0)</f>
        <v>0</v>
      </c>
      <c r="J957">
        <f>IF(COUNTIF($E957, _xlfn.CONCAT("*",Table13[[#Headers],[Adventure]],"*")),1,0)</f>
        <v>0</v>
      </c>
      <c r="K957">
        <f>IF(COUNTIF($E957, _xlfn.CONCAT("*",Table13[[#Headers],[Animation]],"*")),1,0)</f>
        <v>0</v>
      </c>
      <c r="L957">
        <f>IF(COUNTIF($E957, _xlfn.CONCAT("*",Table13[[#Headers],[Comedy]],"*")),1,0)</f>
        <v>0</v>
      </c>
      <c r="M957">
        <f>IF(COUNTIF($E957, _xlfn.CONCAT("*",Table13[[#Headers],[Crime]],"*")),1,0)</f>
        <v>0</v>
      </c>
      <c r="N957">
        <f>IF(COUNTIF($E957, _xlfn.CONCAT("*",Table13[[#Headers],[Documentary]],"*")),1,0)</f>
        <v>0</v>
      </c>
      <c r="O957">
        <f>IF(COUNTIF($E957, _xlfn.CONCAT("*",Table13[[#Headers],[Drama]],"*")),1,0)</f>
        <v>1</v>
      </c>
      <c r="P957">
        <f>IF(COUNTIF($E957, _xlfn.CONCAT("*",Table13[[#Headers],[Family]],"*")),1,0)</f>
        <v>0</v>
      </c>
      <c r="Q957">
        <f>IF(COUNTIF($E957, _xlfn.CONCAT("*",Table13[[#Headers],[Fantasy]],"*")),1,0)</f>
        <v>0</v>
      </c>
      <c r="R957">
        <f>IF(COUNTIF($E957, _xlfn.CONCAT("*",Table13[[#Headers],[History]],"*")),1,0)</f>
        <v>1</v>
      </c>
      <c r="S957">
        <f>IF(COUNTIF($E957, _xlfn.CONCAT("*",Table13[[#Headers],[Horror]],"*")),1,0)</f>
        <v>0</v>
      </c>
      <c r="T957">
        <f>IF(COUNTIF($E957, _xlfn.CONCAT("*",Table13[[#Headers],[Music]],"*")),1,0)</f>
        <v>1</v>
      </c>
      <c r="U957">
        <f>IF(COUNTIF($E957, _xlfn.CONCAT("*",Table13[[#Headers],[Mystery]],"*")),1,0)</f>
        <v>0</v>
      </c>
      <c r="V957">
        <f>IF(COUNTIF($E957, _xlfn.CONCAT("*",Table13[[#Headers],[Romance]],"*")),1,0)</f>
        <v>0</v>
      </c>
      <c r="W957">
        <f>IF(COUNTIF($E957, _xlfn.CONCAT("*",Table13[[#Headers],[Science Fiction]],"*")),1,0)</f>
        <v>0</v>
      </c>
      <c r="X957">
        <f>IF(COUNTIF($E957, _xlfn.CONCAT("*",Table13[[#Headers],[TV Movie]],"*")),1,0)</f>
        <v>0</v>
      </c>
      <c r="Y957">
        <f>IF(COUNTIF($E957, _xlfn.CONCAT("*",Table13[[#Headers],[Thriller]],"*")),1,0)</f>
        <v>0</v>
      </c>
      <c r="Z957">
        <f>IF(COUNTIF($E957, _xlfn.CONCAT("*",Table13[[#Headers],[War]],"*")),1,0)</f>
        <v>0</v>
      </c>
      <c r="AA957">
        <f>IF(COUNTIF($E957, _xlfn.CONCAT("*",Table13[[#Headers],[Western]],"*")),1,0)</f>
        <v>0</v>
      </c>
    </row>
    <row r="958" spans="1:27">
      <c r="A958" t="s">
        <v>688</v>
      </c>
      <c r="B958">
        <v>78</v>
      </c>
      <c r="C958">
        <f>MAX(Table13[Rank])-Table13[[#This Row],[Rank]]</f>
        <v>186</v>
      </c>
      <c r="D958" t="s">
        <v>946</v>
      </c>
      <c r="E958" t="s">
        <v>689</v>
      </c>
      <c r="F958" s="1">
        <v>43658</v>
      </c>
      <c r="G958">
        <f>YEAR(Table13[[#This Row],[Date]])</f>
        <v>2019</v>
      </c>
      <c r="H958" t="s">
        <v>688</v>
      </c>
      <c r="I958">
        <f>IF(COUNTIF($E958, _xlfn.CONCAT("*",Table13[[#Headers],[Action]],"*")),1,0)</f>
        <v>0</v>
      </c>
      <c r="J958">
        <f>IF(COUNTIF($E958, _xlfn.CONCAT("*",Table13[[#Headers],[Adventure]],"*")),1,0)</f>
        <v>1</v>
      </c>
      <c r="K958">
        <f>IF(COUNTIF($E958, _xlfn.CONCAT("*",Table13[[#Headers],[Animation]],"*")),1,0)</f>
        <v>1</v>
      </c>
      <c r="L958">
        <f>IF(COUNTIF($E958, _xlfn.CONCAT("*",Table13[[#Headers],[Comedy]],"*")),1,0)</f>
        <v>0</v>
      </c>
      <c r="M958">
        <f>IF(COUNTIF($E958, _xlfn.CONCAT("*",Table13[[#Headers],[Crime]],"*")),1,0)</f>
        <v>0</v>
      </c>
      <c r="N958">
        <f>IF(COUNTIF($E958, _xlfn.CONCAT("*",Table13[[#Headers],[Documentary]],"*")),1,0)</f>
        <v>0</v>
      </c>
      <c r="O958">
        <f>IF(COUNTIF($E958, _xlfn.CONCAT("*",Table13[[#Headers],[Drama]],"*")),1,0)</f>
        <v>1</v>
      </c>
      <c r="P958">
        <f>IF(COUNTIF($E958, _xlfn.CONCAT("*",Table13[[#Headers],[Family]],"*")),1,0)</f>
        <v>1</v>
      </c>
      <c r="Q958">
        <f>IF(COUNTIF($E958, _xlfn.CONCAT("*",Table13[[#Headers],[Fantasy]],"*")),1,0)</f>
        <v>0</v>
      </c>
      <c r="R958">
        <f>IF(COUNTIF($E958, _xlfn.CONCAT("*",Table13[[#Headers],[History]],"*")),1,0)</f>
        <v>0</v>
      </c>
      <c r="S958">
        <f>IF(COUNTIF($E958, _xlfn.CONCAT("*",Table13[[#Headers],[Horror]],"*")),1,0)</f>
        <v>0</v>
      </c>
      <c r="T958">
        <f>IF(COUNTIF($E958, _xlfn.CONCAT("*",Table13[[#Headers],[Music]],"*")),1,0)</f>
        <v>0</v>
      </c>
      <c r="U958">
        <f>IF(COUNTIF($E958, _xlfn.CONCAT("*",Table13[[#Headers],[Mystery]],"*")),1,0)</f>
        <v>0</v>
      </c>
      <c r="V958">
        <f>IF(COUNTIF($E958, _xlfn.CONCAT("*",Table13[[#Headers],[Romance]],"*")),1,0)</f>
        <v>0</v>
      </c>
      <c r="W958">
        <f>IF(COUNTIF($E958, _xlfn.CONCAT("*",Table13[[#Headers],[Science Fiction]],"*")),1,0)</f>
        <v>0</v>
      </c>
      <c r="X958">
        <f>IF(COUNTIF($E958, _xlfn.CONCAT("*",Table13[[#Headers],[TV Movie]],"*")),1,0)</f>
        <v>0</v>
      </c>
      <c r="Y958">
        <f>IF(COUNTIF($E958, _xlfn.CONCAT("*",Table13[[#Headers],[Thriller]],"*")),1,0)</f>
        <v>0</v>
      </c>
      <c r="Z958">
        <f>IF(COUNTIF($E958, _xlfn.CONCAT("*",Table13[[#Headers],[War]],"*")),1,0)</f>
        <v>0</v>
      </c>
      <c r="AA958">
        <f>IF(COUNTIF($E958, _xlfn.CONCAT("*",Table13[[#Headers],[Western]],"*")),1,0)</f>
        <v>0</v>
      </c>
    </row>
    <row r="959" spans="1:27">
      <c r="A959" t="s">
        <v>963</v>
      </c>
      <c r="B959">
        <v>77</v>
      </c>
      <c r="C959">
        <f>MAX(Table13[Rank])-Table13[[#This Row],[Rank]]</f>
        <v>187</v>
      </c>
      <c r="D959" t="s">
        <v>946</v>
      </c>
      <c r="E959" t="s">
        <v>21</v>
      </c>
      <c r="F959" s="1">
        <v>43089</v>
      </c>
      <c r="G959">
        <f>YEAR(Table13[[#This Row],[Date]])</f>
        <v>2017</v>
      </c>
      <c r="H959" t="s">
        <v>963</v>
      </c>
      <c r="I959">
        <f>IF(COUNTIF($E959, _xlfn.CONCAT("*",Table13[[#Headers],[Action]],"*")),1,0)</f>
        <v>0</v>
      </c>
      <c r="J959">
        <f>IF(COUNTIF($E959, _xlfn.CONCAT("*",Table13[[#Headers],[Adventure]],"*")),1,0)</f>
        <v>0</v>
      </c>
      <c r="K959">
        <f>IF(COUNTIF($E959, _xlfn.CONCAT("*",Table13[[#Headers],[Animation]],"*")),1,0)</f>
        <v>0</v>
      </c>
      <c r="L959">
        <f>IF(COUNTIF($E959, _xlfn.CONCAT("*",Table13[[#Headers],[Comedy]],"*")),1,0)</f>
        <v>0</v>
      </c>
      <c r="M959">
        <f>IF(COUNTIF($E959, _xlfn.CONCAT("*",Table13[[#Headers],[Crime]],"*")),1,0)</f>
        <v>0</v>
      </c>
      <c r="N959">
        <f>IF(COUNTIF($E959, _xlfn.CONCAT("*",Table13[[#Headers],[Documentary]],"*")),1,0)</f>
        <v>0</v>
      </c>
      <c r="O959">
        <f>IF(COUNTIF($E959, _xlfn.CONCAT("*",Table13[[#Headers],[Drama]],"*")),1,0)</f>
        <v>1</v>
      </c>
      <c r="P959">
        <f>IF(COUNTIF($E959, _xlfn.CONCAT("*",Table13[[#Headers],[Family]],"*")),1,0)</f>
        <v>0</v>
      </c>
      <c r="Q959">
        <f>IF(COUNTIF($E959, _xlfn.CONCAT("*",Table13[[#Headers],[Fantasy]],"*")),1,0)</f>
        <v>0</v>
      </c>
      <c r="R959">
        <f>IF(COUNTIF($E959, _xlfn.CONCAT("*",Table13[[#Headers],[History]],"*")),1,0)</f>
        <v>0</v>
      </c>
      <c r="S959">
        <f>IF(COUNTIF($E959, _xlfn.CONCAT("*",Table13[[#Headers],[Horror]],"*")),1,0)</f>
        <v>0</v>
      </c>
      <c r="T959">
        <f>IF(COUNTIF($E959, _xlfn.CONCAT("*",Table13[[#Headers],[Music]],"*")),1,0)</f>
        <v>0</v>
      </c>
      <c r="U959">
        <f>IF(COUNTIF($E959, _xlfn.CONCAT("*",Table13[[#Headers],[Mystery]],"*")),1,0)</f>
        <v>0</v>
      </c>
      <c r="V959">
        <f>IF(COUNTIF($E959, _xlfn.CONCAT("*",Table13[[#Headers],[Romance]],"*")),1,0)</f>
        <v>0</v>
      </c>
      <c r="W959">
        <f>IF(COUNTIF($E959, _xlfn.CONCAT("*",Table13[[#Headers],[Science Fiction]],"*")),1,0)</f>
        <v>0</v>
      </c>
      <c r="X959">
        <f>IF(COUNTIF($E959, _xlfn.CONCAT("*",Table13[[#Headers],[TV Movie]],"*")),1,0)</f>
        <v>0</v>
      </c>
      <c r="Y959">
        <f>IF(COUNTIF($E959, _xlfn.CONCAT("*",Table13[[#Headers],[Thriller]],"*")),1,0)</f>
        <v>0</v>
      </c>
      <c r="Z959">
        <f>IF(COUNTIF($E959, _xlfn.CONCAT("*",Table13[[#Headers],[War]],"*")),1,0)</f>
        <v>0</v>
      </c>
      <c r="AA959">
        <f>IF(COUNTIF($E959, _xlfn.CONCAT("*",Table13[[#Headers],[Western]],"*")),1,0)</f>
        <v>0</v>
      </c>
    </row>
    <row r="960" spans="1:27">
      <c r="A960" t="s">
        <v>425</v>
      </c>
      <c r="B960">
        <v>76</v>
      </c>
      <c r="C960">
        <f>MAX(Table13[Rank])-Table13[[#This Row],[Rank]]</f>
        <v>188</v>
      </c>
      <c r="D960" t="s">
        <v>946</v>
      </c>
      <c r="E960" t="s">
        <v>426</v>
      </c>
      <c r="F960" s="1">
        <v>35002</v>
      </c>
      <c r="G960">
        <f>YEAR(Table13[[#This Row],[Date]])</f>
        <v>1995</v>
      </c>
      <c r="H960" t="s">
        <v>425</v>
      </c>
      <c r="I960">
        <f>IF(COUNTIF($E960, _xlfn.CONCAT("*",Table13[[#Headers],[Action]],"*")),1,0)</f>
        <v>0</v>
      </c>
      <c r="J960">
        <f>IF(COUNTIF($E960, _xlfn.CONCAT("*",Table13[[#Headers],[Adventure]],"*")),1,0)</f>
        <v>1</v>
      </c>
      <c r="K960">
        <f>IF(COUNTIF($E960, _xlfn.CONCAT("*",Table13[[#Headers],[Animation]],"*")),1,0)</f>
        <v>1</v>
      </c>
      <c r="L960">
        <f>IF(COUNTIF($E960, _xlfn.CONCAT("*",Table13[[#Headers],[Comedy]],"*")),1,0)</f>
        <v>1</v>
      </c>
      <c r="M960">
        <f>IF(COUNTIF($E960, _xlfn.CONCAT("*",Table13[[#Headers],[Crime]],"*")),1,0)</f>
        <v>0</v>
      </c>
      <c r="N960">
        <f>IF(COUNTIF($E960, _xlfn.CONCAT("*",Table13[[#Headers],[Documentary]],"*")),1,0)</f>
        <v>0</v>
      </c>
      <c r="O960">
        <f>IF(COUNTIF($E960, _xlfn.CONCAT("*",Table13[[#Headers],[Drama]],"*")),1,0)</f>
        <v>0</v>
      </c>
      <c r="P960">
        <f>IF(COUNTIF($E960, _xlfn.CONCAT("*",Table13[[#Headers],[Family]],"*")),1,0)</f>
        <v>1</v>
      </c>
      <c r="Q960">
        <f>IF(COUNTIF($E960, _xlfn.CONCAT("*",Table13[[#Headers],[Fantasy]],"*")),1,0)</f>
        <v>0</v>
      </c>
      <c r="R960">
        <f>IF(COUNTIF($E960, _xlfn.CONCAT("*",Table13[[#Headers],[History]],"*")),1,0)</f>
        <v>0</v>
      </c>
      <c r="S960">
        <f>IF(COUNTIF($E960, _xlfn.CONCAT("*",Table13[[#Headers],[Horror]],"*")),1,0)</f>
        <v>0</v>
      </c>
      <c r="T960">
        <f>IF(COUNTIF($E960, _xlfn.CONCAT("*",Table13[[#Headers],[Music]],"*")),1,0)</f>
        <v>0</v>
      </c>
      <c r="U960">
        <f>IF(COUNTIF($E960, _xlfn.CONCAT("*",Table13[[#Headers],[Mystery]],"*")),1,0)</f>
        <v>0</v>
      </c>
      <c r="V960">
        <f>IF(COUNTIF($E960, _xlfn.CONCAT("*",Table13[[#Headers],[Romance]],"*")),1,0)</f>
        <v>0</v>
      </c>
      <c r="W960">
        <f>IF(COUNTIF($E960, _xlfn.CONCAT("*",Table13[[#Headers],[Science Fiction]],"*")),1,0)</f>
        <v>0</v>
      </c>
      <c r="X960">
        <f>IF(COUNTIF($E960, _xlfn.CONCAT("*",Table13[[#Headers],[TV Movie]],"*")),1,0)</f>
        <v>0</v>
      </c>
      <c r="Y960">
        <f>IF(COUNTIF($E960, _xlfn.CONCAT("*",Table13[[#Headers],[Thriller]],"*")),1,0)</f>
        <v>0</v>
      </c>
      <c r="Z960">
        <f>IF(COUNTIF($E960, _xlfn.CONCAT("*",Table13[[#Headers],[War]],"*")),1,0)</f>
        <v>0</v>
      </c>
      <c r="AA960">
        <f>IF(COUNTIF($E960, _xlfn.CONCAT("*",Table13[[#Headers],[Western]],"*")),1,0)</f>
        <v>0</v>
      </c>
    </row>
    <row r="961" spans="1:27">
      <c r="A961" t="s">
        <v>298</v>
      </c>
      <c r="B961">
        <v>75</v>
      </c>
      <c r="C961">
        <f>MAX(Table13[Rank])-Table13[[#This Row],[Rank]]</f>
        <v>189</v>
      </c>
      <c r="D961" t="s">
        <v>946</v>
      </c>
      <c r="E961" t="s">
        <v>299</v>
      </c>
      <c r="F961" s="1">
        <v>37092</v>
      </c>
      <c r="G961">
        <f>YEAR(Table13[[#This Row],[Date]])</f>
        <v>2001</v>
      </c>
      <c r="H961" t="s">
        <v>298</v>
      </c>
      <c r="I961">
        <f>IF(COUNTIF($E961, _xlfn.CONCAT("*",Table13[[#Headers],[Action]],"*")),1,0)</f>
        <v>0</v>
      </c>
      <c r="J961">
        <f>IF(COUNTIF($E961, _xlfn.CONCAT("*",Table13[[#Headers],[Adventure]],"*")),1,0)</f>
        <v>0</v>
      </c>
      <c r="K961">
        <f>IF(COUNTIF($E961, _xlfn.CONCAT("*",Table13[[#Headers],[Animation]],"*")),1,0)</f>
        <v>1</v>
      </c>
      <c r="L961">
        <f>IF(COUNTIF($E961, _xlfn.CONCAT("*",Table13[[#Headers],[Comedy]],"*")),1,0)</f>
        <v>0</v>
      </c>
      <c r="M961">
        <f>IF(COUNTIF($E961, _xlfn.CONCAT("*",Table13[[#Headers],[Crime]],"*")),1,0)</f>
        <v>0</v>
      </c>
      <c r="N961">
        <f>IF(COUNTIF($E961, _xlfn.CONCAT("*",Table13[[#Headers],[Documentary]],"*")),1,0)</f>
        <v>0</v>
      </c>
      <c r="O961">
        <f>IF(COUNTIF($E961, _xlfn.CONCAT("*",Table13[[#Headers],[Drama]],"*")),1,0)</f>
        <v>0</v>
      </c>
      <c r="P961">
        <f>IF(COUNTIF($E961, _xlfn.CONCAT("*",Table13[[#Headers],[Family]],"*")),1,0)</f>
        <v>1</v>
      </c>
      <c r="Q961">
        <f>IF(COUNTIF($E961, _xlfn.CONCAT("*",Table13[[#Headers],[Fantasy]],"*")),1,0)</f>
        <v>1</v>
      </c>
      <c r="R961">
        <f>IF(COUNTIF($E961, _xlfn.CONCAT("*",Table13[[#Headers],[History]],"*")),1,0)</f>
        <v>0</v>
      </c>
      <c r="S961">
        <f>IF(COUNTIF($E961, _xlfn.CONCAT("*",Table13[[#Headers],[Horror]],"*")),1,0)</f>
        <v>0</v>
      </c>
      <c r="T961">
        <f>IF(COUNTIF($E961, _xlfn.CONCAT("*",Table13[[#Headers],[Music]],"*")),1,0)</f>
        <v>0</v>
      </c>
      <c r="U961">
        <f>IF(COUNTIF($E961, _xlfn.CONCAT("*",Table13[[#Headers],[Mystery]],"*")),1,0)</f>
        <v>0</v>
      </c>
      <c r="V961">
        <f>IF(COUNTIF($E961, _xlfn.CONCAT("*",Table13[[#Headers],[Romance]],"*")),1,0)</f>
        <v>0</v>
      </c>
      <c r="W961">
        <f>IF(COUNTIF($E961, _xlfn.CONCAT("*",Table13[[#Headers],[Science Fiction]],"*")),1,0)</f>
        <v>0</v>
      </c>
      <c r="X961">
        <f>IF(COUNTIF($E961, _xlfn.CONCAT("*",Table13[[#Headers],[TV Movie]],"*")),1,0)</f>
        <v>0</v>
      </c>
      <c r="Y961">
        <f>IF(COUNTIF($E961, _xlfn.CONCAT("*",Table13[[#Headers],[Thriller]],"*")),1,0)</f>
        <v>0</v>
      </c>
      <c r="Z961">
        <f>IF(COUNTIF($E961, _xlfn.CONCAT("*",Table13[[#Headers],[War]],"*")),1,0)</f>
        <v>0</v>
      </c>
      <c r="AA961">
        <f>IF(COUNTIF($E961, _xlfn.CONCAT("*",Table13[[#Headers],[Western]],"*")),1,0)</f>
        <v>0</v>
      </c>
    </row>
    <row r="962" spans="1:27">
      <c r="A962" t="s">
        <v>357</v>
      </c>
      <c r="B962">
        <v>74</v>
      </c>
      <c r="C962">
        <f>MAX(Table13[Rank])-Table13[[#This Row],[Rank]]</f>
        <v>190</v>
      </c>
      <c r="D962" t="s">
        <v>946</v>
      </c>
      <c r="E962" t="s">
        <v>358</v>
      </c>
      <c r="F962" s="1">
        <v>22089</v>
      </c>
      <c r="G962">
        <f>YEAR(Table13[[#This Row],[Date]])</f>
        <v>1960</v>
      </c>
      <c r="H962" t="s">
        <v>357</v>
      </c>
      <c r="I962">
        <f>IF(COUNTIF($E962, _xlfn.CONCAT("*",Table13[[#Headers],[Action]],"*")),1,0)</f>
        <v>0</v>
      </c>
      <c r="J962">
        <f>IF(COUNTIF($E962, _xlfn.CONCAT("*",Table13[[#Headers],[Adventure]],"*")),1,0)</f>
        <v>0</v>
      </c>
      <c r="K962">
        <f>IF(COUNTIF($E962, _xlfn.CONCAT("*",Table13[[#Headers],[Animation]],"*")),1,0)</f>
        <v>0</v>
      </c>
      <c r="L962">
        <f>IF(COUNTIF($E962, _xlfn.CONCAT("*",Table13[[#Headers],[Comedy]],"*")),1,0)</f>
        <v>0</v>
      </c>
      <c r="M962">
        <f>IF(COUNTIF($E962, _xlfn.CONCAT("*",Table13[[#Headers],[Crime]],"*")),1,0)</f>
        <v>0</v>
      </c>
      <c r="N962">
        <f>IF(COUNTIF($E962, _xlfn.CONCAT("*",Table13[[#Headers],[Documentary]],"*")),1,0)</f>
        <v>0</v>
      </c>
      <c r="O962">
        <f>IF(COUNTIF($E962, _xlfn.CONCAT("*",Table13[[#Headers],[Drama]],"*")),1,0)</f>
        <v>1</v>
      </c>
      <c r="P962">
        <f>IF(COUNTIF($E962, _xlfn.CONCAT("*",Table13[[#Headers],[Family]],"*")),1,0)</f>
        <v>0</v>
      </c>
      <c r="Q962">
        <f>IF(COUNTIF($E962, _xlfn.CONCAT("*",Table13[[#Headers],[Fantasy]],"*")),1,0)</f>
        <v>0</v>
      </c>
      <c r="R962">
        <f>IF(COUNTIF($E962, _xlfn.CONCAT("*",Table13[[#Headers],[History]],"*")),1,0)</f>
        <v>0</v>
      </c>
      <c r="S962">
        <f>IF(COUNTIF($E962, _xlfn.CONCAT("*",Table13[[#Headers],[Horror]],"*")),1,0)</f>
        <v>1</v>
      </c>
      <c r="T962">
        <f>IF(COUNTIF($E962, _xlfn.CONCAT("*",Table13[[#Headers],[Music]],"*")),1,0)</f>
        <v>0</v>
      </c>
      <c r="U962">
        <f>IF(COUNTIF($E962, _xlfn.CONCAT("*",Table13[[#Headers],[Mystery]],"*")),1,0)</f>
        <v>0</v>
      </c>
      <c r="V962">
        <f>IF(COUNTIF($E962, _xlfn.CONCAT("*",Table13[[#Headers],[Romance]],"*")),1,0)</f>
        <v>0</v>
      </c>
      <c r="W962">
        <f>IF(COUNTIF($E962, _xlfn.CONCAT("*",Table13[[#Headers],[Science Fiction]],"*")),1,0)</f>
        <v>0</v>
      </c>
      <c r="X962">
        <f>IF(COUNTIF($E962, _xlfn.CONCAT("*",Table13[[#Headers],[TV Movie]],"*")),1,0)</f>
        <v>0</v>
      </c>
      <c r="Y962">
        <f>IF(COUNTIF($E962, _xlfn.CONCAT("*",Table13[[#Headers],[Thriller]],"*")),1,0)</f>
        <v>1</v>
      </c>
      <c r="Z962">
        <f>IF(COUNTIF($E962, _xlfn.CONCAT("*",Table13[[#Headers],[War]],"*")),1,0)</f>
        <v>0</v>
      </c>
      <c r="AA962">
        <f>IF(COUNTIF($E962, _xlfn.CONCAT("*",Table13[[#Headers],[Western]],"*")),1,0)</f>
        <v>0</v>
      </c>
    </row>
    <row r="963" spans="1:27">
      <c r="A963" t="s">
        <v>964</v>
      </c>
      <c r="B963">
        <v>73</v>
      </c>
      <c r="C963">
        <f>MAX(Table13[Rank])-Table13[[#This Row],[Rank]]</f>
        <v>191</v>
      </c>
      <c r="D963" t="s">
        <v>946</v>
      </c>
      <c r="E963" t="s">
        <v>965</v>
      </c>
      <c r="F963" s="1">
        <v>27620</v>
      </c>
      <c r="G963">
        <f>YEAR(Table13[[#This Row],[Date]])</f>
        <v>1975</v>
      </c>
      <c r="H963" t="s">
        <v>964</v>
      </c>
      <c r="I963">
        <f>IF(COUNTIF($E963, _xlfn.CONCAT("*",Table13[[#Headers],[Action]],"*")),1,0)</f>
        <v>0</v>
      </c>
      <c r="J963">
        <f>IF(COUNTIF($E963, _xlfn.CONCAT("*",Table13[[#Headers],[Adventure]],"*")),1,0)</f>
        <v>0</v>
      </c>
      <c r="K963">
        <f>IF(COUNTIF($E963, _xlfn.CONCAT("*",Table13[[#Headers],[Animation]],"*")),1,0)</f>
        <v>0</v>
      </c>
      <c r="L963">
        <f>IF(COUNTIF($E963, _xlfn.CONCAT("*",Table13[[#Headers],[Comedy]],"*")),1,0)</f>
        <v>1</v>
      </c>
      <c r="M963">
        <f>IF(COUNTIF($E963, _xlfn.CONCAT("*",Table13[[#Headers],[Crime]],"*")),1,0)</f>
        <v>0</v>
      </c>
      <c r="N963">
        <f>IF(COUNTIF($E963, _xlfn.CONCAT("*",Table13[[#Headers],[Documentary]],"*")),1,0)</f>
        <v>0</v>
      </c>
      <c r="O963">
        <f>IF(COUNTIF($E963, _xlfn.CONCAT("*",Table13[[#Headers],[Drama]],"*")),1,0)</f>
        <v>0</v>
      </c>
      <c r="P963">
        <f>IF(COUNTIF($E963, _xlfn.CONCAT("*",Table13[[#Headers],[Family]],"*")),1,0)</f>
        <v>0</v>
      </c>
      <c r="Q963">
        <f>IF(COUNTIF($E963, _xlfn.CONCAT("*",Table13[[#Headers],[Fantasy]],"*")),1,0)</f>
        <v>1</v>
      </c>
      <c r="R963">
        <f>IF(COUNTIF($E963, _xlfn.CONCAT("*",Table13[[#Headers],[History]],"*")),1,0)</f>
        <v>0</v>
      </c>
      <c r="S963">
        <f>IF(COUNTIF($E963, _xlfn.CONCAT("*",Table13[[#Headers],[Horror]],"*")),1,0)</f>
        <v>1</v>
      </c>
      <c r="T963">
        <f>IF(COUNTIF($E963, _xlfn.CONCAT("*",Table13[[#Headers],[Music]],"*")),1,0)</f>
        <v>0</v>
      </c>
      <c r="U963">
        <f>IF(COUNTIF($E963, _xlfn.CONCAT("*",Table13[[#Headers],[Mystery]],"*")),1,0)</f>
        <v>0</v>
      </c>
      <c r="V963">
        <f>IF(COUNTIF($E963, _xlfn.CONCAT("*",Table13[[#Headers],[Romance]],"*")),1,0)</f>
        <v>0</v>
      </c>
      <c r="W963">
        <f>IF(COUNTIF($E963, _xlfn.CONCAT("*",Table13[[#Headers],[Science Fiction]],"*")),1,0)</f>
        <v>1</v>
      </c>
      <c r="X963">
        <f>IF(COUNTIF($E963, _xlfn.CONCAT("*",Table13[[#Headers],[TV Movie]],"*")),1,0)</f>
        <v>0</v>
      </c>
      <c r="Y963">
        <f>IF(COUNTIF($E963, _xlfn.CONCAT("*",Table13[[#Headers],[Thriller]],"*")),1,0)</f>
        <v>0</v>
      </c>
      <c r="Z963">
        <f>IF(COUNTIF($E963, _xlfn.CONCAT("*",Table13[[#Headers],[War]],"*")),1,0)</f>
        <v>0</v>
      </c>
      <c r="AA963">
        <f>IF(COUNTIF($E963, _xlfn.CONCAT("*",Table13[[#Headers],[Western]],"*")),1,0)</f>
        <v>0</v>
      </c>
    </row>
    <row r="964" spans="1:27">
      <c r="A964" t="s">
        <v>110</v>
      </c>
      <c r="B964">
        <v>72</v>
      </c>
      <c r="C964">
        <f>MAX(Table13[Rank])-Table13[[#This Row],[Rank]]</f>
        <v>192</v>
      </c>
      <c r="D964" t="s">
        <v>946</v>
      </c>
      <c r="E964" t="s">
        <v>111</v>
      </c>
      <c r="F964" s="1">
        <v>42137</v>
      </c>
      <c r="G964">
        <f>YEAR(Table13[[#This Row],[Date]])</f>
        <v>2015</v>
      </c>
      <c r="H964" t="s">
        <v>110</v>
      </c>
      <c r="I964">
        <f>IF(COUNTIF($E964, _xlfn.CONCAT("*",Table13[[#Headers],[Action]],"*")),1,0)</f>
        <v>1</v>
      </c>
      <c r="J964">
        <f>IF(COUNTIF($E964, _xlfn.CONCAT("*",Table13[[#Headers],[Adventure]],"*")),1,0)</f>
        <v>1</v>
      </c>
      <c r="K964">
        <f>IF(COUNTIF($E964, _xlfn.CONCAT("*",Table13[[#Headers],[Animation]],"*")),1,0)</f>
        <v>0</v>
      </c>
      <c r="L964">
        <f>IF(COUNTIF($E964, _xlfn.CONCAT("*",Table13[[#Headers],[Comedy]],"*")),1,0)</f>
        <v>0</v>
      </c>
      <c r="M964">
        <f>IF(COUNTIF($E964, _xlfn.CONCAT("*",Table13[[#Headers],[Crime]],"*")),1,0)</f>
        <v>0</v>
      </c>
      <c r="N964">
        <f>IF(COUNTIF($E964, _xlfn.CONCAT("*",Table13[[#Headers],[Documentary]],"*")),1,0)</f>
        <v>0</v>
      </c>
      <c r="O964">
        <f>IF(COUNTIF($E964, _xlfn.CONCAT("*",Table13[[#Headers],[Drama]],"*")),1,0)</f>
        <v>0</v>
      </c>
      <c r="P964">
        <f>IF(COUNTIF($E964, _xlfn.CONCAT("*",Table13[[#Headers],[Family]],"*")),1,0)</f>
        <v>0</v>
      </c>
      <c r="Q964">
        <f>IF(COUNTIF($E964, _xlfn.CONCAT("*",Table13[[#Headers],[Fantasy]],"*")),1,0)</f>
        <v>0</v>
      </c>
      <c r="R964">
        <f>IF(COUNTIF($E964, _xlfn.CONCAT("*",Table13[[#Headers],[History]],"*")),1,0)</f>
        <v>0</v>
      </c>
      <c r="S964">
        <f>IF(COUNTIF($E964, _xlfn.CONCAT("*",Table13[[#Headers],[Horror]],"*")),1,0)</f>
        <v>0</v>
      </c>
      <c r="T964">
        <f>IF(COUNTIF($E964, _xlfn.CONCAT("*",Table13[[#Headers],[Music]],"*")),1,0)</f>
        <v>0</v>
      </c>
      <c r="U964">
        <f>IF(COUNTIF($E964, _xlfn.CONCAT("*",Table13[[#Headers],[Mystery]],"*")),1,0)</f>
        <v>0</v>
      </c>
      <c r="V964">
        <f>IF(COUNTIF($E964, _xlfn.CONCAT("*",Table13[[#Headers],[Romance]],"*")),1,0)</f>
        <v>0</v>
      </c>
      <c r="W964">
        <f>IF(COUNTIF($E964, _xlfn.CONCAT("*",Table13[[#Headers],[Science Fiction]],"*")),1,0)</f>
        <v>1</v>
      </c>
      <c r="X964">
        <f>IF(COUNTIF($E964, _xlfn.CONCAT("*",Table13[[#Headers],[TV Movie]],"*")),1,0)</f>
        <v>0</v>
      </c>
      <c r="Y964">
        <f>IF(COUNTIF($E964, _xlfn.CONCAT("*",Table13[[#Headers],[Thriller]],"*")),1,0)</f>
        <v>0</v>
      </c>
      <c r="Z964">
        <f>IF(COUNTIF($E964, _xlfn.CONCAT("*",Table13[[#Headers],[War]],"*")),1,0)</f>
        <v>0</v>
      </c>
      <c r="AA964">
        <f>IF(COUNTIF($E964, _xlfn.CONCAT("*",Table13[[#Headers],[Western]],"*")),1,0)</f>
        <v>0</v>
      </c>
    </row>
    <row r="965" spans="1:27">
      <c r="A965" t="s">
        <v>966</v>
      </c>
      <c r="B965">
        <v>71</v>
      </c>
      <c r="C965">
        <f>MAX(Table13[Rank])-Table13[[#This Row],[Rank]]</f>
        <v>193</v>
      </c>
      <c r="D965" t="s">
        <v>946</v>
      </c>
      <c r="E965" t="s">
        <v>967</v>
      </c>
      <c r="F965" s="1">
        <v>41598</v>
      </c>
      <c r="G965">
        <f>YEAR(Table13[[#This Row],[Date]])</f>
        <v>2013</v>
      </c>
      <c r="H965" t="s">
        <v>966</v>
      </c>
      <c r="I965">
        <f>IF(COUNTIF($E965, _xlfn.CONCAT("*",Table13[[#Headers],[Action]],"*")),1,0)</f>
        <v>0</v>
      </c>
      <c r="J965">
        <f>IF(COUNTIF($E965, _xlfn.CONCAT("*",Table13[[#Headers],[Adventure]],"*")),1,0)</f>
        <v>1</v>
      </c>
      <c r="K965">
        <f>IF(COUNTIF($E965, _xlfn.CONCAT("*",Table13[[#Headers],[Animation]],"*")),1,0)</f>
        <v>1</v>
      </c>
      <c r="L965">
        <f>IF(COUNTIF($E965, _xlfn.CONCAT("*",Table13[[#Headers],[Comedy]],"*")),1,0)</f>
        <v>0</v>
      </c>
      <c r="M965">
        <f>IF(COUNTIF($E965, _xlfn.CONCAT("*",Table13[[#Headers],[Crime]],"*")),1,0)</f>
        <v>0</v>
      </c>
      <c r="N965">
        <f>IF(COUNTIF($E965, _xlfn.CONCAT("*",Table13[[#Headers],[Documentary]],"*")),1,0)</f>
        <v>0</v>
      </c>
      <c r="O965">
        <f>IF(COUNTIF($E965, _xlfn.CONCAT("*",Table13[[#Headers],[Drama]],"*")),1,0)</f>
        <v>0</v>
      </c>
      <c r="P965">
        <f>IF(COUNTIF($E965, _xlfn.CONCAT("*",Table13[[#Headers],[Family]],"*")),1,0)</f>
        <v>1</v>
      </c>
      <c r="Q965">
        <f>IF(COUNTIF($E965, _xlfn.CONCAT("*",Table13[[#Headers],[Fantasy]],"*")),1,0)</f>
        <v>1</v>
      </c>
      <c r="R965">
        <f>IF(COUNTIF($E965, _xlfn.CONCAT("*",Table13[[#Headers],[History]],"*")),1,0)</f>
        <v>0</v>
      </c>
      <c r="S965">
        <f>IF(COUNTIF($E965, _xlfn.CONCAT("*",Table13[[#Headers],[Horror]],"*")),1,0)</f>
        <v>0</v>
      </c>
      <c r="T965">
        <f>IF(COUNTIF($E965, _xlfn.CONCAT("*",Table13[[#Headers],[Music]],"*")),1,0)</f>
        <v>0</v>
      </c>
      <c r="U965">
        <f>IF(COUNTIF($E965, _xlfn.CONCAT("*",Table13[[#Headers],[Mystery]],"*")),1,0)</f>
        <v>0</v>
      </c>
      <c r="V965">
        <f>IF(COUNTIF($E965, _xlfn.CONCAT("*",Table13[[#Headers],[Romance]],"*")),1,0)</f>
        <v>0</v>
      </c>
      <c r="W965">
        <f>IF(COUNTIF($E965, _xlfn.CONCAT("*",Table13[[#Headers],[Science Fiction]],"*")),1,0)</f>
        <v>0</v>
      </c>
      <c r="X965">
        <f>IF(COUNTIF($E965, _xlfn.CONCAT("*",Table13[[#Headers],[TV Movie]],"*")),1,0)</f>
        <v>0</v>
      </c>
      <c r="Y965">
        <f>IF(COUNTIF($E965, _xlfn.CONCAT("*",Table13[[#Headers],[Thriller]],"*")),1,0)</f>
        <v>0</v>
      </c>
      <c r="Z965">
        <f>IF(COUNTIF($E965, _xlfn.CONCAT("*",Table13[[#Headers],[War]],"*")),1,0)</f>
        <v>0</v>
      </c>
      <c r="AA965">
        <f>IF(COUNTIF($E965, _xlfn.CONCAT("*",Table13[[#Headers],[Western]],"*")),1,0)</f>
        <v>0</v>
      </c>
    </row>
    <row r="966" spans="1:27">
      <c r="A966" t="s">
        <v>968</v>
      </c>
      <c r="B966">
        <v>70</v>
      </c>
      <c r="C966">
        <f>MAX(Table13[Rank])-Table13[[#This Row],[Rank]]</f>
        <v>194</v>
      </c>
      <c r="D966" t="s">
        <v>946</v>
      </c>
      <c r="E966" t="s">
        <v>969</v>
      </c>
      <c r="F966" s="1">
        <v>28957</v>
      </c>
      <c r="G966">
        <f>YEAR(Table13[[#This Row],[Date]])</f>
        <v>1979</v>
      </c>
      <c r="H966" t="s">
        <v>968</v>
      </c>
      <c r="I966">
        <f>IF(COUNTIF($E966, _xlfn.CONCAT("*",Table13[[#Headers],[Action]],"*")),1,0)</f>
        <v>1</v>
      </c>
      <c r="J966">
        <f>IF(COUNTIF($E966, _xlfn.CONCAT("*",Table13[[#Headers],[Adventure]],"*")),1,0)</f>
        <v>1</v>
      </c>
      <c r="K966">
        <f>IF(COUNTIF($E966, _xlfn.CONCAT("*",Table13[[#Headers],[Animation]],"*")),1,0)</f>
        <v>0</v>
      </c>
      <c r="L966">
        <f>IF(COUNTIF($E966, _xlfn.CONCAT("*",Table13[[#Headers],[Comedy]],"*")),1,0)</f>
        <v>0</v>
      </c>
      <c r="M966">
        <f>IF(COUNTIF($E966, _xlfn.CONCAT("*",Table13[[#Headers],[Crime]],"*")),1,0)</f>
        <v>0</v>
      </c>
      <c r="N966">
        <f>IF(COUNTIF($E966, _xlfn.CONCAT("*",Table13[[#Headers],[Documentary]],"*")),1,0)</f>
        <v>0</v>
      </c>
      <c r="O966">
        <f>IF(COUNTIF($E966, _xlfn.CONCAT("*",Table13[[#Headers],[Drama]],"*")),1,0)</f>
        <v>0</v>
      </c>
      <c r="P966">
        <f>IF(COUNTIF($E966, _xlfn.CONCAT("*",Table13[[#Headers],[Family]],"*")),1,0)</f>
        <v>0</v>
      </c>
      <c r="Q966">
        <f>IF(COUNTIF($E966, _xlfn.CONCAT("*",Table13[[#Headers],[Fantasy]],"*")),1,0)</f>
        <v>0</v>
      </c>
      <c r="R966">
        <f>IF(COUNTIF($E966, _xlfn.CONCAT("*",Table13[[#Headers],[History]],"*")),1,0)</f>
        <v>0</v>
      </c>
      <c r="S966">
        <f>IF(COUNTIF($E966, _xlfn.CONCAT("*",Table13[[#Headers],[Horror]],"*")),1,0)</f>
        <v>0</v>
      </c>
      <c r="T966">
        <f>IF(COUNTIF($E966, _xlfn.CONCAT("*",Table13[[#Headers],[Music]],"*")),1,0)</f>
        <v>0</v>
      </c>
      <c r="U966">
        <f>IF(COUNTIF($E966, _xlfn.CONCAT("*",Table13[[#Headers],[Mystery]],"*")),1,0)</f>
        <v>0</v>
      </c>
      <c r="V966">
        <f>IF(COUNTIF($E966, _xlfn.CONCAT("*",Table13[[#Headers],[Romance]],"*")),1,0)</f>
        <v>0</v>
      </c>
      <c r="W966">
        <f>IF(COUNTIF($E966, _xlfn.CONCAT("*",Table13[[#Headers],[Science Fiction]],"*")),1,0)</f>
        <v>1</v>
      </c>
      <c r="X966">
        <f>IF(COUNTIF($E966, _xlfn.CONCAT("*",Table13[[#Headers],[TV Movie]],"*")),1,0)</f>
        <v>0</v>
      </c>
      <c r="Y966">
        <f>IF(COUNTIF($E966, _xlfn.CONCAT("*",Table13[[#Headers],[Thriller]],"*")),1,0)</f>
        <v>1</v>
      </c>
      <c r="Z966">
        <f>IF(COUNTIF($E966, _xlfn.CONCAT("*",Table13[[#Headers],[War]],"*")),1,0)</f>
        <v>0</v>
      </c>
      <c r="AA966">
        <f>IF(COUNTIF($E966, _xlfn.CONCAT("*",Table13[[#Headers],[Western]],"*")),1,0)</f>
        <v>0</v>
      </c>
    </row>
    <row r="967" spans="1:27">
      <c r="A967" t="s">
        <v>615</v>
      </c>
      <c r="B967">
        <v>69</v>
      </c>
      <c r="C967">
        <f>MAX(Table13[Rank])-Table13[[#This Row],[Rank]]</f>
        <v>195</v>
      </c>
      <c r="D967" t="s">
        <v>946</v>
      </c>
      <c r="E967" t="s">
        <v>360</v>
      </c>
      <c r="F967" s="1">
        <v>38065</v>
      </c>
      <c r="G967">
        <f>YEAR(Table13[[#This Row],[Date]])</f>
        <v>2004</v>
      </c>
      <c r="H967" t="s">
        <v>615</v>
      </c>
      <c r="I967">
        <f>IF(COUNTIF($E967, _xlfn.CONCAT("*",Table13[[#Headers],[Action]],"*")),1,0)</f>
        <v>0</v>
      </c>
      <c r="J967">
        <f>IF(COUNTIF($E967, _xlfn.CONCAT("*",Table13[[#Headers],[Adventure]],"*")),1,0)</f>
        <v>0</v>
      </c>
      <c r="K967">
        <f>IF(COUNTIF($E967, _xlfn.CONCAT("*",Table13[[#Headers],[Animation]],"*")),1,0)</f>
        <v>0</v>
      </c>
      <c r="L967">
        <f>IF(COUNTIF($E967, _xlfn.CONCAT("*",Table13[[#Headers],[Comedy]],"*")),1,0)</f>
        <v>0</v>
      </c>
      <c r="M967">
        <f>IF(COUNTIF($E967, _xlfn.CONCAT("*",Table13[[#Headers],[Crime]],"*")),1,0)</f>
        <v>0</v>
      </c>
      <c r="N967">
        <f>IF(COUNTIF($E967, _xlfn.CONCAT("*",Table13[[#Headers],[Documentary]],"*")),1,0)</f>
        <v>0</v>
      </c>
      <c r="O967">
        <f>IF(COUNTIF($E967, _xlfn.CONCAT("*",Table13[[#Headers],[Drama]],"*")),1,0)</f>
        <v>1</v>
      </c>
      <c r="P967">
        <f>IF(COUNTIF($E967, _xlfn.CONCAT("*",Table13[[#Headers],[Family]],"*")),1,0)</f>
        <v>0</v>
      </c>
      <c r="Q967">
        <f>IF(COUNTIF($E967, _xlfn.CONCAT("*",Table13[[#Headers],[Fantasy]],"*")),1,0)</f>
        <v>0</v>
      </c>
      <c r="R967">
        <f>IF(COUNTIF($E967, _xlfn.CONCAT("*",Table13[[#Headers],[History]],"*")),1,0)</f>
        <v>0</v>
      </c>
      <c r="S967">
        <f>IF(COUNTIF($E967, _xlfn.CONCAT("*",Table13[[#Headers],[Horror]],"*")),1,0)</f>
        <v>0</v>
      </c>
      <c r="T967">
        <f>IF(COUNTIF($E967, _xlfn.CONCAT("*",Table13[[#Headers],[Music]],"*")),1,0)</f>
        <v>0</v>
      </c>
      <c r="U967">
        <f>IF(COUNTIF($E967, _xlfn.CONCAT("*",Table13[[#Headers],[Mystery]],"*")),1,0)</f>
        <v>0</v>
      </c>
      <c r="V967">
        <f>IF(COUNTIF($E967, _xlfn.CONCAT("*",Table13[[#Headers],[Romance]],"*")),1,0)</f>
        <v>1</v>
      </c>
      <c r="W967">
        <f>IF(COUNTIF($E967, _xlfn.CONCAT("*",Table13[[#Headers],[Science Fiction]],"*")),1,0)</f>
        <v>1</v>
      </c>
      <c r="X967">
        <f>IF(COUNTIF($E967, _xlfn.CONCAT("*",Table13[[#Headers],[TV Movie]],"*")),1,0)</f>
        <v>0</v>
      </c>
      <c r="Y967">
        <f>IF(COUNTIF($E967, _xlfn.CONCAT("*",Table13[[#Headers],[Thriller]],"*")),1,0)</f>
        <v>0</v>
      </c>
      <c r="Z967">
        <f>IF(COUNTIF($E967, _xlfn.CONCAT("*",Table13[[#Headers],[War]],"*")),1,0)</f>
        <v>0</v>
      </c>
      <c r="AA967">
        <f>IF(COUNTIF($E967, _xlfn.CONCAT("*",Table13[[#Headers],[Western]],"*")),1,0)</f>
        <v>0</v>
      </c>
    </row>
    <row r="968" spans="1:27">
      <c r="A968" t="s">
        <v>970</v>
      </c>
      <c r="B968">
        <v>68</v>
      </c>
      <c r="C968">
        <f>MAX(Table13[Rank])-Table13[[#This Row],[Rank]]</f>
        <v>196</v>
      </c>
      <c r="D968" t="s">
        <v>946</v>
      </c>
      <c r="E968" t="s">
        <v>91</v>
      </c>
      <c r="F968" s="1">
        <v>32652</v>
      </c>
      <c r="G968">
        <f>YEAR(Table13[[#This Row],[Date]])</f>
        <v>1989</v>
      </c>
      <c r="H968" t="s">
        <v>627</v>
      </c>
      <c r="I968">
        <f>IF(COUNTIF($E968, _xlfn.CONCAT("*",Table13[[#Headers],[Action]],"*")),1,0)</f>
        <v>1</v>
      </c>
      <c r="J968">
        <f>IF(COUNTIF($E968, _xlfn.CONCAT("*",Table13[[#Headers],[Adventure]],"*")),1,0)</f>
        <v>1</v>
      </c>
      <c r="K968">
        <f>IF(COUNTIF($E968, _xlfn.CONCAT("*",Table13[[#Headers],[Animation]],"*")),1,0)</f>
        <v>0</v>
      </c>
      <c r="L968">
        <f>IF(COUNTIF($E968, _xlfn.CONCAT("*",Table13[[#Headers],[Comedy]],"*")),1,0)</f>
        <v>0</v>
      </c>
      <c r="M968">
        <f>IF(COUNTIF($E968, _xlfn.CONCAT("*",Table13[[#Headers],[Crime]],"*")),1,0)</f>
        <v>0</v>
      </c>
      <c r="N968">
        <f>IF(COUNTIF($E968, _xlfn.CONCAT("*",Table13[[#Headers],[Documentary]],"*")),1,0)</f>
        <v>0</v>
      </c>
      <c r="O968">
        <f>IF(COUNTIF($E968, _xlfn.CONCAT("*",Table13[[#Headers],[Drama]],"*")),1,0)</f>
        <v>0</v>
      </c>
      <c r="P968">
        <f>IF(COUNTIF($E968, _xlfn.CONCAT("*",Table13[[#Headers],[Family]],"*")),1,0)</f>
        <v>0</v>
      </c>
      <c r="Q968">
        <f>IF(COUNTIF($E968, _xlfn.CONCAT("*",Table13[[#Headers],[Fantasy]],"*")),1,0)</f>
        <v>0</v>
      </c>
      <c r="R968">
        <f>IF(COUNTIF($E968, _xlfn.CONCAT("*",Table13[[#Headers],[History]],"*")),1,0)</f>
        <v>0</v>
      </c>
      <c r="S968">
        <f>IF(COUNTIF($E968, _xlfn.CONCAT("*",Table13[[#Headers],[Horror]],"*")),1,0)</f>
        <v>0</v>
      </c>
      <c r="T968">
        <f>IF(COUNTIF($E968, _xlfn.CONCAT("*",Table13[[#Headers],[Music]],"*")),1,0)</f>
        <v>0</v>
      </c>
      <c r="U968">
        <f>IF(COUNTIF($E968, _xlfn.CONCAT("*",Table13[[#Headers],[Mystery]],"*")),1,0)</f>
        <v>0</v>
      </c>
      <c r="V968">
        <f>IF(COUNTIF($E968, _xlfn.CONCAT("*",Table13[[#Headers],[Romance]],"*")),1,0)</f>
        <v>0</v>
      </c>
      <c r="W968">
        <f>IF(COUNTIF($E968, _xlfn.CONCAT("*",Table13[[#Headers],[Science Fiction]],"*")),1,0)</f>
        <v>0</v>
      </c>
      <c r="X968">
        <f>IF(COUNTIF($E968, _xlfn.CONCAT("*",Table13[[#Headers],[TV Movie]],"*")),1,0)</f>
        <v>0</v>
      </c>
      <c r="Y968">
        <f>IF(COUNTIF($E968, _xlfn.CONCAT("*",Table13[[#Headers],[Thriller]],"*")),1,0)</f>
        <v>0</v>
      </c>
      <c r="Z968">
        <f>IF(COUNTIF($E968, _xlfn.CONCAT("*",Table13[[#Headers],[War]],"*")),1,0)</f>
        <v>0</v>
      </c>
      <c r="AA968">
        <f>IF(COUNTIF($E968, _xlfn.CONCAT("*",Table13[[#Headers],[Western]],"*")),1,0)</f>
        <v>0</v>
      </c>
    </row>
    <row r="969" spans="1:27">
      <c r="A969" t="s">
        <v>971</v>
      </c>
      <c r="B969">
        <v>67</v>
      </c>
      <c r="C969">
        <f>MAX(Table13[Rank])-Table13[[#This Row],[Rank]]</f>
        <v>197</v>
      </c>
      <c r="D969" t="s">
        <v>946</v>
      </c>
      <c r="E969" t="s">
        <v>972</v>
      </c>
      <c r="F969" s="1">
        <v>33067</v>
      </c>
      <c r="G969">
        <f>YEAR(Table13[[#This Row],[Date]])</f>
        <v>1990</v>
      </c>
      <c r="H969" t="s">
        <v>971</v>
      </c>
      <c r="I969">
        <f>IF(COUNTIF($E969, _xlfn.CONCAT("*",Table13[[#Headers],[Action]],"*")),1,0)</f>
        <v>0</v>
      </c>
      <c r="J969">
        <f>IF(COUNTIF($E969, _xlfn.CONCAT("*",Table13[[#Headers],[Adventure]],"*")),1,0)</f>
        <v>0</v>
      </c>
      <c r="K969">
        <f>IF(COUNTIF($E969, _xlfn.CONCAT("*",Table13[[#Headers],[Animation]],"*")),1,0)</f>
        <v>0</v>
      </c>
      <c r="L969">
        <f>IF(COUNTIF($E969, _xlfn.CONCAT("*",Table13[[#Headers],[Comedy]],"*")),1,0)</f>
        <v>0</v>
      </c>
      <c r="M969">
        <f>IF(COUNTIF($E969, _xlfn.CONCAT("*",Table13[[#Headers],[Crime]],"*")),1,0)</f>
        <v>0</v>
      </c>
      <c r="N969">
        <f>IF(COUNTIF($E969, _xlfn.CONCAT("*",Table13[[#Headers],[Documentary]],"*")),1,0)</f>
        <v>0</v>
      </c>
      <c r="O969">
        <f>IF(COUNTIF($E969, _xlfn.CONCAT("*",Table13[[#Headers],[Drama]],"*")),1,0)</f>
        <v>1</v>
      </c>
      <c r="P969">
        <f>IF(COUNTIF($E969, _xlfn.CONCAT("*",Table13[[#Headers],[Family]],"*")),1,0)</f>
        <v>0</v>
      </c>
      <c r="Q969">
        <f>IF(COUNTIF($E969, _xlfn.CONCAT("*",Table13[[#Headers],[Fantasy]],"*")),1,0)</f>
        <v>1</v>
      </c>
      <c r="R969">
        <f>IF(COUNTIF($E969, _xlfn.CONCAT("*",Table13[[#Headers],[History]],"*")),1,0)</f>
        <v>0</v>
      </c>
      <c r="S969">
        <f>IF(COUNTIF($E969, _xlfn.CONCAT("*",Table13[[#Headers],[Horror]],"*")),1,0)</f>
        <v>0</v>
      </c>
      <c r="T969">
        <f>IF(COUNTIF($E969, _xlfn.CONCAT("*",Table13[[#Headers],[Music]],"*")),1,0)</f>
        <v>0</v>
      </c>
      <c r="U969">
        <f>IF(COUNTIF($E969, _xlfn.CONCAT("*",Table13[[#Headers],[Mystery]],"*")),1,0)</f>
        <v>1</v>
      </c>
      <c r="V969">
        <f>IF(COUNTIF($E969, _xlfn.CONCAT("*",Table13[[#Headers],[Romance]],"*")),1,0)</f>
        <v>1</v>
      </c>
      <c r="W969">
        <f>IF(COUNTIF($E969, _xlfn.CONCAT("*",Table13[[#Headers],[Science Fiction]],"*")),1,0)</f>
        <v>0</v>
      </c>
      <c r="X969">
        <f>IF(COUNTIF($E969, _xlfn.CONCAT("*",Table13[[#Headers],[TV Movie]],"*")),1,0)</f>
        <v>0</v>
      </c>
      <c r="Y969">
        <f>IF(COUNTIF($E969, _xlfn.CONCAT("*",Table13[[#Headers],[Thriller]],"*")),1,0)</f>
        <v>1</v>
      </c>
      <c r="Z969">
        <f>IF(COUNTIF($E969, _xlfn.CONCAT("*",Table13[[#Headers],[War]],"*")),1,0)</f>
        <v>0</v>
      </c>
      <c r="AA969">
        <f>IF(COUNTIF($E969, _xlfn.CONCAT("*",Table13[[#Headers],[Western]],"*")),1,0)</f>
        <v>0</v>
      </c>
    </row>
    <row r="970" spans="1:27">
      <c r="A970" t="s">
        <v>775</v>
      </c>
      <c r="B970">
        <v>66</v>
      </c>
      <c r="C970">
        <f>MAX(Table13[Rank])-Table13[[#This Row],[Rank]]</f>
        <v>198</v>
      </c>
      <c r="D970" t="s">
        <v>946</v>
      </c>
      <c r="E970" t="s">
        <v>21</v>
      </c>
      <c r="F970" s="1">
        <v>35769</v>
      </c>
      <c r="G970">
        <f>YEAR(Table13[[#This Row],[Date]])</f>
        <v>1997</v>
      </c>
      <c r="H970" t="s">
        <v>775</v>
      </c>
      <c r="I970">
        <f>IF(COUNTIF($E970, _xlfn.CONCAT("*",Table13[[#Headers],[Action]],"*")),1,0)</f>
        <v>0</v>
      </c>
      <c r="J970">
        <f>IF(COUNTIF($E970, _xlfn.CONCAT("*",Table13[[#Headers],[Adventure]],"*")),1,0)</f>
        <v>0</v>
      </c>
      <c r="K970">
        <f>IF(COUNTIF($E970, _xlfn.CONCAT("*",Table13[[#Headers],[Animation]],"*")),1,0)</f>
        <v>0</v>
      </c>
      <c r="L970">
        <f>IF(COUNTIF($E970, _xlfn.CONCAT("*",Table13[[#Headers],[Comedy]],"*")),1,0)</f>
        <v>0</v>
      </c>
      <c r="M970">
        <f>IF(COUNTIF($E970, _xlfn.CONCAT("*",Table13[[#Headers],[Crime]],"*")),1,0)</f>
        <v>0</v>
      </c>
      <c r="N970">
        <f>IF(COUNTIF($E970, _xlfn.CONCAT("*",Table13[[#Headers],[Documentary]],"*")),1,0)</f>
        <v>0</v>
      </c>
      <c r="O970">
        <f>IF(COUNTIF($E970, _xlfn.CONCAT("*",Table13[[#Headers],[Drama]],"*")),1,0)</f>
        <v>1</v>
      </c>
      <c r="P970">
        <f>IF(COUNTIF($E970, _xlfn.CONCAT("*",Table13[[#Headers],[Family]],"*")),1,0)</f>
        <v>0</v>
      </c>
      <c r="Q970">
        <f>IF(COUNTIF($E970, _xlfn.CONCAT("*",Table13[[#Headers],[Fantasy]],"*")),1,0)</f>
        <v>0</v>
      </c>
      <c r="R970">
        <f>IF(COUNTIF($E970, _xlfn.CONCAT("*",Table13[[#Headers],[History]],"*")),1,0)</f>
        <v>0</v>
      </c>
      <c r="S970">
        <f>IF(COUNTIF($E970, _xlfn.CONCAT("*",Table13[[#Headers],[Horror]],"*")),1,0)</f>
        <v>0</v>
      </c>
      <c r="T970">
        <f>IF(COUNTIF($E970, _xlfn.CONCAT("*",Table13[[#Headers],[Music]],"*")),1,0)</f>
        <v>0</v>
      </c>
      <c r="U970">
        <f>IF(COUNTIF($E970, _xlfn.CONCAT("*",Table13[[#Headers],[Mystery]],"*")),1,0)</f>
        <v>0</v>
      </c>
      <c r="V970">
        <f>IF(COUNTIF($E970, _xlfn.CONCAT("*",Table13[[#Headers],[Romance]],"*")),1,0)</f>
        <v>0</v>
      </c>
      <c r="W970">
        <f>IF(COUNTIF($E970, _xlfn.CONCAT("*",Table13[[#Headers],[Science Fiction]],"*")),1,0)</f>
        <v>0</v>
      </c>
      <c r="X970">
        <f>IF(COUNTIF($E970, _xlfn.CONCAT("*",Table13[[#Headers],[TV Movie]],"*")),1,0)</f>
        <v>0</v>
      </c>
      <c r="Y970">
        <f>IF(COUNTIF($E970, _xlfn.CONCAT("*",Table13[[#Headers],[Thriller]],"*")),1,0)</f>
        <v>0</v>
      </c>
      <c r="Z970">
        <f>IF(COUNTIF($E970, _xlfn.CONCAT("*",Table13[[#Headers],[War]],"*")),1,0)</f>
        <v>0</v>
      </c>
      <c r="AA970">
        <f>IF(COUNTIF($E970, _xlfn.CONCAT("*",Table13[[#Headers],[Western]],"*")),1,0)</f>
        <v>0</v>
      </c>
    </row>
    <row r="971" spans="1:27">
      <c r="A971" t="s">
        <v>973</v>
      </c>
      <c r="B971">
        <v>65</v>
      </c>
      <c r="C971">
        <f>MAX(Table13[Rank])-Table13[[#This Row],[Rank]]</f>
        <v>199</v>
      </c>
      <c r="D971" t="s">
        <v>946</v>
      </c>
      <c r="E971" t="s">
        <v>618</v>
      </c>
      <c r="F971" s="1">
        <v>37608</v>
      </c>
      <c r="G971">
        <f>YEAR(Table13[[#This Row],[Date]])</f>
        <v>2002</v>
      </c>
      <c r="H971" t="s">
        <v>619</v>
      </c>
      <c r="I971">
        <f>IF(COUNTIF($E971, _xlfn.CONCAT("*",Table13[[#Headers],[Action]],"*")),1,0)</f>
        <v>1</v>
      </c>
      <c r="J971">
        <f>IF(COUNTIF($E971, _xlfn.CONCAT("*",Table13[[#Headers],[Adventure]],"*")),1,0)</f>
        <v>1</v>
      </c>
      <c r="K971">
        <f>IF(COUNTIF($E971, _xlfn.CONCAT("*",Table13[[#Headers],[Animation]],"*")),1,0)</f>
        <v>0</v>
      </c>
      <c r="L971">
        <f>IF(COUNTIF($E971, _xlfn.CONCAT("*",Table13[[#Headers],[Comedy]],"*")),1,0)</f>
        <v>0</v>
      </c>
      <c r="M971">
        <f>IF(COUNTIF($E971, _xlfn.CONCAT("*",Table13[[#Headers],[Crime]],"*")),1,0)</f>
        <v>0</v>
      </c>
      <c r="N971">
        <f>IF(COUNTIF($E971, _xlfn.CONCAT("*",Table13[[#Headers],[Documentary]],"*")),1,0)</f>
        <v>0</v>
      </c>
      <c r="O971">
        <f>IF(COUNTIF($E971, _xlfn.CONCAT("*",Table13[[#Headers],[Drama]],"*")),1,0)</f>
        <v>0</v>
      </c>
      <c r="P971">
        <f>IF(COUNTIF($E971, _xlfn.CONCAT("*",Table13[[#Headers],[Family]],"*")),1,0)</f>
        <v>0</v>
      </c>
      <c r="Q971">
        <f>IF(COUNTIF($E971, _xlfn.CONCAT("*",Table13[[#Headers],[Fantasy]],"*")),1,0)</f>
        <v>1</v>
      </c>
      <c r="R971">
        <f>IF(COUNTIF($E971, _xlfn.CONCAT("*",Table13[[#Headers],[History]],"*")),1,0)</f>
        <v>0</v>
      </c>
      <c r="S971">
        <f>IF(COUNTIF($E971, _xlfn.CONCAT("*",Table13[[#Headers],[Horror]],"*")),1,0)</f>
        <v>0</v>
      </c>
      <c r="T971">
        <f>IF(COUNTIF($E971, _xlfn.CONCAT("*",Table13[[#Headers],[Music]],"*")),1,0)</f>
        <v>0</v>
      </c>
      <c r="U971">
        <f>IF(COUNTIF($E971, _xlfn.CONCAT("*",Table13[[#Headers],[Mystery]],"*")),1,0)</f>
        <v>0</v>
      </c>
      <c r="V971">
        <f>IF(COUNTIF($E971, _xlfn.CONCAT("*",Table13[[#Headers],[Romance]],"*")),1,0)</f>
        <v>0</v>
      </c>
      <c r="W971">
        <f>IF(COUNTIF($E971, _xlfn.CONCAT("*",Table13[[#Headers],[Science Fiction]],"*")),1,0)</f>
        <v>0</v>
      </c>
      <c r="X971">
        <f>IF(COUNTIF($E971, _xlfn.CONCAT("*",Table13[[#Headers],[TV Movie]],"*")),1,0)</f>
        <v>0</v>
      </c>
      <c r="Y971">
        <f>IF(COUNTIF($E971, _xlfn.CONCAT("*",Table13[[#Headers],[Thriller]],"*")),1,0)</f>
        <v>0</v>
      </c>
      <c r="Z971">
        <f>IF(COUNTIF($E971, _xlfn.CONCAT("*",Table13[[#Headers],[War]],"*")),1,0)</f>
        <v>0</v>
      </c>
      <c r="AA971">
        <f>IF(COUNTIF($E971, _xlfn.CONCAT("*",Table13[[#Headers],[Western]],"*")),1,0)</f>
        <v>0</v>
      </c>
    </row>
    <row r="972" spans="1:27">
      <c r="A972" t="s">
        <v>974</v>
      </c>
      <c r="B972">
        <v>64</v>
      </c>
      <c r="C972">
        <f>MAX(Table13[Rank])-Table13[[#This Row],[Rank]]</f>
        <v>200</v>
      </c>
      <c r="D972" t="s">
        <v>946</v>
      </c>
      <c r="E972" t="s">
        <v>731</v>
      </c>
      <c r="F972" s="1">
        <v>41859</v>
      </c>
      <c r="G972">
        <f>YEAR(Table13[[#This Row],[Date]])</f>
        <v>2014</v>
      </c>
      <c r="H972" t="s">
        <v>1300</v>
      </c>
      <c r="I972">
        <f>IF(COUNTIF($E972, _xlfn.CONCAT("*",Table13[[#Headers],[Action]],"*")),1,0)</f>
        <v>0</v>
      </c>
      <c r="J972">
        <f>IF(COUNTIF($E972, _xlfn.CONCAT("*",Table13[[#Headers],[Adventure]],"*")),1,0)</f>
        <v>0</v>
      </c>
      <c r="K972">
        <f>IF(COUNTIF($E972, _xlfn.CONCAT("*",Table13[[#Headers],[Animation]],"*")),1,0)</f>
        <v>1</v>
      </c>
      <c r="L972">
        <f>IF(COUNTIF($E972, _xlfn.CONCAT("*",Table13[[#Headers],[Comedy]],"*")),1,0)</f>
        <v>0</v>
      </c>
      <c r="M972">
        <f>IF(COUNTIF($E972, _xlfn.CONCAT("*",Table13[[#Headers],[Crime]],"*")),1,0)</f>
        <v>0</v>
      </c>
      <c r="N972">
        <f>IF(COUNTIF($E972, _xlfn.CONCAT("*",Table13[[#Headers],[Documentary]],"*")),1,0)</f>
        <v>0</v>
      </c>
      <c r="O972">
        <f>IF(COUNTIF($E972, _xlfn.CONCAT("*",Table13[[#Headers],[Drama]],"*")),1,0)</f>
        <v>0</v>
      </c>
      <c r="P972">
        <f>IF(COUNTIF($E972, _xlfn.CONCAT("*",Table13[[#Headers],[Family]],"*")),1,0)</f>
        <v>1</v>
      </c>
      <c r="Q972">
        <f>IF(COUNTIF($E972, _xlfn.CONCAT("*",Table13[[#Headers],[Fantasy]],"*")),1,0)</f>
        <v>1</v>
      </c>
      <c r="R972">
        <f>IF(COUNTIF($E972, _xlfn.CONCAT("*",Table13[[#Headers],[History]],"*")),1,0)</f>
        <v>0</v>
      </c>
      <c r="S972">
        <f>IF(COUNTIF($E972, _xlfn.CONCAT("*",Table13[[#Headers],[Horror]],"*")),1,0)</f>
        <v>0</v>
      </c>
      <c r="T972">
        <f>IF(COUNTIF($E972, _xlfn.CONCAT("*",Table13[[#Headers],[Music]],"*")),1,0)</f>
        <v>0</v>
      </c>
      <c r="U972">
        <f>IF(COUNTIF($E972, _xlfn.CONCAT("*",Table13[[#Headers],[Mystery]],"*")),1,0)</f>
        <v>0</v>
      </c>
      <c r="V972">
        <f>IF(COUNTIF($E972, _xlfn.CONCAT("*",Table13[[#Headers],[Romance]],"*")),1,0)</f>
        <v>0</v>
      </c>
      <c r="W972">
        <f>IF(COUNTIF($E972, _xlfn.CONCAT("*",Table13[[#Headers],[Science Fiction]],"*")),1,0)</f>
        <v>1</v>
      </c>
      <c r="X972">
        <f>IF(COUNTIF($E972, _xlfn.CONCAT("*",Table13[[#Headers],[TV Movie]],"*")),1,0)</f>
        <v>0</v>
      </c>
      <c r="Y972">
        <f>IF(COUNTIF($E972, _xlfn.CONCAT("*",Table13[[#Headers],[Thriller]],"*")),1,0)</f>
        <v>0</v>
      </c>
      <c r="Z972">
        <f>IF(COUNTIF($E972, _xlfn.CONCAT("*",Table13[[#Headers],[War]],"*")),1,0)</f>
        <v>0</v>
      </c>
      <c r="AA972">
        <f>IF(COUNTIF($E972, _xlfn.CONCAT("*",Table13[[#Headers],[Western]],"*")),1,0)</f>
        <v>0</v>
      </c>
    </row>
    <row r="973" spans="1:27">
      <c r="A973" t="s">
        <v>975</v>
      </c>
      <c r="B973">
        <v>63</v>
      </c>
      <c r="C973">
        <f>MAX(Table13[Rank])-Table13[[#This Row],[Rank]]</f>
        <v>201</v>
      </c>
      <c r="D973" t="s">
        <v>946</v>
      </c>
      <c r="E973" t="s">
        <v>976</v>
      </c>
      <c r="F973" s="1">
        <v>42460</v>
      </c>
      <c r="G973">
        <f>YEAR(Table13[[#This Row],[Date]])</f>
        <v>2016</v>
      </c>
      <c r="H973" t="s">
        <v>975</v>
      </c>
      <c r="I973">
        <f>IF(COUNTIF($E973, _xlfn.CONCAT("*",Table13[[#Headers],[Action]],"*")),1,0)</f>
        <v>0</v>
      </c>
      <c r="J973">
        <f>IF(COUNTIF($E973, _xlfn.CONCAT("*",Table13[[#Headers],[Adventure]],"*")),1,0)</f>
        <v>1</v>
      </c>
      <c r="K973">
        <f>IF(COUNTIF($E973, _xlfn.CONCAT("*",Table13[[#Headers],[Animation]],"*")),1,0)</f>
        <v>0</v>
      </c>
      <c r="L973">
        <f>IF(COUNTIF($E973, _xlfn.CONCAT("*",Table13[[#Headers],[Comedy]],"*")),1,0)</f>
        <v>1</v>
      </c>
      <c r="M973">
        <f>IF(COUNTIF($E973, _xlfn.CONCAT("*",Table13[[#Headers],[Crime]],"*")),1,0)</f>
        <v>0</v>
      </c>
      <c r="N973">
        <f>IF(COUNTIF($E973, _xlfn.CONCAT("*",Table13[[#Headers],[Documentary]],"*")),1,0)</f>
        <v>0</v>
      </c>
      <c r="O973">
        <f>IF(COUNTIF($E973, _xlfn.CONCAT("*",Table13[[#Headers],[Drama]],"*")),1,0)</f>
        <v>1</v>
      </c>
      <c r="P973">
        <f>IF(COUNTIF($E973, _xlfn.CONCAT("*",Table13[[#Headers],[Family]],"*")),1,0)</f>
        <v>0</v>
      </c>
      <c r="Q973">
        <f>IF(COUNTIF($E973, _xlfn.CONCAT("*",Table13[[#Headers],[Fantasy]],"*")),1,0)</f>
        <v>0</v>
      </c>
      <c r="R973">
        <f>IF(COUNTIF($E973, _xlfn.CONCAT("*",Table13[[#Headers],[History]],"*")),1,0)</f>
        <v>0</v>
      </c>
      <c r="S973">
        <f>IF(COUNTIF($E973, _xlfn.CONCAT("*",Table13[[#Headers],[Horror]],"*")),1,0)</f>
        <v>0</v>
      </c>
      <c r="T973">
        <f>IF(COUNTIF($E973, _xlfn.CONCAT("*",Table13[[#Headers],[Music]],"*")),1,0)</f>
        <v>0</v>
      </c>
      <c r="U973">
        <f>IF(COUNTIF($E973, _xlfn.CONCAT("*",Table13[[#Headers],[Mystery]],"*")),1,0)</f>
        <v>0</v>
      </c>
      <c r="V973">
        <f>IF(COUNTIF($E973, _xlfn.CONCAT("*",Table13[[#Headers],[Romance]],"*")),1,0)</f>
        <v>0</v>
      </c>
      <c r="W973">
        <f>IF(COUNTIF($E973, _xlfn.CONCAT("*",Table13[[#Headers],[Science Fiction]],"*")),1,0)</f>
        <v>0</v>
      </c>
      <c r="X973">
        <f>IF(COUNTIF($E973, _xlfn.CONCAT("*",Table13[[#Headers],[TV Movie]],"*")),1,0)</f>
        <v>0</v>
      </c>
      <c r="Y973">
        <f>IF(COUNTIF($E973, _xlfn.CONCAT("*",Table13[[#Headers],[Thriller]],"*")),1,0)</f>
        <v>0</v>
      </c>
      <c r="Z973">
        <f>IF(COUNTIF($E973, _xlfn.CONCAT("*",Table13[[#Headers],[War]],"*")),1,0)</f>
        <v>0</v>
      </c>
      <c r="AA973">
        <f>IF(COUNTIF($E973, _xlfn.CONCAT("*",Table13[[#Headers],[Western]],"*")),1,0)</f>
        <v>0</v>
      </c>
    </row>
    <row r="974" spans="1:27">
      <c r="A974" t="s">
        <v>734</v>
      </c>
      <c r="B974">
        <v>62</v>
      </c>
      <c r="C974">
        <f>MAX(Table13[Rank])-Table13[[#This Row],[Rank]]</f>
        <v>202</v>
      </c>
      <c r="D974" t="s">
        <v>946</v>
      </c>
      <c r="E974" t="s">
        <v>164</v>
      </c>
      <c r="F974" s="1">
        <v>31093</v>
      </c>
      <c r="G974">
        <f>YEAR(Table13[[#This Row],[Date]])</f>
        <v>1985</v>
      </c>
      <c r="H974" t="s">
        <v>734</v>
      </c>
      <c r="I974">
        <f>IF(COUNTIF($E974, _xlfn.CONCAT("*",Table13[[#Headers],[Action]],"*")),1,0)</f>
        <v>0</v>
      </c>
      <c r="J974">
        <f>IF(COUNTIF($E974, _xlfn.CONCAT("*",Table13[[#Headers],[Adventure]],"*")),1,0)</f>
        <v>0</v>
      </c>
      <c r="K974">
        <f>IF(COUNTIF($E974, _xlfn.CONCAT("*",Table13[[#Headers],[Animation]],"*")),1,0)</f>
        <v>0</v>
      </c>
      <c r="L974">
        <f>IF(COUNTIF($E974, _xlfn.CONCAT("*",Table13[[#Headers],[Comedy]],"*")),1,0)</f>
        <v>1</v>
      </c>
      <c r="M974">
        <f>IF(COUNTIF($E974, _xlfn.CONCAT("*",Table13[[#Headers],[Crime]],"*")),1,0)</f>
        <v>0</v>
      </c>
      <c r="N974">
        <f>IF(COUNTIF($E974, _xlfn.CONCAT("*",Table13[[#Headers],[Documentary]],"*")),1,0)</f>
        <v>0</v>
      </c>
      <c r="O974">
        <f>IF(COUNTIF($E974, _xlfn.CONCAT("*",Table13[[#Headers],[Drama]],"*")),1,0)</f>
        <v>1</v>
      </c>
      <c r="P974">
        <f>IF(COUNTIF($E974, _xlfn.CONCAT("*",Table13[[#Headers],[Family]],"*")),1,0)</f>
        <v>0</v>
      </c>
      <c r="Q974">
        <f>IF(COUNTIF($E974, _xlfn.CONCAT("*",Table13[[#Headers],[Fantasy]],"*")),1,0)</f>
        <v>0</v>
      </c>
      <c r="R974">
        <f>IF(COUNTIF($E974, _xlfn.CONCAT("*",Table13[[#Headers],[History]],"*")),1,0)</f>
        <v>0</v>
      </c>
      <c r="S974">
        <f>IF(COUNTIF($E974, _xlfn.CONCAT("*",Table13[[#Headers],[Horror]],"*")),1,0)</f>
        <v>0</v>
      </c>
      <c r="T974">
        <f>IF(COUNTIF($E974, _xlfn.CONCAT("*",Table13[[#Headers],[Music]],"*")),1,0)</f>
        <v>0</v>
      </c>
      <c r="U974">
        <f>IF(COUNTIF($E974, _xlfn.CONCAT("*",Table13[[#Headers],[Mystery]],"*")),1,0)</f>
        <v>0</v>
      </c>
      <c r="V974">
        <f>IF(COUNTIF($E974, _xlfn.CONCAT("*",Table13[[#Headers],[Romance]],"*")),1,0)</f>
        <v>0</v>
      </c>
      <c r="W974">
        <f>IF(COUNTIF($E974, _xlfn.CONCAT("*",Table13[[#Headers],[Science Fiction]],"*")),1,0)</f>
        <v>0</v>
      </c>
      <c r="X974">
        <f>IF(COUNTIF($E974, _xlfn.CONCAT("*",Table13[[#Headers],[TV Movie]],"*")),1,0)</f>
        <v>0</v>
      </c>
      <c r="Y974">
        <f>IF(COUNTIF($E974, _xlfn.CONCAT("*",Table13[[#Headers],[Thriller]],"*")),1,0)</f>
        <v>0</v>
      </c>
      <c r="Z974">
        <f>IF(COUNTIF($E974, _xlfn.CONCAT("*",Table13[[#Headers],[War]],"*")),1,0)</f>
        <v>0</v>
      </c>
      <c r="AA974">
        <f>IF(COUNTIF($E974, _xlfn.CONCAT("*",Table13[[#Headers],[Western]],"*")),1,0)</f>
        <v>0</v>
      </c>
    </row>
    <row r="975" spans="1:27">
      <c r="A975" t="s">
        <v>977</v>
      </c>
      <c r="B975">
        <v>61</v>
      </c>
      <c r="C975">
        <f>MAX(Table13[Rank])-Table13[[#This Row],[Rank]]</f>
        <v>203</v>
      </c>
      <c r="D975" t="s">
        <v>946</v>
      </c>
      <c r="E975" t="s">
        <v>100</v>
      </c>
      <c r="F975" s="1">
        <v>38163</v>
      </c>
      <c r="G975">
        <f>YEAR(Table13[[#This Row],[Date]])</f>
        <v>2004</v>
      </c>
      <c r="H975" t="s">
        <v>977</v>
      </c>
      <c r="I975">
        <f>IF(COUNTIF($E975, _xlfn.CONCAT("*",Table13[[#Headers],[Action]],"*")),1,0)</f>
        <v>0</v>
      </c>
      <c r="J975">
        <f>IF(COUNTIF($E975, _xlfn.CONCAT("*",Table13[[#Headers],[Adventure]],"*")),1,0)</f>
        <v>0</v>
      </c>
      <c r="K975">
        <f>IF(COUNTIF($E975, _xlfn.CONCAT("*",Table13[[#Headers],[Animation]],"*")),1,0)</f>
        <v>0</v>
      </c>
      <c r="L975">
        <f>IF(COUNTIF($E975, _xlfn.CONCAT("*",Table13[[#Headers],[Comedy]],"*")),1,0)</f>
        <v>0</v>
      </c>
      <c r="M975">
        <f>IF(COUNTIF($E975, _xlfn.CONCAT("*",Table13[[#Headers],[Crime]],"*")),1,0)</f>
        <v>0</v>
      </c>
      <c r="N975">
        <f>IF(COUNTIF($E975, _xlfn.CONCAT("*",Table13[[#Headers],[Documentary]],"*")),1,0)</f>
        <v>0</v>
      </c>
      <c r="O975">
        <f>IF(COUNTIF($E975, _xlfn.CONCAT("*",Table13[[#Headers],[Drama]],"*")),1,0)</f>
        <v>1</v>
      </c>
      <c r="P975">
        <f>IF(COUNTIF($E975, _xlfn.CONCAT("*",Table13[[#Headers],[Family]],"*")),1,0)</f>
        <v>0</v>
      </c>
      <c r="Q975">
        <f>IF(COUNTIF($E975, _xlfn.CONCAT("*",Table13[[#Headers],[Fantasy]],"*")),1,0)</f>
        <v>0</v>
      </c>
      <c r="R975">
        <f>IF(COUNTIF($E975, _xlfn.CONCAT("*",Table13[[#Headers],[History]],"*")),1,0)</f>
        <v>0</v>
      </c>
      <c r="S975">
        <f>IF(COUNTIF($E975, _xlfn.CONCAT("*",Table13[[#Headers],[Horror]],"*")),1,0)</f>
        <v>0</v>
      </c>
      <c r="T975">
        <f>IF(COUNTIF($E975, _xlfn.CONCAT("*",Table13[[#Headers],[Music]],"*")),1,0)</f>
        <v>0</v>
      </c>
      <c r="U975">
        <f>IF(COUNTIF($E975, _xlfn.CONCAT("*",Table13[[#Headers],[Mystery]],"*")),1,0)</f>
        <v>0</v>
      </c>
      <c r="V975">
        <f>IF(COUNTIF($E975, _xlfn.CONCAT("*",Table13[[#Headers],[Romance]],"*")),1,0)</f>
        <v>1</v>
      </c>
      <c r="W975">
        <f>IF(COUNTIF($E975, _xlfn.CONCAT("*",Table13[[#Headers],[Science Fiction]],"*")),1,0)</f>
        <v>0</v>
      </c>
      <c r="X975">
        <f>IF(COUNTIF($E975, _xlfn.CONCAT("*",Table13[[#Headers],[TV Movie]],"*")),1,0)</f>
        <v>0</v>
      </c>
      <c r="Y975">
        <f>IF(COUNTIF($E975, _xlfn.CONCAT("*",Table13[[#Headers],[Thriller]],"*")),1,0)</f>
        <v>0</v>
      </c>
      <c r="Z975">
        <f>IF(COUNTIF($E975, _xlfn.CONCAT("*",Table13[[#Headers],[War]],"*")),1,0)</f>
        <v>0</v>
      </c>
      <c r="AA975">
        <f>IF(COUNTIF($E975, _xlfn.CONCAT("*",Table13[[#Headers],[Western]],"*")),1,0)</f>
        <v>0</v>
      </c>
    </row>
    <row r="976" spans="1:27">
      <c r="A976" t="s">
        <v>736</v>
      </c>
      <c r="B976">
        <v>60</v>
      </c>
      <c r="C976">
        <f>MAX(Table13[Rank])-Table13[[#This Row],[Rank]]</f>
        <v>204</v>
      </c>
      <c r="D976" t="s">
        <v>946</v>
      </c>
      <c r="E976" t="s">
        <v>35</v>
      </c>
      <c r="F976" s="1">
        <v>28085</v>
      </c>
      <c r="G976">
        <f>YEAR(Table13[[#This Row],[Date]])</f>
        <v>1976</v>
      </c>
      <c r="H976" t="s">
        <v>736</v>
      </c>
      <c r="I976">
        <f>IF(COUNTIF($E976, _xlfn.CONCAT("*",Table13[[#Headers],[Action]],"*")),1,0)</f>
        <v>0</v>
      </c>
      <c r="J976">
        <f>IF(COUNTIF($E976, _xlfn.CONCAT("*",Table13[[#Headers],[Adventure]],"*")),1,0)</f>
        <v>0</v>
      </c>
      <c r="K976">
        <f>IF(COUNTIF($E976, _xlfn.CONCAT("*",Table13[[#Headers],[Animation]],"*")),1,0)</f>
        <v>0</v>
      </c>
      <c r="L976">
        <f>IF(COUNTIF($E976, _xlfn.CONCAT("*",Table13[[#Headers],[Comedy]],"*")),1,0)</f>
        <v>0</v>
      </c>
      <c r="M976">
        <f>IF(COUNTIF($E976, _xlfn.CONCAT("*",Table13[[#Headers],[Crime]],"*")),1,0)</f>
        <v>0</v>
      </c>
      <c r="N976">
        <f>IF(COUNTIF($E976, _xlfn.CONCAT("*",Table13[[#Headers],[Documentary]],"*")),1,0)</f>
        <v>0</v>
      </c>
      <c r="O976">
        <f>IF(COUNTIF($E976, _xlfn.CONCAT("*",Table13[[#Headers],[Drama]],"*")),1,0)</f>
        <v>1</v>
      </c>
      <c r="P976">
        <f>IF(COUNTIF($E976, _xlfn.CONCAT("*",Table13[[#Headers],[Family]],"*")),1,0)</f>
        <v>0</v>
      </c>
      <c r="Q976">
        <f>IF(COUNTIF($E976, _xlfn.CONCAT("*",Table13[[#Headers],[Fantasy]],"*")),1,0)</f>
        <v>0</v>
      </c>
      <c r="R976">
        <f>IF(COUNTIF($E976, _xlfn.CONCAT("*",Table13[[#Headers],[History]],"*")),1,0)</f>
        <v>0</v>
      </c>
      <c r="S976">
        <f>IF(COUNTIF($E976, _xlfn.CONCAT("*",Table13[[#Headers],[Horror]],"*")),1,0)</f>
        <v>0</v>
      </c>
      <c r="T976">
        <f>IF(COUNTIF($E976, _xlfn.CONCAT("*",Table13[[#Headers],[Music]],"*")),1,0)</f>
        <v>0</v>
      </c>
      <c r="U976">
        <f>IF(COUNTIF($E976, _xlfn.CONCAT("*",Table13[[#Headers],[Mystery]],"*")),1,0)</f>
        <v>0</v>
      </c>
      <c r="V976">
        <f>IF(COUNTIF($E976, _xlfn.CONCAT("*",Table13[[#Headers],[Romance]],"*")),1,0)</f>
        <v>1</v>
      </c>
      <c r="W976">
        <f>IF(COUNTIF($E976, _xlfn.CONCAT("*",Table13[[#Headers],[Science Fiction]],"*")),1,0)</f>
        <v>0</v>
      </c>
      <c r="X976">
        <f>IF(COUNTIF($E976, _xlfn.CONCAT("*",Table13[[#Headers],[TV Movie]],"*")),1,0)</f>
        <v>0</v>
      </c>
      <c r="Y976">
        <f>IF(COUNTIF($E976, _xlfn.CONCAT("*",Table13[[#Headers],[Thriller]],"*")),1,0)</f>
        <v>0</v>
      </c>
      <c r="Z976">
        <f>IF(COUNTIF($E976, _xlfn.CONCAT("*",Table13[[#Headers],[War]],"*")),1,0)</f>
        <v>0</v>
      </c>
      <c r="AA976">
        <f>IF(COUNTIF($E976, _xlfn.CONCAT("*",Table13[[#Headers],[Western]],"*")),1,0)</f>
        <v>0</v>
      </c>
    </row>
    <row r="977" spans="1:27">
      <c r="A977" t="s">
        <v>744</v>
      </c>
      <c r="B977">
        <v>59</v>
      </c>
      <c r="C977">
        <f>MAX(Table13[Rank])-Table13[[#This Row],[Rank]]</f>
        <v>205</v>
      </c>
      <c r="D977" t="s">
        <v>946</v>
      </c>
      <c r="E977" t="s">
        <v>44</v>
      </c>
      <c r="F977" s="1">
        <v>31574</v>
      </c>
      <c r="G977">
        <f>YEAR(Table13[[#This Row],[Date]])</f>
        <v>1986</v>
      </c>
      <c r="H977" t="s">
        <v>744</v>
      </c>
      <c r="I977">
        <f>IF(COUNTIF($E977, _xlfn.CONCAT("*",Table13[[#Headers],[Action]],"*")),1,0)</f>
        <v>0</v>
      </c>
      <c r="J977">
        <f>IF(COUNTIF($E977, _xlfn.CONCAT("*",Table13[[#Headers],[Adventure]],"*")),1,0)</f>
        <v>0</v>
      </c>
      <c r="K977">
        <f>IF(COUNTIF($E977, _xlfn.CONCAT("*",Table13[[#Headers],[Animation]],"*")),1,0)</f>
        <v>0</v>
      </c>
      <c r="L977">
        <f>IF(COUNTIF($E977, _xlfn.CONCAT("*",Table13[[#Headers],[Comedy]],"*")),1,0)</f>
        <v>1</v>
      </c>
      <c r="M977">
        <f>IF(COUNTIF($E977, _xlfn.CONCAT("*",Table13[[#Headers],[Crime]],"*")),1,0)</f>
        <v>0</v>
      </c>
      <c r="N977">
        <f>IF(COUNTIF($E977, _xlfn.CONCAT("*",Table13[[#Headers],[Documentary]],"*")),1,0)</f>
        <v>0</v>
      </c>
      <c r="O977">
        <f>IF(COUNTIF($E977, _xlfn.CONCAT("*",Table13[[#Headers],[Drama]],"*")),1,0)</f>
        <v>0</v>
      </c>
      <c r="P977">
        <f>IF(COUNTIF($E977, _xlfn.CONCAT("*",Table13[[#Headers],[Family]],"*")),1,0)</f>
        <v>0</v>
      </c>
      <c r="Q977">
        <f>IF(COUNTIF($E977, _xlfn.CONCAT("*",Table13[[#Headers],[Fantasy]],"*")),1,0)</f>
        <v>0</v>
      </c>
      <c r="R977">
        <f>IF(COUNTIF($E977, _xlfn.CONCAT("*",Table13[[#Headers],[History]],"*")),1,0)</f>
        <v>0</v>
      </c>
      <c r="S977">
        <f>IF(COUNTIF($E977, _xlfn.CONCAT("*",Table13[[#Headers],[Horror]],"*")),1,0)</f>
        <v>0</v>
      </c>
      <c r="T977">
        <f>IF(COUNTIF($E977, _xlfn.CONCAT("*",Table13[[#Headers],[Music]],"*")),1,0)</f>
        <v>0</v>
      </c>
      <c r="U977">
        <f>IF(COUNTIF($E977, _xlfn.CONCAT("*",Table13[[#Headers],[Mystery]],"*")),1,0)</f>
        <v>0</v>
      </c>
      <c r="V977">
        <f>IF(COUNTIF($E977, _xlfn.CONCAT("*",Table13[[#Headers],[Romance]],"*")),1,0)</f>
        <v>0</v>
      </c>
      <c r="W977">
        <f>IF(COUNTIF($E977, _xlfn.CONCAT("*",Table13[[#Headers],[Science Fiction]],"*")),1,0)</f>
        <v>0</v>
      </c>
      <c r="X977">
        <f>IF(COUNTIF($E977, _xlfn.CONCAT("*",Table13[[#Headers],[TV Movie]],"*")),1,0)</f>
        <v>0</v>
      </c>
      <c r="Y977">
        <f>IF(COUNTIF($E977, _xlfn.CONCAT("*",Table13[[#Headers],[Thriller]],"*")),1,0)</f>
        <v>0</v>
      </c>
      <c r="Z977">
        <f>IF(COUNTIF($E977, _xlfn.CONCAT("*",Table13[[#Headers],[War]],"*")),1,0)</f>
        <v>0</v>
      </c>
      <c r="AA977">
        <f>IF(COUNTIF($E977, _xlfn.CONCAT("*",Table13[[#Headers],[Western]],"*")),1,0)</f>
        <v>0</v>
      </c>
    </row>
    <row r="978" spans="1:27">
      <c r="A978" t="s">
        <v>362</v>
      </c>
      <c r="B978">
        <v>58</v>
      </c>
      <c r="C978">
        <f>MAX(Table13[Rank])-Table13[[#This Row],[Rank]]</f>
        <v>206</v>
      </c>
      <c r="D978" t="s">
        <v>946</v>
      </c>
      <c r="E978" t="s">
        <v>156</v>
      </c>
      <c r="F978" s="1">
        <v>27799</v>
      </c>
      <c r="G978">
        <f>YEAR(Table13[[#This Row],[Date]])</f>
        <v>1976</v>
      </c>
      <c r="H978" t="s">
        <v>362</v>
      </c>
      <c r="I978">
        <f>IF(COUNTIF($E978, _xlfn.CONCAT("*",Table13[[#Headers],[Action]],"*")),1,0)</f>
        <v>0</v>
      </c>
      <c r="J978">
        <f>IF(COUNTIF($E978, _xlfn.CONCAT("*",Table13[[#Headers],[Adventure]],"*")),1,0)</f>
        <v>0</v>
      </c>
      <c r="K978">
        <f>IF(COUNTIF($E978, _xlfn.CONCAT("*",Table13[[#Headers],[Animation]],"*")),1,0)</f>
        <v>0</v>
      </c>
      <c r="L978">
        <f>IF(COUNTIF($E978, _xlfn.CONCAT("*",Table13[[#Headers],[Comedy]],"*")),1,0)</f>
        <v>0</v>
      </c>
      <c r="M978">
        <f>IF(COUNTIF($E978, _xlfn.CONCAT("*",Table13[[#Headers],[Crime]],"*")),1,0)</f>
        <v>1</v>
      </c>
      <c r="N978">
        <f>IF(COUNTIF($E978, _xlfn.CONCAT("*",Table13[[#Headers],[Documentary]],"*")),1,0)</f>
        <v>0</v>
      </c>
      <c r="O978">
        <f>IF(COUNTIF($E978, _xlfn.CONCAT("*",Table13[[#Headers],[Drama]],"*")),1,0)</f>
        <v>1</v>
      </c>
      <c r="P978">
        <f>IF(COUNTIF($E978, _xlfn.CONCAT("*",Table13[[#Headers],[Family]],"*")),1,0)</f>
        <v>0</v>
      </c>
      <c r="Q978">
        <f>IF(COUNTIF($E978, _xlfn.CONCAT("*",Table13[[#Headers],[Fantasy]],"*")),1,0)</f>
        <v>0</v>
      </c>
      <c r="R978">
        <f>IF(COUNTIF($E978, _xlfn.CONCAT("*",Table13[[#Headers],[History]],"*")),1,0)</f>
        <v>0</v>
      </c>
      <c r="S978">
        <f>IF(COUNTIF($E978, _xlfn.CONCAT("*",Table13[[#Headers],[Horror]],"*")),1,0)</f>
        <v>0</v>
      </c>
      <c r="T978">
        <f>IF(COUNTIF($E978, _xlfn.CONCAT("*",Table13[[#Headers],[Music]],"*")),1,0)</f>
        <v>0</v>
      </c>
      <c r="U978">
        <f>IF(COUNTIF($E978, _xlfn.CONCAT("*",Table13[[#Headers],[Mystery]],"*")),1,0)</f>
        <v>0</v>
      </c>
      <c r="V978">
        <f>IF(COUNTIF($E978, _xlfn.CONCAT("*",Table13[[#Headers],[Romance]],"*")),1,0)</f>
        <v>0</v>
      </c>
      <c r="W978">
        <f>IF(COUNTIF($E978, _xlfn.CONCAT("*",Table13[[#Headers],[Science Fiction]],"*")),1,0)</f>
        <v>0</v>
      </c>
      <c r="X978">
        <f>IF(COUNTIF($E978, _xlfn.CONCAT("*",Table13[[#Headers],[TV Movie]],"*")),1,0)</f>
        <v>0</v>
      </c>
      <c r="Y978">
        <f>IF(COUNTIF($E978, _xlfn.CONCAT("*",Table13[[#Headers],[Thriller]],"*")),1,0)</f>
        <v>0</v>
      </c>
      <c r="Z978">
        <f>IF(COUNTIF($E978, _xlfn.CONCAT("*",Table13[[#Headers],[War]],"*")),1,0)</f>
        <v>0</v>
      </c>
      <c r="AA978">
        <f>IF(COUNTIF($E978, _xlfn.CONCAT("*",Table13[[#Headers],[Western]],"*")),1,0)</f>
        <v>0</v>
      </c>
    </row>
    <row r="979" spans="1:27">
      <c r="A979" t="s">
        <v>978</v>
      </c>
      <c r="B979">
        <v>57</v>
      </c>
      <c r="C979">
        <f>MAX(Table13[Rank])-Table13[[#This Row],[Rank]]</f>
        <v>207</v>
      </c>
      <c r="D979" t="s">
        <v>946</v>
      </c>
      <c r="E979" t="s">
        <v>979</v>
      </c>
      <c r="F979" s="1">
        <v>21872</v>
      </c>
      <c r="G979">
        <f>YEAR(Table13[[#This Row],[Date]])</f>
        <v>1959</v>
      </c>
      <c r="H979" t="s">
        <v>980</v>
      </c>
      <c r="I979">
        <f>IF(COUNTIF($E979, _xlfn.CONCAT("*",Table13[[#Headers],[Action]],"*")),1,0)</f>
        <v>1</v>
      </c>
      <c r="J979">
        <f>IF(COUNTIF($E979, _xlfn.CONCAT("*",Table13[[#Headers],[Adventure]],"*")),1,0)</f>
        <v>1</v>
      </c>
      <c r="K979">
        <f>IF(COUNTIF($E979, _xlfn.CONCAT("*",Table13[[#Headers],[Animation]],"*")),1,0)</f>
        <v>0</v>
      </c>
      <c r="L979">
        <f>IF(COUNTIF($E979, _xlfn.CONCAT("*",Table13[[#Headers],[Comedy]],"*")),1,0)</f>
        <v>0</v>
      </c>
      <c r="M979">
        <f>IF(COUNTIF($E979, _xlfn.CONCAT("*",Table13[[#Headers],[Crime]],"*")),1,0)</f>
        <v>0</v>
      </c>
      <c r="N979">
        <f>IF(COUNTIF($E979, _xlfn.CONCAT("*",Table13[[#Headers],[Documentary]],"*")),1,0)</f>
        <v>0</v>
      </c>
      <c r="O979">
        <f>IF(COUNTIF($E979, _xlfn.CONCAT("*",Table13[[#Headers],[Drama]],"*")),1,0)</f>
        <v>1</v>
      </c>
      <c r="P979">
        <f>IF(COUNTIF($E979, _xlfn.CONCAT("*",Table13[[#Headers],[Family]],"*")),1,0)</f>
        <v>0</v>
      </c>
      <c r="Q979">
        <f>IF(COUNTIF($E979, _xlfn.CONCAT("*",Table13[[#Headers],[Fantasy]],"*")),1,0)</f>
        <v>0</v>
      </c>
      <c r="R979">
        <f>IF(COUNTIF($E979, _xlfn.CONCAT("*",Table13[[#Headers],[History]],"*")),1,0)</f>
        <v>1</v>
      </c>
      <c r="S979">
        <f>IF(COUNTIF($E979, _xlfn.CONCAT("*",Table13[[#Headers],[Horror]],"*")),1,0)</f>
        <v>0</v>
      </c>
      <c r="T979">
        <f>IF(COUNTIF($E979, _xlfn.CONCAT("*",Table13[[#Headers],[Music]],"*")),1,0)</f>
        <v>0</v>
      </c>
      <c r="U979">
        <f>IF(COUNTIF($E979, _xlfn.CONCAT("*",Table13[[#Headers],[Mystery]],"*")),1,0)</f>
        <v>0</v>
      </c>
      <c r="V979">
        <f>IF(COUNTIF($E979, _xlfn.CONCAT("*",Table13[[#Headers],[Romance]],"*")),1,0)</f>
        <v>0</v>
      </c>
      <c r="W979">
        <f>IF(COUNTIF($E979, _xlfn.CONCAT("*",Table13[[#Headers],[Science Fiction]],"*")),1,0)</f>
        <v>0</v>
      </c>
      <c r="X979">
        <f>IF(COUNTIF($E979, _xlfn.CONCAT("*",Table13[[#Headers],[TV Movie]],"*")),1,0)</f>
        <v>0</v>
      </c>
      <c r="Y979">
        <f>IF(COUNTIF($E979, _xlfn.CONCAT("*",Table13[[#Headers],[Thriller]],"*")),1,0)</f>
        <v>0</v>
      </c>
      <c r="Z979">
        <f>IF(COUNTIF($E979, _xlfn.CONCAT("*",Table13[[#Headers],[War]],"*")),1,0)</f>
        <v>0</v>
      </c>
      <c r="AA979">
        <f>IF(COUNTIF($E979, _xlfn.CONCAT("*",Table13[[#Headers],[Western]],"*")),1,0)</f>
        <v>0</v>
      </c>
    </row>
    <row r="980" spans="1:27">
      <c r="A980" t="s">
        <v>663</v>
      </c>
      <c r="B980">
        <v>56</v>
      </c>
      <c r="C980">
        <f>MAX(Table13[Rank])-Table13[[#This Row],[Rank]]</f>
        <v>208</v>
      </c>
      <c r="D980" t="s">
        <v>946</v>
      </c>
      <c r="E980" t="s">
        <v>49</v>
      </c>
      <c r="F980" s="1">
        <v>43215</v>
      </c>
      <c r="G980">
        <f>YEAR(Table13[[#This Row],[Date]])</f>
        <v>2018</v>
      </c>
      <c r="H980" t="s">
        <v>663</v>
      </c>
      <c r="I980">
        <f>IF(COUNTIF($E980, _xlfn.CONCAT("*",Table13[[#Headers],[Action]],"*")),1,0)</f>
        <v>1</v>
      </c>
      <c r="J980">
        <f>IF(COUNTIF($E980, _xlfn.CONCAT("*",Table13[[#Headers],[Adventure]],"*")),1,0)</f>
        <v>1</v>
      </c>
      <c r="K980">
        <f>IF(COUNTIF($E980, _xlfn.CONCAT("*",Table13[[#Headers],[Animation]],"*")),1,0)</f>
        <v>0</v>
      </c>
      <c r="L980">
        <f>IF(COUNTIF($E980, _xlfn.CONCAT("*",Table13[[#Headers],[Comedy]],"*")),1,0)</f>
        <v>0</v>
      </c>
      <c r="M980">
        <f>IF(COUNTIF($E980, _xlfn.CONCAT("*",Table13[[#Headers],[Crime]],"*")),1,0)</f>
        <v>0</v>
      </c>
      <c r="N980">
        <f>IF(COUNTIF($E980, _xlfn.CONCAT("*",Table13[[#Headers],[Documentary]],"*")),1,0)</f>
        <v>0</v>
      </c>
      <c r="O980">
        <f>IF(COUNTIF($E980, _xlfn.CONCAT("*",Table13[[#Headers],[Drama]],"*")),1,0)</f>
        <v>0</v>
      </c>
      <c r="P980">
        <f>IF(COUNTIF($E980, _xlfn.CONCAT("*",Table13[[#Headers],[Family]],"*")),1,0)</f>
        <v>0</v>
      </c>
      <c r="Q980">
        <f>IF(COUNTIF($E980, _xlfn.CONCAT("*",Table13[[#Headers],[Fantasy]],"*")),1,0)</f>
        <v>0</v>
      </c>
      <c r="R980">
        <f>IF(COUNTIF($E980, _xlfn.CONCAT("*",Table13[[#Headers],[History]],"*")),1,0)</f>
        <v>0</v>
      </c>
      <c r="S980">
        <f>IF(COUNTIF($E980, _xlfn.CONCAT("*",Table13[[#Headers],[Horror]],"*")),1,0)</f>
        <v>0</v>
      </c>
      <c r="T980">
        <f>IF(COUNTIF($E980, _xlfn.CONCAT("*",Table13[[#Headers],[Music]],"*")),1,0)</f>
        <v>0</v>
      </c>
      <c r="U980">
        <f>IF(COUNTIF($E980, _xlfn.CONCAT("*",Table13[[#Headers],[Mystery]],"*")),1,0)</f>
        <v>0</v>
      </c>
      <c r="V980">
        <f>IF(COUNTIF($E980, _xlfn.CONCAT("*",Table13[[#Headers],[Romance]],"*")),1,0)</f>
        <v>0</v>
      </c>
      <c r="W980">
        <f>IF(COUNTIF($E980, _xlfn.CONCAT("*",Table13[[#Headers],[Science Fiction]],"*")),1,0)</f>
        <v>1</v>
      </c>
      <c r="X980">
        <f>IF(COUNTIF($E980, _xlfn.CONCAT("*",Table13[[#Headers],[TV Movie]],"*")),1,0)</f>
        <v>0</v>
      </c>
      <c r="Y980">
        <f>IF(COUNTIF($E980, _xlfn.CONCAT("*",Table13[[#Headers],[Thriller]],"*")),1,0)</f>
        <v>0</v>
      </c>
      <c r="Z980">
        <f>IF(COUNTIF($E980, _xlfn.CONCAT("*",Table13[[#Headers],[War]],"*")),1,0)</f>
        <v>0</v>
      </c>
      <c r="AA980">
        <f>IF(COUNTIF($E980, _xlfn.CONCAT("*",Table13[[#Headers],[Western]],"*")),1,0)</f>
        <v>0</v>
      </c>
    </row>
    <row r="981" spans="1:27">
      <c r="A981" t="s">
        <v>718</v>
      </c>
      <c r="B981">
        <v>55</v>
      </c>
      <c r="C981">
        <f>MAX(Table13[Rank])-Table13[[#This Row],[Rank]]</f>
        <v>209</v>
      </c>
      <c r="D981" t="s">
        <v>946</v>
      </c>
      <c r="E981" t="s">
        <v>21</v>
      </c>
      <c r="F981" s="1">
        <v>23000</v>
      </c>
      <c r="G981">
        <f>YEAR(Table13[[#This Row],[Date]])</f>
        <v>1962</v>
      </c>
      <c r="H981" t="s">
        <v>718</v>
      </c>
      <c r="I981">
        <f>IF(COUNTIF($E981, _xlfn.CONCAT("*",Table13[[#Headers],[Action]],"*")),1,0)</f>
        <v>0</v>
      </c>
      <c r="J981">
        <f>IF(COUNTIF($E981, _xlfn.CONCAT("*",Table13[[#Headers],[Adventure]],"*")),1,0)</f>
        <v>0</v>
      </c>
      <c r="K981">
        <f>IF(COUNTIF($E981, _xlfn.CONCAT("*",Table13[[#Headers],[Animation]],"*")),1,0)</f>
        <v>0</v>
      </c>
      <c r="L981">
        <f>IF(COUNTIF($E981, _xlfn.CONCAT("*",Table13[[#Headers],[Comedy]],"*")),1,0)</f>
        <v>0</v>
      </c>
      <c r="M981">
        <f>IF(COUNTIF($E981, _xlfn.CONCAT("*",Table13[[#Headers],[Crime]],"*")),1,0)</f>
        <v>0</v>
      </c>
      <c r="N981">
        <f>IF(COUNTIF($E981, _xlfn.CONCAT("*",Table13[[#Headers],[Documentary]],"*")),1,0)</f>
        <v>0</v>
      </c>
      <c r="O981">
        <f>IF(COUNTIF($E981, _xlfn.CONCAT("*",Table13[[#Headers],[Drama]],"*")),1,0)</f>
        <v>1</v>
      </c>
      <c r="P981">
        <f>IF(COUNTIF($E981, _xlfn.CONCAT("*",Table13[[#Headers],[Family]],"*")),1,0)</f>
        <v>0</v>
      </c>
      <c r="Q981">
        <f>IF(COUNTIF($E981, _xlfn.CONCAT("*",Table13[[#Headers],[Fantasy]],"*")),1,0)</f>
        <v>0</v>
      </c>
      <c r="R981">
        <f>IF(COUNTIF($E981, _xlfn.CONCAT("*",Table13[[#Headers],[History]],"*")),1,0)</f>
        <v>0</v>
      </c>
      <c r="S981">
        <f>IF(COUNTIF($E981, _xlfn.CONCAT("*",Table13[[#Headers],[Horror]],"*")),1,0)</f>
        <v>0</v>
      </c>
      <c r="T981">
        <f>IF(COUNTIF($E981, _xlfn.CONCAT("*",Table13[[#Headers],[Music]],"*")),1,0)</f>
        <v>0</v>
      </c>
      <c r="U981">
        <f>IF(COUNTIF($E981, _xlfn.CONCAT("*",Table13[[#Headers],[Mystery]],"*")),1,0)</f>
        <v>0</v>
      </c>
      <c r="V981">
        <f>IF(COUNTIF($E981, _xlfn.CONCAT("*",Table13[[#Headers],[Romance]],"*")),1,0)</f>
        <v>0</v>
      </c>
      <c r="W981">
        <f>IF(COUNTIF($E981, _xlfn.CONCAT("*",Table13[[#Headers],[Science Fiction]],"*")),1,0)</f>
        <v>0</v>
      </c>
      <c r="X981">
        <f>IF(COUNTIF($E981, _xlfn.CONCAT("*",Table13[[#Headers],[TV Movie]],"*")),1,0)</f>
        <v>0</v>
      </c>
      <c r="Y981">
        <f>IF(COUNTIF($E981, _xlfn.CONCAT("*",Table13[[#Headers],[Thriller]],"*")),1,0)</f>
        <v>0</v>
      </c>
      <c r="Z981">
        <f>IF(COUNTIF($E981, _xlfn.CONCAT("*",Table13[[#Headers],[War]],"*")),1,0)</f>
        <v>0</v>
      </c>
      <c r="AA981">
        <f>IF(COUNTIF($E981, _xlfn.CONCAT("*",Table13[[#Headers],[Western]],"*")),1,0)</f>
        <v>0</v>
      </c>
    </row>
    <row r="982" spans="1:27">
      <c r="A982" t="s">
        <v>214</v>
      </c>
      <c r="B982">
        <v>54</v>
      </c>
      <c r="C982">
        <f>MAX(Table13[Rank])-Table13[[#This Row],[Rank]]</f>
        <v>210</v>
      </c>
      <c r="D982" t="s">
        <v>946</v>
      </c>
      <c r="E982" t="s">
        <v>215</v>
      </c>
      <c r="F982" s="1">
        <v>22991</v>
      </c>
      <c r="G982">
        <f>YEAR(Table13[[#This Row],[Date]])</f>
        <v>1962</v>
      </c>
      <c r="H982" t="s">
        <v>214</v>
      </c>
      <c r="I982">
        <f>IF(COUNTIF($E982, _xlfn.CONCAT("*",Table13[[#Headers],[Action]],"*")),1,0)</f>
        <v>0</v>
      </c>
      <c r="J982">
        <f>IF(COUNTIF($E982, _xlfn.CONCAT("*",Table13[[#Headers],[Adventure]],"*")),1,0)</f>
        <v>1</v>
      </c>
      <c r="K982">
        <f>IF(COUNTIF($E982, _xlfn.CONCAT("*",Table13[[#Headers],[Animation]],"*")),1,0)</f>
        <v>0</v>
      </c>
      <c r="L982">
        <f>IF(COUNTIF($E982, _xlfn.CONCAT("*",Table13[[#Headers],[Comedy]],"*")),1,0)</f>
        <v>0</v>
      </c>
      <c r="M982">
        <f>IF(COUNTIF($E982, _xlfn.CONCAT("*",Table13[[#Headers],[Crime]],"*")),1,0)</f>
        <v>0</v>
      </c>
      <c r="N982">
        <f>IF(COUNTIF($E982, _xlfn.CONCAT("*",Table13[[#Headers],[Documentary]],"*")),1,0)</f>
        <v>0</v>
      </c>
      <c r="O982">
        <f>IF(COUNTIF($E982, _xlfn.CONCAT("*",Table13[[#Headers],[Drama]],"*")),1,0)</f>
        <v>1</v>
      </c>
      <c r="P982">
        <f>IF(COUNTIF($E982, _xlfn.CONCAT("*",Table13[[#Headers],[Family]],"*")),1,0)</f>
        <v>0</v>
      </c>
      <c r="Q982">
        <f>IF(COUNTIF($E982, _xlfn.CONCAT("*",Table13[[#Headers],[Fantasy]],"*")),1,0)</f>
        <v>0</v>
      </c>
      <c r="R982">
        <f>IF(COUNTIF($E982, _xlfn.CONCAT("*",Table13[[#Headers],[History]],"*")),1,0)</f>
        <v>1</v>
      </c>
      <c r="S982">
        <f>IF(COUNTIF($E982, _xlfn.CONCAT("*",Table13[[#Headers],[Horror]],"*")),1,0)</f>
        <v>0</v>
      </c>
      <c r="T982">
        <f>IF(COUNTIF($E982, _xlfn.CONCAT("*",Table13[[#Headers],[Music]],"*")),1,0)</f>
        <v>0</v>
      </c>
      <c r="U982">
        <f>IF(COUNTIF($E982, _xlfn.CONCAT("*",Table13[[#Headers],[Mystery]],"*")),1,0)</f>
        <v>0</v>
      </c>
      <c r="V982">
        <f>IF(COUNTIF($E982, _xlfn.CONCAT("*",Table13[[#Headers],[Romance]],"*")),1,0)</f>
        <v>0</v>
      </c>
      <c r="W982">
        <f>IF(COUNTIF($E982, _xlfn.CONCAT("*",Table13[[#Headers],[Science Fiction]],"*")),1,0)</f>
        <v>0</v>
      </c>
      <c r="X982">
        <f>IF(COUNTIF($E982, _xlfn.CONCAT("*",Table13[[#Headers],[TV Movie]],"*")),1,0)</f>
        <v>0</v>
      </c>
      <c r="Y982">
        <f>IF(COUNTIF($E982, _xlfn.CONCAT("*",Table13[[#Headers],[Thriller]],"*")),1,0)</f>
        <v>0</v>
      </c>
      <c r="Z982">
        <f>IF(COUNTIF($E982, _xlfn.CONCAT("*",Table13[[#Headers],[War]],"*")),1,0)</f>
        <v>1</v>
      </c>
      <c r="AA982">
        <f>IF(COUNTIF($E982, _xlfn.CONCAT("*",Table13[[#Headers],[Western]],"*")),1,0)</f>
        <v>0</v>
      </c>
    </row>
    <row r="983" spans="1:27">
      <c r="A983" t="s">
        <v>280</v>
      </c>
      <c r="B983">
        <v>53</v>
      </c>
      <c r="C983">
        <f>MAX(Table13[Rank])-Table13[[#This Row],[Rank]]</f>
        <v>211</v>
      </c>
      <c r="D983" t="s">
        <v>946</v>
      </c>
      <c r="E983" t="s">
        <v>281</v>
      </c>
      <c r="F983" s="1">
        <v>29364</v>
      </c>
      <c r="G983">
        <f>YEAR(Table13[[#This Row],[Date]])</f>
        <v>1980</v>
      </c>
      <c r="H983" t="s">
        <v>280</v>
      </c>
      <c r="I983">
        <f>IF(COUNTIF($E983, _xlfn.CONCAT("*",Table13[[#Headers],[Action]],"*")),1,0)</f>
        <v>0</v>
      </c>
      <c r="J983">
        <f>IF(COUNTIF($E983, _xlfn.CONCAT("*",Table13[[#Headers],[Adventure]],"*")),1,0)</f>
        <v>0</v>
      </c>
      <c r="K983">
        <f>IF(COUNTIF($E983, _xlfn.CONCAT("*",Table13[[#Headers],[Animation]],"*")),1,0)</f>
        <v>0</v>
      </c>
      <c r="L983">
        <f>IF(COUNTIF($E983, _xlfn.CONCAT("*",Table13[[#Headers],[Comedy]],"*")),1,0)</f>
        <v>0</v>
      </c>
      <c r="M983">
        <f>IF(COUNTIF($E983, _xlfn.CONCAT("*",Table13[[#Headers],[Crime]],"*")),1,0)</f>
        <v>0</v>
      </c>
      <c r="N983">
        <f>IF(COUNTIF($E983, _xlfn.CONCAT("*",Table13[[#Headers],[Documentary]],"*")),1,0)</f>
        <v>0</v>
      </c>
      <c r="O983">
        <f>IF(COUNTIF($E983, _xlfn.CONCAT("*",Table13[[#Headers],[Drama]],"*")),1,0)</f>
        <v>0</v>
      </c>
      <c r="P983">
        <f>IF(COUNTIF($E983, _xlfn.CONCAT("*",Table13[[#Headers],[Family]],"*")),1,0)</f>
        <v>0</v>
      </c>
      <c r="Q983">
        <f>IF(COUNTIF($E983, _xlfn.CONCAT("*",Table13[[#Headers],[Fantasy]],"*")),1,0)</f>
        <v>0</v>
      </c>
      <c r="R983">
        <f>IF(COUNTIF($E983, _xlfn.CONCAT("*",Table13[[#Headers],[History]],"*")),1,0)</f>
        <v>0</v>
      </c>
      <c r="S983">
        <f>IF(COUNTIF($E983, _xlfn.CONCAT("*",Table13[[#Headers],[Horror]],"*")),1,0)</f>
        <v>1</v>
      </c>
      <c r="T983">
        <f>IF(COUNTIF($E983, _xlfn.CONCAT("*",Table13[[#Headers],[Music]],"*")),1,0)</f>
        <v>0</v>
      </c>
      <c r="U983">
        <f>IF(COUNTIF($E983, _xlfn.CONCAT("*",Table13[[#Headers],[Mystery]],"*")),1,0)</f>
        <v>0</v>
      </c>
      <c r="V983">
        <f>IF(COUNTIF($E983, _xlfn.CONCAT("*",Table13[[#Headers],[Romance]],"*")),1,0)</f>
        <v>0</v>
      </c>
      <c r="W983">
        <f>IF(COUNTIF($E983, _xlfn.CONCAT("*",Table13[[#Headers],[Science Fiction]],"*")),1,0)</f>
        <v>0</v>
      </c>
      <c r="X983">
        <f>IF(COUNTIF($E983, _xlfn.CONCAT("*",Table13[[#Headers],[TV Movie]],"*")),1,0)</f>
        <v>0</v>
      </c>
      <c r="Y983">
        <f>IF(COUNTIF($E983, _xlfn.CONCAT("*",Table13[[#Headers],[Thriller]],"*")),1,0)</f>
        <v>1</v>
      </c>
      <c r="Z983">
        <f>IF(COUNTIF($E983, _xlfn.CONCAT("*",Table13[[#Headers],[War]],"*")),1,0)</f>
        <v>0</v>
      </c>
      <c r="AA983">
        <f>IF(COUNTIF($E983, _xlfn.CONCAT("*",Table13[[#Headers],[Western]],"*")),1,0)</f>
        <v>0</v>
      </c>
    </row>
    <row r="984" spans="1:27">
      <c r="A984" t="s">
        <v>683</v>
      </c>
      <c r="B984">
        <v>52</v>
      </c>
      <c r="C984">
        <f>MAX(Table13[Rank])-Table13[[#This Row],[Rank]]</f>
        <v>212</v>
      </c>
      <c r="D984" t="s">
        <v>946</v>
      </c>
      <c r="E984" t="s">
        <v>684</v>
      </c>
      <c r="F984" s="1">
        <v>34843</v>
      </c>
      <c r="G984">
        <f>YEAR(Table13[[#This Row],[Date]])</f>
        <v>1995</v>
      </c>
      <c r="H984" t="s">
        <v>683</v>
      </c>
      <c r="I984">
        <f>IF(COUNTIF($E984, _xlfn.CONCAT("*",Table13[[#Headers],[Action]],"*")),1,0)</f>
        <v>1</v>
      </c>
      <c r="J984">
        <f>IF(COUNTIF($E984, _xlfn.CONCAT("*",Table13[[#Headers],[Adventure]],"*")),1,0)</f>
        <v>0</v>
      </c>
      <c r="K984">
        <f>IF(COUNTIF($E984, _xlfn.CONCAT("*",Table13[[#Headers],[Animation]],"*")),1,0)</f>
        <v>0</v>
      </c>
      <c r="L984">
        <f>IF(COUNTIF($E984, _xlfn.CONCAT("*",Table13[[#Headers],[Comedy]],"*")),1,0)</f>
        <v>0</v>
      </c>
      <c r="M984">
        <f>IF(COUNTIF($E984, _xlfn.CONCAT("*",Table13[[#Headers],[Crime]],"*")),1,0)</f>
        <v>0</v>
      </c>
      <c r="N984">
        <f>IF(COUNTIF($E984, _xlfn.CONCAT("*",Table13[[#Headers],[Documentary]],"*")),1,0)</f>
        <v>0</v>
      </c>
      <c r="O984">
        <f>IF(COUNTIF($E984, _xlfn.CONCAT("*",Table13[[#Headers],[Drama]],"*")),1,0)</f>
        <v>1</v>
      </c>
      <c r="P984">
        <f>IF(COUNTIF($E984, _xlfn.CONCAT("*",Table13[[#Headers],[Family]],"*")),1,0)</f>
        <v>0</v>
      </c>
      <c r="Q984">
        <f>IF(COUNTIF($E984, _xlfn.CONCAT("*",Table13[[#Headers],[Fantasy]],"*")),1,0)</f>
        <v>0</v>
      </c>
      <c r="R984">
        <f>IF(COUNTIF($E984, _xlfn.CONCAT("*",Table13[[#Headers],[History]],"*")),1,0)</f>
        <v>1</v>
      </c>
      <c r="S984">
        <f>IF(COUNTIF($E984, _xlfn.CONCAT("*",Table13[[#Headers],[Horror]],"*")),1,0)</f>
        <v>0</v>
      </c>
      <c r="T984">
        <f>IF(COUNTIF($E984, _xlfn.CONCAT("*",Table13[[#Headers],[Music]],"*")),1,0)</f>
        <v>0</v>
      </c>
      <c r="U984">
        <f>IF(COUNTIF($E984, _xlfn.CONCAT("*",Table13[[#Headers],[Mystery]],"*")),1,0)</f>
        <v>0</v>
      </c>
      <c r="V984">
        <f>IF(COUNTIF($E984, _xlfn.CONCAT("*",Table13[[#Headers],[Romance]],"*")),1,0)</f>
        <v>0</v>
      </c>
      <c r="W984">
        <f>IF(COUNTIF($E984, _xlfn.CONCAT("*",Table13[[#Headers],[Science Fiction]],"*")),1,0)</f>
        <v>0</v>
      </c>
      <c r="X984">
        <f>IF(COUNTIF($E984, _xlfn.CONCAT("*",Table13[[#Headers],[TV Movie]],"*")),1,0)</f>
        <v>0</v>
      </c>
      <c r="Y984">
        <f>IF(COUNTIF($E984, _xlfn.CONCAT("*",Table13[[#Headers],[Thriller]],"*")),1,0)</f>
        <v>0</v>
      </c>
      <c r="Z984">
        <f>IF(COUNTIF($E984, _xlfn.CONCAT("*",Table13[[#Headers],[War]],"*")),1,0)</f>
        <v>1</v>
      </c>
      <c r="AA984">
        <f>IF(COUNTIF($E984, _xlfn.CONCAT("*",Table13[[#Headers],[Western]],"*")),1,0)</f>
        <v>0</v>
      </c>
    </row>
    <row r="985" spans="1:27">
      <c r="A985" t="s">
        <v>981</v>
      </c>
      <c r="B985">
        <v>51</v>
      </c>
      <c r="C985">
        <f>MAX(Table13[Rank])-Table13[[#This Row],[Rank]]</f>
        <v>213</v>
      </c>
      <c r="D985" t="s">
        <v>946</v>
      </c>
      <c r="E985" t="s">
        <v>982</v>
      </c>
      <c r="F985" s="1">
        <v>29388</v>
      </c>
      <c r="G985">
        <f>YEAR(Table13[[#This Row],[Date]])</f>
        <v>1980</v>
      </c>
      <c r="H985" t="s">
        <v>981</v>
      </c>
      <c r="I985">
        <f>IF(COUNTIF($E985, _xlfn.CONCAT("*",Table13[[#Headers],[Action]],"*")),1,0)</f>
        <v>1</v>
      </c>
      <c r="J985">
        <f>IF(COUNTIF($E985, _xlfn.CONCAT("*",Table13[[#Headers],[Adventure]],"*")),1,0)</f>
        <v>0</v>
      </c>
      <c r="K985">
        <f>IF(COUNTIF($E985, _xlfn.CONCAT("*",Table13[[#Headers],[Animation]],"*")),1,0)</f>
        <v>0</v>
      </c>
      <c r="L985">
        <f>IF(COUNTIF($E985, _xlfn.CONCAT("*",Table13[[#Headers],[Comedy]],"*")),1,0)</f>
        <v>1</v>
      </c>
      <c r="M985">
        <f>IF(COUNTIF($E985, _xlfn.CONCAT("*",Table13[[#Headers],[Crime]],"*")),1,0)</f>
        <v>1</v>
      </c>
      <c r="N985">
        <f>IF(COUNTIF($E985, _xlfn.CONCAT("*",Table13[[#Headers],[Documentary]],"*")),1,0)</f>
        <v>0</v>
      </c>
      <c r="O985">
        <f>IF(COUNTIF($E985, _xlfn.CONCAT("*",Table13[[#Headers],[Drama]],"*")),1,0)</f>
        <v>0</v>
      </c>
      <c r="P985">
        <f>IF(COUNTIF($E985, _xlfn.CONCAT("*",Table13[[#Headers],[Family]],"*")),1,0)</f>
        <v>0</v>
      </c>
      <c r="Q985">
        <f>IF(COUNTIF($E985, _xlfn.CONCAT("*",Table13[[#Headers],[Fantasy]],"*")),1,0)</f>
        <v>0</v>
      </c>
      <c r="R985">
        <f>IF(COUNTIF($E985, _xlfn.CONCAT("*",Table13[[#Headers],[History]],"*")),1,0)</f>
        <v>0</v>
      </c>
      <c r="S985">
        <f>IF(COUNTIF($E985, _xlfn.CONCAT("*",Table13[[#Headers],[Horror]],"*")),1,0)</f>
        <v>0</v>
      </c>
      <c r="T985">
        <f>IF(COUNTIF($E985, _xlfn.CONCAT("*",Table13[[#Headers],[Music]],"*")),1,0)</f>
        <v>1</v>
      </c>
      <c r="U985">
        <f>IF(COUNTIF($E985, _xlfn.CONCAT("*",Table13[[#Headers],[Mystery]],"*")),1,0)</f>
        <v>0</v>
      </c>
      <c r="V985">
        <f>IF(COUNTIF($E985, _xlfn.CONCAT("*",Table13[[#Headers],[Romance]],"*")),1,0)</f>
        <v>0</v>
      </c>
      <c r="W985">
        <f>IF(COUNTIF($E985, _xlfn.CONCAT("*",Table13[[#Headers],[Science Fiction]],"*")),1,0)</f>
        <v>0</v>
      </c>
      <c r="X985">
        <f>IF(COUNTIF($E985, _xlfn.CONCAT("*",Table13[[#Headers],[TV Movie]],"*")),1,0)</f>
        <v>0</v>
      </c>
      <c r="Y985">
        <f>IF(COUNTIF($E985, _xlfn.CONCAT("*",Table13[[#Headers],[Thriller]],"*")),1,0)</f>
        <v>0</v>
      </c>
      <c r="Z985">
        <f>IF(COUNTIF($E985, _xlfn.CONCAT("*",Table13[[#Headers],[War]],"*")),1,0)</f>
        <v>0</v>
      </c>
      <c r="AA985">
        <f>IF(COUNTIF($E985, _xlfn.CONCAT("*",Table13[[#Headers],[Western]],"*")),1,0)</f>
        <v>0</v>
      </c>
    </row>
    <row r="986" spans="1:27">
      <c r="A986" t="s">
        <v>983</v>
      </c>
      <c r="B986">
        <v>50</v>
      </c>
      <c r="C986">
        <f>MAX(Table13[Rank])-Table13[[#This Row],[Rank]]</f>
        <v>214</v>
      </c>
      <c r="D986" t="s">
        <v>946</v>
      </c>
      <c r="E986" t="s">
        <v>367</v>
      </c>
      <c r="F986" s="1">
        <v>33283</v>
      </c>
      <c r="G986">
        <f>YEAR(Table13[[#This Row],[Date]])</f>
        <v>1991</v>
      </c>
      <c r="H986" t="s">
        <v>474</v>
      </c>
      <c r="I986">
        <f>IF(COUNTIF($E986, _xlfn.CONCAT("*",Table13[[#Headers],[Action]],"*")),1,0)</f>
        <v>0</v>
      </c>
      <c r="J986">
        <f>IF(COUNTIF($E986, _xlfn.CONCAT("*",Table13[[#Headers],[Adventure]],"*")),1,0)</f>
        <v>0</v>
      </c>
      <c r="K986">
        <f>IF(COUNTIF($E986, _xlfn.CONCAT("*",Table13[[#Headers],[Animation]],"*")),1,0)</f>
        <v>0</v>
      </c>
      <c r="L986">
        <f>IF(COUNTIF($E986, _xlfn.CONCAT("*",Table13[[#Headers],[Comedy]],"*")),1,0)</f>
        <v>0</v>
      </c>
      <c r="M986">
        <f>IF(COUNTIF($E986, _xlfn.CONCAT("*",Table13[[#Headers],[Crime]],"*")),1,0)</f>
        <v>1</v>
      </c>
      <c r="N986">
        <f>IF(COUNTIF($E986, _xlfn.CONCAT("*",Table13[[#Headers],[Documentary]],"*")),1,0)</f>
        <v>0</v>
      </c>
      <c r="O986">
        <f>IF(COUNTIF($E986, _xlfn.CONCAT("*",Table13[[#Headers],[Drama]],"*")),1,0)</f>
        <v>1</v>
      </c>
      <c r="P986">
        <f>IF(COUNTIF($E986, _xlfn.CONCAT("*",Table13[[#Headers],[Family]],"*")),1,0)</f>
        <v>0</v>
      </c>
      <c r="Q986">
        <f>IF(COUNTIF($E986, _xlfn.CONCAT("*",Table13[[#Headers],[Fantasy]],"*")),1,0)</f>
        <v>0</v>
      </c>
      <c r="R986">
        <f>IF(COUNTIF($E986, _xlfn.CONCAT("*",Table13[[#Headers],[History]],"*")),1,0)</f>
        <v>0</v>
      </c>
      <c r="S986">
        <f>IF(COUNTIF($E986, _xlfn.CONCAT("*",Table13[[#Headers],[Horror]],"*")),1,0)</f>
        <v>0</v>
      </c>
      <c r="T986">
        <f>IF(COUNTIF($E986, _xlfn.CONCAT("*",Table13[[#Headers],[Music]],"*")),1,0)</f>
        <v>0</v>
      </c>
      <c r="U986">
        <f>IF(COUNTIF($E986, _xlfn.CONCAT("*",Table13[[#Headers],[Mystery]],"*")),1,0)</f>
        <v>0</v>
      </c>
      <c r="V986">
        <f>IF(COUNTIF($E986, _xlfn.CONCAT("*",Table13[[#Headers],[Romance]],"*")),1,0)</f>
        <v>0</v>
      </c>
      <c r="W986">
        <f>IF(COUNTIF($E986, _xlfn.CONCAT("*",Table13[[#Headers],[Science Fiction]],"*")),1,0)</f>
        <v>0</v>
      </c>
      <c r="X986">
        <f>IF(COUNTIF($E986, _xlfn.CONCAT("*",Table13[[#Headers],[TV Movie]],"*")),1,0)</f>
        <v>0</v>
      </c>
      <c r="Y986">
        <f>IF(COUNTIF($E986, _xlfn.CONCAT("*",Table13[[#Headers],[Thriller]],"*")),1,0)</f>
        <v>1</v>
      </c>
      <c r="Z986">
        <f>IF(COUNTIF($E986, _xlfn.CONCAT("*",Table13[[#Headers],[War]],"*")),1,0)</f>
        <v>0</v>
      </c>
      <c r="AA986">
        <f>IF(COUNTIF($E986, _xlfn.CONCAT("*",Table13[[#Headers],[Western]],"*")),1,0)</f>
        <v>0</v>
      </c>
    </row>
    <row r="987" spans="1:27">
      <c r="A987" t="s">
        <v>563</v>
      </c>
      <c r="B987">
        <v>49</v>
      </c>
      <c r="C987">
        <f>MAX(Table13[Rank])-Table13[[#This Row],[Rank]]</f>
        <v>215</v>
      </c>
      <c r="D987" t="s">
        <v>946</v>
      </c>
      <c r="E987" t="s">
        <v>21</v>
      </c>
      <c r="F987" s="1">
        <v>27717</v>
      </c>
      <c r="G987">
        <f>YEAR(Table13[[#This Row],[Date]])</f>
        <v>1975</v>
      </c>
      <c r="H987" t="s">
        <v>563</v>
      </c>
      <c r="I987">
        <f>IF(COUNTIF($E987, _xlfn.CONCAT("*",Table13[[#Headers],[Action]],"*")),1,0)</f>
        <v>0</v>
      </c>
      <c r="J987">
        <f>IF(COUNTIF($E987, _xlfn.CONCAT("*",Table13[[#Headers],[Adventure]],"*")),1,0)</f>
        <v>0</v>
      </c>
      <c r="K987">
        <f>IF(COUNTIF($E987, _xlfn.CONCAT("*",Table13[[#Headers],[Animation]],"*")),1,0)</f>
        <v>0</v>
      </c>
      <c r="L987">
        <f>IF(COUNTIF($E987, _xlfn.CONCAT("*",Table13[[#Headers],[Comedy]],"*")),1,0)</f>
        <v>0</v>
      </c>
      <c r="M987">
        <f>IF(COUNTIF($E987, _xlfn.CONCAT("*",Table13[[#Headers],[Crime]],"*")),1,0)</f>
        <v>0</v>
      </c>
      <c r="N987">
        <f>IF(COUNTIF($E987, _xlfn.CONCAT("*",Table13[[#Headers],[Documentary]],"*")),1,0)</f>
        <v>0</v>
      </c>
      <c r="O987">
        <f>IF(COUNTIF($E987, _xlfn.CONCAT("*",Table13[[#Headers],[Drama]],"*")),1,0)</f>
        <v>1</v>
      </c>
      <c r="P987">
        <f>IF(COUNTIF($E987, _xlfn.CONCAT("*",Table13[[#Headers],[Family]],"*")),1,0)</f>
        <v>0</v>
      </c>
      <c r="Q987">
        <f>IF(COUNTIF($E987, _xlfn.CONCAT("*",Table13[[#Headers],[Fantasy]],"*")),1,0)</f>
        <v>0</v>
      </c>
      <c r="R987">
        <f>IF(COUNTIF($E987, _xlfn.CONCAT("*",Table13[[#Headers],[History]],"*")),1,0)</f>
        <v>0</v>
      </c>
      <c r="S987">
        <f>IF(COUNTIF($E987, _xlfn.CONCAT("*",Table13[[#Headers],[Horror]],"*")),1,0)</f>
        <v>0</v>
      </c>
      <c r="T987">
        <f>IF(COUNTIF($E987, _xlfn.CONCAT("*",Table13[[#Headers],[Music]],"*")),1,0)</f>
        <v>0</v>
      </c>
      <c r="U987">
        <f>IF(COUNTIF($E987, _xlfn.CONCAT("*",Table13[[#Headers],[Mystery]],"*")),1,0)</f>
        <v>0</v>
      </c>
      <c r="V987">
        <f>IF(COUNTIF($E987, _xlfn.CONCAT("*",Table13[[#Headers],[Romance]],"*")),1,0)</f>
        <v>0</v>
      </c>
      <c r="W987">
        <f>IF(COUNTIF($E987, _xlfn.CONCAT("*",Table13[[#Headers],[Science Fiction]],"*")),1,0)</f>
        <v>0</v>
      </c>
      <c r="X987">
        <f>IF(COUNTIF($E987, _xlfn.CONCAT("*",Table13[[#Headers],[TV Movie]],"*")),1,0)</f>
        <v>0</v>
      </c>
      <c r="Y987">
        <f>IF(COUNTIF($E987, _xlfn.CONCAT("*",Table13[[#Headers],[Thriller]],"*")),1,0)</f>
        <v>0</v>
      </c>
      <c r="Z987">
        <f>IF(COUNTIF($E987, _xlfn.CONCAT("*",Table13[[#Headers],[War]],"*")),1,0)</f>
        <v>0</v>
      </c>
      <c r="AA987">
        <f>IF(COUNTIF($E987, _xlfn.CONCAT("*",Table13[[#Headers],[Western]],"*")),1,0)</f>
        <v>0</v>
      </c>
    </row>
    <row r="988" spans="1:27">
      <c r="A988">
        <v>1917</v>
      </c>
      <c r="B988">
        <v>48</v>
      </c>
      <c r="C988">
        <f>MAX(Table13[Rank])-Table13[[#This Row],[Rank]]</f>
        <v>216</v>
      </c>
      <c r="D988" t="s">
        <v>946</v>
      </c>
      <c r="E988" t="s">
        <v>402</v>
      </c>
      <c r="F988" s="1">
        <v>43824</v>
      </c>
      <c r="G988">
        <f>YEAR(Table13[[#This Row],[Date]])</f>
        <v>2019</v>
      </c>
      <c r="H988">
        <v>1917</v>
      </c>
      <c r="I988">
        <f>IF(COUNTIF($E988, _xlfn.CONCAT("*",Table13[[#Headers],[Action]],"*")),1,0)</f>
        <v>1</v>
      </c>
      <c r="J988">
        <f>IF(COUNTIF($E988, _xlfn.CONCAT("*",Table13[[#Headers],[Adventure]],"*")),1,0)</f>
        <v>0</v>
      </c>
      <c r="K988">
        <f>IF(COUNTIF($E988, _xlfn.CONCAT("*",Table13[[#Headers],[Animation]],"*")),1,0)</f>
        <v>0</v>
      </c>
      <c r="L988">
        <f>IF(COUNTIF($E988, _xlfn.CONCAT("*",Table13[[#Headers],[Comedy]],"*")),1,0)</f>
        <v>0</v>
      </c>
      <c r="M988">
        <f>IF(COUNTIF($E988, _xlfn.CONCAT("*",Table13[[#Headers],[Crime]],"*")),1,0)</f>
        <v>0</v>
      </c>
      <c r="N988">
        <f>IF(COUNTIF($E988, _xlfn.CONCAT("*",Table13[[#Headers],[Documentary]],"*")),1,0)</f>
        <v>0</v>
      </c>
      <c r="O988">
        <f>IF(COUNTIF($E988, _xlfn.CONCAT("*",Table13[[#Headers],[Drama]],"*")),1,0)</f>
        <v>1</v>
      </c>
      <c r="P988">
        <f>IF(COUNTIF($E988, _xlfn.CONCAT("*",Table13[[#Headers],[Family]],"*")),1,0)</f>
        <v>0</v>
      </c>
      <c r="Q988">
        <f>IF(COUNTIF($E988, _xlfn.CONCAT("*",Table13[[#Headers],[Fantasy]],"*")),1,0)</f>
        <v>0</v>
      </c>
      <c r="R988">
        <f>IF(COUNTIF($E988, _xlfn.CONCAT("*",Table13[[#Headers],[History]],"*")),1,0)</f>
        <v>0</v>
      </c>
      <c r="S988">
        <f>IF(COUNTIF($E988, _xlfn.CONCAT("*",Table13[[#Headers],[Horror]],"*")),1,0)</f>
        <v>0</v>
      </c>
      <c r="T988">
        <f>IF(COUNTIF($E988, _xlfn.CONCAT("*",Table13[[#Headers],[Music]],"*")),1,0)</f>
        <v>0</v>
      </c>
      <c r="U988">
        <f>IF(COUNTIF($E988, _xlfn.CONCAT("*",Table13[[#Headers],[Mystery]],"*")),1,0)</f>
        <v>0</v>
      </c>
      <c r="V988">
        <f>IF(COUNTIF($E988, _xlfn.CONCAT("*",Table13[[#Headers],[Romance]],"*")),1,0)</f>
        <v>0</v>
      </c>
      <c r="W988">
        <f>IF(COUNTIF($E988, _xlfn.CONCAT("*",Table13[[#Headers],[Science Fiction]],"*")),1,0)</f>
        <v>0</v>
      </c>
      <c r="X988">
        <f>IF(COUNTIF($E988, _xlfn.CONCAT("*",Table13[[#Headers],[TV Movie]],"*")),1,0)</f>
        <v>0</v>
      </c>
      <c r="Y988">
        <f>IF(COUNTIF($E988, _xlfn.CONCAT("*",Table13[[#Headers],[Thriller]],"*")),1,0)</f>
        <v>0</v>
      </c>
      <c r="Z988">
        <f>IF(COUNTIF($E988, _xlfn.CONCAT("*",Table13[[#Headers],[War]],"*")),1,0)</f>
        <v>1</v>
      </c>
      <c r="AA988">
        <f>IF(COUNTIF($E988, _xlfn.CONCAT("*",Table13[[#Headers],[Western]],"*")),1,0)</f>
        <v>0</v>
      </c>
    </row>
    <row r="989" spans="1:27">
      <c r="A989" t="s">
        <v>758</v>
      </c>
      <c r="B989">
        <v>47</v>
      </c>
      <c r="C989">
        <f>MAX(Table13[Rank])-Table13[[#This Row],[Rank]]</f>
        <v>217</v>
      </c>
      <c r="D989" t="s">
        <v>946</v>
      </c>
      <c r="E989" t="s">
        <v>759</v>
      </c>
      <c r="F989" s="1">
        <v>42565</v>
      </c>
      <c r="G989">
        <f>YEAR(Table13[[#This Row],[Date]])</f>
        <v>2016</v>
      </c>
      <c r="H989" t="s">
        <v>758</v>
      </c>
      <c r="I989">
        <f>IF(COUNTIF($E989, _xlfn.CONCAT("*",Table13[[#Headers],[Action]],"*")),1,0)</f>
        <v>1</v>
      </c>
      <c r="J989">
        <f>IF(COUNTIF($E989, _xlfn.CONCAT("*",Table13[[#Headers],[Adventure]],"*")),1,0)</f>
        <v>0</v>
      </c>
      <c r="K989">
        <f>IF(COUNTIF($E989, _xlfn.CONCAT("*",Table13[[#Headers],[Animation]],"*")),1,0)</f>
        <v>0</v>
      </c>
      <c r="L989">
        <f>IF(COUNTIF($E989, _xlfn.CONCAT("*",Table13[[#Headers],[Comedy]],"*")),1,0)</f>
        <v>1</v>
      </c>
      <c r="M989">
        <f>IF(COUNTIF($E989, _xlfn.CONCAT("*",Table13[[#Headers],[Crime]],"*")),1,0)</f>
        <v>0</v>
      </c>
      <c r="N989">
        <f>IF(COUNTIF($E989, _xlfn.CONCAT("*",Table13[[#Headers],[Documentary]],"*")),1,0)</f>
        <v>0</v>
      </c>
      <c r="O989">
        <f>IF(COUNTIF($E989, _xlfn.CONCAT("*",Table13[[#Headers],[Drama]],"*")),1,0)</f>
        <v>0</v>
      </c>
      <c r="P989">
        <f>IF(COUNTIF($E989, _xlfn.CONCAT("*",Table13[[#Headers],[Family]],"*")),1,0)</f>
        <v>0</v>
      </c>
      <c r="Q989">
        <f>IF(COUNTIF($E989, _xlfn.CONCAT("*",Table13[[#Headers],[Fantasy]],"*")),1,0)</f>
        <v>1</v>
      </c>
      <c r="R989">
        <f>IF(COUNTIF($E989, _xlfn.CONCAT("*",Table13[[#Headers],[History]],"*")),1,0)</f>
        <v>0</v>
      </c>
      <c r="S989">
        <f>IF(COUNTIF($E989, _xlfn.CONCAT("*",Table13[[#Headers],[Horror]],"*")),1,0)</f>
        <v>0</v>
      </c>
      <c r="T989">
        <f>IF(COUNTIF($E989, _xlfn.CONCAT("*",Table13[[#Headers],[Music]],"*")),1,0)</f>
        <v>0</v>
      </c>
      <c r="U989">
        <f>IF(COUNTIF($E989, _xlfn.CONCAT("*",Table13[[#Headers],[Mystery]],"*")),1,0)</f>
        <v>0</v>
      </c>
      <c r="V989">
        <f>IF(COUNTIF($E989, _xlfn.CONCAT("*",Table13[[#Headers],[Romance]],"*")),1,0)</f>
        <v>0</v>
      </c>
      <c r="W989">
        <f>IF(COUNTIF($E989, _xlfn.CONCAT("*",Table13[[#Headers],[Science Fiction]],"*")),1,0)</f>
        <v>0</v>
      </c>
      <c r="X989">
        <f>IF(COUNTIF($E989, _xlfn.CONCAT("*",Table13[[#Headers],[TV Movie]],"*")),1,0)</f>
        <v>0</v>
      </c>
      <c r="Y989">
        <f>IF(COUNTIF($E989, _xlfn.CONCAT("*",Table13[[#Headers],[Thriller]],"*")),1,0)</f>
        <v>0</v>
      </c>
      <c r="Z989">
        <f>IF(COUNTIF($E989, _xlfn.CONCAT("*",Table13[[#Headers],[War]],"*")),1,0)</f>
        <v>0</v>
      </c>
      <c r="AA989">
        <f>IF(COUNTIF($E989, _xlfn.CONCAT("*",Table13[[#Headers],[Western]],"*")),1,0)</f>
        <v>0</v>
      </c>
    </row>
    <row r="990" spans="1:27">
      <c r="A990" t="s">
        <v>253</v>
      </c>
      <c r="B990">
        <v>46</v>
      </c>
      <c r="C990">
        <f>MAX(Table13[Rank])-Table13[[#This Row],[Rank]]</f>
        <v>218</v>
      </c>
      <c r="D990" t="s">
        <v>946</v>
      </c>
      <c r="E990" t="s">
        <v>254</v>
      </c>
      <c r="F990" s="1">
        <v>14472</v>
      </c>
      <c r="G990">
        <f>YEAR(Table13[[#This Row],[Date]])</f>
        <v>1939</v>
      </c>
      <c r="H990" t="s">
        <v>253</v>
      </c>
      <c r="I990">
        <f>IF(COUNTIF($E990, _xlfn.CONCAT("*",Table13[[#Headers],[Action]],"*")),1,0)</f>
        <v>0</v>
      </c>
      <c r="J990">
        <f>IF(COUNTIF($E990, _xlfn.CONCAT("*",Table13[[#Headers],[Adventure]],"*")),1,0)</f>
        <v>1</v>
      </c>
      <c r="K990">
        <f>IF(COUNTIF($E990, _xlfn.CONCAT("*",Table13[[#Headers],[Animation]],"*")),1,0)</f>
        <v>0</v>
      </c>
      <c r="L990">
        <f>IF(COUNTIF($E990, _xlfn.CONCAT("*",Table13[[#Headers],[Comedy]],"*")),1,0)</f>
        <v>0</v>
      </c>
      <c r="M990">
        <f>IF(COUNTIF($E990, _xlfn.CONCAT("*",Table13[[#Headers],[Crime]],"*")),1,0)</f>
        <v>0</v>
      </c>
      <c r="N990">
        <f>IF(COUNTIF($E990, _xlfn.CONCAT("*",Table13[[#Headers],[Documentary]],"*")),1,0)</f>
        <v>0</v>
      </c>
      <c r="O990">
        <f>IF(COUNTIF($E990, _xlfn.CONCAT("*",Table13[[#Headers],[Drama]],"*")),1,0)</f>
        <v>0</v>
      </c>
      <c r="P990">
        <f>IF(COUNTIF($E990, _xlfn.CONCAT("*",Table13[[#Headers],[Family]],"*")),1,0)</f>
        <v>1</v>
      </c>
      <c r="Q990">
        <f>IF(COUNTIF($E990, _xlfn.CONCAT("*",Table13[[#Headers],[Fantasy]],"*")),1,0)</f>
        <v>1</v>
      </c>
      <c r="R990">
        <f>IF(COUNTIF($E990, _xlfn.CONCAT("*",Table13[[#Headers],[History]],"*")),1,0)</f>
        <v>0</v>
      </c>
      <c r="S990">
        <f>IF(COUNTIF($E990, _xlfn.CONCAT("*",Table13[[#Headers],[Horror]],"*")),1,0)</f>
        <v>0</v>
      </c>
      <c r="T990">
        <f>IF(COUNTIF($E990, _xlfn.CONCAT("*",Table13[[#Headers],[Music]],"*")),1,0)</f>
        <v>0</v>
      </c>
      <c r="U990">
        <f>IF(COUNTIF($E990, _xlfn.CONCAT("*",Table13[[#Headers],[Mystery]],"*")),1,0)</f>
        <v>0</v>
      </c>
      <c r="V990">
        <f>IF(COUNTIF($E990, _xlfn.CONCAT("*",Table13[[#Headers],[Romance]],"*")),1,0)</f>
        <v>0</v>
      </c>
      <c r="W990">
        <f>IF(COUNTIF($E990, _xlfn.CONCAT("*",Table13[[#Headers],[Science Fiction]],"*")),1,0)</f>
        <v>0</v>
      </c>
      <c r="X990">
        <f>IF(COUNTIF($E990, _xlfn.CONCAT("*",Table13[[#Headers],[TV Movie]],"*")),1,0)</f>
        <v>0</v>
      </c>
      <c r="Y990">
        <f>IF(COUNTIF($E990, _xlfn.CONCAT("*",Table13[[#Headers],[Thriller]],"*")),1,0)</f>
        <v>0</v>
      </c>
      <c r="Z990">
        <f>IF(COUNTIF($E990, _xlfn.CONCAT("*",Table13[[#Headers],[War]],"*")),1,0)</f>
        <v>0</v>
      </c>
      <c r="AA990">
        <f>IF(COUNTIF($E990, _xlfn.CONCAT("*",Table13[[#Headers],[Western]],"*")),1,0)</f>
        <v>0</v>
      </c>
    </row>
    <row r="991" spans="1:27">
      <c r="A991" t="s">
        <v>709</v>
      </c>
      <c r="B991">
        <v>45</v>
      </c>
      <c r="C991">
        <f>MAX(Table13[Rank])-Table13[[#This Row],[Rank]]</f>
        <v>219</v>
      </c>
      <c r="D991" t="s">
        <v>946</v>
      </c>
      <c r="E991" t="s">
        <v>512</v>
      </c>
      <c r="F991" s="1">
        <v>31611</v>
      </c>
      <c r="G991">
        <f>YEAR(Table13[[#This Row],[Date]])</f>
        <v>1986</v>
      </c>
      <c r="H991" t="s">
        <v>709</v>
      </c>
      <c r="I991">
        <f>IF(COUNTIF($E991, _xlfn.CONCAT("*",Table13[[#Headers],[Action]],"*")),1,0)</f>
        <v>1</v>
      </c>
      <c r="J991">
        <f>IF(COUNTIF($E991, _xlfn.CONCAT("*",Table13[[#Headers],[Adventure]],"*")),1,0)</f>
        <v>0</v>
      </c>
      <c r="K991">
        <f>IF(COUNTIF($E991, _xlfn.CONCAT("*",Table13[[#Headers],[Animation]],"*")),1,0)</f>
        <v>0</v>
      </c>
      <c r="L991">
        <f>IF(COUNTIF($E991, _xlfn.CONCAT("*",Table13[[#Headers],[Comedy]],"*")),1,0)</f>
        <v>0</v>
      </c>
      <c r="M991">
        <f>IF(COUNTIF($E991, _xlfn.CONCAT("*",Table13[[#Headers],[Crime]],"*")),1,0)</f>
        <v>0</v>
      </c>
      <c r="N991">
        <f>IF(COUNTIF($E991, _xlfn.CONCAT("*",Table13[[#Headers],[Documentary]],"*")),1,0)</f>
        <v>0</v>
      </c>
      <c r="O991">
        <f>IF(COUNTIF($E991, _xlfn.CONCAT("*",Table13[[#Headers],[Drama]],"*")),1,0)</f>
        <v>0</v>
      </c>
      <c r="P991">
        <f>IF(COUNTIF($E991, _xlfn.CONCAT("*",Table13[[#Headers],[Family]],"*")),1,0)</f>
        <v>0</v>
      </c>
      <c r="Q991">
        <f>IF(COUNTIF($E991, _xlfn.CONCAT("*",Table13[[#Headers],[Fantasy]],"*")),1,0)</f>
        <v>0</v>
      </c>
      <c r="R991">
        <f>IF(COUNTIF($E991, _xlfn.CONCAT("*",Table13[[#Headers],[History]],"*")),1,0)</f>
        <v>0</v>
      </c>
      <c r="S991">
        <f>IF(COUNTIF($E991, _xlfn.CONCAT("*",Table13[[#Headers],[Horror]],"*")),1,0)</f>
        <v>0</v>
      </c>
      <c r="T991">
        <f>IF(COUNTIF($E991, _xlfn.CONCAT("*",Table13[[#Headers],[Music]],"*")),1,0)</f>
        <v>0</v>
      </c>
      <c r="U991">
        <f>IF(COUNTIF($E991, _xlfn.CONCAT("*",Table13[[#Headers],[Mystery]],"*")),1,0)</f>
        <v>0</v>
      </c>
      <c r="V991">
        <f>IF(COUNTIF($E991, _xlfn.CONCAT("*",Table13[[#Headers],[Romance]],"*")),1,0)</f>
        <v>0</v>
      </c>
      <c r="W991">
        <f>IF(COUNTIF($E991, _xlfn.CONCAT("*",Table13[[#Headers],[Science Fiction]],"*")),1,0)</f>
        <v>1</v>
      </c>
      <c r="X991">
        <f>IF(COUNTIF($E991, _xlfn.CONCAT("*",Table13[[#Headers],[TV Movie]],"*")),1,0)</f>
        <v>0</v>
      </c>
      <c r="Y991">
        <f>IF(COUNTIF($E991, _xlfn.CONCAT("*",Table13[[#Headers],[Thriller]],"*")),1,0)</f>
        <v>1</v>
      </c>
      <c r="Z991">
        <f>IF(COUNTIF($E991, _xlfn.CONCAT("*",Table13[[#Headers],[War]],"*")),1,0)</f>
        <v>0</v>
      </c>
      <c r="AA991">
        <f>IF(COUNTIF($E991, _xlfn.CONCAT("*",Table13[[#Headers],[Western]],"*")),1,0)</f>
        <v>0</v>
      </c>
    </row>
    <row r="992" spans="1:27">
      <c r="A992" t="s">
        <v>984</v>
      </c>
      <c r="B992">
        <v>44</v>
      </c>
      <c r="C992">
        <f>MAX(Table13[Rank])-Table13[[#This Row],[Rank]]</f>
        <v>220</v>
      </c>
      <c r="D992" t="s">
        <v>946</v>
      </c>
      <c r="E992" t="s">
        <v>220</v>
      </c>
      <c r="F992" s="1">
        <v>32955</v>
      </c>
      <c r="G992">
        <f>YEAR(Table13[[#This Row],[Date]])</f>
        <v>1990</v>
      </c>
      <c r="H992" t="s">
        <v>984</v>
      </c>
      <c r="I992">
        <f>IF(COUNTIF($E992, _xlfn.CONCAT("*",Table13[[#Headers],[Action]],"*")),1,0)</f>
        <v>0</v>
      </c>
      <c r="J992">
        <f>IF(COUNTIF($E992, _xlfn.CONCAT("*",Table13[[#Headers],[Adventure]],"*")),1,0)</f>
        <v>0</v>
      </c>
      <c r="K992">
        <f>IF(COUNTIF($E992, _xlfn.CONCAT("*",Table13[[#Headers],[Animation]],"*")),1,0)</f>
        <v>0</v>
      </c>
      <c r="L992">
        <f>IF(COUNTIF($E992, _xlfn.CONCAT("*",Table13[[#Headers],[Comedy]],"*")),1,0)</f>
        <v>1</v>
      </c>
      <c r="M992">
        <f>IF(COUNTIF($E992, _xlfn.CONCAT("*",Table13[[#Headers],[Crime]],"*")),1,0)</f>
        <v>0</v>
      </c>
      <c r="N992">
        <f>IF(COUNTIF($E992, _xlfn.CONCAT("*",Table13[[#Headers],[Documentary]],"*")),1,0)</f>
        <v>0</v>
      </c>
      <c r="O992">
        <f>IF(COUNTIF($E992, _xlfn.CONCAT("*",Table13[[#Headers],[Drama]],"*")),1,0)</f>
        <v>0</v>
      </c>
      <c r="P992">
        <f>IF(COUNTIF($E992, _xlfn.CONCAT("*",Table13[[#Headers],[Family]],"*")),1,0)</f>
        <v>0</v>
      </c>
      <c r="Q992">
        <f>IF(COUNTIF($E992, _xlfn.CONCAT("*",Table13[[#Headers],[Fantasy]],"*")),1,0)</f>
        <v>0</v>
      </c>
      <c r="R992">
        <f>IF(COUNTIF($E992, _xlfn.CONCAT("*",Table13[[#Headers],[History]],"*")),1,0)</f>
        <v>0</v>
      </c>
      <c r="S992">
        <f>IF(COUNTIF($E992, _xlfn.CONCAT("*",Table13[[#Headers],[Horror]],"*")),1,0)</f>
        <v>0</v>
      </c>
      <c r="T992">
        <f>IF(COUNTIF($E992, _xlfn.CONCAT("*",Table13[[#Headers],[Music]],"*")),1,0)</f>
        <v>0</v>
      </c>
      <c r="U992">
        <f>IF(COUNTIF($E992, _xlfn.CONCAT("*",Table13[[#Headers],[Mystery]],"*")),1,0)</f>
        <v>0</v>
      </c>
      <c r="V992">
        <f>IF(COUNTIF($E992, _xlfn.CONCAT("*",Table13[[#Headers],[Romance]],"*")),1,0)</f>
        <v>1</v>
      </c>
      <c r="W992">
        <f>IF(COUNTIF($E992, _xlfn.CONCAT("*",Table13[[#Headers],[Science Fiction]],"*")),1,0)</f>
        <v>0</v>
      </c>
      <c r="X992">
        <f>IF(COUNTIF($E992, _xlfn.CONCAT("*",Table13[[#Headers],[TV Movie]],"*")),1,0)</f>
        <v>0</v>
      </c>
      <c r="Y992">
        <f>IF(COUNTIF($E992, _xlfn.CONCAT("*",Table13[[#Headers],[Thriller]],"*")),1,0)</f>
        <v>0</v>
      </c>
      <c r="Z992">
        <f>IF(COUNTIF($E992, _xlfn.CONCAT("*",Table13[[#Headers],[War]],"*")),1,0)</f>
        <v>0</v>
      </c>
      <c r="AA992">
        <f>IF(COUNTIF($E992, _xlfn.CONCAT("*",Table13[[#Headers],[Western]],"*")),1,0)</f>
        <v>0</v>
      </c>
    </row>
    <row r="993" spans="1:27">
      <c r="A993" t="s">
        <v>624</v>
      </c>
      <c r="B993">
        <v>43</v>
      </c>
      <c r="C993">
        <f>MAX(Table13[Rank])-Table13[[#This Row],[Rank]]</f>
        <v>221</v>
      </c>
      <c r="D993" t="s">
        <v>946</v>
      </c>
      <c r="E993" t="s">
        <v>623</v>
      </c>
      <c r="F993" s="1">
        <v>41948</v>
      </c>
      <c r="G993">
        <f>YEAR(Table13[[#This Row],[Date]])</f>
        <v>2014</v>
      </c>
      <c r="H993" t="s">
        <v>624</v>
      </c>
      <c r="I993">
        <f>IF(COUNTIF($E993, _xlfn.CONCAT("*",Table13[[#Headers],[Action]],"*")),1,0)</f>
        <v>0</v>
      </c>
      <c r="J993">
        <f>IF(COUNTIF($E993, _xlfn.CONCAT("*",Table13[[#Headers],[Adventure]],"*")),1,0)</f>
        <v>1</v>
      </c>
      <c r="K993">
        <f>IF(COUNTIF($E993, _xlfn.CONCAT("*",Table13[[#Headers],[Animation]],"*")),1,0)</f>
        <v>0</v>
      </c>
      <c r="L993">
        <f>IF(COUNTIF($E993, _xlfn.CONCAT("*",Table13[[#Headers],[Comedy]],"*")),1,0)</f>
        <v>0</v>
      </c>
      <c r="M993">
        <f>IF(COUNTIF($E993, _xlfn.CONCAT("*",Table13[[#Headers],[Crime]],"*")),1,0)</f>
        <v>0</v>
      </c>
      <c r="N993">
        <f>IF(COUNTIF($E993, _xlfn.CONCAT("*",Table13[[#Headers],[Documentary]],"*")),1,0)</f>
        <v>0</v>
      </c>
      <c r="O993">
        <f>IF(COUNTIF($E993, _xlfn.CONCAT("*",Table13[[#Headers],[Drama]],"*")),1,0)</f>
        <v>1</v>
      </c>
      <c r="P993">
        <f>IF(COUNTIF($E993, _xlfn.CONCAT("*",Table13[[#Headers],[Family]],"*")),1,0)</f>
        <v>0</v>
      </c>
      <c r="Q993">
        <f>IF(COUNTIF($E993, _xlfn.CONCAT("*",Table13[[#Headers],[Fantasy]],"*")),1,0)</f>
        <v>0</v>
      </c>
      <c r="R993">
        <f>IF(COUNTIF($E993, _xlfn.CONCAT("*",Table13[[#Headers],[History]],"*")),1,0)</f>
        <v>0</v>
      </c>
      <c r="S993">
        <f>IF(COUNTIF($E993, _xlfn.CONCAT("*",Table13[[#Headers],[Horror]],"*")),1,0)</f>
        <v>0</v>
      </c>
      <c r="T993">
        <f>IF(COUNTIF($E993, _xlfn.CONCAT("*",Table13[[#Headers],[Music]],"*")),1,0)</f>
        <v>0</v>
      </c>
      <c r="U993">
        <f>IF(COUNTIF($E993, _xlfn.CONCAT("*",Table13[[#Headers],[Mystery]],"*")),1,0)</f>
        <v>0</v>
      </c>
      <c r="V993">
        <f>IF(COUNTIF($E993, _xlfn.CONCAT("*",Table13[[#Headers],[Romance]],"*")),1,0)</f>
        <v>0</v>
      </c>
      <c r="W993">
        <f>IF(COUNTIF($E993, _xlfn.CONCAT("*",Table13[[#Headers],[Science Fiction]],"*")),1,0)</f>
        <v>1</v>
      </c>
      <c r="X993">
        <f>IF(COUNTIF($E993, _xlfn.CONCAT("*",Table13[[#Headers],[TV Movie]],"*")),1,0)</f>
        <v>0</v>
      </c>
      <c r="Y993">
        <f>IF(COUNTIF($E993, _xlfn.CONCAT("*",Table13[[#Headers],[Thriller]],"*")),1,0)</f>
        <v>0</v>
      </c>
      <c r="Z993">
        <f>IF(COUNTIF($E993, _xlfn.CONCAT("*",Table13[[#Headers],[War]],"*")),1,0)</f>
        <v>0</v>
      </c>
      <c r="AA993">
        <f>IF(COUNTIF($E993, _xlfn.CONCAT("*",Table13[[#Headers],[Western]],"*")),1,0)</f>
        <v>0</v>
      </c>
    </row>
    <row r="994" spans="1:27">
      <c r="A994" t="s">
        <v>985</v>
      </c>
      <c r="B994">
        <v>42</v>
      </c>
      <c r="C994">
        <f>MAX(Table13[Rank])-Table13[[#This Row],[Rank]]</f>
        <v>222</v>
      </c>
      <c r="D994" t="s">
        <v>946</v>
      </c>
      <c r="E994" t="s">
        <v>468</v>
      </c>
      <c r="F994" s="1">
        <v>31548</v>
      </c>
      <c r="G994">
        <f>YEAR(Table13[[#This Row],[Date]])</f>
        <v>1986</v>
      </c>
      <c r="H994" t="s">
        <v>985</v>
      </c>
      <c r="I994">
        <f>IF(COUNTIF($E994, _xlfn.CONCAT("*",Table13[[#Headers],[Action]],"*")),1,0)</f>
        <v>1</v>
      </c>
      <c r="J994">
        <f>IF(COUNTIF($E994, _xlfn.CONCAT("*",Table13[[#Headers],[Adventure]],"*")),1,0)</f>
        <v>0</v>
      </c>
      <c r="K994">
        <f>IF(COUNTIF($E994, _xlfn.CONCAT("*",Table13[[#Headers],[Animation]],"*")),1,0)</f>
        <v>0</v>
      </c>
      <c r="L994">
        <f>IF(COUNTIF($E994, _xlfn.CONCAT("*",Table13[[#Headers],[Comedy]],"*")),1,0)</f>
        <v>0</v>
      </c>
      <c r="M994">
        <f>IF(COUNTIF($E994, _xlfn.CONCAT("*",Table13[[#Headers],[Crime]],"*")),1,0)</f>
        <v>0</v>
      </c>
      <c r="N994">
        <f>IF(COUNTIF($E994, _xlfn.CONCAT("*",Table13[[#Headers],[Documentary]],"*")),1,0)</f>
        <v>0</v>
      </c>
      <c r="O994">
        <f>IF(COUNTIF($E994, _xlfn.CONCAT("*",Table13[[#Headers],[Drama]],"*")),1,0)</f>
        <v>1</v>
      </c>
      <c r="P994">
        <f>IF(COUNTIF($E994, _xlfn.CONCAT("*",Table13[[#Headers],[Family]],"*")),1,0)</f>
        <v>0</v>
      </c>
      <c r="Q994">
        <f>IF(COUNTIF($E994, _xlfn.CONCAT("*",Table13[[#Headers],[Fantasy]],"*")),1,0)</f>
        <v>0</v>
      </c>
      <c r="R994">
        <f>IF(COUNTIF($E994, _xlfn.CONCAT("*",Table13[[#Headers],[History]],"*")),1,0)</f>
        <v>0</v>
      </c>
      <c r="S994">
        <f>IF(COUNTIF($E994, _xlfn.CONCAT("*",Table13[[#Headers],[Horror]],"*")),1,0)</f>
        <v>0</v>
      </c>
      <c r="T994">
        <f>IF(COUNTIF($E994, _xlfn.CONCAT("*",Table13[[#Headers],[Music]],"*")),1,0)</f>
        <v>0</v>
      </c>
      <c r="U994">
        <f>IF(COUNTIF($E994, _xlfn.CONCAT("*",Table13[[#Headers],[Mystery]],"*")),1,0)</f>
        <v>0</v>
      </c>
      <c r="V994">
        <f>IF(COUNTIF($E994, _xlfn.CONCAT("*",Table13[[#Headers],[Romance]],"*")),1,0)</f>
        <v>1</v>
      </c>
      <c r="W994">
        <f>IF(COUNTIF($E994, _xlfn.CONCAT("*",Table13[[#Headers],[Science Fiction]],"*")),1,0)</f>
        <v>0</v>
      </c>
      <c r="X994">
        <f>IF(COUNTIF($E994, _xlfn.CONCAT("*",Table13[[#Headers],[TV Movie]],"*")),1,0)</f>
        <v>0</v>
      </c>
      <c r="Y994">
        <f>IF(COUNTIF($E994, _xlfn.CONCAT("*",Table13[[#Headers],[Thriller]],"*")),1,0)</f>
        <v>0</v>
      </c>
      <c r="Z994">
        <f>IF(COUNTIF($E994, _xlfn.CONCAT("*",Table13[[#Headers],[War]],"*")),1,0)</f>
        <v>0</v>
      </c>
      <c r="AA994">
        <f>IF(COUNTIF($E994, _xlfn.CONCAT("*",Table13[[#Headers],[Western]],"*")),1,0)</f>
        <v>0</v>
      </c>
    </row>
    <row r="995" spans="1:27">
      <c r="A995" t="s">
        <v>685</v>
      </c>
      <c r="B995">
        <v>41</v>
      </c>
      <c r="C995">
        <f>MAX(Table13[Rank])-Table13[[#This Row],[Rank]]</f>
        <v>223</v>
      </c>
      <c r="D995" t="s">
        <v>946</v>
      </c>
      <c r="E995" t="s">
        <v>631</v>
      </c>
      <c r="F995" s="1">
        <v>32339</v>
      </c>
      <c r="G995">
        <f>YEAR(Table13[[#This Row],[Date]])</f>
        <v>1988</v>
      </c>
      <c r="H995" t="s">
        <v>685</v>
      </c>
      <c r="I995">
        <f>IF(COUNTIF($E995, _xlfn.CONCAT("*",Table13[[#Headers],[Action]],"*")),1,0)</f>
        <v>1</v>
      </c>
      <c r="J995">
        <f>IF(COUNTIF($E995, _xlfn.CONCAT("*",Table13[[#Headers],[Adventure]],"*")),1,0)</f>
        <v>0</v>
      </c>
      <c r="K995">
        <f>IF(COUNTIF($E995, _xlfn.CONCAT("*",Table13[[#Headers],[Animation]],"*")),1,0)</f>
        <v>0</v>
      </c>
      <c r="L995">
        <f>IF(COUNTIF($E995, _xlfn.CONCAT("*",Table13[[#Headers],[Comedy]],"*")),1,0)</f>
        <v>0</v>
      </c>
      <c r="M995">
        <f>IF(COUNTIF($E995, _xlfn.CONCAT("*",Table13[[#Headers],[Crime]],"*")),1,0)</f>
        <v>0</v>
      </c>
      <c r="N995">
        <f>IF(COUNTIF($E995, _xlfn.CONCAT("*",Table13[[#Headers],[Documentary]],"*")),1,0)</f>
        <v>0</v>
      </c>
      <c r="O995">
        <f>IF(COUNTIF($E995, _xlfn.CONCAT("*",Table13[[#Headers],[Drama]],"*")),1,0)</f>
        <v>0</v>
      </c>
      <c r="P995">
        <f>IF(COUNTIF($E995, _xlfn.CONCAT("*",Table13[[#Headers],[Family]],"*")),1,0)</f>
        <v>0</v>
      </c>
      <c r="Q995">
        <f>IF(COUNTIF($E995, _xlfn.CONCAT("*",Table13[[#Headers],[Fantasy]],"*")),1,0)</f>
        <v>0</v>
      </c>
      <c r="R995">
        <f>IF(COUNTIF($E995, _xlfn.CONCAT("*",Table13[[#Headers],[History]],"*")),1,0)</f>
        <v>0</v>
      </c>
      <c r="S995">
        <f>IF(COUNTIF($E995, _xlfn.CONCAT("*",Table13[[#Headers],[Horror]],"*")),1,0)</f>
        <v>0</v>
      </c>
      <c r="T995">
        <f>IF(COUNTIF($E995, _xlfn.CONCAT("*",Table13[[#Headers],[Music]],"*")),1,0)</f>
        <v>0</v>
      </c>
      <c r="U995">
        <f>IF(COUNTIF($E995, _xlfn.CONCAT("*",Table13[[#Headers],[Mystery]],"*")),1,0)</f>
        <v>0</v>
      </c>
      <c r="V995">
        <f>IF(COUNTIF($E995, _xlfn.CONCAT("*",Table13[[#Headers],[Romance]],"*")),1,0)</f>
        <v>0</v>
      </c>
      <c r="W995">
        <f>IF(COUNTIF($E995, _xlfn.CONCAT("*",Table13[[#Headers],[Science Fiction]],"*")),1,0)</f>
        <v>0</v>
      </c>
      <c r="X995">
        <f>IF(COUNTIF($E995, _xlfn.CONCAT("*",Table13[[#Headers],[TV Movie]],"*")),1,0)</f>
        <v>0</v>
      </c>
      <c r="Y995">
        <f>IF(COUNTIF($E995, _xlfn.CONCAT("*",Table13[[#Headers],[Thriller]],"*")),1,0)</f>
        <v>1</v>
      </c>
      <c r="Z995">
        <f>IF(COUNTIF($E995, _xlfn.CONCAT("*",Table13[[#Headers],[War]],"*")),1,0)</f>
        <v>0</v>
      </c>
      <c r="AA995">
        <f>IF(COUNTIF($E995, _xlfn.CONCAT("*",Table13[[#Headers],[Western]],"*")),1,0)</f>
        <v>0</v>
      </c>
    </row>
    <row r="996" spans="1:27">
      <c r="A996" t="s">
        <v>681</v>
      </c>
      <c r="B996">
        <v>40</v>
      </c>
      <c r="C996">
        <f>MAX(Table13[Rank])-Table13[[#This Row],[Rank]]</f>
        <v>224</v>
      </c>
      <c r="D996" t="s">
        <v>946</v>
      </c>
      <c r="E996" t="s">
        <v>682</v>
      </c>
      <c r="F996" s="1">
        <v>36650</v>
      </c>
      <c r="G996">
        <f>YEAR(Table13[[#This Row],[Date]])</f>
        <v>2000</v>
      </c>
      <c r="H996" t="s">
        <v>681</v>
      </c>
      <c r="I996">
        <f>IF(COUNTIF($E996, _xlfn.CONCAT("*",Table13[[#Headers],[Action]],"*")),1,0)</f>
        <v>1</v>
      </c>
      <c r="J996">
        <f>IF(COUNTIF($E996, _xlfn.CONCAT("*",Table13[[#Headers],[Adventure]],"*")),1,0)</f>
        <v>1</v>
      </c>
      <c r="K996">
        <f>IF(COUNTIF($E996, _xlfn.CONCAT("*",Table13[[#Headers],[Animation]],"*")),1,0)</f>
        <v>0</v>
      </c>
      <c r="L996">
        <f>IF(COUNTIF($E996, _xlfn.CONCAT("*",Table13[[#Headers],[Comedy]],"*")),1,0)</f>
        <v>0</v>
      </c>
      <c r="M996">
        <f>IF(COUNTIF($E996, _xlfn.CONCAT("*",Table13[[#Headers],[Crime]],"*")),1,0)</f>
        <v>0</v>
      </c>
      <c r="N996">
        <f>IF(COUNTIF($E996, _xlfn.CONCAT("*",Table13[[#Headers],[Documentary]],"*")),1,0)</f>
        <v>0</v>
      </c>
      <c r="O996">
        <f>IF(COUNTIF($E996, _xlfn.CONCAT("*",Table13[[#Headers],[Drama]],"*")),1,0)</f>
        <v>1</v>
      </c>
      <c r="P996">
        <f>IF(COUNTIF($E996, _xlfn.CONCAT("*",Table13[[#Headers],[Family]],"*")),1,0)</f>
        <v>0</v>
      </c>
      <c r="Q996">
        <f>IF(COUNTIF($E996, _xlfn.CONCAT("*",Table13[[#Headers],[Fantasy]],"*")),1,0)</f>
        <v>0</v>
      </c>
      <c r="R996">
        <f>IF(COUNTIF($E996, _xlfn.CONCAT("*",Table13[[#Headers],[History]],"*")),1,0)</f>
        <v>0</v>
      </c>
      <c r="S996">
        <f>IF(COUNTIF($E996, _xlfn.CONCAT("*",Table13[[#Headers],[Horror]],"*")),1,0)</f>
        <v>0</v>
      </c>
      <c r="T996">
        <f>IF(COUNTIF($E996, _xlfn.CONCAT("*",Table13[[#Headers],[Music]],"*")),1,0)</f>
        <v>0</v>
      </c>
      <c r="U996">
        <f>IF(COUNTIF($E996, _xlfn.CONCAT("*",Table13[[#Headers],[Mystery]],"*")),1,0)</f>
        <v>0</v>
      </c>
      <c r="V996">
        <f>IF(COUNTIF($E996, _xlfn.CONCAT("*",Table13[[#Headers],[Romance]],"*")),1,0)</f>
        <v>0</v>
      </c>
      <c r="W996">
        <f>IF(COUNTIF($E996, _xlfn.CONCAT("*",Table13[[#Headers],[Science Fiction]],"*")),1,0)</f>
        <v>0</v>
      </c>
      <c r="X996">
        <f>IF(COUNTIF($E996, _xlfn.CONCAT("*",Table13[[#Headers],[TV Movie]],"*")),1,0)</f>
        <v>0</v>
      </c>
      <c r="Y996">
        <f>IF(COUNTIF($E996, _xlfn.CONCAT("*",Table13[[#Headers],[Thriller]],"*")),1,0)</f>
        <v>0</v>
      </c>
      <c r="Z996">
        <f>IF(COUNTIF($E996, _xlfn.CONCAT("*",Table13[[#Headers],[War]],"*")),1,0)</f>
        <v>0</v>
      </c>
      <c r="AA996">
        <f>IF(COUNTIF($E996, _xlfn.CONCAT("*",Table13[[#Headers],[Western]],"*")),1,0)</f>
        <v>0</v>
      </c>
    </row>
    <row r="997" spans="1:27">
      <c r="A997" t="s">
        <v>600</v>
      </c>
      <c r="B997">
        <v>39</v>
      </c>
      <c r="C997">
        <f>MAX(Table13[Rank])-Table13[[#This Row],[Rank]]</f>
        <v>225</v>
      </c>
      <c r="D997" t="s">
        <v>946</v>
      </c>
      <c r="E997" t="s">
        <v>186</v>
      </c>
      <c r="F997" s="1">
        <v>34318</v>
      </c>
      <c r="G997">
        <f>YEAR(Table13[[#This Row],[Date]])</f>
        <v>1993</v>
      </c>
      <c r="H997" t="s">
        <v>600</v>
      </c>
      <c r="I997">
        <f>IF(COUNTIF($E997, _xlfn.CONCAT("*",Table13[[#Headers],[Action]],"*")),1,0)</f>
        <v>0</v>
      </c>
      <c r="J997">
        <f>IF(COUNTIF($E997, _xlfn.CONCAT("*",Table13[[#Headers],[Adventure]],"*")),1,0)</f>
        <v>0</v>
      </c>
      <c r="K997">
        <f>IF(COUNTIF($E997, _xlfn.CONCAT("*",Table13[[#Headers],[Animation]],"*")),1,0)</f>
        <v>0</v>
      </c>
      <c r="L997">
        <f>IF(COUNTIF($E997, _xlfn.CONCAT("*",Table13[[#Headers],[Comedy]],"*")),1,0)</f>
        <v>0</v>
      </c>
      <c r="M997">
        <f>IF(COUNTIF($E997, _xlfn.CONCAT("*",Table13[[#Headers],[Crime]],"*")),1,0)</f>
        <v>0</v>
      </c>
      <c r="N997">
        <f>IF(COUNTIF($E997, _xlfn.CONCAT("*",Table13[[#Headers],[Documentary]],"*")),1,0)</f>
        <v>0</v>
      </c>
      <c r="O997">
        <f>IF(COUNTIF($E997, _xlfn.CONCAT("*",Table13[[#Headers],[Drama]],"*")),1,0)</f>
        <v>1</v>
      </c>
      <c r="P997">
        <f>IF(COUNTIF($E997, _xlfn.CONCAT("*",Table13[[#Headers],[Family]],"*")),1,0)</f>
        <v>0</v>
      </c>
      <c r="Q997">
        <f>IF(COUNTIF($E997, _xlfn.CONCAT("*",Table13[[#Headers],[Fantasy]],"*")),1,0)</f>
        <v>0</v>
      </c>
      <c r="R997">
        <f>IF(COUNTIF($E997, _xlfn.CONCAT("*",Table13[[#Headers],[History]],"*")),1,0)</f>
        <v>1</v>
      </c>
      <c r="S997">
        <f>IF(COUNTIF($E997, _xlfn.CONCAT("*",Table13[[#Headers],[Horror]],"*")),1,0)</f>
        <v>0</v>
      </c>
      <c r="T997">
        <f>IF(COUNTIF($E997, _xlfn.CONCAT("*",Table13[[#Headers],[Music]],"*")),1,0)</f>
        <v>0</v>
      </c>
      <c r="U997">
        <f>IF(COUNTIF($E997, _xlfn.CONCAT("*",Table13[[#Headers],[Mystery]],"*")),1,0)</f>
        <v>0</v>
      </c>
      <c r="V997">
        <f>IF(COUNTIF($E997, _xlfn.CONCAT("*",Table13[[#Headers],[Romance]],"*")),1,0)</f>
        <v>0</v>
      </c>
      <c r="W997">
        <f>IF(COUNTIF($E997, _xlfn.CONCAT("*",Table13[[#Headers],[Science Fiction]],"*")),1,0)</f>
        <v>0</v>
      </c>
      <c r="X997">
        <f>IF(COUNTIF($E997, _xlfn.CONCAT("*",Table13[[#Headers],[TV Movie]],"*")),1,0)</f>
        <v>0</v>
      </c>
      <c r="Y997">
        <f>IF(COUNTIF($E997, _xlfn.CONCAT("*",Table13[[#Headers],[Thriller]],"*")),1,0)</f>
        <v>0</v>
      </c>
      <c r="Z997">
        <f>IF(COUNTIF($E997, _xlfn.CONCAT("*",Table13[[#Headers],[War]],"*")),1,0)</f>
        <v>1</v>
      </c>
      <c r="AA997">
        <f>IF(COUNTIF($E997, _xlfn.CONCAT("*",Table13[[#Headers],[Western]],"*")),1,0)</f>
        <v>0</v>
      </c>
    </row>
    <row r="998" spans="1:27">
      <c r="A998" t="s">
        <v>986</v>
      </c>
      <c r="B998">
        <v>38</v>
      </c>
      <c r="C998">
        <f>MAX(Table13[Rank])-Table13[[#This Row],[Rank]]</f>
        <v>226</v>
      </c>
      <c r="D998" t="s">
        <v>946</v>
      </c>
      <c r="E998" t="s">
        <v>166</v>
      </c>
      <c r="F998" s="1">
        <v>27383</v>
      </c>
      <c r="G998">
        <f>YEAR(Table13[[#This Row],[Date]])</f>
        <v>1974</v>
      </c>
      <c r="H998" t="s">
        <v>257</v>
      </c>
      <c r="I998">
        <f>IF(COUNTIF($E998, _xlfn.CONCAT("*",Table13[[#Headers],[Action]],"*")),1,0)</f>
        <v>0</v>
      </c>
      <c r="J998">
        <f>IF(COUNTIF($E998, _xlfn.CONCAT("*",Table13[[#Headers],[Adventure]],"*")),1,0)</f>
        <v>0</v>
      </c>
      <c r="K998">
        <f>IF(COUNTIF($E998, _xlfn.CONCAT("*",Table13[[#Headers],[Animation]],"*")),1,0)</f>
        <v>0</v>
      </c>
      <c r="L998">
        <f>IF(COUNTIF($E998, _xlfn.CONCAT("*",Table13[[#Headers],[Comedy]],"*")),1,0)</f>
        <v>0</v>
      </c>
      <c r="M998">
        <f>IF(COUNTIF($E998, _xlfn.CONCAT("*",Table13[[#Headers],[Crime]],"*")),1,0)</f>
        <v>1</v>
      </c>
      <c r="N998">
        <f>IF(COUNTIF($E998, _xlfn.CONCAT("*",Table13[[#Headers],[Documentary]],"*")),1,0)</f>
        <v>0</v>
      </c>
      <c r="O998">
        <f>IF(COUNTIF($E998, _xlfn.CONCAT("*",Table13[[#Headers],[Drama]],"*")),1,0)</f>
        <v>1</v>
      </c>
      <c r="P998">
        <f>IF(COUNTIF($E998, _xlfn.CONCAT("*",Table13[[#Headers],[Family]],"*")),1,0)</f>
        <v>0</v>
      </c>
      <c r="Q998">
        <f>IF(COUNTIF($E998, _xlfn.CONCAT("*",Table13[[#Headers],[Fantasy]],"*")),1,0)</f>
        <v>0</v>
      </c>
      <c r="R998">
        <f>IF(COUNTIF($E998, _xlfn.CONCAT("*",Table13[[#Headers],[History]],"*")),1,0)</f>
        <v>0</v>
      </c>
      <c r="S998">
        <f>IF(COUNTIF($E998, _xlfn.CONCAT("*",Table13[[#Headers],[Horror]],"*")),1,0)</f>
        <v>0</v>
      </c>
      <c r="T998">
        <f>IF(COUNTIF($E998, _xlfn.CONCAT("*",Table13[[#Headers],[Music]],"*")),1,0)</f>
        <v>0</v>
      </c>
      <c r="U998">
        <f>IF(COUNTIF($E998, _xlfn.CONCAT("*",Table13[[#Headers],[Mystery]],"*")),1,0)</f>
        <v>0</v>
      </c>
      <c r="V998">
        <f>IF(COUNTIF($E998, _xlfn.CONCAT("*",Table13[[#Headers],[Romance]],"*")),1,0)</f>
        <v>0</v>
      </c>
      <c r="W998">
        <f>IF(COUNTIF($E998, _xlfn.CONCAT("*",Table13[[#Headers],[Science Fiction]],"*")),1,0)</f>
        <v>0</v>
      </c>
      <c r="X998">
        <f>IF(COUNTIF($E998, _xlfn.CONCAT("*",Table13[[#Headers],[TV Movie]],"*")),1,0)</f>
        <v>0</v>
      </c>
      <c r="Y998">
        <f>IF(COUNTIF($E998, _xlfn.CONCAT("*",Table13[[#Headers],[Thriller]],"*")),1,0)</f>
        <v>0</v>
      </c>
      <c r="Z998">
        <f>IF(COUNTIF($E998, _xlfn.CONCAT("*",Table13[[#Headers],[War]],"*")),1,0)</f>
        <v>0</v>
      </c>
      <c r="AA998">
        <f>IF(COUNTIF($E998, _xlfn.CONCAT("*",Table13[[#Headers],[Western]],"*")),1,0)</f>
        <v>0</v>
      </c>
    </row>
    <row r="999" spans="1:27">
      <c r="A999" t="s">
        <v>395</v>
      </c>
      <c r="B999">
        <v>37</v>
      </c>
      <c r="C999">
        <f>MAX(Table13[Rank])-Table13[[#This Row],[Rank]]</f>
        <v>227</v>
      </c>
      <c r="D999" t="s">
        <v>946</v>
      </c>
      <c r="E999" t="s">
        <v>152</v>
      </c>
      <c r="F999" s="1">
        <v>15083</v>
      </c>
      <c r="G999">
        <f>YEAR(Table13[[#This Row],[Date]])</f>
        <v>1941</v>
      </c>
      <c r="H999" t="s">
        <v>395</v>
      </c>
      <c r="I999">
        <f>IF(COUNTIF($E999, _xlfn.CONCAT("*",Table13[[#Headers],[Action]],"*")),1,0)</f>
        <v>0</v>
      </c>
      <c r="J999">
        <f>IF(COUNTIF($E999, _xlfn.CONCAT("*",Table13[[#Headers],[Adventure]],"*")),1,0)</f>
        <v>0</v>
      </c>
      <c r="K999">
        <f>IF(COUNTIF($E999, _xlfn.CONCAT("*",Table13[[#Headers],[Animation]],"*")),1,0)</f>
        <v>0</v>
      </c>
      <c r="L999">
        <f>IF(COUNTIF($E999, _xlfn.CONCAT("*",Table13[[#Headers],[Comedy]],"*")),1,0)</f>
        <v>0</v>
      </c>
      <c r="M999">
        <f>IF(COUNTIF($E999, _xlfn.CONCAT("*",Table13[[#Headers],[Crime]],"*")),1,0)</f>
        <v>0</v>
      </c>
      <c r="N999">
        <f>IF(COUNTIF($E999, _xlfn.CONCAT("*",Table13[[#Headers],[Documentary]],"*")),1,0)</f>
        <v>0</v>
      </c>
      <c r="O999">
        <f>IF(COUNTIF($E999, _xlfn.CONCAT("*",Table13[[#Headers],[Drama]],"*")),1,0)</f>
        <v>1</v>
      </c>
      <c r="P999">
        <f>IF(COUNTIF($E999, _xlfn.CONCAT("*",Table13[[#Headers],[Family]],"*")),1,0)</f>
        <v>0</v>
      </c>
      <c r="Q999">
        <f>IF(COUNTIF($E999, _xlfn.CONCAT("*",Table13[[#Headers],[Fantasy]],"*")),1,0)</f>
        <v>0</v>
      </c>
      <c r="R999">
        <f>IF(COUNTIF($E999, _xlfn.CONCAT("*",Table13[[#Headers],[History]],"*")),1,0)</f>
        <v>0</v>
      </c>
      <c r="S999">
        <f>IF(COUNTIF($E999, _xlfn.CONCAT("*",Table13[[#Headers],[Horror]],"*")),1,0)</f>
        <v>0</v>
      </c>
      <c r="T999">
        <f>IF(COUNTIF($E999, _xlfn.CONCAT("*",Table13[[#Headers],[Music]],"*")),1,0)</f>
        <v>0</v>
      </c>
      <c r="U999">
        <f>IF(COUNTIF($E999, _xlfn.CONCAT("*",Table13[[#Headers],[Mystery]],"*")),1,0)</f>
        <v>1</v>
      </c>
      <c r="V999">
        <f>IF(COUNTIF($E999, _xlfn.CONCAT("*",Table13[[#Headers],[Romance]],"*")),1,0)</f>
        <v>0</v>
      </c>
      <c r="W999">
        <f>IF(COUNTIF($E999, _xlfn.CONCAT("*",Table13[[#Headers],[Science Fiction]],"*")),1,0)</f>
        <v>0</v>
      </c>
      <c r="X999">
        <f>IF(COUNTIF($E999, _xlfn.CONCAT("*",Table13[[#Headers],[TV Movie]],"*")),1,0)</f>
        <v>0</v>
      </c>
      <c r="Y999">
        <f>IF(COUNTIF($E999, _xlfn.CONCAT("*",Table13[[#Headers],[Thriller]],"*")),1,0)</f>
        <v>0</v>
      </c>
      <c r="Z999">
        <f>IF(COUNTIF($E999, _xlfn.CONCAT("*",Table13[[#Headers],[War]],"*")),1,0)</f>
        <v>0</v>
      </c>
      <c r="AA999">
        <f>IF(COUNTIF($E999, _xlfn.CONCAT("*",Table13[[#Headers],[Western]],"*")),1,0)</f>
        <v>0</v>
      </c>
    </row>
    <row r="1000" spans="1:27">
      <c r="A1000" t="s">
        <v>376</v>
      </c>
      <c r="B1000">
        <v>36</v>
      </c>
      <c r="C1000">
        <f>MAX(Table13[Rank])-Table13[[#This Row],[Rank]]</f>
        <v>228</v>
      </c>
      <c r="D1000" t="s">
        <v>946</v>
      </c>
      <c r="E1000" t="s">
        <v>81</v>
      </c>
      <c r="F1000" s="1">
        <v>29082</v>
      </c>
      <c r="G1000">
        <f>YEAR(Table13[[#This Row],[Date]])</f>
        <v>1979</v>
      </c>
      <c r="H1000" t="s">
        <v>376</v>
      </c>
      <c r="I1000">
        <f>IF(COUNTIF($E1000, _xlfn.CONCAT("*",Table13[[#Headers],[Action]],"*")),1,0)</f>
        <v>0</v>
      </c>
      <c r="J1000">
        <f>IF(COUNTIF($E1000, _xlfn.CONCAT("*",Table13[[#Headers],[Adventure]],"*")),1,0)</f>
        <v>0</v>
      </c>
      <c r="K1000">
        <f>IF(COUNTIF($E1000, _xlfn.CONCAT("*",Table13[[#Headers],[Animation]],"*")),1,0)</f>
        <v>0</v>
      </c>
      <c r="L1000">
        <f>IF(COUNTIF($E1000, _xlfn.CONCAT("*",Table13[[#Headers],[Comedy]],"*")),1,0)</f>
        <v>0</v>
      </c>
      <c r="M1000">
        <f>IF(COUNTIF($E1000, _xlfn.CONCAT("*",Table13[[#Headers],[Crime]],"*")),1,0)</f>
        <v>0</v>
      </c>
      <c r="N1000">
        <f>IF(COUNTIF($E1000, _xlfn.CONCAT("*",Table13[[#Headers],[Documentary]],"*")),1,0)</f>
        <v>0</v>
      </c>
      <c r="O1000">
        <f>IF(COUNTIF($E1000, _xlfn.CONCAT("*",Table13[[#Headers],[Drama]],"*")),1,0)</f>
        <v>1</v>
      </c>
      <c r="P1000">
        <f>IF(COUNTIF($E1000, _xlfn.CONCAT("*",Table13[[#Headers],[Family]],"*")),1,0)</f>
        <v>0</v>
      </c>
      <c r="Q1000">
        <f>IF(COUNTIF($E1000, _xlfn.CONCAT("*",Table13[[#Headers],[Fantasy]],"*")),1,0)</f>
        <v>0</v>
      </c>
      <c r="R1000">
        <f>IF(COUNTIF($E1000, _xlfn.CONCAT("*",Table13[[#Headers],[History]],"*")),1,0)</f>
        <v>0</v>
      </c>
      <c r="S1000">
        <f>IF(COUNTIF($E1000, _xlfn.CONCAT("*",Table13[[#Headers],[Horror]],"*")),1,0)</f>
        <v>0</v>
      </c>
      <c r="T1000">
        <f>IF(COUNTIF($E1000, _xlfn.CONCAT("*",Table13[[#Headers],[Music]],"*")),1,0)</f>
        <v>0</v>
      </c>
      <c r="U1000">
        <f>IF(COUNTIF($E1000, _xlfn.CONCAT("*",Table13[[#Headers],[Mystery]],"*")),1,0)</f>
        <v>0</v>
      </c>
      <c r="V1000">
        <f>IF(COUNTIF($E1000, _xlfn.CONCAT("*",Table13[[#Headers],[Romance]],"*")),1,0)</f>
        <v>0</v>
      </c>
      <c r="W1000">
        <f>IF(COUNTIF($E1000, _xlfn.CONCAT("*",Table13[[#Headers],[Science Fiction]],"*")),1,0)</f>
        <v>0</v>
      </c>
      <c r="X1000">
        <f>IF(COUNTIF($E1000, _xlfn.CONCAT("*",Table13[[#Headers],[TV Movie]],"*")),1,0)</f>
        <v>0</v>
      </c>
      <c r="Y1000">
        <f>IF(COUNTIF($E1000, _xlfn.CONCAT("*",Table13[[#Headers],[Thriller]],"*")),1,0)</f>
        <v>0</v>
      </c>
      <c r="Z1000">
        <f>IF(COUNTIF($E1000, _xlfn.CONCAT("*",Table13[[#Headers],[War]],"*")),1,0)</f>
        <v>1</v>
      </c>
      <c r="AA1000">
        <f>IF(COUNTIF($E1000, _xlfn.CONCAT("*",Table13[[#Headers],[Western]],"*")),1,0)</f>
        <v>0</v>
      </c>
    </row>
    <row r="1001" spans="1:27">
      <c r="A1001" t="s">
        <v>711</v>
      </c>
      <c r="B1001">
        <v>35</v>
      </c>
      <c r="C1001">
        <f>MAX(Table13[Rank])-Table13[[#This Row],[Rank]]</f>
        <v>229</v>
      </c>
      <c r="D1001" t="s">
        <v>946</v>
      </c>
      <c r="E1001" t="s">
        <v>712</v>
      </c>
      <c r="F1001" s="1">
        <v>32045</v>
      </c>
      <c r="G1001">
        <f>YEAR(Table13[[#This Row],[Date]])</f>
        <v>1987</v>
      </c>
      <c r="H1001" t="s">
        <v>711</v>
      </c>
      <c r="I1001">
        <f>IF(COUNTIF($E1001, _xlfn.CONCAT("*",Table13[[#Headers],[Action]],"*")),1,0)</f>
        <v>0</v>
      </c>
      <c r="J1001">
        <f>IF(COUNTIF($E1001, _xlfn.CONCAT("*",Table13[[#Headers],[Adventure]],"*")),1,0)</f>
        <v>1</v>
      </c>
      <c r="K1001">
        <f>IF(COUNTIF($E1001, _xlfn.CONCAT("*",Table13[[#Headers],[Animation]],"*")),1,0)</f>
        <v>0</v>
      </c>
      <c r="L1001">
        <f>IF(COUNTIF($E1001, _xlfn.CONCAT("*",Table13[[#Headers],[Comedy]],"*")),1,0)</f>
        <v>1</v>
      </c>
      <c r="M1001">
        <f>IF(COUNTIF($E1001, _xlfn.CONCAT("*",Table13[[#Headers],[Crime]],"*")),1,0)</f>
        <v>0</v>
      </c>
      <c r="N1001">
        <f>IF(COUNTIF($E1001, _xlfn.CONCAT("*",Table13[[#Headers],[Documentary]],"*")),1,0)</f>
        <v>0</v>
      </c>
      <c r="O1001">
        <f>IF(COUNTIF($E1001, _xlfn.CONCAT("*",Table13[[#Headers],[Drama]],"*")),1,0)</f>
        <v>0</v>
      </c>
      <c r="P1001">
        <f>IF(COUNTIF($E1001, _xlfn.CONCAT("*",Table13[[#Headers],[Family]],"*")),1,0)</f>
        <v>1</v>
      </c>
      <c r="Q1001">
        <f>IF(COUNTIF($E1001, _xlfn.CONCAT("*",Table13[[#Headers],[Fantasy]],"*")),1,0)</f>
        <v>1</v>
      </c>
      <c r="R1001">
        <f>IF(COUNTIF($E1001, _xlfn.CONCAT("*",Table13[[#Headers],[History]],"*")),1,0)</f>
        <v>0</v>
      </c>
      <c r="S1001">
        <f>IF(COUNTIF($E1001, _xlfn.CONCAT("*",Table13[[#Headers],[Horror]],"*")),1,0)</f>
        <v>0</v>
      </c>
      <c r="T1001">
        <f>IF(COUNTIF($E1001, _xlfn.CONCAT("*",Table13[[#Headers],[Music]],"*")),1,0)</f>
        <v>0</v>
      </c>
      <c r="U1001">
        <f>IF(COUNTIF($E1001, _xlfn.CONCAT("*",Table13[[#Headers],[Mystery]],"*")),1,0)</f>
        <v>0</v>
      </c>
      <c r="V1001">
        <f>IF(COUNTIF($E1001, _xlfn.CONCAT("*",Table13[[#Headers],[Romance]],"*")),1,0)</f>
        <v>1</v>
      </c>
      <c r="W1001">
        <f>IF(COUNTIF($E1001, _xlfn.CONCAT("*",Table13[[#Headers],[Science Fiction]],"*")),1,0)</f>
        <v>0</v>
      </c>
      <c r="X1001">
        <f>IF(COUNTIF($E1001, _xlfn.CONCAT("*",Table13[[#Headers],[TV Movie]],"*")),1,0)</f>
        <v>0</v>
      </c>
      <c r="Y1001">
        <f>IF(COUNTIF($E1001, _xlfn.CONCAT("*",Table13[[#Headers],[Thriller]],"*")),1,0)</f>
        <v>0</v>
      </c>
      <c r="Z1001">
        <f>IF(COUNTIF($E1001, _xlfn.CONCAT("*",Table13[[#Headers],[War]],"*")),1,0)</f>
        <v>0</v>
      </c>
      <c r="AA1001">
        <f>IF(COUNTIF($E1001, _xlfn.CONCAT("*",Table13[[#Headers],[Western]],"*")),1,0)</f>
        <v>0</v>
      </c>
    </row>
    <row r="1002" spans="1:27">
      <c r="A1002" t="s">
        <v>188</v>
      </c>
      <c r="B1002">
        <v>34</v>
      </c>
      <c r="C1002">
        <f>MAX(Table13[Rank])-Table13[[#This Row],[Rank]]</f>
        <v>230</v>
      </c>
      <c r="D1002" t="s">
        <v>946</v>
      </c>
      <c r="E1002" t="s">
        <v>189</v>
      </c>
      <c r="F1002" s="1">
        <v>29000</v>
      </c>
      <c r="G1002">
        <f>YEAR(Table13[[#This Row],[Date]])</f>
        <v>1979</v>
      </c>
      <c r="H1002" t="s">
        <v>188</v>
      </c>
      <c r="I1002">
        <f>IF(COUNTIF($E1002, _xlfn.CONCAT("*",Table13[[#Headers],[Action]],"*")),1,0)</f>
        <v>0</v>
      </c>
      <c r="J1002">
        <f>IF(COUNTIF($E1002, _xlfn.CONCAT("*",Table13[[#Headers],[Adventure]],"*")),1,0)</f>
        <v>0</v>
      </c>
      <c r="K1002">
        <f>IF(COUNTIF($E1002, _xlfn.CONCAT("*",Table13[[#Headers],[Animation]],"*")),1,0)</f>
        <v>0</v>
      </c>
      <c r="L1002">
        <f>IF(COUNTIF($E1002, _xlfn.CONCAT("*",Table13[[#Headers],[Comedy]],"*")),1,0)</f>
        <v>0</v>
      </c>
      <c r="M1002">
        <f>IF(COUNTIF($E1002, _xlfn.CONCAT("*",Table13[[#Headers],[Crime]],"*")),1,0)</f>
        <v>0</v>
      </c>
      <c r="N1002">
        <f>IF(COUNTIF($E1002, _xlfn.CONCAT("*",Table13[[#Headers],[Documentary]],"*")),1,0)</f>
        <v>0</v>
      </c>
      <c r="O1002">
        <f>IF(COUNTIF($E1002, _xlfn.CONCAT("*",Table13[[#Headers],[Drama]],"*")),1,0)</f>
        <v>0</v>
      </c>
      <c r="P1002">
        <f>IF(COUNTIF($E1002, _xlfn.CONCAT("*",Table13[[#Headers],[Family]],"*")),1,0)</f>
        <v>0</v>
      </c>
      <c r="Q1002">
        <f>IF(COUNTIF($E1002, _xlfn.CONCAT("*",Table13[[#Headers],[Fantasy]],"*")),1,0)</f>
        <v>0</v>
      </c>
      <c r="R1002">
        <f>IF(COUNTIF($E1002, _xlfn.CONCAT("*",Table13[[#Headers],[History]],"*")),1,0)</f>
        <v>0</v>
      </c>
      <c r="S1002">
        <f>IF(COUNTIF($E1002, _xlfn.CONCAT("*",Table13[[#Headers],[Horror]],"*")),1,0)</f>
        <v>1</v>
      </c>
      <c r="T1002">
        <f>IF(COUNTIF($E1002, _xlfn.CONCAT("*",Table13[[#Headers],[Music]],"*")),1,0)</f>
        <v>0</v>
      </c>
      <c r="U1002">
        <f>IF(COUNTIF($E1002, _xlfn.CONCAT("*",Table13[[#Headers],[Mystery]],"*")),1,0)</f>
        <v>0</v>
      </c>
      <c r="V1002">
        <f>IF(COUNTIF($E1002, _xlfn.CONCAT("*",Table13[[#Headers],[Romance]],"*")),1,0)</f>
        <v>0</v>
      </c>
      <c r="W1002">
        <f>IF(COUNTIF($E1002, _xlfn.CONCAT("*",Table13[[#Headers],[Science Fiction]],"*")),1,0)</f>
        <v>1</v>
      </c>
      <c r="X1002">
        <f>IF(COUNTIF($E1002, _xlfn.CONCAT("*",Table13[[#Headers],[TV Movie]],"*")),1,0)</f>
        <v>0</v>
      </c>
      <c r="Y1002">
        <f>IF(COUNTIF($E1002, _xlfn.CONCAT("*",Table13[[#Headers],[Thriller]],"*")),1,0)</f>
        <v>0</v>
      </c>
      <c r="Z1002">
        <f>IF(COUNTIF($E1002, _xlfn.CONCAT("*",Table13[[#Headers],[War]],"*")),1,0)</f>
        <v>0</v>
      </c>
      <c r="AA1002">
        <f>IF(COUNTIF($E1002, _xlfn.CONCAT("*",Table13[[#Headers],[Western]],"*")),1,0)</f>
        <v>0</v>
      </c>
    </row>
    <row r="1003" spans="1:27">
      <c r="A1003" t="s">
        <v>634</v>
      </c>
      <c r="B1003">
        <v>33</v>
      </c>
      <c r="C1003">
        <f>MAX(Table13[Rank])-Table13[[#This Row],[Rank]]</f>
        <v>231</v>
      </c>
      <c r="D1003" t="s">
        <v>946</v>
      </c>
      <c r="E1003" t="s">
        <v>21</v>
      </c>
      <c r="F1003" s="1">
        <v>36448</v>
      </c>
      <c r="G1003">
        <f>YEAR(Table13[[#This Row],[Date]])</f>
        <v>1999</v>
      </c>
      <c r="H1003" t="s">
        <v>634</v>
      </c>
      <c r="I1003">
        <f>IF(COUNTIF($E1003, _xlfn.CONCAT("*",Table13[[#Headers],[Action]],"*")),1,0)</f>
        <v>0</v>
      </c>
      <c r="J1003">
        <f>IF(COUNTIF($E1003, _xlfn.CONCAT("*",Table13[[#Headers],[Adventure]],"*")),1,0)</f>
        <v>0</v>
      </c>
      <c r="K1003">
        <f>IF(COUNTIF($E1003, _xlfn.CONCAT("*",Table13[[#Headers],[Animation]],"*")),1,0)</f>
        <v>0</v>
      </c>
      <c r="L1003">
        <f>IF(COUNTIF($E1003, _xlfn.CONCAT("*",Table13[[#Headers],[Comedy]],"*")),1,0)</f>
        <v>0</v>
      </c>
      <c r="M1003">
        <f>IF(COUNTIF($E1003, _xlfn.CONCAT("*",Table13[[#Headers],[Crime]],"*")),1,0)</f>
        <v>0</v>
      </c>
      <c r="N1003">
        <f>IF(COUNTIF($E1003, _xlfn.CONCAT("*",Table13[[#Headers],[Documentary]],"*")),1,0)</f>
        <v>0</v>
      </c>
      <c r="O1003">
        <f>IF(COUNTIF($E1003, _xlfn.CONCAT("*",Table13[[#Headers],[Drama]],"*")),1,0)</f>
        <v>1</v>
      </c>
      <c r="P1003">
        <f>IF(COUNTIF($E1003, _xlfn.CONCAT("*",Table13[[#Headers],[Family]],"*")),1,0)</f>
        <v>0</v>
      </c>
      <c r="Q1003">
        <f>IF(COUNTIF($E1003, _xlfn.CONCAT("*",Table13[[#Headers],[Fantasy]],"*")),1,0)</f>
        <v>0</v>
      </c>
      <c r="R1003">
        <f>IF(COUNTIF($E1003, _xlfn.CONCAT("*",Table13[[#Headers],[History]],"*")),1,0)</f>
        <v>0</v>
      </c>
      <c r="S1003">
        <f>IF(COUNTIF($E1003, _xlfn.CONCAT("*",Table13[[#Headers],[Horror]],"*")),1,0)</f>
        <v>0</v>
      </c>
      <c r="T1003">
        <f>IF(COUNTIF($E1003, _xlfn.CONCAT("*",Table13[[#Headers],[Music]],"*")),1,0)</f>
        <v>0</v>
      </c>
      <c r="U1003">
        <f>IF(COUNTIF($E1003, _xlfn.CONCAT("*",Table13[[#Headers],[Mystery]],"*")),1,0)</f>
        <v>0</v>
      </c>
      <c r="V1003">
        <f>IF(COUNTIF($E1003, _xlfn.CONCAT("*",Table13[[#Headers],[Romance]],"*")),1,0)</f>
        <v>0</v>
      </c>
      <c r="W1003">
        <f>IF(COUNTIF($E1003, _xlfn.CONCAT("*",Table13[[#Headers],[Science Fiction]],"*")),1,0)</f>
        <v>0</v>
      </c>
      <c r="X1003">
        <f>IF(COUNTIF($E1003, _xlfn.CONCAT("*",Table13[[#Headers],[TV Movie]],"*")),1,0)</f>
        <v>0</v>
      </c>
      <c r="Y1003">
        <f>IF(COUNTIF($E1003, _xlfn.CONCAT("*",Table13[[#Headers],[Thriller]],"*")),1,0)</f>
        <v>0</v>
      </c>
      <c r="Z1003">
        <f>IF(COUNTIF($E1003, _xlfn.CONCAT("*",Table13[[#Headers],[War]],"*")),1,0)</f>
        <v>0</v>
      </c>
      <c r="AA1003">
        <f>IF(COUNTIF($E1003, _xlfn.CONCAT("*",Table13[[#Headers],[Western]],"*")),1,0)</f>
        <v>0</v>
      </c>
    </row>
    <row r="1004" spans="1:27">
      <c r="A1004" t="s">
        <v>486</v>
      </c>
      <c r="B1004">
        <v>32</v>
      </c>
      <c r="C1004">
        <f>MAX(Table13[Rank])-Table13[[#This Row],[Rank]]</f>
        <v>232</v>
      </c>
      <c r="D1004" t="s">
        <v>946</v>
      </c>
      <c r="E1004" t="s">
        <v>186</v>
      </c>
      <c r="F1004" s="1">
        <v>36000</v>
      </c>
      <c r="G1004">
        <f>YEAR(Table13[[#This Row],[Date]])</f>
        <v>1998</v>
      </c>
      <c r="H1004" t="s">
        <v>486</v>
      </c>
      <c r="I1004">
        <f>IF(COUNTIF($E1004, _xlfn.CONCAT("*",Table13[[#Headers],[Action]],"*")),1,0)</f>
        <v>0</v>
      </c>
      <c r="J1004">
        <f>IF(COUNTIF($E1004, _xlfn.CONCAT("*",Table13[[#Headers],[Adventure]],"*")),1,0)</f>
        <v>0</v>
      </c>
      <c r="K1004">
        <f>IF(COUNTIF($E1004, _xlfn.CONCAT("*",Table13[[#Headers],[Animation]],"*")),1,0)</f>
        <v>0</v>
      </c>
      <c r="L1004">
        <f>IF(COUNTIF($E1004, _xlfn.CONCAT("*",Table13[[#Headers],[Comedy]],"*")),1,0)</f>
        <v>0</v>
      </c>
      <c r="M1004">
        <f>IF(COUNTIF($E1004, _xlfn.CONCAT("*",Table13[[#Headers],[Crime]],"*")),1,0)</f>
        <v>0</v>
      </c>
      <c r="N1004">
        <f>IF(COUNTIF($E1004, _xlfn.CONCAT("*",Table13[[#Headers],[Documentary]],"*")),1,0)</f>
        <v>0</v>
      </c>
      <c r="O1004">
        <f>IF(COUNTIF($E1004, _xlfn.CONCAT("*",Table13[[#Headers],[Drama]],"*")),1,0)</f>
        <v>1</v>
      </c>
      <c r="P1004">
        <f>IF(COUNTIF($E1004, _xlfn.CONCAT("*",Table13[[#Headers],[Family]],"*")),1,0)</f>
        <v>0</v>
      </c>
      <c r="Q1004">
        <f>IF(COUNTIF($E1004, _xlfn.CONCAT("*",Table13[[#Headers],[Fantasy]],"*")),1,0)</f>
        <v>0</v>
      </c>
      <c r="R1004">
        <f>IF(COUNTIF($E1004, _xlfn.CONCAT("*",Table13[[#Headers],[History]],"*")),1,0)</f>
        <v>1</v>
      </c>
      <c r="S1004">
        <f>IF(COUNTIF($E1004, _xlfn.CONCAT("*",Table13[[#Headers],[Horror]],"*")),1,0)</f>
        <v>0</v>
      </c>
      <c r="T1004">
        <f>IF(COUNTIF($E1004, _xlfn.CONCAT("*",Table13[[#Headers],[Music]],"*")),1,0)</f>
        <v>0</v>
      </c>
      <c r="U1004">
        <f>IF(COUNTIF($E1004, _xlfn.CONCAT("*",Table13[[#Headers],[Mystery]],"*")),1,0)</f>
        <v>0</v>
      </c>
      <c r="V1004">
        <f>IF(COUNTIF($E1004, _xlfn.CONCAT("*",Table13[[#Headers],[Romance]],"*")),1,0)</f>
        <v>0</v>
      </c>
      <c r="W1004">
        <f>IF(COUNTIF($E1004, _xlfn.CONCAT("*",Table13[[#Headers],[Science Fiction]],"*")),1,0)</f>
        <v>0</v>
      </c>
      <c r="X1004">
        <f>IF(COUNTIF($E1004, _xlfn.CONCAT("*",Table13[[#Headers],[TV Movie]],"*")),1,0)</f>
        <v>0</v>
      </c>
      <c r="Y1004">
        <f>IF(COUNTIF($E1004, _xlfn.CONCAT("*",Table13[[#Headers],[Thriller]],"*")),1,0)</f>
        <v>0</v>
      </c>
      <c r="Z1004">
        <f>IF(COUNTIF($E1004, _xlfn.CONCAT("*",Table13[[#Headers],[War]],"*")),1,0)</f>
        <v>1</v>
      </c>
      <c r="AA1004">
        <f>IF(COUNTIF($E1004, _xlfn.CONCAT("*",Table13[[#Headers],[Western]],"*")),1,0)</f>
        <v>0</v>
      </c>
    </row>
    <row r="1005" spans="1:27">
      <c r="A1005" t="s">
        <v>691</v>
      </c>
      <c r="B1005">
        <v>31</v>
      </c>
      <c r="C1005">
        <f>MAX(Table13[Rank])-Table13[[#This Row],[Rank]]</f>
        <v>233</v>
      </c>
      <c r="D1005" t="s">
        <v>946</v>
      </c>
      <c r="E1005" t="s">
        <v>512</v>
      </c>
      <c r="F1005" s="1">
        <v>33422</v>
      </c>
      <c r="G1005">
        <f>YEAR(Table13[[#This Row],[Date]])</f>
        <v>1991</v>
      </c>
      <c r="H1005" t="s">
        <v>636</v>
      </c>
      <c r="I1005">
        <f>IF(COUNTIF($E1005, _xlfn.CONCAT("*",Table13[[#Headers],[Action]],"*")),1,0)</f>
        <v>1</v>
      </c>
      <c r="J1005">
        <f>IF(COUNTIF($E1005, _xlfn.CONCAT("*",Table13[[#Headers],[Adventure]],"*")),1,0)</f>
        <v>0</v>
      </c>
      <c r="K1005">
        <f>IF(COUNTIF($E1005, _xlfn.CONCAT("*",Table13[[#Headers],[Animation]],"*")),1,0)</f>
        <v>0</v>
      </c>
      <c r="L1005">
        <f>IF(COUNTIF($E1005, _xlfn.CONCAT("*",Table13[[#Headers],[Comedy]],"*")),1,0)</f>
        <v>0</v>
      </c>
      <c r="M1005">
        <f>IF(COUNTIF($E1005, _xlfn.CONCAT("*",Table13[[#Headers],[Crime]],"*")),1,0)</f>
        <v>0</v>
      </c>
      <c r="N1005">
        <f>IF(COUNTIF($E1005, _xlfn.CONCAT("*",Table13[[#Headers],[Documentary]],"*")),1,0)</f>
        <v>0</v>
      </c>
      <c r="O1005">
        <f>IF(COUNTIF($E1005, _xlfn.CONCAT("*",Table13[[#Headers],[Drama]],"*")),1,0)</f>
        <v>0</v>
      </c>
      <c r="P1005">
        <f>IF(COUNTIF($E1005, _xlfn.CONCAT("*",Table13[[#Headers],[Family]],"*")),1,0)</f>
        <v>0</v>
      </c>
      <c r="Q1005">
        <f>IF(COUNTIF($E1005, _xlfn.CONCAT("*",Table13[[#Headers],[Fantasy]],"*")),1,0)</f>
        <v>0</v>
      </c>
      <c r="R1005">
        <f>IF(COUNTIF($E1005, _xlfn.CONCAT("*",Table13[[#Headers],[History]],"*")),1,0)</f>
        <v>0</v>
      </c>
      <c r="S1005">
        <f>IF(COUNTIF($E1005, _xlfn.CONCAT("*",Table13[[#Headers],[Horror]],"*")),1,0)</f>
        <v>0</v>
      </c>
      <c r="T1005">
        <f>IF(COUNTIF($E1005, _xlfn.CONCAT("*",Table13[[#Headers],[Music]],"*")),1,0)</f>
        <v>0</v>
      </c>
      <c r="U1005">
        <f>IF(COUNTIF($E1005, _xlfn.CONCAT("*",Table13[[#Headers],[Mystery]],"*")),1,0)</f>
        <v>0</v>
      </c>
      <c r="V1005">
        <f>IF(COUNTIF($E1005, _xlfn.CONCAT("*",Table13[[#Headers],[Romance]],"*")),1,0)</f>
        <v>0</v>
      </c>
      <c r="W1005">
        <f>IF(COUNTIF($E1005, _xlfn.CONCAT("*",Table13[[#Headers],[Science Fiction]],"*")),1,0)</f>
        <v>1</v>
      </c>
      <c r="X1005">
        <f>IF(COUNTIF($E1005, _xlfn.CONCAT("*",Table13[[#Headers],[TV Movie]],"*")),1,0)</f>
        <v>0</v>
      </c>
      <c r="Y1005">
        <f>IF(COUNTIF($E1005, _xlfn.CONCAT("*",Table13[[#Headers],[Thriller]],"*")),1,0)</f>
        <v>1</v>
      </c>
      <c r="Z1005">
        <f>IF(COUNTIF($E1005, _xlfn.CONCAT("*",Table13[[#Headers],[War]],"*")),1,0)</f>
        <v>0</v>
      </c>
      <c r="AA1005">
        <f>IF(COUNTIF($E1005, _xlfn.CONCAT("*",Table13[[#Headers],[Western]],"*")),1,0)</f>
        <v>0</v>
      </c>
    </row>
    <row r="1006" spans="1:27">
      <c r="A1006" t="s">
        <v>987</v>
      </c>
      <c r="B1006">
        <v>30</v>
      </c>
      <c r="C1006">
        <f>MAX(Table13[Rank])-Table13[[#This Row],[Rank]]</f>
        <v>234</v>
      </c>
      <c r="D1006" t="s">
        <v>946</v>
      </c>
      <c r="E1006" t="s">
        <v>988</v>
      </c>
      <c r="F1006" s="1">
        <v>28678</v>
      </c>
      <c r="G1006">
        <f>YEAR(Table13[[#This Row],[Date]])</f>
        <v>1978</v>
      </c>
      <c r="H1006" t="s">
        <v>987</v>
      </c>
      <c r="I1006">
        <f>IF(COUNTIF($E1006, _xlfn.CONCAT("*",Table13[[#Headers],[Action]],"*")),1,0)</f>
        <v>0</v>
      </c>
      <c r="J1006">
        <f>IF(COUNTIF($E1006, _xlfn.CONCAT("*",Table13[[#Headers],[Adventure]],"*")),1,0)</f>
        <v>0</v>
      </c>
      <c r="K1006">
        <f>IF(COUNTIF($E1006, _xlfn.CONCAT("*",Table13[[#Headers],[Animation]],"*")),1,0)</f>
        <v>0</v>
      </c>
      <c r="L1006">
        <f>IF(COUNTIF($E1006, _xlfn.CONCAT("*",Table13[[#Headers],[Comedy]],"*")),1,0)</f>
        <v>1</v>
      </c>
      <c r="M1006">
        <f>IF(COUNTIF($E1006, _xlfn.CONCAT("*",Table13[[#Headers],[Crime]],"*")),1,0)</f>
        <v>0</v>
      </c>
      <c r="N1006">
        <f>IF(COUNTIF($E1006, _xlfn.CONCAT("*",Table13[[#Headers],[Documentary]],"*")),1,0)</f>
        <v>0</v>
      </c>
      <c r="O1006">
        <f>IF(COUNTIF($E1006, _xlfn.CONCAT("*",Table13[[#Headers],[Drama]],"*")),1,0)</f>
        <v>0</v>
      </c>
      <c r="P1006">
        <f>IF(COUNTIF($E1006, _xlfn.CONCAT("*",Table13[[#Headers],[Family]],"*")),1,0)</f>
        <v>0</v>
      </c>
      <c r="Q1006">
        <f>IF(COUNTIF($E1006, _xlfn.CONCAT("*",Table13[[#Headers],[Fantasy]],"*")),1,0)</f>
        <v>0</v>
      </c>
      <c r="R1006">
        <f>IF(COUNTIF($E1006, _xlfn.CONCAT("*",Table13[[#Headers],[History]],"*")),1,0)</f>
        <v>0</v>
      </c>
      <c r="S1006">
        <f>IF(COUNTIF($E1006, _xlfn.CONCAT("*",Table13[[#Headers],[Horror]],"*")),1,0)</f>
        <v>0</v>
      </c>
      <c r="T1006">
        <f>IF(COUNTIF($E1006, _xlfn.CONCAT("*",Table13[[#Headers],[Music]],"*")),1,0)</f>
        <v>0</v>
      </c>
      <c r="U1006">
        <f>IF(COUNTIF($E1006, _xlfn.CONCAT("*",Table13[[#Headers],[Mystery]],"*")),1,0)</f>
        <v>0</v>
      </c>
      <c r="V1006">
        <f>IF(COUNTIF($E1006, _xlfn.CONCAT("*",Table13[[#Headers],[Romance]],"*")),1,0)</f>
        <v>1</v>
      </c>
      <c r="W1006">
        <f>IF(COUNTIF($E1006, _xlfn.CONCAT("*",Table13[[#Headers],[Science Fiction]],"*")),1,0)</f>
        <v>0</v>
      </c>
      <c r="X1006">
        <f>IF(COUNTIF($E1006, _xlfn.CONCAT("*",Table13[[#Headers],[TV Movie]],"*")),1,0)</f>
        <v>0</v>
      </c>
      <c r="Y1006">
        <f>IF(COUNTIF($E1006, _xlfn.CONCAT("*",Table13[[#Headers],[Thriller]],"*")),1,0)</f>
        <v>0</v>
      </c>
      <c r="Z1006">
        <f>IF(COUNTIF($E1006, _xlfn.CONCAT("*",Table13[[#Headers],[War]],"*")),1,0)</f>
        <v>0</v>
      </c>
      <c r="AA1006">
        <f>IF(COUNTIF($E1006, _xlfn.CONCAT("*",Table13[[#Headers],[Western]],"*")),1,0)</f>
        <v>0</v>
      </c>
    </row>
    <row r="1007" spans="1:27">
      <c r="A1007" t="s">
        <v>391</v>
      </c>
      <c r="B1007">
        <v>29</v>
      </c>
      <c r="C1007">
        <f>MAX(Table13[Rank])-Table13[[#This Row],[Rank]]</f>
        <v>235</v>
      </c>
      <c r="D1007" t="s">
        <v>946</v>
      </c>
      <c r="E1007" t="s">
        <v>392</v>
      </c>
      <c r="F1007" s="1">
        <v>24930</v>
      </c>
      <c r="G1007">
        <f>YEAR(Table13[[#This Row],[Date]])</f>
        <v>1968</v>
      </c>
      <c r="H1007" t="s">
        <v>391</v>
      </c>
      <c r="I1007">
        <f>IF(COUNTIF($E1007, _xlfn.CONCAT("*",Table13[[#Headers],[Action]],"*")),1,0)</f>
        <v>0</v>
      </c>
      <c r="J1007">
        <f>IF(COUNTIF($E1007, _xlfn.CONCAT("*",Table13[[#Headers],[Adventure]],"*")),1,0)</f>
        <v>1</v>
      </c>
      <c r="K1007">
        <f>IF(COUNTIF($E1007, _xlfn.CONCAT("*",Table13[[#Headers],[Animation]],"*")),1,0)</f>
        <v>0</v>
      </c>
      <c r="L1007">
        <f>IF(COUNTIF($E1007, _xlfn.CONCAT("*",Table13[[#Headers],[Comedy]],"*")),1,0)</f>
        <v>0</v>
      </c>
      <c r="M1007">
        <f>IF(COUNTIF($E1007, _xlfn.CONCAT("*",Table13[[#Headers],[Crime]],"*")),1,0)</f>
        <v>0</v>
      </c>
      <c r="N1007">
        <f>IF(COUNTIF($E1007, _xlfn.CONCAT("*",Table13[[#Headers],[Documentary]],"*")),1,0)</f>
        <v>0</v>
      </c>
      <c r="O1007">
        <f>IF(COUNTIF($E1007, _xlfn.CONCAT("*",Table13[[#Headers],[Drama]],"*")),1,0)</f>
        <v>0</v>
      </c>
      <c r="P1007">
        <f>IF(COUNTIF($E1007, _xlfn.CONCAT("*",Table13[[#Headers],[Family]],"*")),1,0)</f>
        <v>0</v>
      </c>
      <c r="Q1007">
        <f>IF(COUNTIF($E1007, _xlfn.CONCAT("*",Table13[[#Headers],[Fantasy]],"*")),1,0)</f>
        <v>0</v>
      </c>
      <c r="R1007">
        <f>IF(COUNTIF($E1007, _xlfn.CONCAT("*",Table13[[#Headers],[History]],"*")),1,0)</f>
        <v>0</v>
      </c>
      <c r="S1007">
        <f>IF(COUNTIF($E1007, _xlfn.CONCAT("*",Table13[[#Headers],[Horror]],"*")),1,0)</f>
        <v>0</v>
      </c>
      <c r="T1007">
        <f>IF(COUNTIF($E1007, _xlfn.CONCAT("*",Table13[[#Headers],[Music]],"*")),1,0)</f>
        <v>0</v>
      </c>
      <c r="U1007">
        <f>IF(COUNTIF($E1007, _xlfn.CONCAT("*",Table13[[#Headers],[Mystery]],"*")),1,0)</f>
        <v>1</v>
      </c>
      <c r="V1007">
        <f>IF(COUNTIF($E1007, _xlfn.CONCAT("*",Table13[[#Headers],[Romance]],"*")),1,0)</f>
        <v>0</v>
      </c>
      <c r="W1007">
        <f>IF(COUNTIF($E1007, _xlfn.CONCAT("*",Table13[[#Headers],[Science Fiction]],"*")),1,0)</f>
        <v>1</v>
      </c>
      <c r="X1007">
        <f>IF(COUNTIF($E1007, _xlfn.CONCAT("*",Table13[[#Headers],[TV Movie]],"*")),1,0)</f>
        <v>0</v>
      </c>
      <c r="Y1007">
        <f>IF(COUNTIF($E1007, _xlfn.CONCAT("*",Table13[[#Headers],[Thriller]],"*")),1,0)</f>
        <v>0</v>
      </c>
      <c r="Z1007">
        <f>IF(COUNTIF($E1007, _xlfn.CONCAT("*",Table13[[#Headers],[War]],"*")),1,0)</f>
        <v>0</v>
      </c>
      <c r="AA1007">
        <f>IF(COUNTIF($E1007, _xlfn.CONCAT("*",Table13[[#Headers],[Western]],"*")),1,0)</f>
        <v>0</v>
      </c>
    </row>
    <row r="1008" spans="1:27">
      <c r="A1008" t="s">
        <v>232</v>
      </c>
      <c r="B1008">
        <v>28</v>
      </c>
      <c r="C1008">
        <f>MAX(Table13[Rank])-Table13[[#This Row],[Rank]]</f>
        <v>236</v>
      </c>
      <c r="D1008" t="s">
        <v>946</v>
      </c>
      <c r="E1008" t="s">
        <v>233</v>
      </c>
      <c r="F1008" s="1">
        <v>36249</v>
      </c>
      <c r="G1008">
        <f>YEAR(Table13[[#This Row],[Date]])</f>
        <v>1999</v>
      </c>
      <c r="H1008" t="s">
        <v>232</v>
      </c>
      <c r="I1008">
        <f>IF(COUNTIF($E1008, _xlfn.CONCAT("*",Table13[[#Headers],[Action]],"*")),1,0)</f>
        <v>1</v>
      </c>
      <c r="J1008">
        <f>IF(COUNTIF($E1008, _xlfn.CONCAT("*",Table13[[#Headers],[Adventure]],"*")),1,0)</f>
        <v>0</v>
      </c>
      <c r="K1008">
        <f>IF(COUNTIF($E1008, _xlfn.CONCAT("*",Table13[[#Headers],[Animation]],"*")),1,0)</f>
        <v>0</v>
      </c>
      <c r="L1008">
        <f>IF(COUNTIF($E1008, _xlfn.CONCAT("*",Table13[[#Headers],[Comedy]],"*")),1,0)</f>
        <v>0</v>
      </c>
      <c r="M1008">
        <f>IF(COUNTIF($E1008, _xlfn.CONCAT("*",Table13[[#Headers],[Crime]],"*")),1,0)</f>
        <v>0</v>
      </c>
      <c r="N1008">
        <f>IF(COUNTIF($E1008, _xlfn.CONCAT("*",Table13[[#Headers],[Documentary]],"*")),1,0)</f>
        <v>0</v>
      </c>
      <c r="O1008">
        <f>IF(COUNTIF($E1008, _xlfn.CONCAT("*",Table13[[#Headers],[Drama]],"*")),1,0)</f>
        <v>0</v>
      </c>
      <c r="P1008">
        <f>IF(COUNTIF($E1008, _xlfn.CONCAT("*",Table13[[#Headers],[Family]],"*")),1,0)</f>
        <v>0</v>
      </c>
      <c r="Q1008">
        <f>IF(COUNTIF($E1008, _xlfn.CONCAT("*",Table13[[#Headers],[Fantasy]],"*")),1,0)</f>
        <v>0</v>
      </c>
      <c r="R1008">
        <f>IF(COUNTIF($E1008, _xlfn.CONCAT("*",Table13[[#Headers],[History]],"*")),1,0)</f>
        <v>0</v>
      </c>
      <c r="S1008">
        <f>IF(COUNTIF($E1008, _xlfn.CONCAT("*",Table13[[#Headers],[Horror]],"*")),1,0)</f>
        <v>0</v>
      </c>
      <c r="T1008">
        <f>IF(COUNTIF($E1008, _xlfn.CONCAT("*",Table13[[#Headers],[Music]],"*")),1,0)</f>
        <v>0</v>
      </c>
      <c r="U1008">
        <f>IF(COUNTIF($E1008, _xlfn.CONCAT("*",Table13[[#Headers],[Mystery]],"*")),1,0)</f>
        <v>0</v>
      </c>
      <c r="V1008">
        <f>IF(COUNTIF($E1008, _xlfn.CONCAT("*",Table13[[#Headers],[Romance]],"*")),1,0)</f>
        <v>0</v>
      </c>
      <c r="W1008">
        <f>IF(COUNTIF($E1008, _xlfn.CONCAT("*",Table13[[#Headers],[Science Fiction]],"*")),1,0)</f>
        <v>1</v>
      </c>
      <c r="X1008">
        <f>IF(COUNTIF($E1008, _xlfn.CONCAT("*",Table13[[#Headers],[TV Movie]],"*")),1,0)</f>
        <v>0</v>
      </c>
      <c r="Y1008">
        <f>IF(COUNTIF($E1008, _xlfn.CONCAT("*",Table13[[#Headers],[Thriller]],"*")),1,0)</f>
        <v>0</v>
      </c>
      <c r="Z1008">
        <f>IF(COUNTIF($E1008, _xlfn.CONCAT("*",Table13[[#Headers],[War]],"*")),1,0)</f>
        <v>0</v>
      </c>
      <c r="AA1008">
        <f>IF(COUNTIF($E1008, _xlfn.CONCAT("*",Table13[[#Headers],[Western]],"*")),1,0)</f>
        <v>0</v>
      </c>
    </row>
    <row r="1009" spans="1:27">
      <c r="A1009" t="s">
        <v>695</v>
      </c>
      <c r="B1009">
        <v>27</v>
      </c>
      <c r="C1009">
        <f>MAX(Table13[Rank])-Table13[[#This Row],[Rank]]</f>
        <v>237</v>
      </c>
      <c r="D1009" t="s">
        <v>946</v>
      </c>
      <c r="E1009" t="s">
        <v>696</v>
      </c>
      <c r="F1009" s="1">
        <v>36504</v>
      </c>
      <c r="G1009">
        <f>YEAR(Table13[[#This Row],[Date]])</f>
        <v>1999</v>
      </c>
      <c r="H1009" t="s">
        <v>695</v>
      </c>
      <c r="I1009">
        <f>IF(COUNTIF($E1009, _xlfn.CONCAT("*",Table13[[#Headers],[Action]],"*")),1,0)</f>
        <v>0</v>
      </c>
      <c r="J1009">
        <f>IF(COUNTIF($E1009, _xlfn.CONCAT("*",Table13[[#Headers],[Adventure]],"*")),1,0)</f>
        <v>0</v>
      </c>
      <c r="K1009">
        <f>IF(COUNTIF($E1009, _xlfn.CONCAT("*",Table13[[#Headers],[Animation]],"*")),1,0)</f>
        <v>0</v>
      </c>
      <c r="L1009">
        <f>IF(COUNTIF($E1009, _xlfn.CONCAT("*",Table13[[#Headers],[Comedy]],"*")),1,0)</f>
        <v>0</v>
      </c>
      <c r="M1009">
        <f>IF(COUNTIF($E1009, _xlfn.CONCAT("*",Table13[[#Headers],[Crime]],"*")),1,0)</f>
        <v>1</v>
      </c>
      <c r="N1009">
        <f>IF(COUNTIF($E1009, _xlfn.CONCAT("*",Table13[[#Headers],[Documentary]],"*")),1,0)</f>
        <v>0</v>
      </c>
      <c r="O1009">
        <f>IF(COUNTIF($E1009, _xlfn.CONCAT("*",Table13[[#Headers],[Drama]],"*")),1,0)</f>
        <v>1</v>
      </c>
      <c r="P1009">
        <f>IF(COUNTIF($E1009, _xlfn.CONCAT("*",Table13[[#Headers],[Family]],"*")),1,0)</f>
        <v>0</v>
      </c>
      <c r="Q1009">
        <f>IF(COUNTIF($E1009, _xlfn.CONCAT("*",Table13[[#Headers],[Fantasy]],"*")),1,0)</f>
        <v>1</v>
      </c>
      <c r="R1009">
        <f>IF(COUNTIF($E1009, _xlfn.CONCAT("*",Table13[[#Headers],[History]],"*")),1,0)</f>
        <v>0</v>
      </c>
      <c r="S1009">
        <f>IF(COUNTIF($E1009, _xlfn.CONCAT("*",Table13[[#Headers],[Horror]],"*")),1,0)</f>
        <v>0</v>
      </c>
      <c r="T1009">
        <f>IF(COUNTIF($E1009, _xlfn.CONCAT("*",Table13[[#Headers],[Music]],"*")),1,0)</f>
        <v>0</v>
      </c>
      <c r="U1009">
        <f>IF(COUNTIF($E1009, _xlfn.CONCAT("*",Table13[[#Headers],[Mystery]],"*")),1,0)</f>
        <v>0</v>
      </c>
      <c r="V1009">
        <f>IF(COUNTIF($E1009, _xlfn.CONCAT("*",Table13[[#Headers],[Romance]],"*")),1,0)</f>
        <v>0</v>
      </c>
      <c r="W1009">
        <f>IF(COUNTIF($E1009, _xlfn.CONCAT("*",Table13[[#Headers],[Science Fiction]],"*")),1,0)</f>
        <v>0</v>
      </c>
      <c r="X1009">
        <f>IF(COUNTIF($E1009, _xlfn.CONCAT("*",Table13[[#Headers],[TV Movie]],"*")),1,0)</f>
        <v>0</v>
      </c>
      <c r="Y1009">
        <f>IF(COUNTIF($E1009, _xlfn.CONCAT("*",Table13[[#Headers],[Thriller]],"*")),1,0)</f>
        <v>0</v>
      </c>
      <c r="Z1009">
        <f>IF(COUNTIF($E1009, _xlfn.CONCAT("*",Table13[[#Headers],[War]],"*")),1,0)</f>
        <v>0</v>
      </c>
      <c r="AA1009">
        <f>IF(COUNTIF($E1009, _xlfn.CONCAT("*",Table13[[#Headers],[Western]],"*")),1,0)</f>
        <v>0</v>
      </c>
    </row>
    <row r="1010" spans="1:27">
      <c r="A1010" t="s">
        <v>653</v>
      </c>
      <c r="B1010">
        <v>26</v>
      </c>
      <c r="C1010">
        <f>MAX(Table13[Rank])-Table13[[#This Row],[Rank]]</f>
        <v>238</v>
      </c>
      <c r="D1010" t="s">
        <v>946</v>
      </c>
      <c r="E1010" t="s">
        <v>652</v>
      </c>
      <c r="F1010" s="1">
        <v>34131</v>
      </c>
      <c r="G1010">
        <f>YEAR(Table13[[#This Row],[Date]])</f>
        <v>1993</v>
      </c>
      <c r="H1010" t="s">
        <v>653</v>
      </c>
      <c r="I1010">
        <f>IF(COUNTIF($E1010, _xlfn.CONCAT("*",Table13[[#Headers],[Action]],"*")),1,0)</f>
        <v>0</v>
      </c>
      <c r="J1010">
        <f>IF(COUNTIF($E1010, _xlfn.CONCAT("*",Table13[[#Headers],[Adventure]],"*")),1,0)</f>
        <v>1</v>
      </c>
      <c r="K1010">
        <f>IF(COUNTIF($E1010, _xlfn.CONCAT("*",Table13[[#Headers],[Animation]],"*")),1,0)</f>
        <v>0</v>
      </c>
      <c r="L1010">
        <f>IF(COUNTIF($E1010, _xlfn.CONCAT("*",Table13[[#Headers],[Comedy]],"*")),1,0)</f>
        <v>0</v>
      </c>
      <c r="M1010">
        <f>IF(COUNTIF($E1010, _xlfn.CONCAT("*",Table13[[#Headers],[Crime]],"*")),1,0)</f>
        <v>0</v>
      </c>
      <c r="N1010">
        <f>IF(COUNTIF($E1010, _xlfn.CONCAT("*",Table13[[#Headers],[Documentary]],"*")),1,0)</f>
        <v>0</v>
      </c>
      <c r="O1010">
        <f>IF(COUNTIF($E1010, _xlfn.CONCAT("*",Table13[[#Headers],[Drama]],"*")),1,0)</f>
        <v>0</v>
      </c>
      <c r="P1010">
        <f>IF(COUNTIF($E1010, _xlfn.CONCAT("*",Table13[[#Headers],[Family]],"*")),1,0)</f>
        <v>0</v>
      </c>
      <c r="Q1010">
        <f>IF(COUNTIF($E1010, _xlfn.CONCAT("*",Table13[[#Headers],[Fantasy]],"*")),1,0)</f>
        <v>0</v>
      </c>
      <c r="R1010">
        <f>IF(COUNTIF($E1010, _xlfn.CONCAT("*",Table13[[#Headers],[History]],"*")),1,0)</f>
        <v>0</v>
      </c>
      <c r="S1010">
        <f>IF(COUNTIF($E1010, _xlfn.CONCAT("*",Table13[[#Headers],[Horror]],"*")),1,0)</f>
        <v>0</v>
      </c>
      <c r="T1010">
        <f>IF(COUNTIF($E1010, _xlfn.CONCAT("*",Table13[[#Headers],[Music]],"*")),1,0)</f>
        <v>0</v>
      </c>
      <c r="U1010">
        <f>IF(COUNTIF($E1010, _xlfn.CONCAT("*",Table13[[#Headers],[Mystery]],"*")),1,0)</f>
        <v>0</v>
      </c>
      <c r="V1010">
        <f>IF(COUNTIF($E1010, _xlfn.CONCAT("*",Table13[[#Headers],[Romance]],"*")),1,0)</f>
        <v>0</v>
      </c>
      <c r="W1010">
        <f>IF(COUNTIF($E1010, _xlfn.CONCAT("*",Table13[[#Headers],[Science Fiction]],"*")),1,0)</f>
        <v>1</v>
      </c>
      <c r="X1010">
        <f>IF(COUNTIF($E1010, _xlfn.CONCAT("*",Table13[[#Headers],[TV Movie]],"*")),1,0)</f>
        <v>0</v>
      </c>
      <c r="Y1010">
        <f>IF(COUNTIF($E1010, _xlfn.CONCAT("*",Table13[[#Headers],[Thriller]],"*")),1,0)</f>
        <v>0</v>
      </c>
      <c r="Z1010">
        <f>IF(COUNTIF($E1010, _xlfn.CONCAT("*",Table13[[#Headers],[War]],"*")),1,0)</f>
        <v>0</v>
      </c>
      <c r="AA1010">
        <f>IF(COUNTIF($E1010, _xlfn.CONCAT("*",Table13[[#Headers],[Western]],"*")),1,0)</f>
        <v>0</v>
      </c>
    </row>
    <row r="1011" spans="1:27">
      <c r="A1011" t="s">
        <v>675</v>
      </c>
      <c r="B1011">
        <v>25</v>
      </c>
      <c r="C1011">
        <f>MAX(Table13[Rank])-Table13[[#This Row],[Rank]]</f>
        <v>239</v>
      </c>
      <c r="D1011" t="s">
        <v>946</v>
      </c>
      <c r="E1011" t="s">
        <v>618</v>
      </c>
      <c r="F1011" s="1">
        <v>37243</v>
      </c>
      <c r="G1011">
        <f>YEAR(Table13[[#This Row],[Date]])</f>
        <v>2001</v>
      </c>
      <c r="H1011" t="s">
        <v>673</v>
      </c>
      <c r="I1011">
        <f>IF(COUNTIF($E1011, _xlfn.CONCAT("*",Table13[[#Headers],[Action]],"*")),1,0)</f>
        <v>1</v>
      </c>
      <c r="J1011">
        <f>IF(COUNTIF($E1011, _xlfn.CONCAT("*",Table13[[#Headers],[Adventure]],"*")),1,0)</f>
        <v>1</v>
      </c>
      <c r="K1011">
        <f>IF(COUNTIF($E1011, _xlfn.CONCAT("*",Table13[[#Headers],[Animation]],"*")),1,0)</f>
        <v>0</v>
      </c>
      <c r="L1011">
        <f>IF(COUNTIF($E1011, _xlfn.CONCAT("*",Table13[[#Headers],[Comedy]],"*")),1,0)</f>
        <v>0</v>
      </c>
      <c r="M1011">
        <f>IF(COUNTIF($E1011, _xlfn.CONCAT("*",Table13[[#Headers],[Crime]],"*")),1,0)</f>
        <v>0</v>
      </c>
      <c r="N1011">
        <f>IF(COUNTIF($E1011, _xlfn.CONCAT("*",Table13[[#Headers],[Documentary]],"*")),1,0)</f>
        <v>0</v>
      </c>
      <c r="O1011">
        <f>IF(COUNTIF($E1011, _xlfn.CONCAT("*",Table13[[#Headers],[Drama]],"*")),1,0)</f>
        <v>0</v>
      </c>
      <c r="P1011">
        <f>IF(COUNTIF($E1011, _xlfn.CONCAT("*",Table13[[#Headers],[Family]],"*")),1,0)</f>
        <v>0</v>
      </c>
      <c r="Q1011">
        <f>IF(COUNTIF($E1011, _xlfn.CONCAT("*",Table13[[#Headers],[Fantasy]],"*")),1,0)</f>
        <v>1</v>
      </c>
      <c r="R1011">
        <f>IF(COUNTIF($E1011, _xlfn.CONCAT("*",Table13[[#Headers],[History]],"*")),1,0)</f>
        <v>0</v>
      </c>
      <c r="S1011">
        <f>IF(COUNTIF($E1011, _xlfn.CONCAT("*",Table13[[#Headers],[Horror]],"*")),1,0)</f>
        <v>0</v>
      </c>
      <c r="T1011">
        <f>IF(COUNTIF($E1011, _xlfn.CONCAT("*",Table13[[#Headers],[Music]],"*")),1,0)</f>
        <v>0</v>
      </c>
      <c r="U1011">
        <f>IF(COUNTIF($E1011, _xlfn.CONCAT("*",Table13[[#Headers],[Mystery]],"*")),1,0)</f>
        <v>0</v>
      </c>
      <c r="V1011">
        <f>IF(COUNTIF($E1011, _xlfn.CONCAT("*",Table13[[#Headers],[Romance]],"*")),1,0)</f>
        <v>0</v>
      </c>
      <c r="W1011">
        <f>IF(COUNTIF($E1011, _xlfn.CONCAT("*",Table13[[#Headers],[Science Fiction]],"*")),1,0)</f>
        <v>0</v>
      </c>
      <c r="X1011">
        <f>IF(COUNTIF($E1011, _xlfn.CONCAT("*",Table13[[#Headers],[TV Movie]],"*")),1,0)</f>
        <v>0</v>
      </c>
      <c r="Y1011">
        <f>IF(COUNTIF($E1011, _xlfn.CONCAT("*",Table13[[#Headers],[Thriller]],"*")),1,0)</f>
        <v>0</v>
      </c>
      <c r="Z1011">
        <f>IF(COUNTIF($E1011, _xlfn.CONCAT("*",Table13[[#Headers],[War]],"*")),1,0)</f>
        <v>0</v>
      </c>
      <c r="AA1011">
        <f>IF(COUNTIF($E1011, _xlfn.CONCAT("*",Table13[[#Headers],[Western]],"*")),1,0)</f>
        <v>0</v>
      </c>
    </row>
    <row r="1012" spans="1:27">
      <c r="A1012" t="s">
        <v>275</v>
      </c>
      <c r="B1012">
        <v>24</v>
      </c>
      <c r="C1012">
        <f>MAX(Table13[Rank])-Table13[[#This Row],[Rank]]</f>
        <v>240</v>
      </c>
      <c r="D1012" t="s">
        <v>946</v>
      </c>
      <c r="E1012" t="s">
        <v>189</v>
      </c>
      <c r="F1012" s="1">
        <v>30022</v>
      </c>
      <c r="G1012">
        <f>YEAR(Table13[[#This Row],[Date]])</f>
        <v>1982</v>
      </c>
      <c r="H1012" t="s">
        <v>275</v>
      </c>
      <c r="I1012">
        <f>IF(COUNTIF($E1012, _xlfn.CONCAT("*",Table13[[#Headers],[Action]],"*")),1,0)</f>
        <v>0</v>
      </c>
      <c r="J1012">
        <f>IF(COUNTIF($E1012, _xlfn.CONCAT("*",Table13[[#Headers],[Adventure]],"*")),1,0)</f>
        <v>0</v>
      </c>
      <c r="K1012">
        <f>IF(COUNTIF($E1012, _xlfn.CONCAT("*",Table13[[#Headers],[Animation]],"*")),1,0)</f>
        <v>0</v>
      </c>
      <c r="L1012">
        <f>IF(COUNTIF($E1012, _xlfn.CONCAT("*",Table13[[#Headers],[Comedy]],"*")),1,0)</f>
        <v>0</v>
      </c>
      <c r="M1012">
        <f>IF(COUNTIF($E1012, _xlfn.CONCAT("*",Table13[[#Headers],[Crime]],"*")),1,0)</f>
        <v>0</v>
      </c>
      <c r="N1012">
        <f>IF(COUNTIF($E1012, _xlfn.CONCAT("*",Table13[[#Headers],[Documentary]],"*")),1,0)</f>
        <v>0</v>
      </c>
      <c r="O1012">
        <f>IF(COUNTIF($E1012, _xlfn.CONCAT("*",Table13[[#Headers],[Drama]],"*")),1,0)</f>
        <v>0</v>
      </c>
      <c r="P1012">
        <f>IF(COUNTIF($E1012, _xlfn.CONCAT("*",Table13[[#Headers],[Family]],"*")),1,0)</f>
        <v>0</v>
      </c>
      <c r="Q1012">
        <f>IF(COUNTIF($E1012, _xlfn.CONCAT("*",Table13[[#Headers],[Fantasy]],"*")),1,0)</f>
        <v>0</v>
      </c>
      <c r="R1012">
        <f>IF(COUNTIF($E1012, _xlfn.CONCAT("*",Table13[[#Headers],[History]],"*")),1,0)</f>
        <v>0</v>
      </c>
      <c r="S1012">
        <f>IF(COUNTIF($E1012, _xlfn.CONCAT("*",Table13[[#Headers],[Horror]],"*")),1,0)</f>
        <v>1</v>
      </c>
      <c r="T1012">
        <f>IF(COUNTIF($E1012, _xlfn.CONCAT("*",Table13[[#Headers],[Music]],"*")),1,0)</f>
        <v>0</v>
      </c>
      <c r="U1012">
        <f>IF(COUNTIF($E1012, _xlfn.CONCAT("*",Table13[[#Headers],[Mystery]],"*")),1,0)</f>
        <v>0</v>
      </c>
      <c r="V1012">
        <f>IF(COUNTIF($E1012, _xlfn.CONCAT("*",Table13[[#Headers],[Romance]],"*")),1,0)</f>
        <v>0</v>
      </c>
      <c r="W1012">
        <f>IF(COUNTIF($E1012, _xlfn.CONCAT("*",Table13[[#Headers],[Science Fiction]],"*")),1,0)</f>
        <v>1</v>
      </c>
      <c r="X1012">
        <f>IF(COUNTIF($E1012, _xlfn.CONCAT("*",Table13[[#Headers],[TV Movie]],"*")),1,0)</f>
        <v>0</v>
      </c>
      <c r="Y1012">
        <f>IF(COUNTIF($E1012, _xlfn.CONCAT("*",Table13[[#Headers],[Thriller]],"*")),1,0)</f>
        <v>0</v>
      </c>
      <c r="Z1012">
        <f>IF(COUNTIF($E1012, _xlfn.CONCAT("*",Table13[[#Headers],[War]],"*")),1,0)</f>
        <v>0</v>
      </c>
      <c r="AA1012">
        <f>IF(COUNTIF($E1012, _xlfn.CONCAT("*",Table13[[#Headers],[Western]],"*")),1,0)</f>
        <v>0</v>
      </c>
    </row>
    <row r="1013" spans="1:27">
      <c r="A1013" t="s">
        <v>403</v>
      </c>
      <c r="B1013">
        <v>23</v>
      </c>
      <c r="C1013">
        <f>MAX(Table13[Rank])-Table13[[#This Row],[Rank]]</f>
        <v>241</v>
      </c>
      <c r="D1013" t="s">
        <v>946</v>
      </c>
      <c r="E1013" t="s">
        <v>404</v>
      </c>
      <c r="F1013" s="1">
        <v>30113</v>
      </c>
      <c r="G1013">
        <f>YEAR(Table13[[#This Row],[Date]])</f>
        <v>1982</v>
      </c>
      <c r="H1013" t="s">
        <v>403</v>
      </c>
      <c r="I1013">
        <f>IF(COUNTIF($E1013, _xlfn.CONCAT("*",Table13[[#Headers],[Action]],"*")),1,0)</f>
        <v>0</v>
      </c>
      <c r="J1013">
        <f>IF(COUNTIF($E1013, _xlfn.CONCAT("*",Table13[[#Headers],[Adventure]],"*")),1,0)</f>
        <v>1</v>
      </c>
      <c r="K1013">
        <f>IF(COUNTIF($E1013, _xlfn.CONCAT("*",Table13[[#Headers],[Animation]],"*")),1,0)</f>
        <v>0</v>
      </c>
      <c r="L1013">
        <f>IF(COUNTIF($E1013, _xlfn.CONCAT("*",Table13[[#Headers],[Comedy]],"*")),1,0)</f>
        <v>0</v>
      </c>
      <c r="M1013">
        <f>IF(COUNTIF($E1013, _xlfn.CONCAT("*",Table13[[#Headers],[Crime]],"*")),1,0)</f>
        <v>0</v>
      </c>
      <c r="N1013">
        <f>IF(COUNTIF($E1013, _xlfn.CONCAT("*",Table13[[#Headers],[Documentary]],"*")),1,0)</f>
        <v>0</v>
      </c>
      <c r="O1013">
        <f>IF(COUNTIF($E1013, _xlfn.CONCAT("*",Table13[[#Headers],[Drama]],"*")),1,0)</f>
        <v>0</v>
      </c>
      <c r="P1013">
        <f>IF(COUNTIF($E1013, _xlfn.CONCAT("*",Table13[[#Headers],[Family]],"*")),1,0)</f>
        <v>1</v>
      </c>
      <c r="Q1013">
        <f>IF(COUNTIF($E1013, _xlfn.CONCAT("*",Table13[[#Headers],[Fantasy]],"*")),1,0)</f>
        <v>1</v>
      </c>
      <c r="R1013">
        <f>IF(COUNTIF($E1013, _xlfn.CONCAT("*",Table13[[#Headers],[History]],"*")),1,0)</f>
        <v>0</v>
      </c>
      <c r="S1013">
        <f>IF(COUNTIF($E1013, _xlfn.CONCAT("*",Table13[[#Headers],[Horror]],"*")),1,0)</f>
        <v>0</v>
      </c>
      <c r="T1013">
        <f>IF(COUNTIF($E1013, _xlfn.CONCAT("*",Table13[[#Headers],[Music]],"*")),1,0)</f>
        <v>0</v>
      </c>
      <c r="U1013">
        <f>IF(COUNTIF($E1013, _xlfn.CONCAT("*",Table13[[#Headers],[Mystery]],"*")),1,0)</f>
        <v>0</v>
      </c>
      <c r="V1013">
        <f>IF(COUNTIF($E1013, _xlfn.CONCAT("*",Table13[[#Headers],[Romance]],"*")),1,0)</f>
        <v>0</v>
      </c>
      <c r="W1013">
        <f>IF(COUNTIF($E1013, _xlfn.CONCAT("*",Table13[[#Headers],[Science Fiction]],"*")),1,0)</f>
        <v>1</v>
      </c>
      <c r="X1013">
        <f>IF(COUNTIF($E1013, _xlfn.CONCAT("*",Table13[[#Headers],[TV Movie]],"*")),1,0)</f>
        <v>0</v>
      </c>
      <c r="Y1013">
        <f>IF(COUNTIF($E1013, _xlfn.CONCAT("*",Table13[[#Headers],[Thriller]],"*")),1,0)</f>
        <v>0</v>
      </c>
      <c r="Z1013">
        <f>IF(COUNTIF($E1013, _xlfn.CONCAT("*",Table13[[#Headers],[War]],"*")),1,0)</f>
        <v>0</v>
      </c>
      <c r="AA1013">
        <f>IF(COUNTIF($E1013, _xlfn.CONCAT("*",Table13[[#Headers],[Western]],"*")),1,0)</f>
        <v>0</v>
      </c>
    </row>
    <row r="1014" spans="1:27">
      <c r="A1014" t="s">
        <v>646</v>
      </c>
      <c r="B1014">
        <v>22</v>
      </c>
      <c r="C1014">
        <f>MAX(Table13[Rank])-Table13[[#This Row],[Rank]]</f>
        <v>242</v>
      </c>
      <c r="D1014" t="s">
        <v>946</v>
      </c>
      <c r="E1014" t="s">
        <v>645</v>
      </c>
      <c r="F1014" s="1">
        <v>40374</v>
      </c>
      <c r="G1014">
        <f>YEAR(Table13[[#This Row],[Date]])</f>
        <v>2010</v>
      </c>
      <c r="H1014" t="s">
        <v>646</v>
      </c>
      <c r="I1014">
        <f>IF(COUNTIF($E1014, _xlfn.CONCAT("*",Table13[[#Headers],[Action]],"*")),1,0)</f>
        <v>1</v>
      </c>
      <c r="J1014">
        <f>IF(COUNTIF($E1014, _xlfn.CONCAT("*",Table13[[#Headers],[Adventure]],"*")),1,0)</f>
        <v>1</v>
      </c>
      <c r="K1014">
        <f>IF(COUNTIF($E1014, _xlfn.CONCAT("*",Table13[[#Headers],[Animation]],"*")),1,0)</f>
        <v>0</v>
      </c>
      <c r="L1014">
        <f>IF(COUNTIF($E1014, _xlfn.CONCAT("*",Table13[[#Headers],[Comedy]],"*")),1,0)</f>
        <v>0</v>
      </c>
      <c r="M1014">
        <f>IF(COUNTIF($E1014, _xlfn.CONCAT("*",Table13[[#Headers],[Crime]],"*")),1,0)</f>
        <v>0</v>
      </c>
      <c r="N1014">
        <f>IF(COUNTIF($E1014, _xlfn.CONCAT("*",Table13[[#Headers],[Documentary]],"*")),1,0)</f>
        <v>0</v>
      </c>
      <c r="O1014">
        <f>IF(COUNTIF($E1014, _xlfn.CONCAT("*",Table13[[#Headers],[Drama]],"*")),1,0)</f>
        <v>0</v>
      </c>
      <c r="P1014">
        <f>IF(COUNTIF($E1014, _xlfn.CONCAT("*",Table13[[#Headers],[Family]],"*")),1,0)</f>
        <v>0</v>
      </c>
      <c r="Q1014">
        <f>IF(COUNTIF($E1014, _xlfn.CONCAT("*",Table13[[#Headers],[Fantasy]],"*")),1,0)</f>
        <v>0</v>
      </c>
      <c r="R1014">
        <f>IF(COUNTIF($E1014, _xlfn.CONCAT("*",Table13[[#Headers],[History]],"*")),1,0)</f>
        <v>0</v>
      </c>
      <c r="S1014">
        <f>IF(COUNTIF($E1014, _xlfn.CONCAT("*",Table13[[#Headers],[Horror]],"*")),1,0)</f>
        <v>0</v>
      </c>
      <c r="T1014">
        <f>IF(COUNTIF($E1014, _xlfn.CONCAT("*",Table13[[#Headers],[Music]],"*")),1,0)</f>
        <v>0</v>
      </c>
      <c r="U1014">
        <f>IF(COUNTIF($E1014, _xlfn.CONCAT("*",Table13[[#Headers],[Mystery]],"*")),1,0)</f>
        <v>0</v>
      </c>
      <c r="V1014">
        <f>IF(COUNTIF($E1014, _xlfn.CONCAT("*",Table13[[#Headers],[Romance]],"*")),1,0)</f>
        <v>0</v>
      </c>
      <c r="W1014">
        <f>IF(COUNTIF($E1014, _xlfn.CONCAT("*",Table13[[#Headers],[Science Fiction]],"*")),1,0)</f>
        <v>1</v>
      </c>
      <c r="X1014">
        <f>IF(COUNTIF($E1014, _xlfn.CONCAT("*",Table13[[#Headers],[TV Movie]],"*")),1,0)</f>
        <v>0</v>
      </c>
      <c r="Y1014">
        <f>IF(COUNTIF($E1014, _xlfn.CONCAT("*",Table13[[#Headers],[Thriller]],"*")),1,0)</f>
        <v>0</v>
      </c>
      <c r="Z1014">
        <f>IF(COUNTIF($E1014, _xlfn.CONCAT("*",Table13[[#Headers],[War]],"*")),1,0)</f>
        <v>0</v>
      </c>
      <c r="AA1014">
        <f>IF(COUNTIF($E1014, _xlfn.CONCAT("*",Table13[[#Headers],[Western]],"*")),1,0)</f>
        <v>0</v>
      </c>
    </row>
    <row r="1015" spans="1:27">
      <c r="A1015" t="s">
        <v>725</v>
      </c>
      <c r="B1015">
        <v>21</v>
      </c>
      <c r="C1015">
        <f>MAX(Table13[Rank])-Table13[[#This Row],[Rank]]</f>
        <v>243</v>
      </c>
      <c r="D1015" t="s">
        <v>946</v>
      </c>
      <c r="E1015" t="s">
        <v>726</v>
      </c>
      <c r="F1015" s="1">
        <v>40162</v>
      </c>
      <c r="G1015">
        <f>YEAR(Table13[[#This Row],[Date]])</f>
        <v>2009</v>
      </c>
      <c r="H1015" t="s">
        <v>725</v>
      </c>
      <c r="I1015">
        <f>IF(COUNTIF($E1015, _xlfn.CONCAT("*",Table13[[#Headers],[Action]],"*")),1,0)</f>
        <v>1</v>
      </c>
      <c r="J1015">
        <f>IF(COUNTIF($E1015, _xlfn.CONCAT("*",Table13[[#Headers],[Adventure]],"*")),1,0)</f>
        <v>1</v>
      </c>
      <c r="K1015">
        <f>IF(COUNTIF($E1015, _xlfn.CONCAT("*",Table13[[#Headers],[Animation]],"*")),1,0)</f>
        <v>0</v>
      </c>
      <c r="L1015">
        <f>IF(COUNTIF($E1015, _xlfn.CONCAT("*",Table13[[#Headers],[Comedy]],"*")),1,0)</f>
        <v>0</v>
      </c>
      <c r="M1015">
        <f>IF(COUNTIF($E1015, _xlfn.CONCAT("*",Table13[[#Headers],[Crime]],"*")),1,0)</f>
        <v>0</v>
      </c>
      <c r="N1015">
        <f>IF(COUNTIF($E1015, _xlfn.CONCAT("*",Table13[[#Headers],[Documentary]],"*")),1,0)</f>
        <v>0</v>
      </c>
      <c r="O1015">
        <f>IF(COUNTIF($E1015, _xlfn.CONCAT("*",Table13[[#Headers],[Drama]],"*")),1,0)</f>
        <v>0</v>
      </c>
      <c r="P1015">
        <f>IF(COUNTIF($E1015, _xlfn.CONCAT("*",Table13[[#Headers],[Family]],"*")),1,0)</f>
        <v>0</v>
      </c>
      <c r="Q1015">
        <f>IF(COUNTIF($E1015, _xlfn.CONCAT("*",Table13[[#Headers],[Fantasy]],"*")),1,0)</f>
        <v>1</v>
      </c>
      <c r="R1015">
        <f>IF(COUNTIF($E1015, _xlfn.CONCAT("*",Table13[[#Headers],[History]],"*")),1,0)</f>
        <v>0</v>
      </c>
      <c r="S1015">
        <f>IF(COUNTIF($E1015, _xlfn.CONCAT("*",Table13[[#Headers],[Horror]],"*")),1,0)</f>
        <v>0</v>
      </c>
      <c r="T1015">
        <f>IF(COUNTIF($E1015, _xlfn.CONCAT("*",Table13[[#Headers],[Music]],"*")),1,0)</f>
        <v>0</v>
      </c>
      <c r="U1015">
        <f>IF(COUNTIF($E1015, _xlfn.CONCAT("*",Table13[[#Headers],[Mystery]],"*")),1,0)</f>
        <v>0</v>
      </c>
      <c r="V1015">
        <f>IF(COUNTIF($E1015, _xlfn.CONCAT("*",Table13[[#Headers],[Romance]],"*")),1,0)</f>
        <v>0</v>
      </c>
      <c r="W1015">
        <f>IF(COUNTIF($E1015, _xlfn.CONCAT("*",Table13[[#Headers],[Science Fiction]],"*")),1,0)</f>
        <v>1</v>
      </c>
      <c r="X1015">
        <f>IF(COUNTIF($E1015, _xlfn.CONCAT("*",Table13[[#Headers],[TV Movie]],"*")),1,0)</f>
        <v>0</v>
      </c>
      <c r="Y1015">
        <f>IF(COUNTIF($E1015, _xlfn.CONCAT("*",Table13[[#Headers],[Thriller]],"*")),1,0)</f>
        <v>0</v>
      </c>
      <c r="Z1015">
        <f>IF(COUNTIF($E1015, _xlfn.CONCAT("*",Table13[[#Headers],[War]],"*")),1,0)</f>
        <v>0</v>
      </c>
      <c r="AA1015">
        <f>IF(COUNTIF($E1015, _xlfn.CONCAT("*",Table13[[#Headers],[Western]],"*")),1,0)</f>
        <v>0</v>
      </c>
    </row>
    <row r="1016" spans="1:27">
      <c r="A1016" t="s">
        <v>629</v>
      </c>
      <c r="B1016">
        <v>20</v>
      </c>
      <c r="C1016">
        <f>MAX(Table13[Rank])-Table13[[#This Row],[Rank]]</f>
        <v>244</v>
      </c>
      <c r="D1016" t="s">
        <v>946</v>
      </c>
      <c r="E1016" t="s">
        <v>618</v>
      </c>
      <c r="F1016" s="1">
        <v>37956</v>
      </c>
      <c r="G1016">
        <f>YEAR(Table13[[#This Row],[Date]])</f>
        <v>2003</v>
      </c>
      <c r="H1016" t="s">
        <v>629</v>
      </c>
      <c r="I1016">
        <f>IF(COUNTIF($E1016, _xlfn.CONCAT("*",Table13[[#Headers],[Action]],"*")),1,0)</f>
        <v>1</v>
      </c>
      <c r="J1016">
        <f>IF(COUNTIF($E1016, _xlfn.CONCAT("*",Table13[[#Headers],[Adventure]],"*")),1,0)</f>
        <v>1</v>
      </c>
      <c r="K1016">
        <f>IF(COUNTIF($E1016, _xlfn.CONCAT("*",Table13[[#Headers],[Animation]],"*")),1,0)</f>
        <v>0</v>
      </c>
      <c r="L1016">
        <f>IF(COUNTIF($E1016, _xlfn.CONCAT("*",Table13[[#Headers],[Comedy]],"*")),1,0)</f>
        <v>0</v>
      </c>
      <c r="M1016">
        <f>IF(COUNTIF($E1016, _xlfn.CONCAT("*",Table13[[#Headers],[Crime]],"*")),1,0)</f>
        <v>0</v>
      </c>
      <c r="N1016">
        <f>IF(COUNTIF($E1016, _xlfn.CONCAT("*",Table13[[#Headers],[Documentary]],"*")),1,0)</f>
        <v>0</v>
      </c>
      <c r="O1016">
        <f>IF(COUNTIF($E1016, _xlfn.CONCAT("*",Table13[[#Headers],[Drama]],"*")),1,0)</f>
        <v>0</v>
      </c>
      <c r="P1016">
        <f>IF(COUNTIF($E1016, _xlfn.CONCAT("*",Table13[[#Headers],[Family]],"*")),1,0)</f>
        <v>0</v>
      </c>
      <c r="Q1016">
        <f>IF(COUNTIF($E1016, _xlfn.CONCAT("*",Table13[[#Headers],[Fantasy]],"*")),1,0)</f>
        <v>1</v>
      </c>
      <c r="R1016">
        <f>IF(COUNTIF($E1016, _xlfn.CONCAT("*",Table13[[#Headers],[History]],"*")),1,0)</f>
        <v>0</v>
      </c>
      <c r="S1016">
        <f>IF(COUNTIF($E1016, _xlfn.CONCAT("*",Table13[[#Headers],[Horror]],"*")),1,0)</f>
        <v>0</v>
      </c>
      <c r="T1016">
        <f>IF(COUNTIF($E1016, _xlfn.CONCAT("*",Table13[[#Headers],[Music]],"*")),1,0)</f>
        <v>0</v>
      </c>
      <c r="U1016">
        <f>IF(COUNTIF($E1016, _xlfn.CONCAT("*",Table13[[#Headers],[Mystery]],"*")),1,0)</f>
        <v>0</v>
      </c>
      <c r="V1016">
        <f>IF(COUNTIF($E1016, _xlfn.CONCAT("*",Table13[[#Headers],[Romance]],"*")),1,0)</f>
        <v>0</v>
      </c>
      <c r="W1016">
        <f>IF(COUNTIF($E1016, _xlfn.CONCAT("*",Table13[[#Headers],[Science Fiction]],"*")),1,0)</f>
        <v>0</v>
      </c>
      <c r="X1016">
        <f>IF(COUNTIF($E1016, _xlfn.CONCAT("*",Table13[[#Headers],[TV Movie]],"*")),1,0)</f>
        <v>0</v>
      </c>
      <c r="Y1016">
        <f>IF(COUNTIF($E1016, _xlfn.CONCAT("*",Table13[[#Headers],[Thriller]],"*")),1,0)</f>
        <v>0</v>
      </c>
      <c r="Z1016">
        <f>IF(COUNTIF($E1016, _xlfn.CONCAT("*",Table13[[#Headers],[War]],"*")),1,0)</f>
        <v>0</v>
      </c>
      <c r="AA1016">
        <f>IF(COUNTIF($E1016, _xlfn.CONCAT("*",Table13[[#Headers],[Western]],"*")),1,0)</f>
        <v>0</v>
      </c>
    </row>
    <row r="1017" spans="1:27">
      <c r="A1017" t="s">
        <v>327</v>
      </c>
      <c r="B1017">
        <v>19</v>
      </c>
      <c r="C1017">
        <f>MAX(Table13[Rank])-Table13[[#This Row],[Rank]]</f>
        <v>245</v>
      </c>
      <c r="D1017" t="s">
        <v>946</v>
      </c>
      <c r="E1017" t="s">
        <v>328</v>
      </c>
      <c r="F1017" s="1">
        <v>30127</v>
      </c>
      <c r="G1017">
        <f>YEAR(Table13[[#This Row],[Date]])</f>
        <v>1982</v>
      </c>
      <c r="H1017" t="s">
        <v>327</v>
      </c>
      <c r="I1017">
        <f>IF(COUNTIF($E1017, _xlfn.CONCAT("*",Table13[[#Headers],[Action]],"*")),1,0)</f>
        <v>0</v>
      </c>
      <c r="J1017">
        <f>IF(COUNTIF($E1017, _xlfn.CONCAT("*",Table13[[#Headers],[Adventure]],"*")),1,0)</f>
        <v>0</v>
      </c>
      <c r="K1017">
        <f>IF(COUNTIF($E1017, _xlfn.CONCAT("*",Table13[[#Headers],[Animation]],"*")),1,0)</f>
        <v>0</v>
      </c>
      <c r="L1017">
        <f>IF(COUNTIF($E1017, _xlfn.CONCAT("*",Table13[[#Headers],[Comedy]],"*")),1,0)</f>
        <v>0</v>
      </c>
      <c r="M1017">
        <f>IF(COUNTIF($E1017, _xlfn.CONCAT("*",Table13[[#Headers],[Crime]],"*")),1,0)</f>
        <v>0</v>
      </c>
      <c r="N1017">
        <f>IF(COUNTIF($E1017, _xlfn.CONCAT("*",Table13[[#Headers],[Documentary]],"*")),1,0)</f>
        <v>0</v>
      </c>
      <c r="O1017">
        <f>IF(COUNTIF($E1017, _xlfn.CONCAT("*",Table13[[#Headers],[Drama]],"*")),1,0)</f>
        <v>1</v>
      </c>
      <c r="P1017">
        <f>IF(COUNTIF($E1017, _xlfn.CONCAT("*",Table13[[#Headers],[Family]],"*")),1,0)</f>
        <v>0</v>
      </c>
      <c r="Q1017">
        <f>IF(COUNTIF($E1017, _xlfn.CONCAT("*",Table13[[#Headers],[Fantasy]],"*")),1,0)</f>
        <v>0</v>
      </c>
      <c r="R1017">
        <f>IF(COUNTIF($E1017, _xlfn.CONCAT("*",Table13[[#Headers],[History]],"*")),1,0)</f>
        <v>0</v>
      </c>
      <c r="S1017">
        <f>IF(COUNTIF($E1017, _xlfn.CONCAT("*",Table13[[#Headers],[Horror]],"*")),1,0)</f>
        <v>0</v>
      </c>
      <c r="T1017">
        <f>IF(COUNTIF($E1017, _xlfn.CONCAT("*",Table13[[#Headers],[Music]],"*")),1,0)</f>
        <v>0</v>
      </c>
      <c r="U1017">
        <f>IF(COUNTIF($E1017, _xlfn.CONCAT("*",Table13[[#Headers],[Mystery]],"*")),1,0)</f>
        <v>0</v>
      </c>
      <c r="V1017">
        <f>IF(COUNTIF($E1017, _xlfn.CONCAT("*",Table13[[#Headers],[Romance]],"*")),1,0)</f>
        <v>0</v>
      </c>
      <c r="W1017">
        <f>IF(COUNTIF($E1017, _xlfn.CONCAT("*",Table13[[#Headers],[Science Fiction]],"*")),1,0)</f>
        <v>1</v>
      </c>
      <c r="X1017">
        <f>IF(COUNTIF($E1017, _xlfn.CONCAT("*",Table13[[#Headers],[TV Movie]],"*")),1,0)</f>
        <v>0</v>
      </c>
      <c r="Y1017">
        <f>IF(COUNTIF($E1017, _xlfn.CONCAT("*",Table13[[#Headers],[Thriller]],"*")),1,0)</f>
        <v>1</v>
      </c>
      <c r="Z1017">
        <f>IF(COUNTIF($E1017, _xlfn.CONCAT("*",Table13[[#Headers],[War]],"*")),1,0)</f>
        <v>0</v>
      </c>
      <c r="AA1017">
        <f>IF(COUNTIF($E1017, _xlfn.CONCAT("*",Table13[[#Headers],[Western]],"*")),1,0)</f>
        <v>0</v>
      </c>
    </row>
    <row r="1018" spans="1:27">
      <c r="A1018" t="s">
        <v>484</v>
      </c>
      <c r="B1018">
        <v>18</v>
      </c>
      <c r="C1018">
        <f>MAX(Table13[Rank])-Table13[[#This Row],[Rank]]</f>
        <v>246</v>
      </c>
      <c r="D1018" t="s">
        <v>946</v>
      </c>
      <c r="E1018" t="s">
        <v>166</v>
      </c>
      <c r="F1018" s="1">
        <v>33128</v>
      </c>
      <c r="G1018">
        <f>YEAR(Table13[[#This Row],[Date]])</f>
        <v>1990</v>
      </c>
      <c r="H1018" t="s">
        <v>316</v>
      </c>
      <c r="I1018">
        <f>IF(COUNTIF($E1018, _xlfn.CONCAT("*",Table13[[#Headers],[Action]],"*")),1,0)</f>
        <v>0</v>
      </c>
      <c r="J1018">
        <f>IF(COUNTIF($E1018, _xlfn.CONCAT("*",Table13[[#Headers],[Adventure]],"*")),1,0)</f>
        <v>0</v>
      </c>
      <c r="K1018">
        <f>IF(COUNTIF($E1018, _xlfn.CONCAT("*",Table13[[#Headers],[Animation]],"*")),1,0)</f>
        <v>0</v>
      </c>
      <c r="L1018">
        <f>IF(COUNTIF($E1018, _xlfn.CONCAT("*",Table13[[#Headers],[Comedy]],"*")),1,0)</f>
        <v>0</v>
      </c>
      <c r="M1018">
        <f>IF(COUNTIF($E1018, _xlfn.CONCAT("*",Table13[[#Headers],[Crime]],"*")),1,0)</f>
        <v>1</v>
      </c>
      <c r="N1018">
        <f>IF(COUNTIF($E1018, _xlfn.CONCAT("*",Table13[[#Headers],[Documentary]],"*")),1,0)</f>
        <v>0</v>
      </c>
      <c r="O1018">
        <f>IF(COUNTIF($E1018, _xlfn.CONCAT("*",Table13[[#Headers],[Drama]],"*")),1,0)</f>
        <v>1</v>
      </c>
      <c r="P1018">
        <f>IF(COUNTIF($E1018, _xlfn.CONCAT("*",Table13[[#Headers],[Family]],"*")),1,0)</f>
        <v>0</v>
      </c>
      <c r="Q1018">
        <f>IF(COUNTIF($E1018, _xlfn.CONCAT("*",Table13[[#Headers],[Fantasy]],"*")),1,0)</f>
        <v>0</v>
      </c>
      <c r="R1018">
        <f>IF(COUNTIF($E1018, _xlfn.CONCAT("*",Table13[[#Headers],[History]],"*")),1,0)</f>
        <v>0</v>
      </c>
      <c r="S1018">
        <f>IF(COUNTIF($E1018, _xlfn.CONCAT("*",Table13[[#Headers],[Horror]],"*")),1,0)</f>
        <v>0</v>
      </c>
      <c r="T1018">
        <f>IF(COUNTIF($E1018, _xlfn.CONCAT("*",Table13[[#Headers],[Music]],"*")),1,0)</f>
        <v>0</v>
      </c>
      <c r="U1018">
        <f>IF(COUNTIF($E1018, _xlfn.CONCAT("*",Table13[[#Headers],[Mystery]],"*")),1,0)</f>
        <v>0</v>
      </c>
      <c r="V1018">
        <f>IF(COUNTIF($E1018, _xlfn.CONCAT("*",Table13[[#Headers],[Romance]],"*")),1,0)</f>
        <v>0</v>
      </c>
      <c r="W1018">
        <f>IF(COUNTIF($E1018, _xlfn.CONCAT("*",Table13[[#Headers],[Science Fiction]],"*")),1,0)</f>
        <v>0</v>
      </c>
      <c r="X1018">
        <f>IF(COUNTIF($E1018, _xlfn.CONCAT("*",Table13[[#Headers],[TV Movie]],"*")),1,0)</f>
        <v>0</v>
      </c>
      <c r="Y1018">
        <f>IF(COUNTIF($E1018, _xlfn.CONCAT("*",Table13[[#Headers],[Thriller]],"*")),1,0)</f>
        <v>0</v>
      </c>
      <c r="Z1018">
        <f>IF(COUNTIF($E1018, _xlfn.CONCAT("*",Table13[[#Headers],[War]],"*")),1,0)</f>
        <v>0</v>
      </c>
      <c r="AA1018">
        <f>IF(COUNTIF($E1018, _xlfn.CONCAT("*",Table13[[#Headers],[Western]],"*")),1,0)</f>
        <v>0</v>
      </c>
    </row>
    <row r="1019" spans="1:27">
      <c r="A1019" t="s">
        <v>317</v>
      </c>
      <c r="B1019">
        <v>17</v>
      </c>
      <c r="C1019">
        <f>MAX(Table13[Rank])-Table13[[#This Row],[Rank]]</f>
        <v>247</v>
      </c>
      <c r="D1019" t="s">
        <v>946</v>
      </c>
      <c r="E1019" t="s">
        <v>35</v>
      </c>
      <c r="F1019" s="1">
        <v>15721</v>
      </c>
      <c r="G1019">
        <f>YEAR(Table13[[#This Row],[Date]])</f>
        <v>1943</v>
      </c>
      <c r="H1019" t="s">
        <v>317</v>
      </c>
      <c r="I1019">
        <f>IF(COUNTIF($E1019, _xlfn.CONCAT("*",Table13[[#Headers],[Action]],"*")),1,0)</f>
        <v>0</v>
      </c>
      <c r="J1019">
        <f>IF(COUNTIF($E1019, _xlfn.CONCAT("*",Table13[[#Headers],[Adventure]],"*")),1,0)</f>
        <v>0</v>
      </c>
      <c r="K1019">
        <f>IF(COUNTIF($E1019, _xlfn.CONCAT("*",Table13[[#Headers],[Animation]],"*")),1,0)</f>
        <v>0</v>
      </c>
      <c r="L1019">
        <f>IF(COUNTIF($E1019, _xlfn.CONCAT("*",Table13[[#Headers],[Comedy]],"*")),1,0)</f>
        <v>0</v>
      </c>
      <c r="M1019">
        <f>IF(COUNTIF($E1019, _xlfn.CONCAT("*",Table13[[#Headers],[Crime]],"*")),1,0)</f>
        <v>0</v>
      </c>
      <c r="N1019">
        <f>IF(COUNTIF($E1019, _xlfn.CONCAT("*",Table13[[#Headers],[Documentary]],"*")),1,0)</f>
        <v>0</v>
      </c>
      <c r="O1019">
        <f>IF(COUNTIF($E1019, _xlfn.CONCAT("*",Table13[[#Headers],[Drama]],"*")),1,0)</f>
        <v>1</v>
      </c>
      <c r="P1019">
        <f>IF(COUNTIF($E1019, _xlfn.CONCAT("*",Table13[[#Headers],[Family]],"*")),1,0)</f>
        <v>0</v>
      </c>
      <c r="Q1019">
        <f>IF(COUNTIF($E1019, _xlfn.CONCAT("*",Table13[[#Headers],[Fantasy]],"*")),1,0)</f>
        <v>0</v>
      </c>
      <c r="R1019">
        <f>IF(COUNTIF($E1019, _xlfn.CONCAT("*",Table13[[#Headers],[History]],"*")),1,0)</f>
        <v>0</v>
      </c>
      <c r="S1019">
        <f>IF(COUNTIF($E1019, _xlfn.CONCAT("*",Table13[[#Headers],[Horror]],"*")),1,0)</f>
        <v>0</v>
      </c>
      <c r="T1019">
        <f>IF(COUNTIF($E1019, _xlfn.CONCAT("*",Table13[[#Headers],[Music]],"*")),1,0)</f>
        <v>0</v>
      </c>
      <c r="U1019">
        <f>IF(COUNTIF($E1019, _xlfn.CONCAT("*",Table13[[#Headers],[Mystery]],"*")),1,0)</f>
        <v>0</v>
      </c>
      <c r="V1019">
        <f>IF(COUNTIF($E1019, _xlfn.CONCAT("*",Table13[[#Headers],[Romance]],"*")),1,0)</f>
        <v>1</v>
      </c>
      <c r="W1019">
        <f>IF(COUNTIF($E1019, _xlfn.CONCAT("*",Table13[[#Headers],[Science Fiction]],"*")),1,0)</f>
        <v>0</v>
      </c>
      <c r="X1019">
        <f>IF(COUNTIF($E1019, _xlfn.CONCAT("*",Table13[[#Headers],[TV Movie]],"*")),1,0)</f>
        <v>0</v>
      </c>
      <c r="Y1019">
        <f>IF(COUNTIF($E1019, _xlfn.CONCAT("*",Table13[[#Headers],[Thriller]],"*")),1,0)</f>
        <v>0</v>
      </c>
      <c r="Z1019">
        <f>IF(COUNTIF($E1019, _xlfn.CONCAT("*",Table13[[#Headers],[War]],"*")),1,0)</f>
        <v>0</v>
      </c>
      <c r="AA1019">
        <f>IF(COUNTIF($E1019, _xlfn.CONCAT("*",Table13[[#Headers],[Western]],"*")),1,0)</f>
        <v>0</v>
      </c>
    </row>
    <row r="1020" spans="1:27">
      <c r="A1020" t="s">
        <v>989</v>
      </c>
      <c r="B1020">
        <v>16</v>
      </c>
      <c r="C1020">
        <f>MAX(Table13[Rank])-Table13[[#This Row],[Rank]]</f>
        <v>248</v>
      </c>
      <c r="D1020" t="s">
        <v>946</v>
      </c>
      <c r="E1020" t="s">
        <v>990</v>
      </c>
      <c r="F1020" s="1">
        <v>32010</v>
      </c>
      <c r="G1020">
        <f>YEAR(Table13[[#This Row],[Date]])</f>
        <v>1987</v>
      </c>
      <c r="H1020" t="s">
        <v>989</v>
      </c>
      <c r="I1020">
        <f>IF(COUNTIF($E1020, _xlfn.CONCAT("*",Table13[[#Headers],[Action]],"*")),1,0)</f>
        <v>0</v>
      </c>
      <c r="J1020">
        <f>IF(COUNTIF($E1020, _xlfn.CONCAT("*",Table13[[#Headers],[Adventure]],"*")),1,0)</f>
        <v>0</v>
      </c>
      <c r="K1020">
        <f>IF(COUNTIF($E1020, _xlfn.CONCAT("*",Table13[[#Headers],[Animation]],"*")),1,0)</f>
        <v>0</v>
      </c>
      <c r="L1020">
        <f>IF(COUNTIF($E1020, _xlfn.CONCAT("*",Table13[[#Headers],[Comedy]],"*")),1,0)</f>
        <v>0</v>
      </c>
      <c r="M1020">
        <f>IF(COUNTIF($E1020, _xlfn.CONCAT("*",Table13[[#Headers],[Crime]],"*")),1,0)</f>
        <v>0</v>
      </c>
      <c r="N1020">
        <f>IF(COUNTIF($E1020, _xlfn.CONCAT("*",Table13[[#Headers],[Documentary]],"*")),1,0)</f>
        <v>0</v>
      </c>
      <c r="O1020">
        <f>IF(COUNTIF($E1020, _xlfn.CONCAT("*",Table13[[#Headers],[Drama]],"*")),1,0)</f>
        <v>1</v>
      </c>
      <c r="P1020">
        <f>IF(COUNTIF($E1020, _xlfn.CONCAT("*",Table13[[#Headers],[Family]],"*")),1,0)</f>
        <v>0</v>
      </c>
      <c r="Q1020">
        <f>IF(COUNTIF($E1020, _xlfn.CONCAT("*",Table13[[#Headers],[Fantasy]],"*")),1,0)</f>
        <v>0</v>
      </c>
      <c r="R1020">
        <f>IF(COUNTIF($E1020, _xlfn.CONCAT("*",Table13[[#Headers],[History]],"*")),1,0)</f>
        <v>0</v>
      </c>
      <c r="S1020">
        <f>IF(COUNTIF($E1020, _xlfn.CONCAT("*",Table13[[#Headers],[Horror]],"*")),1,0)</f>
        <v>0</v>
      </c>
      <c r="T1020">
        <f>IF(COUNTIF($E1020, _xlfn.CONCAT("*",Table13[[#Headers],[Music]],"*")),1,0)</f>
        <v>1</v>
      </c>
      <c r="U1020">
        <f>IF(COUNTIF($E1020, _xlfn.CONCAT("*",Table13[[#Headers],[Mystery]],"*")),1,0)</f>
        <v>0</v>
      </c>
      <c r="V1020">
        <f>IF(COUNTIF($E1020, _xlfn.CONCAT("*",Table13[[#Headers],[Romance]],"*")),1,0)</f>
        <v>1</v>
      </c>
      <c r="W1020">
        <f>IF(COUNTIF($E1020, _xlfn.CONCAT("*",Table13[[#Headers],[Science Fiction]],"*")),1,0)</f>
        <v>0</v>
      </c>
      <c r="X1020">
        <f>IF(COUNTIF($E1020, _xlfn.CONCAT("*",Table13[[#Headers],[TV Movie]],"*")),1,0)</f>
        <v>0</v>
      </c>
      <c r="Y1020">
        <f>IF(COUNTIF($E1020, _xlfn.CONCAT("*",Table13[[#Headers],[Thriller]],"*")),1,0)</f>
        <v>0</v>
      </c>
      <c r="Z1020">
        <f>IF(COUNTIF($E1020, _xlfn.CONCAT("*",Table13[[#Headers],[War]],"*")),1,0)</f>
        <v>0</v>
      </c>
      <c r="AA1020">
        <f>IF(COUNTIF($E1020, _xlfn.CONCAT("*",Table13[[#Headers],[Western]],"*")),1,0)</f>
        <v>0</v>
      </c>
    </row>
    <row r="1021" spans="1:27">
      <c r="A1021" t="s">
        <v>432</v>
      </c>
      <c r="B1021">
        <v>15</v>
      </c>
      <c r="C1021">
        <f>MAX(Table13[Rank])-Table13[[#This Row],[Rank]]</f>
        <v>249</v>
      </c>
      <c r="D1021" t="s">
        <v>946</v>
      </c>
      <c r="E1021" t="s">
        <v>433</v>
      </c>
      <c r="F1021" s="1">
        <v>23830</v>
      </c>
      <c r="G1021">
        <f>YEAR(Table13[[#This Row],[Date]])</f>
        <v>1965</v>
      </c>
      <c r="H1021" t="s">
        <v>432</v>
      </c>
      <c r="I1021">
        <f>IF(COUNTIF($E1021, _xlfn.CONCAT("*",Table13[[#Headers],[Action]],"*")),1,0)</f>
        <v>0</v>
      </c>
      <c r="J1021">
        <f>IF(COUNTIF($E1021, _xlfn.CONCAT("*",Table13[[#Headers],[Adventure]],"*")),1,0)</f>
        <v>0</v>
      </c>
      <c r="K1021">
        <f>IF(COUNTIF($E1021, _xlfn.CONCAT("*",Table13[[#Headers],[Animation]],"*")),1,0)</f>
        <v>0</v>
      </c>
      <c r="L1021">
        <f>IF(COUNTIF($E1021, _xlfn.CONCAT("*",Table13[[#Headers],[Comedy]],"*")),1,0)</f>
        <v>0</v>
      </c>
      <c r="M1021">
        <f>IF(COUNTIF($E1021, _xlfn.CONCAT("*",Table13[[#Headers],[Crime]],"*")),1,0)</f>
        <v>0</v>
      </c>
      <c r="N1021">
        <f>IF(COUNTIF($E1021, _xlfn.CONCAT("*",Table13[[#Headers],[Documentary]],"*")),1,0)</f>
        <v>0</v>
      </c>
      <c r="O1021">
        <f>IF(COUNTIF($E1021, _xlfn.CONCAT("*",Table13[[#Headers],[Drama]],"*")),1,0)</f>
        <v>1</v>
      </c>
      <c r="P1021">
        <f>IF(COUNTIF($E1021, _xlfn.CONCAT("*",Table13[[#Headers],[Family]],"*")),1,0)</f>
        <v>1</v>
      </c>
      <c r="Q1021">
        <f>IF(COUNTIF($E1021, _xlfn.CONCAT("*",Table13[[#Headers],[Fantasy]],"*")),1,0)</f>
        <v>0</v>
      </c>
      <c r="R1021">
        <f>IF(COUNTIF($E1021, _xlfn.CONCAT("*",Table13[[#Headers],[History]],"*")),1,0)</f>
        <v>0</v>
      </c>
      <c r="S1021">
        <f>IF(COUNTIF($E1021, _xlfn.CONCAT("*",Table13[[#Headers],[Horror]],"*")),1,0)</f>
        <v>0</v>
      </c>
      <c r="T1021">
        <f>IF(COUNTIF($E1021, _xlfn.CONCAT("*",Table13[[#Headers],[Music]],"*")),1,0)</f>
        <v>1</v>
      </c>
      <c r="U1021">
        <f>IF(COUNTIF($E1021, _xlfn.CONCAT("*",Table13[[#Headers],[Mystery]],"*")),1,0)</f>
        <v>0</v>
      </c>
      <c r="V1021">
        <f>IF(COUNTIF($E1021, _xlfn.CONCAT("*",Table13[[#Headers],[Romance]],"*")),1,0)</f>
        <v>1</v>
      </c>
      <c r="W1021">
        <f>IF(COUNTIF($E1021, _xlfn.CONCAT("*",Table13[[#Headers],[Science Fiction]],"*")),1,0)</f>
        <v>0</v>
      </c>
      <c r="X1021">
        <f>IF(COUNTIF($E1021, _xlfn.CONCAT("*",Table13[[#Headers],[TV Movie]],"*")),1,0)</f>
        <v>0</v>
      </c>
      <c r="Y1021">
        <f>IF(COUNTIF($E1021, _xlfn.CONCAT("*",Table13[[#Headers],[Thriller]],"*")),1,0)</f>
        <v>0</v>
      </c>
      <c r="Z1021">
        <f>IF(COUNTIF($E1021, _xlfn.CONCAT("*",Table13[[#Headers],[War]],"*")),1,0)</f>
        <v>0</v>
      </c>
      <c r="AA1021">
        <f>IF(COUNTIF($E1021, _xlfn.CONCAT("*",Table13[[#Headers],[Western]],"*")),1,0)</f>
        <v>0</v>
      </c>
    </row>
    <row r="1022" spans="1:27">
      <c r="A1022" t="s">
        <v>90</v>
      </c>
      <c r="B1022">
        <v>14</v>
      </c>
      <c r="C1022">
        <f>MAX(Table13[Rank])-Table13[[#This Row],[Rank]]</f>
        <v>250</v>
      </c>
      <c r="D1022" t="s">
        <v>946</v>
      </c>
      <c r="E1022" t="s">
        <v>91</v>
      </c>
      <c r="F1022" s="1">
        <v>29749</v>
      </c>
      <c r="G1022">
        <f>YEAR(Table13[[#This Row],[Date]])</f>
        <v>1981</v>
      </c>
      <c r="H1022" t="s">
        <v>90</v>
      </c>
      <c r="I1022">
        <f>IF(COUNTIF($E1022, _xlfn.CONCAT("*",Table13[[#Headers],[Action]],"*")),1,0)</f>
        <v>1</v>
      </c>
      <c r="J1022">
        <f>IF(COUNTIF($E1022, _xlfn.CONCAT("*",Table13[[#Headers],[Adventure]],"*")),1,0)</f>
        <v>1</v>
      </c>
      <c r="K1022">
        <f>IF(COUNTIF($E1022, _xlfn.CONCAT("*",Table13[[#Headers],[Animation]],"*")),1,0)</f>
        <v>0</v>
      </c>
      <c r="L1022">
        <f>IF(COUNTIF($E1022, _xlfn.CONCAT("*",Table13[[#Headers],[Comedy]],"*")),1,0)</f>
        <v>0</v>
      </c>
      <c r="M1022">
        <f>IF(COUNTIF($E1022, _xlfn.CONCAT("*",Table13[[#Headers],[Crime]],"*")),1,0)</f>
        <v>0</v>
      </c>
      <c r="N1022">
        <f>IF(COUNTIF($E1022, _xlfn.CONCAT("*",Table13[[#Headers],[Documentary]],"*")),1,0)</f>
        <v>0</v>
      </c>
      <c r="O1022">
        <f>IF(COUNTIF($E1022, _xlfn.CONCAT("*",Table13[[#Headers],[Drama]],"*")),1,0)</f>
        <v>0</v>
      </c>
      <c r="P1022">
        <f>IF(COUNTIF($E1022, _xlfn.CONCAT("*",Table13[[#Headers],[Family]],"*")),1,0)</f>
        <v>0</v>
      </c>
      <c r="Q1022">
        <f>IF(COUNTIF($E1022, _xlfn.CONCAT("*",Table13[[#Headers],[Fantasy]],"*")),1,0)</f>
        <v>0</v>
      </c>
      <c r="R1022">
        <f>IF(COUNTIF($E1022, _xlfn.CONCAT("*",Table13[[#Headers],[History]],"*")),1,0)</f>
        <v>0</v>
      </c>
      <c r="S1022">
        <f>IF(COUNTIF($E1022, _xlfn.CONCAT("*",Table13[[#Headers],[Horror]],"*")),1,0)</f>
        <v>0</v>
      </c>
      <c r="T1022">
        <f>IF(COUNTIF($E1022, _xlfn.CONCAT("*",Table13[[#Headers],[Music]],"*")),1,0)</f>
        <v>0</v>
      </c>
      <c r="U1022">
        <f>IF(COUNTIF($E1022, _xlfn.CONCAT("*",Table13[[#Headers],[Mystery]],"*")),1,0)</f>
        <v>0</v>
      </c>
      <c r="V1022">
        <f>IF(COUNTIF($E1022, _xlfn.CONCAT("*",Table13[[#Headers],[Romance]],"*")),1,0)</f>
        <v>0</v>
      </c>
      <c r="W1022">
        <f>IF(COUNTIF($E1022, _xlfn.CONCAT("*",Table13[[#Headers],[Science Fiction]],"*")),1,0)</f>
        <v>0</v>
      </c>
      <c r="X1022">
        <f>IF(COUNTIF($E1022, _xlfn.CONCAT("*",Table13[[#Headers],[TV Movie]],"*")),1,0)</f>
        <v>0</v>
      </c>
      <c r="Y1022">
        <f>IF(COUNTIF($E1022, _xlfn.CONCAT("*",Table13[[#Headers],[Thriller]],"*")),1,0)</f>
        <v>0</v>
      </c>
      <c r="Z1022">
        <f>IF(COUNTIF($E1022, _xlfn.CONCAT("*",Table13[[#Headers],[War]],"*")),1,0)</f>
        <v>0</v>
      </c>
      <c r="AA1022">
        <f>IF(COUNTIF($E1022, _xlfn.CONCAT("*",Table13[[#Headers],[Western]],"*")),1,0)</f>
        <v>0</v>
      </c>
    </row>
    <row r="1023" spans="1:27">
      <c r="A1023" t="s">
        <v>991</v>
      </c>
      <c r="B1023">
        <v>13</v>
      </c>
      <c r="C1023">
        <f>MAX(Table13[Rank])-Table13[[#This Row],[Rank]]</f>
        <v>251</v>
      </c>
      <c r="D1023" t="s">
        <v>946</v>
      </c>
      <c r="E1023" t="s">
        <v>353</v>
      </c>
      <c r="F1023" s="1">
        <v>37871</v>
      </c>
      <c r="G1023">
        <f>YEAR(Table13[[#This Row],[Date]])</f>
        <v>2003</v>
      </c>
      <c r="H1023" t="s">
        <v>991</v>
      </c>
      <c r="I1023">
        <f>IF(COUNTIF($E1023, _xlfn.CONCAT("*",Table13[[#Headers],[Action]],"*")),1,0)</f>
        <v>0</v>
      </c>
      <c r="J1023">
        <f>IF(COUNTIF($E1023, _xlfn.CONCAT("*",Table13[[#Headers],[Adventure]],"*")),1,0)</f>
        <v>0</v>
      </c>
      <c r="K1023">
        <f>IF(COUNTIF($E1023, _xlfn.CONCAT("*",Table13[[#Headers],[Animation]],"*")),1,0)</f>
        <v>0</v>
      </c>
      <c r="L1023">
        <f>IF(COUNTIF($E1023, _xlfn.CONCAT("*",Table13[[#Headers],[Comedy]],"*")),1,0)</f>
        <v>1</v>
      </c>
      <c r="M1023">
        <f>IF(COUNTIF($E1023, _xlfn.CONCAT("*",Table13[[#Headers],[Crime]],"*")),1,0)</f>
        <v>0</v>
      </c>
      <c r="N1023">
        <f>IF(COUNTIF($E1023, _xlfn.CONCAT("*",Table13[[#Headers],[Documentary]],"*")),1,0)</f>
        <v>0</v>
      </c>
      <c r="O1023">
        <f>IF(COUNTIF($E1023, _xlfn.CONCAT("*",Table13[[#Headers],[Drama]],"*")),1,0)</f>
        <v>1</v>
      </c>
      <c r="P1023">
        <f>IF(COUNTIF($E1023, _xlfn.CONCAT("*",Table13[[#Headers],[Family]],"*")),1,0)</f>
        <v>0</v>
      </c>
      <c r="Q1023">
        <f>IF(COUNTIF($E1023, _xlfn.CONCAT("*",Table13[[#Headers],[Fantasy]],"*")),1,0)</f>
        <v>0</v>
      </c>
      <c r="R1023">
        <f>IF(COUNTIF($E1023, _xlfn.CONCAT("*",Table13[[#Headers],[History]],"*")),1,0)</f>
        <v>0</v>
      </c>
      <c r="S1023">
        <f>IF(COUNTIF($E1023, _xlfn.CONCAT("*",Table13[[#Headers],[Horror]],"*")),1,0)</f>
        <v>0</v>
      </c>
      <c r="T1023">
        <f>IF(COUNTIF($E1023, _xlfn.CONCAT("*",Table13[[#Headers],[Music]],"*")),1,0)</f>
        <v>0</v>
      </c>
      <c r="U1023">
        <f>IF(COUNTIF($E1023, _xlfn.CONCAT("*",Table13[[#Headers],[Mystery]],"*")),1,0)</f>
        <v>0</v>
      </c>
      <c r="V1023">
        <f>IF(COUNTIF($E1023, _xlfn.CONCAT("*",Table13[[#Headers],[Romance]],"*")),1,0)</f>
        <v>1</v>
      </c>
      <c r="W1023">
        <f>IF(COUNTIF($E1023, _xlfn.CONCAT("*",Table13[[#Headers],[Science Fiction]],"*")),1,0)</f>
        <v>0</v>
      </c>
      <c r="X1023">
        <f>IF(COUNTIF($E1023, _xlfn.CONCAT("*",Table13[[#Headers],[TV Movie]],"*")),1,0)</f>
        <v>0</v>
      </c>
      <c r="Y1023">
        <f>IF(COUNTIF($E1023, _xlfn.CONCAT("*",Table13[[#Headers],[Thriller]],"*")),1,0)</f>
        <v>0</v>
      </c>
      <c r="Z1023">
        <f>IF(COUNTIF($E1023, _xlfn.CONCAT("*",Table13[[#Headers],[War]],"*")),1,0)</f>
        <v>0</v>
      </c>
      <c r="AA1023">
        <f>IF(COUNTIF($E1023, _xlfn.CONCAT("*",Table13[[#Headers],[Western]],"*")),1,0)</f>
        <v>0</v>
      </c>
    </row>
    <row r="1024" spans="1:27">
      <c r="A1024" t="s">
        <v>640</v>
      </c>
      <c r="B1024">
        <v>12</v>
      </c>
      <c r="C1024">
        <f>MAX(Table13[Rank])-Table13[[#This Row],[Rank]]</f>
        <v>252</v>
      </c>
      <c r="D1024" t="s">
        <v>946</v>
      </c>
      <c r="E1024" t="s">
        <v>639</v>
      </c>
      <c r="F1024" s="1">
        <v>43579</v>
      </c>
      <c r="G1024">
        <f>YEAR(Table13[[#This Row],[Date]])</f>
        <v>2019</v>
      </c>
      <c r="H1024" t="s">
        <v>640</v>
      </c>
      <c r="I1024">
        <f>IF(COUNTIF($E1024, _xlfn.CONCAT("*",Table13[[#Headers],[Action]],"*")),1,0)</f>
        <v>1</v>
      </c>
      <c r="J1024">
        <f>IF(COUNTIF($E1024, _xlfn.CONCAT("*",Table13[[#Headers],[Adventure]],"*")),1,0)</f>
        <v>1</v>
      </c>
      <c r="K1024">
        <f>IF(COUNTIF($E1024, _xlfn.CONCAT("*",Table13[[#Headers],[Animation]],"*")),1,0)</f>
        <v>0</v>
      </c>
      <c r="L1024">
        <f>IF(COUNTIF($E1024, _xlfn.CONCAT("*",Table13[[#Headers],[Comedy]],"*")),1,0)</f>
        <v>0</v>
      </c>
      <c r="M1024">
        <f>IF(COUNTIF($E1024, _xlfn.CONCAT("*",Table13[[#Headers],[Crime]],"*")),1,0)</f>
        <v>0</v>
      </c>
      <c r="N1024">
        <f>IF(COUNTIF($E1024, _xlfn.CONCAT("*",Table13[[#Headers],[Documentary]],"*")),1,0)</f>
        <v>0</v>
      </c>
      <c r="O1024">
        <f>IF(COUNTIF($E1024, _xlfn.CONCAT("*",Table13[[#Headers],[Drama]],"*")),1,0)</f>
        <v>0</v>
      </c>
      <c r="P1024">
        <f>IF(COUNTIF($E1024, _xlfn.CONCAT("*",Table13[[#Headers],[Family]],"*")),1,0)</f>
        <v>0</v>
      </c>
      <c r="Q1024">
        <f>IF(COUNTIF($E1024, _xlfn.CONCAT("*",Table13[[#Headers],[Fantasy]],"*")),1,0)</f>
        <v>0</v>
      </c>
      <c r="R1024">
        <f>IF(COUNTIF($E1024, _xlfn.CONCAT("*",Table13[[#Headers],[History]],"*")),1,0)</f>
        <v>0</v>
      </c>
      <c r="S1024">
        <f>IF(COUNTIF($E1024, _xlfn.CONCAT("*",Table13[[#Headers],[Horror]],"*")),1,0)</f>
        <v>0</v>
      </c>
      <c r="T1024">
        <f>IF(COUNTIF($E1024, _xlfn.CONCAT("*",Table13[[#Headers],[Music]],"*")),1,0)</f>
        <v>0</v>
      </c>
      <c r="U1024">
        <f>IF(COUNTIF($E1024, _xlfn.CONCAT("*",Table13[[#Headers],[Mystery]],"*")),1,0)</f>
        <v>0</v>
      </c>
      <c r="V1024">
        <f>IF(COUNTIF($E1024, _xlfn.CONCAT("*",Table13[[#Headers],[Romance]],"*")),1,0)</f>
        <v>0</v>
      </c>
      <c r="W1024">
        <f>IF(COUNTIF($E1024, _xlfn.CONCAT("*",Table13[[#Headers],[Science Fiction]],"*")),1,0)</f>
        <v>1</v>
      </c>
      <c r="X1024">
        <f>IF(COUNTIF($E1024, _xlfn.CONCAT("*",Table13[[#Headers],[TV Movie]],"*")),1,0)</f>
        <v>0</v>
      </c>
      <c r="Y1024">
        <f>IF(COUNTIF($E1024, _xlfn.CONCAT("*",Table13[[#Headers],[Thriller]],"*")),1,0)</f>
        <v>0</v>
      </c>
      <c r="Z1024">
        <f>IF(COUNTIF($E1024, _xlfn.CONCAT("*",Table13[[#Headers],[War]],"*")),1,0)</f>
        <v>0</v>
      </c>
      <c r="AA1024">
        <f>IF(COUNTIF($E1024, _xlfn.CONCAT("*",Table13[[#Headers],[Western]],"*")),1,0)</f>
        <v>0</v>
      </c>
    </row>
    <row r="1025" spans="1:27">
      <c r="A1025" t="s">
        <v>440</v>
      </c>
      <c r="B1025">
        <v>11</v>
      </c>
      <c r="C1025">
        <f>MAX(Table13[Rank])-Table13[[#This Row],[Rank]]</f>
        <v>253</v>
      </c>
      <c r="D1025" t="s">
        <v>946</v>
      </c>
      <c r="E1025" t="s">
        <v>441</v>
      </c>
      <c r="F1025" s="1">
        <v>39645</v>
      </c>
      <c r="G1025">
        <f>YEAR(Table13[[#This Row],[Date]])</f>
        <v>2008</v>
      </c>
      <c r="H1025" t="s">
        <v>440</v>
      </c>
      <c r="I1025">
        <f>IF(COUNTIF($E1025, _xlfn.CONCAT("*",Table13[[#Headers],[Action]],"*")),1,0)</f>
        <v>1</v>
      </c>
      <c r="J1025">
        <f>IF(COUNTIF($E1025, _xlfn.CONCAT("*",Table13[[#Headers],[Adventure]],"*")),1,0)</f>
        <v>0</v>
      </c>
      <c r="K1025">
        <f>IF(COUNTIF($E1025, _xlfn.CONCAT("*",Table13[[#Headers],[Animation]],"*")),1,0)</f>
        <v>0</v>
      </c>
      <c r="L1025">
        <f>IF(COUNTIF($E1025, _xlfn.CONCAT("*",Table13[[#Headers],[Comedy]],"*")),1,0)</f>
        <v>0</v>
      </c>
      <c r="M1025">
        <f>IF(COUNTIF($E1025, _xlfn.CONCAT("*",Table13[[#Headers],[Crime]],"*")),1,0)</f>
        <v>1</v>
      </c>
      <c r="N1025">
        <f>IF(COUNTIF($E1025, _xlfn.CONCAT("*",Table13[[#Headers],[Documentary]],"*")),1,0)</f>
        <v>0</v>
      </c>
      <c r="O1025">
        <f>IF(COUNTIF($E1025, _xlfn.CONCAT("*",Table13[[#Headers],[Drama]],"*")),1,0)</f>
        <v>1</v>
      </c>
      <c r="P1025">
        <f>IF(COUNTIF($E1025, _xlfn.CONCAT("*",Table13[[#Headers],[Family]],"*")),1,0)</f>
        <v>0</v>
      </c>
      <c r="Q1025">
        <f>IF(COUNTIF($E1025, _xlfn.CONCAT("*",Table13[[#Headers],[Fantasy]],"*")),1,0)</f>
        <v>0</v>
      </c>
      <c r="R1025">
        <f>IF(COUNTIF($E1025, _xlfn.CONCAT("*",Table13[[#Headers],[History]],"*")),1,0)</f>
        <v>0</v>
      </c>
      <c r="S1025">
        <f>IF(COUNTIF($E1025, _xlfn.CONCAT("*",Table13[[#Headers],[Horror]],"*")),1,0)</f>
        <v>0</v>
      </c>
      <c r="T1025">
        <f>IF(COUNTIF($E1025, _xlfn.CONCAT("*",Table13[[#Headers],[Music]],"*")),1,0)</f>
        <v>0</v>
      </c>
      <c r="U1025">
        <f>IF(COUNTIF($E1025, _xlfn.CONCAT("*",Table13[[#Headers],[Mystery]],"*")),1,0)</f>
        <v>0</v>
      </c>
      <c r="V1025">
        <f>IF(COUNTIF($E1025, _xlfn.CONCAT("*",Table13[[#Headers],[Romance]],"*")),1,0)</f>
        <v>0</v>
      </c>
      <c r="W1025">
        <f>IF(COUNTIF($E1025, _xlfn.CONCAT("*",Table13[[#Headers],[Science Fiction]],"*")),1,0)</f>
        <v>0</v>
      </c>
      <c r="X1025">
        <f>IF(COUNTIF($E1025, _xlfn.CONCAT("*",Table13[[#Headers],[TV Movie]],"*")),1,0)</f>
        <v>0</v>
      </c>
      <c r="Y1025">
        <f>IF(COUNTIF($E1025, _xlfn.CONCAT("*",Table13[[#Headers],[Thriller]],"*")),1,0)</f>
        <v>1</v>
      </c>
      <c r="Z1025">
        <f>IF(COUNTIF($E1025, _xlfn.CONCAT("*",Table13[[#Headers],[War]],"*")),1,0)</f>
        <v>0</v>
      </c>
      <c r="AA1025">
        <f>IF(COUNTIF($E1025, _xlfn.CONCAT("*",Table13[[#Headers],[Western]],"*")),1,0)</f>
        <v>0</v>
      </c>
    </row>
    <row r="1026" spans="1:27">
      <c r="A1026" t="s">
        <v>587</v>
      </c>
      <c r="B1026">
        <v>10</v>
      </c>
      <c r="C1026">
        <f>MAX(Table13[Rank])-Table13[[#This Row],[Rank]]</f>
        <v>254</v>
      </c>
      <c r="D1026" t="s">
        <v>946</v>
      </c>
      <c r="E1026" t="s">
        <v>15</v>
      </c>
      <c r="F1026" s="1">
        <v>34508</v>
      </c>
      <c r="G1026">
        <f>YEAR(Table13[[#This Row],[Date]])</f>
        <v>1994</v>
      </c>
      <c r="H1026" t="s">
        <v>587</v>
      </c>
      <c r="I1026">
        <f>IF(COUNTIF($E1026, _xlfn.CONCAT("*",Table13[[#Headers],[Action]],"*")),1,0)</f>
        <v>0</v>
      </c>
      <c r="J1026">
        <f>IF(COUNTIF($E1026, _xlfn.CONCAT("*",Table13[[#Headers],[Adventure]],"*")),1,0)</f>
        <v>0</v>
      </c>
      <c r="K1026">
        <f>IF(COUNTIF($E1026, _xlfn.CONCAT("*",Table13[[#Headers],[Animation]],"*")),1,0)</f>
        <v>0</v>
      </c>
      <c r="L1026">
        <f>IF(COUNTIF($E1026, _xlfn.CONCAT("*",Table13[[#Headers],[Comedy]],"*")),1,0)</f>
        <v>1</v>
      </c>
      <c r="M1026">
        <f>IF(COUNTIF($E1026, _xlfn.CONCAT("*",Table13[[#Headers],[Crime]],"*")),1,0)</f>
        <v>0</v>
      </c>
      <c r="N1026">
        <f>IF(COUNTIF($E1026, _xlfn.CONCAT("*",Table13[[#Headers],[Documentary]],"*")),1,0)</f>
        <v>0</v>
      </c>
      <c r="O1026">
        <f>IF(COUNTIF($E1026, _xlfn.CONCAT("*",Table13[[#Headers],[Drama]],"*")),1,0)</f>
        <v>1</v>
      </c>
      <c r="P1026">
        <f>IF(COUNTIF($E1026, _xlfn.CONCAT("*",Table13[[#Headers],[Family]],"*")),1,0)</f>
        <v>0</v>
      </c>
      <c r="Q1026">
        <f>IF(COUNTIF($E1026, _xlfn.CONCAT("*",Table13[[#Headers],[Fantasy]],"*")),1,0)</f>
        <v>0</v>
      </c>
      <c r="R1026">
        <f>IF(COUNTIF($E1026, _xlfn.CONCAT("*",Table13[[#Headers],[History]],"*")),1,0)</f>
        <v>0</v>
      </c>
      <c r="S1026">
        <f>IF(COUNTIF($E1026, _xlfn.CONCAT("*",Table13[[#Headers],[Horror]],"*")),1,0)</f>
        <v>0</v>
      </c>
      <c r="T1026">
        <f>IF(COUNTIF($E1026, _xlfn.CONCAT("*",Table13[[#Headers],[Music]],"*")),1,0)</f>
        <v>0</v>
      </c>
      <c r="U1026">
        <f>IF(COUNTIF($E1026, _xlfn.CONCAT("*",Table13[[#Headers],[Mystery]],"*")),1,0)</f>
        <v>0</v>
      </c>
      <c r="V1026">
        <f>IF(COUNTIF($E1026, _xlfn.CONCAT("*",Table13[[#Headers],[Romance]],"*")),1,0)</f>
        <v>1</v>
      </c>
      <c r="W1026">
        <f>IF(COUNTIF($E1026, _xlfn.CONCAT("*",Table13[[#Headers],[Science Fiction]],"*")),1,0)</f>
        <v>0</v>
      </c>
      <c r="X1026">
        <f>IF(COUNTIF($E1026, _xlfn.CONCAT("*",Table13[[#Headers],[TV Movie]],"*")),1,0)</f>
        <v>0</v>
      </c>
      <c r="Y1026">
        <f>IF(COUNTIF($E1026, _xlfn.CONCAT("*",Table13[[#Headers],[Thriller]],"*")),1,0)</f>
        <v>0</v>
      </c>
      <c r="Z1026">
        <f>IF(COUNTIF($E1026, _xlfn.CONCAT("*",Table13[[#Headers],[War]],"*")),1,0)</f>
        <v>0</v>
      </c>
      <c r="AA1026">
        <f>IF(COUNTIF($E1026, _xlfn.CONCAT("*",Table13[[#Headers],[Western]],"*")),1,0)</f>
        <v>0</v>
      </c>
    </row>
    <row r="1027" spans="1:27">
      <c r="A1027" t="s">
        <v>657</v>
      </c>
      <c r="B1027">
        <v>9</v>
      </c>
      <c r="C1027">
        <f>MAX(Table13[Rank])-Table13[[#This Row],[Rank]]</f>
        <v>255</v>
      </c>
      <c r="D1027" t="s">
        <v>946</v>
      </c>
      <c r="E1027" t="s">
        <v>656</v>
      </c>
      <c r="F1027" s="1">
        <v>31231</v>
      </c>
      <c r="G1027">
        <f>YEAR(Table13[[#This Row],[Date]])</f>
        <v>1985</v>
      </c>
      <c r="H1027" t="s">
        <v>657</v>
      </c>
      <c r="I1027">
        <f>IF(COUNTIF($E1027, _xlfn.CONCAT("*",Table13[[#Headers],[Action]],"*")),1,0)</f>
        <v>0</v>
      </c>
      <c r="J1027">
        <f>IF(COUNTIF($E1027, _xlfn.CONCAT("*",Table13[[#Headers],[Adventure]],"*")),1,0)</f>
        <v>1</v>
      </c>
      <c r="K1027">
        <f>IF(COUNTIF($E1027, _xlfn.CONCAT("*",Table13[[#Headers],[Animation]],"*")),1,0)</f>
        <v>0</v>
      </c>
      <c r="L1027">
        <f>IF(COUNTIF($E1027, _xlfn.CONCAT("*",Table13[[#Headers],[Comedy]],"*")),1,0)</f>
        <v>1</v>
      </c>
      <c r="M1027">
        <f>IF(COUNTIF($E1027, _xlfn.CONCAT("*",Table13[[#Headers],[Crime]],"*")),1,0)</f>
        <v>0</v>
      </c>
      <c r="N1027">
        <f>IF(COUNTIF($E1027, _xlfn.CONCAT("*",Table13[[#Headers],[Documentary]],"*")),1,0)</f>
        <v>0</v>
      </c>
      <c r="O1027">
        <f>IF(COUNTIF($E1027, _xlfn.CONCAT("*",Table13[[#Headers],[Drama]],"*")),1,0)</f>
        <v>0</v>
      </c>
      <c r="P1027">
        <f>IF(COUNTIF($E1027, _xlfn.CONCAT("*",Table13[[#Headers],[Family]],"*")),1,0)</f>
        <v>0</v>
      </c>
      <c r="Q1027">
        <f>IF(COUNTIF($E1027, _xlfn.CONCAT("*",Table13[[#Headers],[Fantasy]],"*")),1,0)</f>
        <v>0</v>
      </c>
      <c r="R1027">
        <f>IF(COUNTIF($E1027, _xlfn.CONCAT("*",Table13[[#Headers],[History]],"*")),1,0)</f>
        <v>0</v>
      </c>
      <c r="S1027">
        <f>IF(COUNTIF($E1027, _xlfn.CONCAT("*",Table13[[#Headers],[Horror]],"*")),1,0)</f>
        <v>0</v>
      </c>
      <c r="T1027">
        <f>IF(COUNTIF($E1027, _xlfn.CONCAT("*",Table13[[#Headers],[Music]],"*")),1,0)</f>
        <v>0</v>
      </c>
      <c r="U1027">
        <f>IF(COUNTIF($E1027, _xlfn.CONCAT("*",Table13[[#Headers],[Mystery]],"*")),1,0)</f>
        <v>0</v>
      </c>
      <c r="V1027">
        <f>IF(COUNTIF($E1027, _xlfn.CONCAT("*",Table13[[#Headers],[Romance]],"*")),1,0)</f>
        <v>0</v>
      </c>
      <c r="W1027">
        <f>IF(COUNTIF($E1027, _xlfn.CONCAT("*",Table13[[#Headers],[Science Fiction]],"*")),1,0)</f>
        <v>1</v>
      </c>
      <c r="X1027">
        <f>IF(COUNTIF($E1027, _xlfn.CONCAT("*",Table13[[#Headers],[TV Movie]],"*")),1,0)</f>
        <v>0</v>
      </c>
      <c r="Y1027">
        <f>IF(COUNTIF($E1027, _xlfn.CONCAT("*",Table13[[#Headers],[Thriller]],"*")),1,0)</f>
        <v>0</v>
      </c>
      <c r="Z1027">
        <f>IF(COUNTIF($E1027, _xlfn.CONCAT("*",Table13[[#Headers],[War]],"*")),1,0)</f>
        <v>0</v>
      </c>
      <c r="AA1027">
        <f>IF(COUNTIF($E1027, _xlfn.CONCAT("*",Table13[[#Headers],[Western]],"*")),1,0)</f>
        <v>0</v>
      </c>
    </row>
    <row r="1028" spans="1:27">
      <c r="A1028" t="s">
        <v>482</v>
      </c>
      <c r="B1028">
        <v>8</v>
      </c>
      <c r="C1028">
        <f>MAX(Table13[Rank])-Table13[[#This Row],[Rank]]</f>
        <v>256</v>
      </c>
      <c r="D1028" t="s">
        <v>946</v>
      </c>
      <c r="E1028" t="s">
        <v>481</v>
      </c>
      <c r="F1028" s="1">
        <v>14594</v>
      </c>
      <c r="G1028">
        <f>YEAR(Table13[[#This Row],[Date]])</f>
        <v>1939</v>
      </c>
      <c r="H1028" t="s">
        <v>482</v>
      </c>
      <c r="I1028">
        <f>IF(COUNTIF($E1028, _xlfn.CONCAT("*",Table13[[#Headers],[Action]],"*")),1,0)</f>
        <v>0</v>
      </c>
      <c r="J1028">
        <f>IF(COUNTIF($E1028, _xlfn.CONCAT("*",Table13[[#Headers],[Adventure]],"*")),1,0)</f>
        <v>0</v>
      </c>
      <c r="K1028">
        <f>IF(COUNTIF($E1028, _xlfn.CONCAT("*",Table13[[#Headers],[Animation]],"*")),1,0)</f>
        <v>0</v>
      </c>
      <c r="L1028">
        <f>IF(COUNTIF($E1028, _xlfn.CONCAT("*",Table13[[#Headers],[Comedy]],"*")),1,0)</f>
        <v>0</v>
      </c>
      <c r="M1028">
        <f>IF(COUNTIF($E1028, _xlfn.CONCAT("*",Table13[[#Headers],[Crime]],"*")),1,0)</f>
        <v>0</v>
      </c>
      <c r="N1028">
        <f>IF(COUNTIF($E1028, _xlfn.CONCAT("*",Table13[[#Headers],[Documentary]],"*")),1,0)</f>
        <v>0</v>
      </c>
      <c r="O1028">
        <f>IF(COUNTIF($E1028, _xlfn.CONCAT("*",Table13[[#Headers],[Drama]],"*")),1,0)</f>
        <v>1</v>
      </c>
      <c r="P1028">
        <f>IF(COUNTIF($E1028, _xlfn.CONCAT("*",Table13[[#Headers],[Family]],"*")),1,0)</f>
        <v>0</v>
      </c>
      <c r="Q1028">
        <f>IF(COUNTIF($E1028, _xlfn.CONCAT("*",Table13[[#Headers],[Fantasy]],"*")),1,0)</f>
        <v>0</v>
      </c>
      <c r="R1028">
        <f>IF(COUNTIF($E1028, _xlfn.CONCAT("*",Table13[[#Headers],[History]],"*")),1,0)</f>
        <v>0</v>
      </c>
      <c r="S1028">
        <f>IF(COUNTIF($E1028, _xlfn.CONCAT("*",Table13[[#Headers],[Horror]],"*")),1,0)</f>
        <v>0</v>
      </c>
      <c r="T1028">
        <f>IF(COUNTIF($E1028, _xlfn.CONCAT("*",Table13[[#Headers],[Music]],"*")),1,0)</f>
        <v>0</v>
      </c>
      <c r="U1028">
        <f>IF(COUNTIF($E1028, _xlfn.CONCAT("*",Table13[[#Headers],[Mystery]],"*")),1,0)</f>
        <v>0</v>
      </c>
      <c r="V1028">
        <f>IF(COUNTIF($E1028, _xlfn.CONCAT("*",Table13[[#Headers],[Romance]],"*")),1,0)</f>
        <v>1</v>
      </c>
      <c r="W1028">
        <f>IF(COUNTIF($E1028, _xlfn.CONCAT("*",Table13[[#Headers],[Science Fiction]],"*")),1,0)</f>
        <v>0</v>
      </c>
      <c r="X1028">
        <f>IF(COUNTIF($E1028, _xlfn.CONCAT("*",Table13[[#Headers],[TV Movie]],"*")),1,0)</f>
        <v>0</v>
      </c>
      <c r="Y1028">
        <f>IF(COUNTIF($E1028, _xlfn.CONCAT("*",Table13[[#Headers],[Thriller]],"*")),1,0)</f>
        <v>0</v>
      </c>
      <c r="Z1028">
        <f>IF(COUNTIF($E1028, _xlfn.CONCAT("*",Table13[[#Headers],[War]],"*")),1,0)</f>
        <v>1</v>
      </c>
      <c r="AA1028">
        <f>IF(COUNTIF($E1028, _xlfn.CONCAT("*",Table13[[#Headers],[Western]],"*")),1,0)</f>
        <v>0</v>
      </c>
    </row>
    <row r="1029" spans="1:27">
      <c r="A1029" t="s">
        <v>992</v>
      </c>
      <c r="B1029">
        <v>7</v>
      </c>
      <c r="C1029">
        <f>MAX(Table13[Rank])-Table13[[#This Row],[Rank]]</f>
        <v>257</v>
      </c>
      <c r="D1029" t="s">
        <v>946</v>
      </c>
      <c r="E1029" t="s">
        <v>49</v>
      </c>
      <c r="F1029" s="1">
        <v>29361</v>
      </c>
      <c r="G1029">
        <f>YEAR(Table13[[#This Row],[Date]])</f>
        <v>1980</v>
      </c>
      <c r="H1029" t="s">
        <v>478</v>
      </c>
      <c r="I1029">
        <f>IF(COUNTIF($E1029, _xlfn.CONCAT("*",Table13[[#Headers],[Action]],"*")),1,0)</f>
        <v>1</v>
      </c>
      <c r="J1029">
        <f>IF(COUNTIF($E1029, _xlfn.CONCAT("*",Table13[[#Headers],[Adventure]],"*")),1,0)</f>
        <v>1</v>
      </c>
      <c r="K1029">
        <f>IF(COUNTIF($E1029, _xlfn.CONCAT("*",Table13[[#Headers],[Animation]],"*")),1,0)</f>
        <v>0</v>
      </c>
      <c r="L1029">
        <f>IF(COUNTIF($E1029, _xlfn.CONCAT("*",Table13[[#Headers],[Comedy]],"*")),1,0)</f>
        <v>0</v>
      </c>
      <c r="M1029">
        <f>IF(COUNTIF($E1029, _xlfn.CONCAT("*",Table13[[#Headers],[Crime]],"*")),1,0)</f>
        <v>0</v>
      </c>
      <c r="N1029">
        <f>IF(COUNTIF($E1029, _xlfn.CONCAT("*",Table13[[#Headers],[Documentary]],"*")),1,0)</f>
        <v>0</v>
      </c>
      <c r="O1029">
        <f>IF(COUNTIF($E1029, _xlfn.CONCAT("*",Table13[[#Headers],[Drama]],"*")),1,0)</f>
        <v>0</v>
      </c>
      <c r="P1029">
        <f>IF(COUNTIF($E1029, _xlfn.CONCAT("*",Table13[[#Headers],[Family]],"*")),1,0)</f>
        <v>0</v>
      </c>
      <c r="Q1029">
        <f>IF(COUNTIF($E1029, _xlfn.CONCAT("*",Table13[[#Headers],[Fantasy]],"*")),1,0)</f>
        <v>0</v>
      </c>
      <c r="R1029">
        <f>IF(COUNTIF($E1029, _xlfn.CONCAT("*",Table13[[#Headers],[History]],"*")),1,0)</f>
        <v>0</v>
      </c>
      <c r="S1029">
        <f>IF(COUNTIF($E1029, _xlfn.CONCAT("*",Table13[[#Headers],[Horror]],"*")),1,0)</f>
        <v>0</v>
      </c>
      <c r="T1029">
        <f>IF(COUNTIF($E1029, _xlfn.CONCAT("*",Table13[[#Headers],[Music]],"*")),1,0)</f>
        <v>0</v>
      </c>
      <c r="U1029">
        <f>IF(COUNTIF($E1029, _xlfn.CONCAT("*",Table13[[#Headers],[Mystery]],"*")),1,0)</f>
        <v>0</v>
      </c>
      <c r="V1029">
        <f>IF(COUNTIF($E1029, _xlfn.CONCAT("*",Table13[[#Headers],[Romance]],"*")),1,0)</f>
        <v>0</v>
      </c>
      <c r="W1029">
        <f>IF(COUNTIF($E1029, _xlfn.CONCAT("*",Table13[[#Headers],[Science Fiction]],"*")),1,0)</f>
        <v>1</v>
      </c>
      <c r="X1029">
        <f>IF(COUNTIF($E1029, _xlfn.CONCAT("*",Table13[[#Headers],[TV Movie]],"*")),1,0)</f>
        <v>0</v>
      </c>
      <c r="Y1029">
        <f>IF(COUNTIF($E1029, _xlfn.CONCAT("*",Table13[[#Headers],[Thriller]],"*")),1,0)</f>
        <v>0</v>
      </c>
      <c r="Z1029">
        <f>IF(COUNTIF($E1029, _xlfn.CONCAT("*",Table13[[#Headers],[War]],"*")),1,0)</f>
        <v>0</v>
      </c>
      <c r="AA1029">
        <f>IF(COUNTIF($E1029, _xlfn.CONCAT("*",Table13[[#Headers],[Western]],"*")),1,0)</f>
        <v>0</v>
      </c>
    </row>
    <row r="1030" spans="1:27">
      <c r="A1030" t="s">
        <v>258</v>
      </c>
      <c r="B1030">
        <v>6</v>
      </c>
      <c r="C1030">
        <f>MAX(Table13[Rank])-Table13[[#This Row],[Rank]]</f>
        <v>258</v>
      </c>
      <c r="D1030" t="s">
        <v>946</v>
      </c>
      <c r="E1030" t="s">
        <v>259</v>
      </c>
      <c r="F1030" s="1">
        <v>27565</v>
      </c>
      <c r="G1030">
        <f>YEAR(Table13[[#This Row],[Date]])</f>
        <v>1975</v>
      </c>
      <c r="H1030" t="s">
        <v>258</v>
      </c>
      <c r="I1030">
        <f>IF(COUNTIF($E1030, _xlfn.CONCAT("*",Table13[[#Headers],[Action]],"*")),1,0)</f>
        <v>0</v>
      </c>
      <c r="J1030">
        <f>IF(COUNTIF($E1030, _xlfn.CONCAT("*",Table13[[#Headers],[Adventure]],"*")),1,0)</f>
        <v>1</v>
      </c>
      <c r="K1030">
        <f>IF(COUNTIF($E1030, _xlfn.CONCAT("*",Table13[[#Headers],[Animation]],"*")),1,0)</f>
        <v>0</v>
      </c>
      <c r="L1030">
        <f>IF(COUNTIF($E1030, _xlfn.CONCAT("*",Table13[[#Headers],[Comedy]],"*")),1,0)</f>
        <v>0</v>
      </c>
      <c r="M1030">
        <f>IF(COUNTIF($E1030, _xlfn.CONCAT("*",Table13[[#Headers],[Crime]],"*")),1,0)</f>
        <v>0</v>
      </c>
      <c r="N1030">
        <f>IF(COUNTIF($E1030, _xlfn.CONCAT("*",Table13[[#Headers],[Documentary]],"*")),1,0)</f>
        <v>0</v>
      </c>
      <c r="O1030">
        <f>IF(COUNTIF($E1030, _xlfn.CONCAT("*",Table13[[#Headers],[Drama]],"*")),1,0)</f>
        <v>0</v>
      </c>
      <c r="P1030">
        <f>IF(COUNTIF($E1030, _xlfn.CONCAT("*",Table13[[#Headers],[Family]],"*")),1,0)</f>
        <v>0</v>
      </c>
      <c r="Q1030">
        <f>IF(COUNTIF($E1030, _xlfn.CONCAT("*",Table13[[#Headers],[Fantasy]],"*")),1,0)</f>
        <v>0</v>
      </c>
      <c r="R1030">
        <f>IF(COUNTIF($E1030, _xlfn.CONCAT("*",Table13[[#Headers],[History]],"*")),1,0)</f>
        <v>0</v>
      </c>
      <c r="S1030">
        <f>IF(COUNTIF($E1030, _xlfn.CONCAT("*",Table13[[#Headers],[Horror]],"*")),1,0)</f>
        <v>1</v>
      </c>
      <c r="T1030">
        <f>IF(COUNTIF($E1030, _xlfn.CONCAT("*",Table13[[#Headers],[Music]],"*")),1,0)</f>
        <v>0</v>
      </c>
      <c r="U1030">
        <f>IF(COUNTIF($E1030, _xlfn.CONCAT("*",Table13[[#Headers],[Mystery]],"*")),1,0)</f>
        <v>0</v>
      </c>
      <c r="V1030">
        <f>IF(COUNTIF($E1030, _xlfn.CONCAT("*",Table13[[#Headers],[Romance]],"*")),1,0)</f>
        <v>0</v>
      </c>
      <c r="W1030">
        <f>IF(COUNTIF($E1030, _xlfn.CONCAT("*",Table13[[#Headers],[Science Fiction]],"*")),1,0)</f>
        <v>0</v>
      </c>
      <c r="X1030">
        <f>IF(COUNTIF($E1030, _xlfn.CONCAT("*",Table13[[#Headers],[TV Movie]],"*")),1,0)</f>
        <v>0</v>
      </c>
      <c r="Y1030">
        <f>IF(COUNTIF($E1030, _xlfn.CONCAT("*",Table13[[#Headers],[Thriller]],"*")),1,0)</f>
        <v>1</v>
      </c>
      <c r="Z1030">
        <f>IF(COUNTIF($E1030, _xlfn.CONCAT("*",Table13[[#Headers],[War]],"*")),1,0)</f>
        <v>0</v>
      </c>
      <c r="AA1030">
        <f>IF(COUNTIF($E1030, _xlfn.CONCAT("*",Table13[[#Headers],[Western]],"*")),1,0)</f>
        <v>0</v>
      </c>
    </row>
    <row r="1031" spans="1:27">
      <c r="A1031" t="s">
        <v>216</v>
      </c>
      <c r="B1031">
        <v>5</v>
      </c>
      <c r="C1031">
        <f>MAX(Table13[Rank])-Table13[[#This Row],[Rank]]</f>
        <v>259</v>
      </c>
      <c r="D1031" t="s">
        <v>946</v>
      </c>
      <c r="E1031" t="s">
        <v>217</v>
      </c>
      <c r="F1031" s="1">
        <v>34587</v>
      </c>
      <c r="G1031">
        <f>YEAR(Table13[[#This Row],[Date]])</f>
        <v>1994</v>
      </c>
      <c r="H1031" t="s">
        <v>216</v>
      </c>
      <c r="I1031">
        <f>IF(COUNTIF($E1031, _xlfn.CONCAT("*",Table13[[#Headers],[Action]],"*")),1,0)</f>
        <v>0</v>
      </c>
      <c r="J1031">
        <f>IF(COUNTIF($E1031, _xlfn.CONCAT("*",Table13[[#Headers],[Adventure]],"*")),1,0)</f>
        <v>0</v>
      </c>
      <c r="K1031">
        <f>IF(COUNTIF($E1031, _xlfn.CONCAT("*",Table13[[#Headers],[Animation]],"*")),1,0)</f>
        <v>0</v>
      </c>
      <c r="L1031">
        <f>IF(COUNTIF($E1031, _xlfn.CONCAT("*",Table13[[#Headers],[Comedy]],"*")),1,0)</f>
        <v>0</v>
      </c>
      <c r="M1031">
        <f>IF(COUNTIF($E1031, _xlfn.CONCAT("*",Table13[[#Headers],[Crime]],"*")),1,0)</f>
        <v>1</v>
      </c>
      <c r="N1031">
        <f>IF(COUNTIF($E1031, _xlfn.CONCAT("*",Table13[[#Headers],[Documentary]],"*")),1,0)</f>
        <v>0</v>
      </c>
      <c r="O1031">
        <f>IF(COUNTIF($E1031, _xlfn.CONCAT("*",Table13[[#Headers],[Drama]],"*")),1,0)</f>
        <v>0</v>
      </c>
      <c r="P1031">
        <f>IF(COUNTIF($E1031, _xlfn.CONCAT("*",Table13[[#Headers],[Family]],"*")),1,0)</f>
        <v>0</v>
      </c>
      <c r="Q1031">
        <f>IF(COUNTIF($E1031, _xlfn.CONCAT("*",Table13[[#Headers],[Fantasy]],"*")),1,0)</f>
        <v>0</v>
      </c>
      <c r="R1031">
        <f>IF(COUNTIF($E1031, _xlfn.CONCAT("*",Table13[[#Headers],[History]],"*")),1,0)</f>
        <v>0</v>
      </c>
      <c r="S1031">
        <f>IF(COUNTIF($E1031, _xlfn.CONCAT("*",Table13[[#Headers],[Horror]],"*")),1,0)</f>
        <v>0</v>
      </c>
      <c r="T1031">
        <f>IF(COUNTIF($E1031, _xlfn.CONCAT("*",Table13[[#Headers],[Music]],"*")),1,0)</f>
        <v>0</v>
      </c>
      <c r="U1031">
        <f>IF(COUNTIF($E1031, _xlfn.CONCAT("*",Table13[[#Headers],[Mystery]],"*")),1,0)</f>
        <v>0</v>
      </c>
      <c r="V1031">
        <f>IF(COUNTIF($E1031, _xlfn.CONCAT("*",Table13[[#Headers],[Romance]],"*")),1,0)</f>
        <v>0</v>
      </c>
      <c r="W1031">
        <f>IF(COUNTIF($E1031, _xlfn.CONCAT("*",Table13[[#Headers],[Science Fiction]],"*")),1,0)</f>
        <v>0</v>
      </c>
      <c r="X1031">
        <f>IF(COUNTIF($E1031, _xlfn.CONCAT("*",Table13[[#Headers],[TV Movie]],"*")),1,0)</f>
        <v>0</v>
      </c>
      <c r="Y1031">
        <f>IF(COUNTIF($E1031, _xlfn.CONCAT("*",Table13[[#Headers],[Thriller]],"*")),1,0)</f>
        <v>1</v>
      </c>
      <c r="Z1031">
        <f>IF(COUNTIF($E1031, _xlfn.CONCAT("*",Table13[[#Headers],[War]],"*")),1,0)</f>
        <v>0</v>
      </c>
      <c r="AA1031">
        <f>IF(COUNTIF($E1031, _xlfn.CONCAT("*",Table13[[#Headers],[Western]],"*")),1,0)</f>
        <v>0</v>
      </c>
    </row>
    <row r="1032" spans="1:27">
      <c r="A1032" t="s">
        <v>384</v>
      </c>
      <c r="B1032">
        <v>4</v>
      </c>
      <c r="C1032">
        <f>MAX(Table13[Rank])-Table13[[#This Row],[Rank]]</f>
        <v>260</v>
      </c>
      <c r="D1032" t="s">
        <v>946</v>
      </c>
      <c r="E1032" t="s">
        <v>166</v>
      </c>
      <c r="F1032" s="1">
        <v>26372</v>
      </c>
      <c r="G1032">
        <f>YEAR(Table13[[#This Row],[Date]])</f>
        <v>1972</v>
      </c>
      <c r="H1032" t="s">
        <v>384</v>
      </c>
      <c r="I1032">
        <f>IF(COUNTIF($E1032, _xlfn.CONCAT("*",Table13[[#Headers],[Action]],"*")),1,0)</f>
        <v>0</v>
      </c>
      <c r="J1032">
        <f>IF(COUNTIF($E1032, _xlfn.CONCAT("*",Table13[[#Headers],[Adventure]],"*")),1,0)</f>
        <v>0</v>
      </c>
      <c r="K1032">
        <f>IF(COUNTIF($E1032, _xlfn.CONCAT("*",Table13[[#Headers],[Animation]],"*")),1,0)</f>
        <v>0</v>
      </c>
      <c r="L1032">
        <f>IF(COUNTIF($E1032, _xlfn.CONCAT("*",Table13[[#Headers],[Comedy]],"*")),1,0)</f>
        <v>0</v>
      </c>
      <c r="M1032">
        <f>IF(COUNTIF($E1032, _xlfn.CONCAT("*",Table13[[#Headers],[Crime]],"*")),1,0)</f>
        <v>1</v>
      </c>
      <c r="N1032">
        <f>IF(COUNTIF($E1032, _xlfn.CONCAT("*",Table13[[#Headers],[Documentary]],"*")),1,0)</f>
        <v>0</v>
      </c>
      <c r="O1032">
        <f>IF(COUNTIF($E1032, _xlfn.CONCAT("*",Table13[[#Headers],[Drama]],"*")),1,0)</f>
        <v>1</v>
      </c>
      <c r="P1032">
        <f>IF(COUNTIF($E1032, _xlfn.CONCAT("*",Table13[[#Headers],[Family]],"*")),1,0)</f>
        <v>0</v>
      </c>
      <c r="Q1032">
        <f>IF(COUNTIF($E1032, _xlfn.CONCAT("*",Table13[[#Headers],[Fantasy]],"*")),1,0)</f>
        <v>0</v>
      </c>
      <c r="R1032">
        <f>IF(COUNTIF($E1032, _xlfn.CONCAT("*",Table13[[#Headers],[History]],"*")),1,0)</f>
        <v>0</v>
      </c>
      <c r="S1032">
        <f>IF(COUNTIF($E1032, _xlfn.CONCAT("*",Table13[[#Headers],[Horror]],"*")),1,0)</f>
        <v>0</v>
      </c>
      <c r="T1032">
        <f>IF(COUNTIF($E1032, _xlfn.CONCAT("*",Table13[[#Headers],[Music]],"*")),1,0)</f>
        <v>0</v>
      </c>
      <c r="U1032">
        <f>IF(COUNTIF($E1032, _xlfn.CONCAT("*",Table13[[#Headers],[Mystery]],"*")),1,0)</f>
        <v>0</v>
      </c>
      <c r="V1032">
        <f>IF(COUNTIF($E1032, _xlfn.CONCAT("*",Table13[[#Headers],[Romance]],"*")),1,0)</f>
        <v>0</v>
      </c>
      <c r="W1032">
        <f>IF(COUNTIF($E1032, _xlfn.CONCAT("*",Table13[[#Headers],[Science Fiction]],"*")),1,0)</f>
        <v>0</v>
      </c>
      <c r="X1032">
        <f>IF(COUNTIF($E1032, _xlfn.CONCAT("*",Table13[[#Headers],[TV Movie]],"*")),1,0)</f>
        <v>0</v>
      </c>
      <c r="Y1032">
        <f>IF(COUNTIF($E1032, _xlfn.CONCAT("*",Table13[[#Headers],[Thriller]],"*")),1,0)</f>
        <v>0</v>
      </c>
      <c r="Z1032">
        <f>IF(COUNTIF($E1032, _xlfn.CONCAT("*",Table13[[#Headers],[War]],"*")),1,0)</f>
        <v>0</v>
      </c>
      <c r="AA1032">
        <f>IF(COUNTIF($E1032, _xlfn.CONCAT("*",Table13[[#Headers],[Western]],"*")),1,0)</f>
        <v>0</v>
      </c>
    </row>
    <row r="1033" spans="1:27">
      <c r="A1033" t="s">
        <v>993</v>
      </c>
      <c r="B1033">
        <v>3</v>
      </c>
      <c r="C1033">
        <f>MAX(Table13[Rank])-Table13[[#This Row],[Rank]]</f>
        <v>261</v>
      </c>
      <c r="D1033" t="s">
        <v>946</v>
      </c>
      <c r="E1033" t="s">
        <v>49</v>
      </c>
      <c r="F1033" s="1">
        <v>28270</v>
      </c>
      <c r="G1033">
        <f>YEAR(Table13[[#This Row],[Date]])</f>
        <v>1977</v>
      </c>
      <c r="H1033" t="s">
        <v>48</v>
      </c>
      <c r="I1033">
        <f>IF(COUNTIF($E1033, _xlfn.CONCAT("*",Table13[[#Headers],[Action]],"*")),1,0)</f>
        <v>1</v>
      </c>
      <c r="J1033">
        <f>IF(COUNTIF($E1033, _xlfn.CONCAT("*",Table13[[#Headers],[Adventure]],"*")),1,0)</f>
        <v>1</v>
      </c>
      <c r="K1033">
        <f>IF(COUNTIF($E1033, _xlfn.CONCAT("*",Table13[[#Headers],[Animation]],"*")),1,0)</f>
        <v>0</v>
      </c>
      <c r="L1033">
        <f>IF(COUNTIF($E1033, _xlfn.CONCAT("*",Table13[[#Headers],[Comedy]],"*")),1,0)</f>
        <v>0</v>
      </c>
      <c r="M1033">
        <f>IF(COUNTIF($E1033, _xlfn.CONCAT("*",Table13[[#Headers],[Crime]],"*")),1,0)</f>
        <v>0</v>
      </c>
      <c r="N1033">
        <f>IF(COUNTIF($E1033, _xlfn.CONCAT("*",Table13[[#Headers],[Documentary]],"*")),1,0)</f>
        <v>0</v>
      </c>
      <c r="O1033">
        <f>IF(COUNTIF($E1033, _xlfn.CONCAT("*",Table13[[#Headers],[Drama]],"*")),1,0)</f>
        <v>0</v>
      </c>
      <c r="P1033">
        <f>IF(COUNTIF($E1033, _xlfn.CONCAT("*",Table13[[#Headers],[Family]],"*")),1,0)</f>
        <v>0</v>
      </c>
      <c r="Q1033">
        <f>IF(COUNTIF($E1033, _xlfn.CONCAT("*",Table13[[#Headers],[Fantasy]],"*")),1,0)</f>
        <v>0</v>
      </c>
      <c r="R1033">
        <f>IF(COUNTIF($E1033, _xlfn.CONCAT("*",Table13[[#Headers],[History]],"*")),1,0)</f>
        <v>0</v>
      </c>
      <c r="S1033">
        <f>IF(COUNTIF($E1033, _xlfn.CONCAT("*",Table13[[#Headers],[Horror]],"*")),1,0)</f>
        <v>0</v>
      </c>
      <c r="T1033">
        <f>IF(COUNTIF($E1033, _xlfn.CONCAT("*",Table13[[#Headers],[Music]],"*")),1,0)</f>
        <v>0</v>
      </c>
      <c r="U1033">
        <f>IF(COUNTIF($E1033, _xlfn.CONCAT("*",Table13[[#Headers],[Mystery]],"*")),1,0)</f>
        <v>0</v>
      </c>
      <c r="V1033">
        <f>IF(COUNTIF($E1033, _xlfn.CONCAT("*",Table13[[#Headers],[Romance]],"*")),1,0)</f>
        <v>0</v>
      </c>
      <c r="W1033">
        <f>IF(COUNTIF($E1033, _xlfn.CONCAT("*",Table13[[#Headers],[Science Fiction]],"*")),1,0)</f>
        <v>1</v>
      </c>
      <c r="X1033">
        <f>IF(COUNTIF($E1033, _xlfn.CONCAT("*",Table13[[#Headers],[TV Movie]],"*")),1,0)</f>
        <v>0</v>
      </c>
      <c r="Y1033">
        <f>IF(COUNTIF($E1033, _xlfn.CONCAT("*",Table13[[#Headers],[Thriller]],"*")),1,0)</f>
        <v>0</v>
      </c>
      <c r="Z1033">
        <f>IF(COUNTIF($E1033, _xlfn.CONCAT("*",Table13[[#Headers],[War]],"*")),1,0)</f>
        <v>0</v>
      </c>
      <c r="AA1033">
        <f>IF(COUNTIF($E1033, _xlfn.CONCAT("*",Table13[[#Headers],[Western]],"*")),1,0)</f>
        <v>0</v>
      </c>
    </row>
    <row r="1034" spans="1:27">
      <c r="A1034" t="s">
        <v>470</v>
      </c>
      <c r="B1034">
        <v>2</v>
      </c>
      <c r="C1034">
        <f>MAX(Table13[Rank])-Table13[[#This Row],[Rank]]</f>
        <v>262</v>
      </c>
      <c r="D1034" t="s">
        <v>946</v>
      </c>
      <c r="E1034" t="s">
        <v>35</v>
      </c>
      <c r="F1034" s="1">
        <v>35752</v>
      </c>
      <c r="G1034">
        <f>YEAR(Table13[[#This Row],[Date]])</f>
        <v>1997</v>
      </c>
      <c r="H1034" t="s">
        <v>470</v>
      </c>
      <c r="I1034">
        <f>IF(COUNTIF($E1034, _xlfn.CONCAT("*",Table13[[#Headers],[Action]],"*")),1,0)</f>
        <v>0</v>
      </c>
      <c r="J1034">
        <f>IF(COUNTIF($E1034, _xlfn.CONCAT("*",Table13[[#Headers],[Adventure]],"*")),1,0)</f>
        <v>0</v>
      </c>
      <c r="K1034">
        <f>IF(COUNTIF($E1034, _xlfn.CONCAT("*",Table13[[#Headers],[Animation]],"*")),1,0)</f>
        <v>0</v>
      </c>
      <c r="L1034">
        <f>IF(COUNTIF($E1034, _xlfn.CONCAT("*",Table13[[#Headers],[Comedy]],"*")),1,0)</f>
        <v>0</v>
      </c>
      <c r="M1034">
        <f>IF(COUNTIF($E1034, _xlfn.CONCAT("*",Table13[[#Headers],[Crime]],"*")),1,0)</f>
        <v>0</v>
      </c>
      <c r="N1034">
        <f>IF(COUNTIF($E1034, _xlfn.CONCAT("*",Table13[[#Headers],[Documentary]],"*")),1,0)</f>
        <v>0</v>
      </c>
      <c r="O1034">
        <f>IF(COUNTIF($E1034, _xlfn.CONCAT("*",Table13[[#Headers],[Drama]],"*")),1,0)</f>
        <v>1</v>
      </c>
      <c r="P1034">
        <f>IF(COUNTIF($E1034, _xlfn.CONCAT("*",Table13[[#Headers],[Family]],"*")),1,0)</f>
        <v>0</v>
      </c>
      <c r="Q1034">
        <f>IF(COUNTIF($E1034, _xlfn.CONCAT("*",Table13[[#Headers],[Fantasy]],"*")),1,0)</f>
        <v>0</v>
      </c>
      <c r="R1034">
        <f>IF(COUNTIF($E1034, _xlfn.CONCAT("*",Table13[[#Headers],[History]],"*")),1,0)</f>
        <v>0</v>
      </c>
      <c r="S1034">
        <f>IF(COUNTIF($E1034, _xlfn.CONCAT("*",Table13[[#Headers],[Horror]],"*")),1,0)</f>
        <v>0</v>
      </c>
      <c r="T1034">
        <f>IF(COUNTIF($E1034, _xlfn.CONCAT("*",Table13[[#Headers],[Music]],"*")),1,0)</f>
        <v>0</v>
      </c>
      <c r="U1034">
        <f>IF(COUNTIF($E1034, _xlfn.CONCAT("*",Table13[[#Headers],[Mystery]],"*")),1,0)</f>
        <v>0</v>
      </c>
      <c r="V1034">
        <f>IF(COUNTIF($E1034, _xlfn.CONCAT("*",Table13[[#Headers],[Romance]],"*")),1,0)</f>
        <v>1</v>
      </c>
      <c r="W1034">
        <f>IF(COUNTIF($E1034, _xlfn.CONCAT("*",Table13[[#Headers],[Science Fiction]],"*")),1,0)</f>
        <v>0</v>
      </c>
      <c r="X1034">
        <f>IF(COUNTIF($E1034, _xlfn.CONCAT("*",Table13[[#Headers],[TV Movie]],"*")),1,0)</f>
        <v>0</v>
      </c>
      <c r="Y1034">
        <f>IF(COUNTIF($E1034, _xlfn.CONCAT("*",Table13[[#Headers],[Thriller]],"*")),1,0)</f>
        <v>0</v>
      </c>
      <c r="Z1034">
        <f>IF(COUNTIF($E1034, _xlfn.CONCAT("*",Table13[[#Headers],[War]],"*")),1,0)</f>
        <v>0</v>
      </c>
      <c r="AA1034">
        <f>IF(COUNTIF($E1034, _xlfn.CONCAT("*",Table13[[#Headers],[Western]],"*")),1,0)</f>
        <v>0</v>
      </c>
    </row>
    <row r="1035" spans="1:27">
      <c r="A1035" t="s">
        <v>668</v>
      </c>
      <c r="B1035">
        <v>1</v>
      </c>
      <c r="C1035">
        <f>MAX(Table13[Rank])-Table13[[#This Row],[Rank]]</f>
        <v>263</v>
      </c>
      <c r="D1035" t="s">
        <v>946</v>
      </c>
      <c r="E1035" t="s">
        <v>166</v>
      </c>
      <c r="F1035" s="1">
        <v>34600</v>
      </c>
      <c r="G1035">
        <f>YEAR(Table13[[#This Row],[Date]])</f>
        <v>1994</v>
      </c>
      <c r="H1035" t="s">
        <v>668</v>
      </c>
      <c r="I1035">
        <f>IF(COUNTIF($E1035, _xlfn.CONCAT("*",Table13[[#Headers],[Action]],"*")),1,0)</f>
        <v>0</v>
      </c>
      <c r="J1035">
        <f>IF(COUNTIF($E1035, _xlfn.CONCAT("*",Table13[[#Headers],[Adventure]],"*")),1,0)</f>
        <v>0</v>
      </c>
      <c r="K1035">
        <f>IF(COUNTIF($E1035, _xlfn.CONCAT("*",Table13[[#Headers],[Animation]],"*")),1,0)</f>
        <v>0</v>
      </c>
      <c r="L1035">
        <f>IF(COUNTIF($E1035, _xlfn.CONCAT("*",Table13[[#Headers],[Comedy]],"*")),1,0)</f>
        <v>0</v>
      </c>
      <c r="M1035">
        <f>IF(COUNTIF($E1035, _xlfn.CONCAT("*",Table13[[#Headers],[Crime]],"*")),1,0)</f>
        <v>1</v>
      </c>
      <c r="N1035">
        <f>IF(COUNTIF($E1035, _xlfn.CONCAT("*",Table13[[#Headers],[Documentary]],"*")),1,0)</f>
        <v>0</v>
      </c>
      <c r="O1035">
        <f>IF(COUNTIF($E1035, _xlfn.CONCAT("*",Table13[[#Headers],[Drama]],"*")),1,0)</f>
        <v>1</v>
      </c>
      <c r="P1035">
        <f>IF(COUNTIF($E1035, _xlfn.CONCAT("*",Table13[[#Headers],[Family]],"*")),1,0)</f>
        <v>0</v>
      </c>
      <c r="Q1035">
        <f>IF(COUNTIF($E1035, _xlfn.CONCAT("*",Table13[[#Headers],[Fantasy]],"*")),1,0)</f>
        <v>0</v>
      </c>
      <c r="R1035">
        <f>IF(COUNTIF($E1035, _xlfn.CONCAT("*",Table13[[#Headers],[History]],"*")),1,0)</f>
        <v>0</v>
      </c>
      <c r="S1035">
        <f>IF(COUNTIF($E1035, _xlfn.CONCAT("*",Table13[[#Headers],[Horror]],"*")),1,0)</f>
        <v>0</v>
      </c>
      <c r="T1035">
        <f>IF(COUNTIF($E1035, _xlfn.CONCAT("*",Table13[[#Headers],[Music]],"*")),1,0)</f>
        <v>0</v>
      </c>
      <c r="U1035">
        <f>IF(COUNTIF($E1035, _xlfn.CONCAT("*",Table13[[#Headers],[Mystery]],"*")),1,0)</f>
        <v>0</v>
      </c>
      <c r="V1035">
        <f>IF(COUNTIF($E1035, _xlfn.CONCAT("*",Table13[[#Headers],[Romance]],"*")),1,0)</f>
        <v>0</v>
      </c>
      <c r="W1035">
        <f>IF(COUNTIF($E1035, _xlfn.CONCAT("*",Table13[[#Headers],[Science Fiction]],"*")),1,0)</f>
        <v>0</v>
      </c>
      <c r="X1035">
        <f>IF(COUNTIF($E1035, _xlfn.CONCAT("*",Table13[[#Headers],[TV Movie]],"*")),1,0)</f>
        <v>0</v>
      </c>
      <c r="Y1035">
        <f>IF(COUNTIF($E1035, _xlfn.CONCAT("*",Table13[[#Headers],[Thriller]],"*")),1,0)</f>
        <v>0</v>
      </c>
      <c r="Z1035">
        <f>IF(COUNTIF($E1035, _xlfn.CONCAT("*",Table13[[#Headers],[War]],"*")),1,0)</f>
        <v>0</v>
      </c>
      <c r="AA1035">
        <f>IF(COUNTIF($E1035, _xlfn.CONCAT("*",Table13[[#Headers],[Western]],"*")),1,0)</f>
        <v>0</v>
      </c>
    </row>
    <row r="1036" spans="1:27">
      <c r="A1036" t="s">
        <v>320</v>
      </c>
      <c r="B1036">
        <v>100</v>
      </c>
      <c r="C1036">
        <f>MAX(Table13[Rank])-Table13[[#This Row],[Rank]]</f>
        <v>164</v>
      </c>
      <c r="D1036" t="s">
        <v>994</v>
      </c>
      <c r="E1036" t="s">
        <v>21</v>
      </c>
      <c r="F1036" s="1">
        <v>42664</v>
      </c>
      <c r="G1036">
        <f>YEAR(Table13[[#This Row],[Date]])</f>
        <v>2016</v>
      </c>
      <c r="H1036" t="s">
        <v>320</v>
      </c>
      <c r="I1036">
        <f>IF(COUNTIF($E1036, _xlfn.CONCAT("*",Table13[[#Headers],[Action]],"*")),1,0)</f>
        <v>0</v>
      </c>
      <c r="J1036">
        <f>IF(COUNTIF($E1036, _xlfn.CONCAT("*",Table13[[#Headers],[Adventure]],"*")),1,0)</f>
        <v>0</v>
      </c>
      <c r="K1036">
        <f>IF(COUNTIF($E1036, _xlfn.CONCAT("*",Table13[[#Headers],[Animation]],"*")),1,0)</f>
        <v>0</v>
      </c>
      <c r="L1036">
        <f>IF(COUNTIF($E1036, _xlfn.CONCAT("*",Table13[[#Headers],[Comedy]],"*")),1,0)</f>
        <v>0</v>
      </c>
      <c r="M1036">
        <f>IF(COUNTIF($E1036, _xlfn.CONCAT("*",Table13[[#Headers],[Crime]],"*")),1,0)</f>
        <v>0</v>
      </c>
      <c r="N1036">
        <f>IF(COUNTIF($E1036, _xlfn.CONCAT("*",Table13[[#Headers],[Documentary]],"*")),1,0)</f>
        <v>0</v>
      </c>
      <c r="O1036">
        <f>IF(COUNTIF($E1036, _xlfn.CONCAT("*",Table13[[#Headers],[Drama]],"*")),1,0)</f>
        <v>1</v>
      </c>
      <c r="P1036">
        <f>IF(COUNTIF($E1036, _xlfn.CONCAT("*",Table13[[#Headers],[Family]],"*")),1,0)</f>
        <v>0</v>
      </c>
      <c r="Q1036">
        <f>IF(COUNTIF($E1036, _xlfn.CONCAT("*",Table13[[#Headers],[Fantasy]],"*")),1,0)</f>
        <v>0</v>
      </c>
      <c r="R1036">
        <f>IF(COUNTIF($E1036, _xlfn.CONCAT("*",Table13[[#Headers],[History]],"*")),1,0)</f>
        <v>0</v>
      </c>
      <c r="S1036">
        <f>IF(COUNTIF($E1036, _xlfn.CONCAT("*",Table13[[#Headers],[Horror]],"*")),1,0)</f>
        <v>0</v>
      </c>
      <c r="T1036">
        <f>IF(COUNTIF($E1036, _xlfn.CONCAT("*",Table13[[#Headers],[Music]],"*")),1,0)</f>
        <v>0</v>
      </c>
      <c r="U1036">
        <f>IF(COUNTIF($E1036, _xlfn.CONCAT("*",Table13[[#Headers],[Mystery]],"*")),1,0)</f>
        <v>0</v>
      </c>
      <c r="V1036">
        <f>IF(COUNTIF($E1036, _xlfn.CONCAT("*",Table13[[#Headers],[Romance]],"*")),1,0)</f>
        <v>0</v>
      </c>
      <c r="W1036">
        <f>IF(COUNTIF($E1036, _xlfn.CONCAT("*",Table13[[#Headers],[Science Fiction]],"*")),1,0)</f>
        <v>0</v>
      </c>
      <c r="X1036">
        <f>IF(COUNTIF($E1036, _xlfn.CONCAT("*",Table13[[#Headers],[TV Movie]],"*")),1,0)</f>
        <v>0</v>
      </c>
      <c r="Y1036">
        <f>IF(COUNTIF($E1036, _xlfn.CONCAT("*",Table13[[#Headers],[Thriller]],"*")),1,0)</f>
        <v>0</v>
      </c>
      <c r="Z1036">
        <f>IF(COUNTIF($E1036, _xlfn.CONCAT("*",Table13[[#Headers],[War]],"*")),1,0)</f>
        <v>0</v>
      </c>
      <c r="AA1036">
        <f>IF(COUNTIF($E1036, _xlfn.CONCAT("*",Table13[[#Headers],[Western]],"*")),1,0)</f>
        <v>0</v>
      </c>
    </row>
    <row r="1037" spans="1:27">
      <c r="A1037" t="s">
        <v>880</v>
      </c>
      <c r="B1037">
        <v>99</v>
      </c>
      <c r="C1037">
        <f>MAX(Table13[Rank])-Table13[[#This Row],[Rank]]</f>
        <v>165</v>
      </c>
      <c r="D1037" t="s">
        <v>994</v>
      </c>
      <c r="E1037" t="s">
        <v>137</v>
      </c>
      <c r="F1037" s="1">
        <v>37794</v>
      </c>
      <c r="G1037">
        <f>YEAR(Table13[[#This Row],[Date]])</f>
        <v>2003</v>
      </c>
      <c r="H1037" t="s">
        <v>880</v>
      </c>
      <c r="I1037">
        <f>IF(COUNTIF($E1037, _xlfn.CONCAT("*",Table13[[#Headers],[Action]],"*")),1,0)</f>
        <v>0</v>
      </c>
      <c r="J1037">
        <f>IF(COUNTIF($E1037, _xlfn.CONCAT("*",Table13[[#Headers],[Adventure]],"*")),1,0)</f>
        <v>0</v>
      </c>
      <c r="K1037">
        <f>IF(COUNTIF($E1037, _xlfn.CONCAT("*",Table13[[#Headers],[Animation]],"*")),1,0)</f>
        <v>0</v>
      </c>
      <c r="L1037">
        <f>IF(COUNTIF($E1037, _xlfn.CONCAT("*",Table13[[#Headers],[Comedy]],"*")),1,0)</f>
        <v>0</v>
      </c>
      <c r="M1037">
        <f>IF(COUNTIF($E1037, _xlfn.CONCAT("*",Table13[[#Headers],[Crime]],"*")),1,0)</f>
        <v>0</v>
      </c>
      <c r="N1037">
        <f>IF(COUNTIF($E1037, _xlfn.CONCAT("*",Table13[[#Headers],[Documentary]],"*")),1,0)</f>
        <v>0</v>
      </c>
      <c r="O1037">
        <f>IF(COUNTIF($E1037, _xlfn.CONCAT("*",Table13[[#Headers],[Drama]],"*")),1,0)</f>
        <v>1</v>
      </c>
      <c r="P1037">
        <f>IF(COUNTIF($E1037, _xlfn.CONCAT("*",Table13[[#Headers],[Family]],"*")),1,0)</f>
        <v>0</v>
      </c>
      <c r="Q1037">
        <f>IF(COUNTIF($E1037, _xlfn.CONCAT("*",Table13[[#Headers],[Fantasy]],"*")),1,0)</f>
        <v>0</v>
      </c>
      <c r="R1037">
        <f>IF(COUNTIF($E1037, _xlfn.CONCAT("*",Table13[[#Headers],[History]],"*")),1,0)</f>
        <v>1</v>
      </c>
      <c r="S1037">
        <f>IF(COUNTIF($E1037, _xlfn.CONCAT("*",Table13[[#Headers],[Horror]],"*")),1,0)</f>
        <v>0</v>
      </c>
      <c r="T1037">
        <f>IF(COUNTIF($E1037, _xlfn.CONCAT("*",Table13[[#Headers],[Music]],"*")),1,0)</f>
        <v>0</v>
      </c>
      <c r="U1037">
        <f>IF(COUNTIF($E1037, _xlfn.CONCAT("*",Table13[[#Headers],[Mystery]],"*")),1,0)</f>
        <v>0</v>
      </c>
      <c r="V1037">
        <f>IF(COUNTIF($E1037, _xlfn.CONCAT("*",Table13[[#Headers],[Romance]],"*")),1,0)</f>
        <v>1</v>
      </c>
      <c r="W1037">
        <f>IF(COUNTIF($E1037, _xlfn.CONCAT("*",Table13[[#Headers],[Science Fiction]],"*")),1,0)</f>
        <v>0</v>
      </c>
      <c r="X1037">
        <f>IF(COUNTIF($E1037, _xlfn.CONCAT("*",Table13[[#Headers],[TV Movie]],"*")),1,0)</f>
        <v>0</v>
      </c>
      <c r="Y1037">
        <f>IF(COUNTIF($E1037, _xlfn.CONCAT("*",Table13[[#Headers],[Thriller]],"*")),1,0)</f>
        <v>0</v>
      </c>
      <c r="Z1037">
        <f>IF(COUNTIF($E1037, _xlfn.CONCAT("*",Table13[[#Headers],[War]],"*")),1,0)</f>
        <v>0</v>
      </c>
      <c r="AA1037">
        <f>IF(COUNTIF($E1037, _xlfn.CONCAT("*",Table13[[#Headers],[Western]],"*")),1,0)</f>
        <v>0</v>
      </c>
    </row>
    <row r="1038" spans="1:27">
      <c r="A1038" t="s">
        <v>276</v>
      </c>
      <c r="B1038">
        <v>98</v>
      </c>
      <c r="C1038">
        <f>MAX(Table13[Rank])-Table13[[#This Row],[Rank]]</f>
        <v>166</v>
      </c>
      <c r="D1038" t="s">
        <v>994</v>
      </c>
      <c r="E1038" t="s">
        <v>21</v>
      </c>
      <c r="F1038" s="1">
        <v>36789</v>
      </c>
      <c r="G1038">
        <f>YEAR(Table13[[#This Row],[Date]])</f>
        <v>2000</v>
      </c>
      <c r="H1038" t="s">
        <v>276</v>
      </c>
      <c r="I1038">
        <f>IF(COUNTIF($E1038, _xlfn.CONCAT("*",Table13[[#Headers],[Action]],"*")),1,0)</f>
        <v>0</v>
      </c>
      <c r="J1038">
        <f>IF(COUNTIF($E1038, _xlfn.CONCAT("*",Table13[[#Headers],[Adventure]],"*")),1,0)</f>
        <v>0</v>
      </c>
      <c r="K1038">
        <f>IF(COUNTIF($E1038, _xlfn.CONCAT("*",Table13[[#Headers],[Animation]],"*")),1,0)</f>
        <v>0</v>
      </c>
      <c r="L1038">
        <f>IF(COUNTIF($E1038, _xlfn.CONCAT("*",Table13[[#Headers],[Comedy]],"*")),1,0)</f>
        <v>0</v>
      </c>
      <c r="M1038">
        <f>IF(COUNTIF($E1038, _xlfn.CONCAT("*",Table13[[#Headers],[Crime]],"*")),1,0)</f>
        <v>0</v>
      </c>
      <c r="N1038">
        <f>IF(COUNTIF($E1038, _xlfn.CONCAT("*",Table13[[#Headers],[Documentary]],"*")),1,0)</f>
        <v>0</v>
      </c>
      <c r="O1038">
        <f>IF(COUNTIF($E1038, _xlfn.CONCAT("*",Table13[[#Headers],[Drama]],"*")),1,0)</f>
        <v>1</v>
      </c>
      <c r="P1038">
        <f>IF(COUNTIF($E1038, _xlfn.CONCAT("*",Table13[[#Headers],[Family]],"*")),1,0)</f>
        <v>0</v>
      </c>
      <c r="Q1038">
        <f>IF(COUNTIF($E1038, _xlfn.CONCAT("*",Table13[[#Headers],[Fantasy]],"*")),1,0)</f>
        <v>0</v>
      </c>
      <c r="R1038">
        <f>IF(COUNTIF($E1038, _xlfn.CONCAT("*",Table13[[#Headers],[History]],"*")),1,0)</f>
        <v>0</v>
      </c>
      <c r="S1038">
        <f>IF(COUNTIF($E1038, _xlfn.CONCAT("*",Table13[[#Headers],[Horror]],"*")),1,0)</f>
        <v>0</v>
      </c>
      <c r="T1038">
        <f>IF(COUNTIF($E1038, _xlfn.CONCAT("*",Table13[[#Headers],[Music]],"*")),1,0)</f>
        <v>0</v>
      </c>
      <c r="U1038">
        <f>IF(COUNTIF($E1038, _xlfn.CONCAT("*",Table13[[#Headers],[Mystery]],"*")),1,0)</f>
        <v>0</v>
      </c>
      <c r="V1038">
        <f>IF(COUNTIF($E1038, _xlfn.CONCAT("*",Table13[[#Headers],[Romance]],"*")),1,0)</f>
        <v>0</v>
      </c>
      <c r="W1038">
        <f>IF(COUNTIF($E1038, _xlfn.CONCAT("*",Table13[[#Headers],[Science Fiction]],"*")),1,0)</f>
        <v>0</v>
      </c>
      <c r="X1038">
        <f>IF(COUNTIF($E1038, _xlfn.CONCAT("*",Table13[[#Headers],[TV Movie]],"*")),1,0)</f>
        <v>0</v>
      </c>
      <c r="Y1038">
        <f>IF(COUNTIF($E1038, _xlfn.CONCAT("*",Table13[[#Headers],[Thriller]],"*")),1,0)</f>
        <v>0</v>
      </c>
      <c r="Z1038">
        <f>IF(COUNTIF($E1038, _xlfn.CONCAT("*",Table13[[#Headers],[War]],"*")),1,0)</f>
        <v>0</v>
      </c>
      <c r="AA1038">
        <f>IF(COUNTIF($E1038, _xlfn.CONCAT("*",Table13[[#Headers],[Western]],"*")),1,0)</f>
        <v>0</v>
      </c>
    </row>
    <row r="1039" spans="1:27">
      <c r="A1039" t="s">
        <v>917</v>
      </c>
      <c r="B1039">
        <v>97</v>
      </c>
      <c r="C1039">
        <f>MAX(Table13[Rank])-Table13[[#This Row],[Rank]]</f>
        <v>167</v>
      </c>
      <c r="D1039" t="s">
        <v>994</v>
      </c>
      <c r="E1039" t="s">
        <v>21</v>
      </c>
      <c r="F1039" s="1">
        <v>19013</v>
      </c>
      <c r="G1039">
        <f>YEAR(Table13[[#This Row],[Date]])</f>
        <v>1952</v>
      </c>
      <c r="H1039" t="s">
        <v>917</v>
      </c>
      <c r="I1039">
        <f>IF(COUNTIF($E1039, _xlfn.CONCAT("*",Table13[[#Headers],[Action]],"*")),1,0)</f>
        <v>0</v>
      </c>
      <c r="J1039">
        <f>IF(COUNTIF($E1039, _xlfn.CONCAT("*",Table13[[#Headers],[Adventure]],"*")),1,0)</f>
        <v>0</v>
      </c>
      <c r="K1039">
        <f>IF(COUNTIF($E1039, _xlfn.CONCAT("*",Table13[[#Headers],[Animation]],"*")),1,0)</f>
        <v>0</v>
      </c>
      <c r="L1039">
        <f>IF(COUNTIF($E1039, _xlfn.CONCAT("*",Table13[[#Headers],[Comedy]],"*")),1,0)</f>
        <v>0</v>
      </c>
      <c r="M1039">
        <f>IF(COUNTIF($E1039, _xlfn.CONCAT("*",Table13[[#Headers],[Crime]],"*")),1,0)</f>
        <v>0</v>
      </c>
      <c r="N1039">
        <f>IF(COUNTIF($E1039, _xlfn.CONCAT("*",Table13[[#Headers],[Documentary]],"*")),1,0)</f>
        <v>0</v>
      </c>
      <c r="O1039">
        <f>IF(COUNTIF($E1039, _xlfn.CONCAT("*",Table13[[#Headers],[Drama]],"*")),1,0)</f>
        <v>1</v>
      </c>
      <c r="P1039">
        <f>IF(COUNTIF($E1039, _xlfn.CONCAT("*",Table13[[#Headers],[Family]],"*")),1,0)</f>
        <v>0</v>
      </c>
      <c r="Q1039">
        <f>IF(COUNTIF($E1039, _xlfn.CONCAT("*",Table13[[#Headers],[Fantasy]],"*")),1,0)</f>
        <v>0</v>
      </c>
      <c r="R1039">
        <f>IF(COUNTIF($E1039, _xlfn.CONCAT("*",Table13[[#Headers],[History]],"*")),1,0)</f>
        <v>0</v>
      </c>
      <c r="S1039">
        <f>IF(COUNTIF($E1039, _xlfn.CONCAT("*",Table13[[#Headers],[Horror]],"*")),1,0)</f>
        <v>0</v>
      </c>
      <c r="T1039">
        <f>IF(COUNTIF($E1039, _xlfn.CONCAT("*",Table13[[#Headers],[Music]],"*")),1,0)</f>
        <v>0</v>
      </c>
      <c r="U1039">
        <f>IF(COUNTIF($E1039, _xlfn.CONCAT("*",Table13[[#Headers],[Mystery]],"*")),1,0)</f>
        <v>0</v>
      </c>
      <c r="V1039">
        <f>IF(COUNTIF($E1039, _xlfn.CONCAT("*",Table13[[#Headers],[Romance]],"*")),1,0)</f>
        <v>0</v>
      </c>
      <c r="W1039">
        <f>IF(COUNTIF($E1039, _xlfn.CONCAT("*",Table13[[#Headers],[Science Fiction]],"*")),1,0)</f>
        <v>0</v>
      </c>
      <c r="X1039">
        <f>IF(COUNTIF($E1039, _xlfn.CONCAT("*",Table13[[#Headers],[TV Movie]],"*")),1,0)</f>
        <v>0</v>
      </c>
      <c r="Y1039">
        <f>IF(COUNTIF($E1039, _xlfn.CONCAT("*",Table13[[#Headers],[Thriller]],"*")),1,0)</f>
        <v>0</v>
      </c>
      <c r="Z1039">
        <f>IF(COUNTIF($E1039, _xlfn.CONCAT("*",Table13[[#Headers],[War]],"*")),1,0)</f>
        <v>0</v>
      </c>
      <c r="AA1039">
        <f>IF(COUNTIF($E1039, _xlfn.CONCAT("*",Table13[[#Headers],[Western]],"*")),1,0)</f>
        <v>0</v>
      </c>
    </row>
    <row r="1040" spans="1:27">
      <c r="A1040" t="s">
        <v>995</v>
      </c>
      <c r="B1040">
        <v>96</v>
      </c>
      <c r="C1040">
        <f>MAX(Table13[Rank])-Table13[[#This Row],[Rank]]</f>
        <v>168</v>
      </c>
      <c r="D1040" t="s">
        <v>994</v>
      </c>
      <c r="E1040" t="s">
        <v>35</v>
      </c>
      <c r="F1040" s="1">
        <v>22669</v>
      </c>
      <c r="G1040">
        <f>YEAR(Table13[[#This Row],[Date]])</f>
        <v>1962</v>
      </c>
      <c r="H1040" t="s">
        <v>995</v>
      </c>
      <c r="I1040">
        <f>IF(COUNTIF($E1040, _xlfn.CONCAT("*",Table13[[#Headers],[Action]],"*")),1,0)</f>
        <v>0</v>
      </c>
      <c r="J1040">
        <f>IF(COUNTIF($E1040, _xlfn.CONCAT("*",Table13[[#Headers],[Adventure]],"*")),1,0)</f>
        <v>0</v>
      </c>
      <c r="K1040">
        <f>IF(COUNTIF($E1040, _xlfn.CONCAT("*",Table13[[#Headers],[Animation]],"*")),1,0)</f>
        <v>0</v>
      </c>
      <c r="L1040">
        <f>IF(COUNTIF($E1040, _xlfn.CONCAT("*",Table13[[#Headers],[Comedy]],"*")),1,0)</f>
        <v>0</v>
      </c>
      <c r="M1040">
        <f>IF(COUNTIF($E1040, _xlfn.CONCAT("*",Table13[[#Headers],[Crime]],"*")),1,0)</f>
        <v>0</v>
      </c>
      <c r="N1040">
        <f>IF(COUNTIF($E1040, _xlfn.CONCAT("*",Table13[[#Headers],[Documentary]],"*")),1,0)</f>
        <v>0</v>
      </c>
      <c r="O1040">
        <f>IF(COUNTIF($E1040, _xlfn.CONCAT("*",Table13[[#Headers],[Drama]],"*")),1,0)</f>
        <v>1</v>
      </c>
      <c r="P1040">
        <f>IF(COUNTIF($E1040, _xlfn.CONCAT("*",Table13[[#Headers],[Family]],"*")),1,0)</f>
        <v>0</v>
      </c>
      <c r="Q1040">
        <f>IF(COUNTIF($E1040, _xlfn.CONCAT("*",Table13[[#Headers],[Fantasy]],"*")),1,0)</f>
        <v>0</v>
      </c>
      <c r="R1040">
        <f>IF(COUNTIF($E1040, _xlfn.CONCAT("*",Table13[[#Headers],[History]],"*")),1,0)</f>
        <v>0</v>
      </c>
      <c r="S1040">
        <f>IF(COUNTIF($E1040, _xlfn.CONCAT("*",Table13[[#Headers],[Horror]],"*")),1,0)</f>
        <v>0</v>
      </c>
      <c r="T1040">
        <f>IF(COUNTIF($E1040, _xlfn.CONCAT("*",Table13[[#Headers],[Music]],"*")),1,0)</f>
        <v>0</v>
      </c>
      <c r="U1040">
        <f>IF(COUNTIF($E1040, _xlfn.CONCAT("*",Table13[[#Headers],[Mystery]],"*")),1,0)</f>
        <v>0</v>
      </c>
      <c r="V1040">
        <f>IF(COUNTIF($E1040, _xlfn.CONCAT("*",Table13[[#Headers],[Romance]],"*")),1,0)</f>
        <v>1</v>
      </c>
      <c r="W1040">
        <f>IF(COUNTIF($E1040, _xlfn.CONCAT("*",Table13[[#Headers],[Science Fiction]],"*")),1,0)</f>
        <v>0</v>
      </c>
      <c r="X1040">
        <f>IF(COUNTIF($E1040, _xlfn.CONCAT("*",Table13[[#Headers],[TV Movie]],"*")),1,0)</f>
        <v>0</v>
      </c>
      <c r="Y1040">
        <f>IF(COUNTIF($E1040, _xlfn.CONCAT("*",Table13[[#Headers],[Thriller]],"*")),1,0)</f>
        <v>0</v>
      </c>
      <c r="Z1040">
        <f>IF(COUNTIF($E1040, _xlfn.CONCAT("*",Table13[[#Headers],[War]],"*")),1,0)</f>
        <v>0</v>
      </c>
      <c r="AA1040">
        <f>IF(COUNTIF($E1040, _xlfn.CONCAT("*",Table13[[#Headers],[Western]],"*")),1,0)</f>
        <v>0</v>
      </c>
    </row>
    <row r="1041" spans="1:27">
      <c r="A1041" t="s">
        <v>781</v>
      </c>
      <c r="B1041">
        <v>95</v>
      </c>
      <c r="C1041">
        <f>MAX(Table13[Rank])-Table13[[#This Row],[Rank]]</f>
        <v>169</v>
      </c>
      <c r="D1041" t="s">
        <v>994</v>
      </c>
      <c r="E1041" t="s">
        <v>184</v>
      </c>
      <c r="F1041" s="1">
        <v>23071</v>
      </c>
      <c r="G1041">
        <f>YEAR(Table13[[#This Row],[Date]])</f>
        <v>1963</v>
      </c>
      <c r="H1041" t="s">
        <v>781</v>
      </c>
      <c r="I1041">
        <f>IF(COUNTIF($E1041, _xlfn.CONCAT("*",Table13[[#Headers],[Action]],"*")),1,0)</f>
        <v>0</v>
      </c>
      <c r="J1041">
        <f>IF(COUNTIF($E1041, _xlfn.CONCAT("*",Table13[[#Headers],[Adventure]],"*")),1,0)</f>
        <v>0</v>
      </c>
      <c r="K1041">
        <f>IF(COUNTIF($E1041, _xlfn.CONCAT("*",Table13[[#Headers],[Animation]],"*")),1,0)</f>
        <v>0</v>
      </c>
      <c r="L1041">
        <f>IF(COUNTIF($E1041, _xlfn.CONCAT("*",Table13[[#Headers],[Comedy]],"*")),1,0)</f>
        <v>0</v>
      </c>
      <c r="M1041">
        <f>IF(COUNTIF($E1041, _xlfn.CONCAT("*",Table13[[#Headers],[Crime]],"*")),1,0)</f>
        <v>1</v>
      </c>
      <c r="N1041">
        <f>IF(COUNTIF($E1041, _xlfn.CONCAT("*",Table13[[#Headers],[Documentary]],"*")),1,0)</f>
        <v>0</v>
      </c>
      <c r="O1041">
        <f>IF(COUNTIF($E1041, _xlfn.CONCAT("*",Table13[[#Headers],[Drama]],"*")),1,0)</f>
        <v>1</v>
      </c>
      <c r="P1041">
        <f>IF(COUNTIF($E1041, _xlfn.CONCAT("*",Table13[[#Headers],[Family]],"*")),1,0)</f>
        <v>0</v>
      </c>
      <c r="Q1041">
        <f>IF(COUNTIF($E1041, _xlfn.CONCAT("*",Table13[[#Headers],[Fantasy]],"*")),1,0)</f>
        <v>0</v>
      </c>
      <c r="R1041">
        <f>IF(COUNTIF($E1041, _xlfn.CONCAT("*",Table13[[#Headers],[History]],"*")),1,0)</f>
        <v>0</v>
      </c>
      <c r="S1041">
        <f>IF(COUNTIF($E1041, _xlfn.CONCAT("*",Table13[[#Headers],[Horror]],"*")),1,0)</f>
        <v>0</v>
      </c>
      <c r="T1041">
        <f>IF(COUNTIF($E1041, _xlfn.CONCAT("*",Table13[[#Headers],[Music]],"*")),1,0)</f>
        <v>0</v>
      </c>
      <c r="U1041">
        <f>IF(COUNTIF($E1041, _xlfn.CONCAT("*",Table13[[#Headers],[Mystery]],"*")),1,0)</f>
        <v>1</v>
      </c>
      <c r="V1041">
        <f>IF(COUNTIF($E1041, _xlfn.CONCAT("*",Table13[[#Headers],[Romance]],"*")),1,0)</f>
        <v>0</v>
      </c>
      <c r="W1041">
        <f>IF(COUNTIF($E1041, _xlfn.CONCAT("*",Table13[[#Headers],[Science Fiction]],"*")),1,0)</f>
        <v>0</v>
      </c>
      <c r="X1041">
        <f>IF(COUNTIF($E1041, _xlfn.CONCAT("*",Table13[[#Headers],[TV Movie]],"*")),1,0)</f>
        <v>0</v>
      </c>
      <c r="Y1041">
        <f>IF(COUNTIF($E1041, _xlfn.CONCAT("*",Table13[[#Headers],[Thriller]],"*")),1,0)</f>
        <v>1</v>
      </c>
      <c r="Z1041">
        <f>IF(COUNTIF($E1041, _xlfn.CONCAT("*",Table13[[#Headers],[War]],"*")),1,0)</f>
        <v>0</v>
      </c>
      <c r="AA1041">
        <f>IF(COUNTIF($E1041, _xlfn.CONCAT("*",Table13[[#Headers],[Western]],"*")),1,0)</f>
        <v>0</v>
      </c>
    </row>
    <row r="1042" spans="1:27">
      <c r="A1042" t="s">
        <v>996</v>
      </c>
      <c r="B1042">
        <v>94</v>
      </c>
      <c r="C1042">
        <f>MAX(Table13[Rank])-Table13[[#This Row],[Rank]]</f>
        <v>170</v>
      </c>
      <c r="D1042" t="s">
        <v>994</v>
      </c>
      <c r="E1042" t="s">
        <v>336</v>
      </c>
      <c r="F1042" s="1">
        <v>17161</v>
      </c>
      <c r="G1042">
        <f>YEAR(Table13[[#This Row],[Date]])</f>
        <v>1946</v>
      </c>
      <c r="H1042" t="s">
        <v>996</v>
      </c>
      <c r="I1042">
        <f>IF(COUNTIF($E1042, _xlfn.CONCAT("*",Table13[[#Headers],[Action]],"*")),1,0)</f>
        <v>0</v>
      </c>
      <c r="J1042">
        <f>IF(COUNTIF($E1042, _xlfn.CONCAT("*",Table13[[#Headers],[Adventure]],"*")),1,0)</f>
        <v>0</v>
      </c>
      <c r="K1042">
        <f>IF(COUNTIF($E1042, _xlfn.CONCAT("*",Table13[[#Headers],[Animation]],"*")),1,0)</f>
        <v>0</v>
      </c>
      <c r="L1042">
        <f>IF(COUNTIF($E1042, _xlfn.CONCAT("*",Table13[[#Headers],[Comedy]],"*")),1,0)</f>
        <v>0</v>
      </c>
      <c r="M1042">
        <f>IF(COUNTIF($E1042, _xlfn.CONCAT("*",Table13[[#Headers],[Crime]],"*")),1,0)</f>
        <v>0</v>
      </c>
      <c r="N1042">
        <f>IF(COUNTIF($E1042, _xlfn.CONCAT("*",Table13[[#Headers],[Documentary]],"*")),1,0)</f>
        <v>0</v>
      </c>
      <c r="O1042">
        <f>IF(COUNTIF($E1042, _xlfn.CONCAT("*",Table13[[#Headers],[Drama]],"*")),1,0)</f>
        <v>1</v>
      </c>
      <c r="P1042">
        <f>IF(COUNTIF($E1042, _xlfn.CONCAT("*",Table13[[#Headers],[Family]],"*")),1,0)</f>
        <v>0</v>
      </c>
      <c r="Q1042">
        <f>IF(COUNTIF($E1042, _xlfn.CONCAT("*",Table13[[#Headers],[Fantasy]],"*")),1,0)</f>
        <v>0</v>
      </c>
      <c r="R1042">
        <f>IF(COUNTIF($E1042, _xlfn.CONCAT("*",Table13[[#Headers],[History]],"*")),1,0)</f>
        <v>0</v>
      </c>
      <c r="S1042">
        <f>IF(COUNTIF($E1042, _xlfn.CONCAT("*",Table13[[#Headers],[Horror]],"*")),1,0)</f>
        <v>0</v>
      </c>
      <c r="T1042">
        <f>IF(COUNTIF($E1042, _xlfn.CONCAT("*",Table13[[#Headers],[Music]],"*")),1,0)</f>
        <v>0</v>
      </c>
      <c r="U1042">
        <f>IF(COUNTIF($E1042, _xlfn.CONCAT("*",Table13[[#Headers],[Mystery]],"*")),1,0)</f>
        <v>0</v>
      </c>
      <c r="V1042">
        <f>IF(COUNTIF($E1042, _xlfn.CONCAT("*",Table13[[#Headers],[Romance]],"*")),1,0)</f>
        <v>1</v>
      </c>
      <c r="W1042">
        <f>IF(COUNTIF($E1042, _xlfn.CONCAT("*",Table13[[#Headers],[Science Fiction]],"*")),1,0)</f>
        <v>0</v>
      </c>
      <c r="X1042">
        <f>IF(COUNTIF($E1042, _xlfn.CONCAT("*",Table13[[#Headers],[TV Movie]],"*")),1,0)</f>
        <v>0</v>
      </c>
      <c r="Y1042">
        <f>IF(COUNTIF($E1042, _xlfn.CONCAT("*",Table13[[#Headers],[Thriller]],"*")),1,0)</f>
        <v>0</v>
      </c>
      <c r="Z1042">
        <f>IF(COUNTIF($E1042, _xlfn.CONCAT("*",Table13[[#Headers],[War]],"*")),1,0)</f>
        <v>1</v>
      </c>
      <c r="AA1042">
        <f>IF(COUNTIF($E1042, _xlfn.CONCAT("*",Table13[[#Headers],[Western]],"*")),1,0)</f>
        <v>0</v>
      </c>
    </row>
    <row r="1043" spans="1:27">
      <c r="A1043" t="s">
        <v>159</v>
      </c>
      <c r="B1043">
        <v>93</v>
      </c>
      <c r="C1043">
        <f>MAX(Table13[Rank])-Table13[[#This Row],[Rank]]</f>
        <v>171</v>
      </c>
      <c r="D1043" t="s">
        <v>994</v>
      </c>
      <c r="E1043" t="s">
        <v>21</v>
      </c>
      <c r="F1043" s="1">
        <v>19276</v>
      </c>
      <c r="G1043">
        <f>YEAR(Table13[[#This Row],[Date]])</f>
        <v>1952</v>
      </c>
      <c r="H1043" t="s">
        <v>159</v>
      </c>
      <c r="I1043">
        <f>IF(COUNTIF($E1043, _xlfn.CONCAT("*",Table13[[#Headers],[Action]],"*")),1,0)</f>
        <v>0</v>
      </c>
      <c r="J1043">
        <f>IF(COUNTIF($E1043, _xlfn.CONCAT("*",Table13[[#Headers],[Adventure]],"*")),1,0)</f>
        <v>0</v>
      </c>
      <c r="K1043">
        <f>IF(COUNTIF($E1043, _xlfn.CONCAT("*",Table13[[#Headers],[Animation]],"*")),1,0)</f>
        <v>0</v>
      </c>
      <c r="L1043">
        <f>IF(COUNTIF($E1043, _xlfn.CONCAT("*",Table13[[#Headers],[Comedy]],"*")),1,0)</f>
        <v>0</v>
      </c>
      <c r="M1043">
        <f>IF(COUNTIF($E1043, _xlfn.CONCAT("*",Table13[[#Headers],[Crime]],"*")),1,0)</f>
        <v>0</v>
      </c>
      <c r="N1043">
        <f>IF(COUNTIF($E1043, _xlfn.CONCAT("*",Table13[[#Headers],[Documentary]],"*")),1,0)</f>
        <v>0</v>
      </c>
      <c r="O1043">
        <f>IF(COUNTIF($E1043, _xlfn.CONCAT("*",Table13[[#Headers],[Drama]],"*")),1,0)</f>
        <v>1</v>
      </c>
      <c r="P1043">
        <f>IF(COUNTIF($E1043, _xlfn.CONCAT("*",Table13[[#Headers],[Family]],"*")),1,0)</f>
        <v>0</v>
      </c>
      <c r="Q1043">
        <f>IF(COUNTIF($E1043, _xlfn.CONCAT("*",Table13[[#Headers],[Fantasy]],"*")),1,0)</f>
        <v>0</v>
      </c>
      <c r="R1043">
        <f>IF(COUNTIF($E1043, _xlfn.CONCAT("*",Table13[[#Headers],[History]],"*")),1,0)</f>
        <v>0</v>
      </c>
      <c r="S1043">
        <f>IF(COUNTIF($E1043, _xlfn.CONCAT("*",Table13[[#Headers],[Horror]],"*")),1,0)</f>
        <v>0</v>
      </c>
      <c r="T1043">
        <f>IF(COUNTIF($E1043, _xlfn.CONCAT("*",Table13[[#Headers],[Music]],"*")),1,0)</f>
        <v>0</v>
      </c>
      <c r="U1043">
        <f>IF(COUNTIF($E1043, _xlfn.CONCAT("*",Table13[[#Headers],[Mystery]],"*")),1,0)</f>
        <v>0</v>
      </c>
      <c r="V1043">
        <f>IF(COUNTIF($E1043, _xlfn.CONCAT("*",Table13[[#Headers],[Romance]],"*")),1,0)</f>
        <v>0</v>
      </c>
      <c r="W1043">
        <f>IF(COUNTIF($E1043, _xlfn.CONCAT("*",Table13[[#Headers],[Science Fiction]],"*")),1,0)</f>
        <v>0</v>
      </c>
      <c r="X1043">
        <f>IF(COUNTIF($E1043, _xlfn.CONCAT("*",Table13[[#Headers],[TV Movie]],"*")),1,0)</f>
        <v>0</v>
      </c>
      <c r="Y1043">
        <f>IF(COUNTIF($E1043, _xlfn.CONCAT("*",Table13[[#Headers],[Thriller]],"*")),1,0)</f>
        <v>0</v>
      </c>
      <c r="Z1043">
        <f>IF(COUNTIF($E1043, _xlfn.CONCAT("*",Table13[[#Headers],[War]],"*")),1,0)</f>
        <v>0</v>
      </c>
      <c r="AA1043">
        <f>IF(COUNTIF($E1043, _xlfn.CONCAT("*",Table13[[#Headers],[Western]],"*")),1,0)</f>
        <v>0</v>
      </c>
    </row>
    <row r="1044" spans="1:27">
      <c r="A1044" t="s">
        <v>997</v>
      </c>
      <c r="B1044">
        <v>92</v>
      </c>
      <c r="C1044">
        <f>MAX(Table13[Rank])-Table13[[#This Row],[Rank]]</f>
        <v>172</v>
      </c>
      <c r="D1044" t="s">
        <v>994</v>
      </c>
      <c r="E1044" t="s">
        <v>610</v>
      </c>
      <c r="F1044" s="1">
        <v>14664</v>
      </c>
      <c r="G1044">
        <f>YEAR(Table13[[#This Row],[Date]])</f>
        <v>1940</v>
      </c>
      <c r="H1044" t="s">
        <v>997</v>
      </c>
      <c r="I1044">
        <f>IF(COUNTIF($E1044, _xlfn.CONCAT("*",Table13[[#Headers],[Action]],"*")),1,0)</f>
        <v>0</v>
      </c>
      <c r="J1044">
        <f>IF(COUNTIF($E1044, _xlfn.CONCAT("*",Table13[[#Headers],[Adventure]],"*")),1,0)</f>
        <v>0</v>
      </c>
      <c r="K1044">
        <f>IF(COUNTIF($E1044, _xlfn.CONCAT("*",Table13[[#Headers],[Animation]],"*")),1,0)</f>
        <v>1</v>
      </c>
      <c r="L1044">
        <f>IF(COUNTIF($E1044, _xlfn.CONCAT("*",Table13[[#Headers],[Comedy]],"*")),1,0)</f>
        <v>0</v>
      </c>
      <c r="M1044">
        <f>IF(COUNTIF($E1044, _xlfn.CONCAT("*",Table13[[#Headers],[Crime]],"*")),1,0)</f>
        <v>0</v>
      </c>
      <c r="N1044">
        <f>IF(COUNTIF($E1044, _xlfn.CONCAT("*",Table13[[#Headers],[Documentary]],"*")),1,0)</f>
        <v>0</v>
      </c>
      <c r="O1044">
        <f>IF(COUNTIF($E1044, _xlfn.CONCAT("*",Table13[[#Headers],[Drama]],"*")),1,0)</f>
        <v>0</v>
      </c>
      <c r="P1044">
        <f>IF(COUNTIF($E1044, _xlfn.CONCAT("*",Table13[[#Headers],[Family]],"*")),1,0)</f>
        <v>1</v>
      </c>
      <c r="Q1044">
        <f>IF(COUNTIF($E1044, _xlfn.CONCAT("*",Table13[[#Headers],[Fantasy]],"*")),1,0)</f>
        <v>0</v>
      </c>
      <c r="R1044">
        <f>IF(COUNTIF($E1044, _xlfn.CONCAT("*",Table13[[#Headers],[History]],"*")),1,0)</f>
        <v>0</v>
      </c>
      <c r="S1044">
        <f>IF(COUNTIF($E1044, _xlfn.CONCAT("*",Table13[[#Headers],[Horror]],"*")),1,0)</f>
        <v>0</v>
      </c>
      <c r="T1044">
        <f>IF(COUNTIF($E1044, _xlfn.CONCAT("*",Table13[[#Headers],[Music]],"*")),1,0)</f>
        <v>0</v>
      </c>
      <c r="U1044">
        <f>IF(COUNTIF($E1044, _xlfn.CONCAT("*",Table13[[#Headers],[Mystery]],"*")),1,0)</f>
        <v>0</v>
      </c>
      <c r="V1044">
        <f>IF(COUNTIF($E1044, _xlfn.CONCAT("*",Table13[[#Headers],[Romance]],"*")),1,0)</f>
        <v>0</v>
      </c>
      <c r="W1044">
        <f>IF(COUNTIF($E1044, _xlfn.CONCAT("*",Table13[[#Headers],[Science Fiction]],"*")),1,0)</f>
        <v>0</v>
      </c>
      <c r="X1044">
        <f>IF(COUNTIF($E1044, _xlfn.CONCAT("*",Table13[[#Headers],[TV Movie]],"*")),1,0)</f>
        <v>0</v>
      </c>
      <c r="Y1044">
        <f>IF(COUNTIF($E1044, _xlfn.CONCAT("*",Table13[[#Headers],[Thriller]],"*")),1,0)</f>
        <v>0</v>
      </c>
      <c r="Z1044">
        <f>IF(COUNTIF($E1044, _xlfn.CONCAT("*",Table13[[#Headers],[War]],"*")),1,0)</f>
        <v>0</v>
      </c>
      <c r="AA1044">
        <f>IF(COUNTIF($E1044, _xlfn.CONCAT("*",Table13[[#Headers],[Western]],"*")),1,0)</f>
        <v>0</v>
      </c>
    </row>
    <row r="1045" spans="1:27">
      <c r="A1045" t="s">
        <v>790</v>
      </c>
      <c r="B1045">
        <v>91</v>
      </c>
      <c r="C1045">
        <f>MAX(Table13[Rank])-Table13[[#This Row],[Rank]]</f>
        <v>173</v>
      </c>
      <c r="D1045" t="s">
        <v>994</v>
      </c>
      <c r="E1045" t="s">
        <v>81</v>
      </c>
      <c r="F1045" s="1">
        <v>21118</v>
      </c>
      <c r="G1045">
        <f>YEAR(Table13[[#This Row],[Date]])</f>
        <v>1957</v>
      </c>
      <c r="H1045" t="s">
        <v>790</v>
      </c>
      <c r="I1045">
        <f>IF(COUNTIF($E1045, _xlfn.CONCAT("*",Table13[[#Headers],[Action]],"*")),1,0)</f>
        <v>0</v>
      </c>
      <c r="J1045">
        <f>IF(COUNTIF($E1045, _xlfn.CONCAT("*",Table13[[#Headers],[Adventure]],"*")),1,0)</f>
        <v>0</v>
      </c>
      <c r="K1045">
        <f>IF(COUNTIF($E1045, _xlfn.CONCAT("*",Table13[[#Headers],[Animation]],"*")),1,0)</f>
        <v>0</v>
      </c>
      <c r="L1045">
        <f>IF(COUNTIF($E1045, _xlfn.CONCAT("*",Table13[[#Headers],[Comedy]],"*")),1,0)</f>
        <v>0</v>
      </c>
      <c r="M1045">
        <f>IF(COUNTIF($E1045, _xlfn.CONCAT("*",Table13[[#Headers],[Crime]],"*")),1,0)</f>
        <v>0</v>
      </c>
      <c r="N1045">
        <f>IF(COUNTIF($E1045, _xlfn.CONCAT("*",Table13[[#Headers],[Documentary]],"*")),1,0)</f>
        <v>0</v>
      </c>
      <c r="O1045">
        <f>IF(COUNTIF($E1045, _xlfn.CONCAT("*",Table13[[#Headers],[Drama]],"*")),1,0)</f>
        <v>1</v>
      </c>
      <c r="P1045">
        <f>IF(COUNTIF($E1045, _xlfn.CONCAT("*",Table13[[#Headers],[Family]],"*")),1,0)</f>
        <v>0</v>
      </c>
      <c r="Q1045">
        <f>IF(COUNTIF($E1045, _xlfn.CONCAT("*",Table13[[#Headers],[Fantasy]],"*")),1,0)</f>
        <v>0</v>
      </c>
      <c r="R1045">
        <f>IF(COUNTIF($E1045, _xlfn.CONCAT("*",Table13[[#Headers],[History]],"*")),1,0)</f>
        <v>0</v>
      </c>
      <c r="S1045">
        <f>IF(COUNTIF($E1045, _xlfn.CONCAT("*",Table13[[#Headers],[Horror]],"*")),1,0)</f>
        <v>0</v>
      </c>
      <c r="T1045">
        <f>IF(COUNTIF($E1045, _xlfn.CONCAT("*",Table13[[#Headers],[Music]],"*")),1,0)</f>
        <v>0</v>
      </c>
      <c r="U1045">
        <f>IF(COUNTIF($E1045, _xlfn.CONCAT("*",Table13[[#Headers],[Mystery]],"*")),1,0)</f>
        <v>0</v>
      </c>
      <c r="V1045">
        <f>IF(COUNTIF($E1045, _xlfn.CONCAT("*",Table13[[#Headers],[Romance]],"*")),1,0)</f>
        <v>0</v>
      </c>
      <c r="W1045">
        <f>IF(COUNTIF($E1045, _xlfn.CONCAT("*",Table13[[#Headers],[Science Fiction]],"*")),1,0)</f>
        <v>0</v>
      </c>
      <c r="X1045">
        <f>IF(COUNTIF($E1045, _xlfn.CONCAT("*",Table13[[#Headers],[TV Movie]],"*")),1,0)</f>
        <v>0</v>
      </c>
      <c r="Y1045">
        <f>IF(COUNTIF($E1045, _xlfn.CONCAT("*",Table13[[#Headers],[Thriller]],"*")),1,0)</f>
        <v>0</v>
      </c>
      <c r="Z1045">
        <f>IF(COUNTIF($E1045, _xlfn.CONCAT("*",Table13[[#Headers],[War]],"*")),1,0)</f>
        <v>1</v>
      </c>
      <c r="AA1045">
        <f>IF(COUNTIF($E1045, _xlfn.CONCAT("*",Table13[[#Headers],[Western]],"*")),1,0)</f>
        <v>0</v>
      </c>
    </row>
    <row r="1046" spans="1:27">
      <c r="A1046" t="s">
        <v>998</v>
      </c>
      <c r="B1046">
        <v>90</v>
      </c>
      <c r="C1046">
        <f>MAX(Table13[Rank])-Table13[[#This Row],[Rank]]</f>
        <v>174</v>
      </c>
      <c r="D1046" t="s">
        <v>994</v>
      </c>
      <c r="E1046" t="s">
        <v>21</v>
      </c>
      <c r="F1046" s="1">
        <v>42692</v>
      </c>
      <c r="G1046">
        <f>YEAR(Table13[[#This Row],[Date]])</f>
        <v>2016</v>
      </c>
      <c r="H1046" t="s">
        <v>998</v>
      </c>
      <c r="I1046">
        <f>IF(COUNTIF($E1046, _xlfn.CONCAT("*",Table13[[#Headers],[Action]],"*")),1,0)</f>
        <v>0</v>
      </c>
      <c r="J1046">
        <f>IF(COUNTIF($E1046, _xlfn.CONCAT("*",Table13[[#Headers],[Adventure]],"*")),1,0)</f>
        <v>0</v>
      </c>
      <c r="K1046">
        <f>IF(COUNTIF($E1046, _xlfn.CONCAT("*",Table13[[#Headers],[Animation]],"*")),1,0)</f>
        <v>0</v>
      </c>
      <c r="L1046">
        <f>IF(COUNTIF($E1046, _xlfn.CONCAT("*",Table13[[#Headers],[Comedy]],"*")),1,0)</f>
        <v>0</v>
      </c>
      <c r="M1046">
        <f>IF(COUNTIF($E1046, _xlfn.CONCAT("*",Table13[[#Headers],[Crime]],"*")),1,0)</f>
        <v>0</v>
      </c>
      <c r="N1046">
        <f>IF(COUNTIF($E1046, _xlfn.CONCAT("*",Table13[[#Headers],[Documentary]],"*")),1,0)</f>
        <v>0</v>
      </c>
      <c r="O1046">
        <f>IF(COUNTIF($E1046, _xlfn.CONCAT("*",Table13[[#Headers],[Drama]],"*")),1,0)</f>
        <v>1</v>
      </c>
      <c r="P1046">
        <f>IF(COUNTIF($E1046, _xlfn.CONCAT("*",Table13[[#Headers],[Family]],"*")),1,0)</f>
        <v>0</v>
      </c>
      <c r="Q1046">
        <f>IF(COUNTIF($E1046, _xlfn.CONCAT("*",Table13[[#Headers],[Fantasy]],"*")),1,0)</f>
        <v>0</v>
      </c>
      <c r="R1046">
        <f>IF(COUNTIF($E1046, _xlfn.CONCAT("*",Table13[[#Headers],[History]],"*")),1,0)</f>
        <v>0</v>
      </c>
      <c r="S1046">
        <f>IF(COUNTIF($E1046, _xlfn.CONCAT("*",Table13[[#Headers],[Horror]],"*")),1,0)</f>
        <v>0</v>
      </c>
      <c r="T1046">
        <f>IF(COUNTIF($E1046, _xlfn.CONCAT("*",Table13[[#Headers],[Music]],"*")),1,0)</f>
        <v>0</v>
      </c>
      <c r="U1046">
        <f>IF(COUNTIF($E1046, _xlfn.CONCAT("*",Table13[[#Headers],[Mystery]],"*")),1,0)</f>
        <v>0</v>
      </c>
      <c r="V1046">
        <f>IF(COUNTIF($E1046, _xlfn.CONCAT("*",Table13[[#Headers],[Romance]],"*")),1,0)</f>
        <v>0</v>
      </c>
      <c r="W1046">
        <f>IF(COUNTIF($E1046, _xlfn.CONCAT("*",Table13[[#Headers],[Science Fiction]],"*")),1,0)</f>
        <v>0</v>
      </c>
      <c r="X1046">
        <f>IF(COUNTIF($E1046, _xlfn.CONCAT("*",Table13[[#Headers],[TV Movie]],"*")),1,0)</f>
        <v>0</v>
      </c>
      <c r="Y1046">
        <f>IF(COUNTIF($E1046, _xlfn.CONCAT("*",Table13[[#Headers],[Thriller]],"*")),1,0)</f>
        <v>0</v>
      </c>
      <c r="Z1046">
        <f>IF(COUNTIF($E1046, _xlfn.CONCAT("*",Table13[[#Headers],[War]],"*")),1,0)</f>
        <v>0</v>
      </c>
      <c r="AA1046">
        <f>IF(COUNTIF($E1046, _xlfn.CONCAT("*",Table13[[#Headers],[Western]],"*")),1,0)</f>
        <v>0</v>
      </c>
    </row>
    <row r="1047" spans="1:27">
      <c r="A1047" t="s">
        <v>183</v>
      </c>
      <c r="B1047">
        <v>89</v>
      </c>
      <c r="C1047">
        <f>MAX(Table13[Rank])-Table13[[#This Row],[Rank]]</f>
        <v>175</v>
      </c>
      <c r="D1047" t="s">
        <v>994</v>
      </c>
      <c r="E1047" t="s">
        <v>184</v>
      </c>
      <c r="F1047" s="1">
        <v>27200</v>
      </c>
      <c r="G1047">
        <f>YEAR(Table13[[#This Row],[Date]])</f>
        <v>1974</v>
      </c>
      <c r="H1047" t="s">
        <v>183</v>
      </c>
      <c r="I1047">
        <f>IF(COUNTIF($E1047, _xlfn.CONCAT("*",Table13[[#Headers],[Action]],"*")),1,0)</f>
        <v>0</v>
      </c>
      <c r="J1047">
        <f>IF(COUNTIF($E1047, _xlfn.CONCAT("*",Table13[[#Headers],[Adventure]],"*")),1,0)</f>
        <v>0</v>
      </c>
      <c r="K1047">
        <f>IF(COUNTIF($E1047, _xlfn.CONCAT("*",Table13[[#Headers],[Animation]],"*")),1,0)</f>
        <v>0</v>
      </c>
      <c r="L1047">
        <f>IF(COUNTIF($E1047, _xlfn.CONCAT("*",Table13[[#Headers],[Comedy]],"*")),1,0)</f>
        <v>0</v>
      </c>
      <c r="M1047">
        <f>IF(COUNTIF($E1047, _xlfn.CONCAT("*",Table13[[#Headers],[Crime]],"*")),1,0)</f>
        <v>1</v>
      </c>
      <c r="N1047">
        <f>IF(COUNTIF($E1047, _xlfn.CONCAT("*",Table13[[#Headers],[Documentary]],"*")),1,0)</f>
        <v>0</v>
      </c>
      <c r="O1047">
        <f>IF(COUNTIF($E1047, _xlfn.CONCAT("*",Table13[[#Headers],[Drama]],"*")),1,0)</f>
        <v>1</v>
      </c>
      <c r="P1047">
        <f>IF(COUNTIF($E1047, _xlfn.CONCAT("*",Table13[[#Headers],[Family]],"*")),1,0)</f>
        <v>0</v>
      </c>
      <c r="Q1047">
        <f>IF(COUNTIF($E1047, _xlfn.CONCAT("*",Table13[[#Headers],[Fantasy]],"*")),1,0)</f>
        <v>0</v>
      </c>
      <c r="R1047">
        <f>IF(COUNTIF($E1047, _xlfn.CONCAT("*",Table13[[#Headers],[History]],"*")),1,0)</f>
        <v>0</v>
      </c>
      <c r="S1047">
        <f>IF(COUNTIF($E1047, _xlfn.CONCAT("*",Table13[[#Headers],[Horror]],"*")),1,0)</f>
        <v>0</v>
      </c>
      <c r="T1047">
        <f>IF(COUNTIF($E1047, _xlfn.CONCAT("*",Table13[[#Headers],[Music]],"*")),1,0)</f>
        <v>0</v>
      </c>
      <c r="U1047">
        <f>IF(COUNTIF($E1047, _xlfn.CONCAT("*",Table13[[#Headers],[Mystery]],"*")),1,0)</f>
        <v>1</v>
      </c>
      <c r="V1047">
        <f>IF(COUNTIF($E1047, _xlfn.CONCAT("*",Table13[[#Headers],[Romance]],"*")),1,0)</f>
        <v>0</v>
      </c>
      <c r="W1047">
        <f>IF(COUNTIF($E1047, _xlfn.CONCAT("*",Table13[[#Headers],[Science Fiction]],"*")),1,0)</f>
        <v>0</v>
      </c>
      <c r="X1047">
        <f>IF(COUNTIF($E1047, _xlfn.CONCAT("*",Table13[[#Headers],[TV Movie]],"*")),1,0)</f>
        <v>0</v>
      </c>
      <c r="Y1047">
        <f>IF(COUNTIF($E1047, _xlfn.CONCAT("*",Table13[[#Headers],[Thriller]],"*")),1,0)</f>
        <v>1</v>
      </c>
      <c r="Z1047">
        <f>IF(COUNTIF($E1047, _xlfn.CONCAT("*",Table13[[#Headers],[War]],"*")),1,0)</f>
        <v>0</v>
      </c>
      <c r="AA1047">
        <f>IF(COUNTIF($E1047, _xlfn.CONCAT("*",Table13[[#Headers],[Western]],"*")),1,0)</f>
        <v>0</v>
      </c>
    </row>
    <row r="1048" spans="1:27">
      <c r="A1048" t="s">
        <v>999</v>
      </c>
      <c r="B1048">
        <v>88</v>
      </c>
      <c r="C1048">
        <f>MAX(Table13[Rank])-Table13[[#This Row],[Rank]]</f>
        <v>176</v>
      </c>
      <c r="D1048" t="s">
        <v>994</v>
      </c>
      <c r="E1048" t="s">
        <v>109</v>
      </c>
      <c r="F1048" s="1">
        <v>42314</v>
      </c>
      <c r="G1048">
        <f>YEAR(Table13[[#This Row],[Date]])</f>
        <v>2015</v>
      </c>
      <c r="H1048" t="s">
        <v>999</v>
      </c>
      <c r="I1048">
        <f>IF(COUNTIF($E1048, _xlfn.CONCAT("*",Table13[[#Headers],[Action]],"*")),1,0)</f>
        <v>0</v>
      </c>
      <c r="J1048">
        <f>IF(COUNTIF($E1048, _xlfn.CONCAT("*",Table13[[#Headers],[Adventure]],"*")),1,0)</f>
        <v>0</v>
      </c>
      <c r="K1048">
        <f>IF(COUNTIF($E1048, _xlfn.CONCAT("*",Table13[[#Headers],[Animation]],"*")),1,0)</f>
        <v>0</v>
      </c>
      <c r="L1048">
        <f>IF(COUNTIF($E1048, _xlfn.CONCAT("*",Table13[[#Headers],[Comedy]],"*")),1,0)</f>
        <v>0</v>
      </c>
      <c r="M1048">
        <f>IF(COUNTIF($E1048, _xlfn.CONCAT("*",Table13[[#Headers],[Crime]],"*")),1,0)</f>
        <v>0</v>
      </c>
      <c r="N1048">
        <f>IF(COUNTIF($E1048, _xlfn.CONCAT("*",Table13[[#Headers],[Documentary]],"*")),1,0)</f>
        <v>0</v>
      </c>
      <c r="O1048">
        <f>IF(COUNTIF($E1048, _xlfn.CONCAT("*",Table13[[#Headers],[Drama]],"*")),1,0)</f>
        <v>1</v>
      </c>
      <c r="P1048">
        <f>IF(COUNTIF($E1048, _xlfn.CONCAT("*",Table13[[#Headers],[Family]],"*")),1,0)</f>
        <v>0</v>
      </c>
      <c r="Q1048">
        <f>IF(COUNTIF($E1048, _xlfn.CONCAT("*",Table13[[#Headers],[Fantasy]],"*")),1,0)</f>
        <v>0</v>
      </c>
      <c r="R1048">
        <f>IF(COUNTIF($E1048, _xlfn.CONCAT("*",Table13[[#Headers],[History]],"*")),1,0)</f>
        <v>1</v>
      </c>
      <c r="S1048">
        <f>IF(COUNTIF($E1048, _xlfn.CONCAT("*",Table13[[#Headers],[Horror]],"*")),1,0)</f>
        <v>0</v>
      </c>
      <c r="T1048">
        <f>IF(COUNTIF($E1048, _xlfn.CONCAT("*",Table13[[#Headers],[Music]],"*")),1,0)</f>
        <v>0</v>
      </c>
      <c r="U1048">
        <f>IF(COUNTIF($E1048, _xlfn.CONCAT("*",Table13[[#Headers],[Mystery]],"*")),1,0)</f>
        <v>0</v>
      </c>
      <c r="V1048">
        <f>IF(COUNTIF($E1048, _xlfn.CONCAT("*",Table13[[#Headers],[Romance]],"*")),1,0)</f>
        <v>0</v>
      </c>
      <c r="W1048">
        <f>IF(COUNTIF($E1048, _xlfn.CONCAT("*",Table13[[#Headers],[Science Fiction]],"*")),1,0)</f>
        <v>0</v>
      </c>
      <c r="X1048">
        <f>IF(COUNTIF($E1048, _xlfn.CONCAT("*",Table13[[#Headers],[TV Movie]],"*")),1,0)</f>
        <v>0</v>
      </c>
      <c r="Y1048">
        <f>IF(COUNTIF($E1048, _xlfn.CONCAT("*",Table13[[#Headers],[Thriller]],"*")),1,0)</f>
        <v>0</v>
      </c>
      <c r="Z1048">
        <f>IF(COUNTIF($E1048, _xlfn.CONCAT("*",Table13[[#Headers],[War]],"*")),1,0)</f>
        <v>0</v>
      </c>
      <c r="AA1048">
        <f>IF(COUNTIF($E1048, _xlfn.CONCAT("*",Table13[[#Headers],[Western]],"*")),1,0)</f>
        <v>0</v>
      </c>
    </row>
    <row r="1049" spans="1:27">
      <c r="A1049" t="s">
        <v>956</v>
      </c>
      <c r="B1049">
        <v>87</v>
      </c>
      <c r="C1049">
        <f>MAX(Table13[Rank])-Table13[[#This Row],[Rank]]</f>
        <v>177</v>
      </c>
      <c r="D1049" t="s">
        <v>994</v>
      </c>
      <c r="E1049" t="s">
        <v>957</v>
      </c>
      <c r="F1049" s="1">
        <v>42703</v>
      </c>
      <c r="G1049">
        <f>YEAR(Table13[[#This Row],[Date]])</f>
        <v>2016</v>
      </c>
      <c r="H1049" t="s">
        <v>956</v>
      </c>
      <c r="I1049">
        <f>IF(COUNTIF($E1049, _xlfn.CONCAT("*",Table13[[#Headers],[Action]],"*")),1,0)</f>
        <v>0</v>
      </c>
      <c r="J1049">
        <f>IF(COUNTIF($E1049, _xlfn.CONCAT("*",Table13[[#Headers],[Adventure]],"*")),1,0)</f>
        <v>0</v>
      </c>
      <c r="K1049">
        <f>IF(COUNTIF($E1049, _xlfn.CONCAT("*",Table13[[#Headers],[Animation]],"*")),1,0)</f>
        <v>0</v>
      </c>
      <c r="L1049">
        <f>IF(COUNTIF($E1049, _xlfn.CONCAT("*",Table13[[#Headers],[Comedy]],"*")),1,0)</f>
        <v>1</v>
      </c>
      <c r="M1049">
        <f>IF(COUNTIF($E1049, _xlfn.CONCAT("*",Table13[[#Headers],[Crime]],"*")),1,0)</f>
        <v>0</v>
      </c>
      <c r="N1049">
        <f>IF(COUNTIF($E1049, _xlfn.CONCAT("*",Table13[[#Headers],[Documentary]],"*")),1,0)</f>
        <v>0</v>
      </c>
      <c r="O1049">
        <f>IF(COUNTIF($E1049, _xlfn.CONCAT("*",Table13[[#Headers],[Drama]],"*")),1,0)</f>
        <v>1</v>
      </c>
      <c r="P1049">
        <f>IF(COUNTIF($E1049, _xlfn.CONCAT("*",Table13[[#Headers],[Family]],"*")),1,0)</f>
        <v>0</v>
      </c>
      <c r="Q1049">
        <f>IF(COUNTIF($E1049, _xlfn.CONCAT("*",Table13[[#Headers],[Fantasy]],"*")),1,0)</f>
        <v>0</v>
      </c>
      <c r="R1049">
        <f>IF(COUNTIF($E1049, _xlfn.CONCAT("*",Table13[[#Headers],[History]],"*")),1,0)</f>
        <v>0</v>
      </c>
      <c r="S1049">
        <f>IF(COUNTIF($E1049, _xlfn.CONCAT("*",Table13[[#Headers],[Horror]],"*")),1,0)</f>
        <v>0</v>
      </c>
      <c r="T1049">
        <f>IF(COUNTIF($E1049, _xlfn.CONCAT("*",Table13[[#Headers],[Music]],"*")),1,0)</f>
        <v>1</v>
      </c>
      <c r="U1049">
        <f>IF(COUNTIF($E1049, _xlfn.CONCAT("*",Table13[[#Headers],[Mystery]],"*")),1,0)</f>
        <v>0</v>
      </c>
      <c r="V1049">
        <f>IF(COUNTIF($E1049, _xlfn.CONCAT("*",Table13[[#Headers],[Romance]],"*")),1,0)</f>
        <v>1</v>
      </c>
      <c r="W1049">
        <f>IF(COUNTIF($E1049, _xlfn.CONCAT("*",Table13[[#Headers],[Science Fiction]],"*")),1,0)</f>
        <v>0</v>
      </c>
      <c r="X1049">
        <f>IF(COUNTIF($E1049, _xlfn.CONCAT("*",Table13[[#Headers],[TV Movie]],"*")),1,0)</f>
        <v>0</v>
      </c>
      <c r="Y1049">
        <f>IF(COUNTIF($E1049, _xlfn.CONCAT("*",Table13[[#Headers],[Thriller]],"*")),1,0)</f>
        <v>0</v>
      </c>
      <c r="Z1049">
        <f>IF(COUNTIF($E1049, _xlfn.CONCAT("*",Table13[[#Headers],[War]],"*")),1,0)</f>
        <v>0</v>
      </c>
      <c r="AA1049">
        <f>IF(COUNTIF($E1049, _xlfn.CONCAT("*",Table13[[#Headers],[Western]],"*")),1,0)</f>
        <v>0</v>
      </c>
    </row>
    <row r="1050" spans="1:27">
      <c r="A1050" t="s">
        <v>188</v>
      </c>
      <c r="B1050">
        <v>86</v>
      </c>
      <c r="C1050">
        <f>MAX(Table13[Rank])-Table13[[#This Row],[Rank]]</f>
        <v>178</v>
      </c>
      <c r="D1050" t="s">
        <v>994</v>
      </c>
      <c r="E1050" t="s">
        <v>189</v>
      </c>
      <c r="F1050" s="1">
        <v>29000</v>
      </c>
      <c r="G1050">
        <f>YEAR(Table13[[#This Row],[Date]])</f>
        <v>1979</v>
      </c>
      <c r="H1050" t="s">
        <v>188</v>
      </c>
      <c r="I1050">
        <f>IF(COUNTIF($E1050, _xlfn.CONCAT("*",Table13[[#Headers],[Action]],"*")),1,0)</f>
        <v>0</v>
      </c>
      <c r="J1050">
        <f>IF(COUNTIF($E1050, _xlfn.CONCAT("*",Table13[[#Headers],[Adventure]],"*")),1,0)</f>
        <v>0</v>
      </c>
      <c r="K1050">
        <f>IF(COUNTIF($E1050, _xlfn.CONCAT("*",Table13[[#Headers],[Animation]],"*")),1,0)</f>
        <v>0</v>
      </c>
      <c r="L1050">
        <f>IF(COUNTIF($E1050, _xlfn.CONCAT("*",Table13[[#Headers],[Comedy]],"*")),1,0)</f>
        <v>0</v>
      </c>
      <c r="M1050">
        <f>IF(COUNTIF($E1050, _xlfn.CONCAT("*",Table13[[#Headers],[Crime]],"*")),1,0)</f>
        <v>0</v>
      </c>
      <c r="N1050">
        <f>IF(COUNTIF($E1050, _xlfn.CONCAT("*",Table13[[#Headers],[Documentary]],"*")),1,0)</f>
        <v>0</v>
      </c>
      <c r="O1050">
        <f>IF(COUNTIF($E1050, _xlfn.CONCAT("*",Table13[[#Headers],[Drama]],"*")),1,0)</f>
        <v>0</v>
      </c>
      <c r="P1050">
        <f>IF(COUNTIF($E1050, _xlfn.CONCAT("*",Table13[[#Headers],[Family]],"*")),1,0)</f>
        <v>0</v>
      </c>
      <c r="Q1050">
        <f>IF(COUNTIF($E1050, _xlfn.CONCAT("*",Table13[[#Headers],[Fantasy]],"*")),1,0)</f>
        <v>0</v>
      </c>
      <c r="R1050">
        <f>IF(COUNTIF($E1050, _xlfn.CONCAT("*",Table13[[#Headers],[History]],"*")),1,0)</f>
        <v>0</v>
      </c>
      <c r="S1050">
        <f>IF(COUNTIF($E1050, _xlfn.CONCAT("*",Table13[[#Headers],[Horror]],"*")),1,0)</f>
        <v>1</v>
      </c>
      <c r="T1050">
        <f>IF(COUNTIF($E1050, _xlfn.CONCAT("*",Table13[[#Headers],[Music]],"*")),1,0)</f>
        <v>0</v>
      </c>
      <c r="U1050">
        <f>IF(COUNTIF($E1050, _xlfn.CONCAT("*",Table13[[#Headers],[Mystery]],"*")),1,0)</f>
        <v>0</v>
      </c>
      <c r="V1050">
        <f>IF(COUNTIF($E1050, _xlfn.CONCAT("*",Table13[[#Headers],[Romance]],"*")),1,0)</f>
        <v>0</v>
      </c>
      <c r="W1050">
        <f>IF(COUNTIF($E1050, _xlfn.CONCAT("*",Table13[[#Headers],[Science Fiction]],"*")),1,0)</f>
        <v>1</v>
      </c>
      <c r="X1050">
        <f>IF(COUNTIF($E1050, _xlfn.CONCAT("*",Table13[[#Headers],[TV Movie]],"*")),1,0)</f>
        <v>0</v>
      </c>
      <c r="Y1050">
        <f>IF(COUNTIF($E1050, _xlfn.CONCAT("*",Table13[[#Headers],[Thriller]],"*")),1,0)</f>
        <v>0</v>
      </c>
      <c r="Z1050">
        <f>IF(COUNTIF($E1050, _xlfn.CONCAT("*",Table13[[#Headers],[War]],"*")),1,0)</f>
        <v>0</v>
      </c>
      <c r="AA1050">
        <f>IF(COUNTIF($E1050, _xlfn.CONCAT("*",Table13[[#Headers],[Western]],"*")),1,0)</f>
        <v>0</v>
      </c>
    </row>
    <row r="1051" spans="1:27">
      <c r="A1051" t="s">
        <v>515</v>
      </c>
      <c r="B1051">
        <v>85</v>
      </c>
      <c r="C1051">
        <f>MAX(Table13[Rank])-Table13[[#This Row],[Rank]]</f>
        <v>179</v>
      </c>
      <c r="D1051" t="s">
        <v>994</v>
      </c>
      <c r="E1051" t="s">
        <v>367</v>
      </c>
      <c r="F1051" s="1">
        <v>39246</v>
      </c>
      <c r="G1051">
        <f>YEAR(Table13[[#This Row],[Date]])</f>
        <v>2007</v>
      </c>
      <c r="H1051" t="s">
        <v>515</v>
      </c>
      <c r="I1051">
        <f>IF(COUNTIF($E1051, _xlfn.CONCAT("*",Table13[[#Headers],[Action]],"*")),1,0)</f>
        <v>0</v>
      </c>
      <c r="J1051">
        <f>IF(COUNTIF($E1051, _xlfn.CONCAT("*",Table13[[#Headers],[Adventure]],"*")),1,0)</f>
        <v>0</v>
      </c>
      <c r="K1051">
        <f>IF(COUNTIF($E1051, _xlfn.CONCAT("*",Table13[[#Headers],[Animation]],"*")),1,0)</f>
        <v>0</v>
      </c>
      <c r="L1051">
        <f>IF(COUNTIF($E1051, _xlfn.CONCAT("*",Table13[[#Headers],[Comedy]],"*")),1,0)</f>
        <v>0</v>
      </c>
      <c r="M1051">
        <f>IF(COUNTIF($E1051, _xlfn.CONCAT("*",Table13[[#Headers],[Crime]],"*")),1,0)</f>
        <v>1</v>
      </c>
      <c r="N1051">
        <f>IF(COUNTIF($E1051, _xlfn.CONCAT("*",Table13[[#Headers],[Documentary]],"*")),1,0)</f>
        <v>0</v>
      </c>
      <c r="O1051">
        <f>IF(COUNTIF($E1051, _xlfn.CONCAT("*",Table13[[#Headers],[Drama]],"*")),1,0)</f>
        <v>1</v>
      </c>
      <c r="P1051">
        <f>IF(COUNTIF($E1051, _xlfn.CONCAT("*",Table13[[#Headers],[Family]],"*")),1,0)</f>
        <v>0</v>
      </c>
      <c r="Q1051">
        <f>IF(COUNTIF($E1051, _xlfn.CONCAT("*",Table13[[#Headers],[Fantasy]],"*")),1,0)</f>
        <v>0</v>
      </c>
      <c r="R1051">
        <f>IF(COUNTIF($E1051, _xlfn.CONCAT("*",Table13[[#Headers],[History]],"*")),1,0)</f>
        <v>0</v>
      </c>
      <c r="S1051">
        <f>IF(COUNTIF($E1051, _xlfn.CONCAT("*",Table13[[#Headers],[Horror]],"*")),1,0)</f>
        <v>0</v>
      </c>
      <c r="T1051">
        <f>IF(COUNTIF($E1051, _xlfn.CONCAT("*",Table13[[#Headers],[Music]],"*")),1,0)</f>
        <v>0</v>
      </c>
      <c r="U1051">
        <f>IF(COUNTIF($E1051, _xlfn.CONCAT("*",Table13[[#Headers],[Mystery]],"*")),1,0)</f>
        <v>0</v>
      </c>
      <c r="V1051">
        <f>IF(COUNTIF($E1051, _xlfn.CONCAT("*",Table13[[#Headers],[Romance]],"*")),1,0)</f>
        <v>0</v>
      </c>
      <c r="W1051">
        <f>IF(COUNTIF($E1051, _xlfn.CONCAT("*",Table13[[#Headers],[Science Fiction]],"*")),1,0)</f>
        <v>0</v>
      </c>
      <c r="X1051">
        <f>IF(COUNTIF($E1051, _xlfn.CONCAT("*",Table13[[#Headers],[TV Movie]],"*")),1,0)</f>
        <v>0</v>
      </c>
      <c r="Y1051">
        <f>IF(COUNTIF($E1051, _xlfn.CONCAT("*",Table13[[#Headers],[Thriller]],"*")),1,0)</f>
        <v>1</v>
      </c>
      <c r="Z1051">
        <f>IF(COUNTIF($E1051, _xlfn.CONCAT("*",Table13[[#Headers],[War]],"*")),1,0)</f>
        <v>0</v>
      </c>
      <c r="AA1051">
        <f>IF(COUNTIF($E1051, _xlfn.CONCAT("*",Table13[[#Headers],[Western]],"*")),1,0)</f>
        <v>0</v>
      </c>
    </row>
    <row r="1052" spans="1:27">
      <c r="A1052" t="s">
        <v>440</v>
      </c>
      <c r="B1052">
        <v>84</v>
      </c>
      <c r="C1052">
        <f>MAX(Table13[Rank])-Table13[[#This Row],[Rank]]</f>
        <v>180</v>
      </c>
      <c r="D1052" t="s">
        <v>994</v>
      </c>
      <c r="E1052" t="s">
        <v>441</v>
      </c>
      <c r="F1052" s="1">
        <v>39645</v>
      </c>
      <c r="G1052">
        <f>YEAR(Table13[[#This Row],[Date]])</f>
        <v>2008</v>
      </c>
      <c r="H1052" t="s">
        <v>440</v>
      </c>
      <c r="I1052">
        <f>IF(COUNTIF($E1052, _xlfn.CONCAT("*",Table13[[#Headers],[Action]],"*")),1,0)</f>
        <v>1</v>
      </c>
      <c r="J1052">
        <f>IF(COUNTIF($E1052, _xlfn.CONCAT("*",Table13[[#Headers],[Adventure]],"*")),1,0)</f>
        <v>0</v>
      </c>
      <c r="K1052">
        <f>IF(COUNTIF($E1052, _xlfn.CONCAT("*",Table13[[#Headers],[Animation]],"*")),1,0)</f>
        <v>0</v>
      </c>
      <c r="L1052">
        <f>IF(COUNTIF($E1052, _xlfn.CONCAT("*",Table13[[#Headers],[Comedy]],"*")),1,0)</f>
        <v>0</v>
      </c>
      <c r="M1052">
        <f>IF(COUNTIF($E1052, _xlfn.CONCAT("*",Table13[[#Headers],[Crime]],"*")),1,0)</f>
        <v>1</v>
      </c>
      <c r="N1052">
        <f>IF(COUNTIF($E1052, _xlfn.CONCAT("*",Table13[[#Headers],[Documentary]],"*")),1,0)</f>
        <v>0</v>
      </c>
      <c r="O1052">
        <f>IF(COUNTIF($E1052, _xlfn.CONCAT("*",Table13[[#Headers],[Drama]],"*")),1,0)</f>
        <v>1</v>
      </c>
      <c r="P1052">
        <f>IF(COUNTIF($E1052, _xlfn.CONCAT("*",Table13[[#Headers],[Family]],"*")),1,0)</f>
        <v>0</v>
      </c>
      <c r="Q1052">
        <f>IF(COUNTIF($E1052, _xlfn.CONCAT("*",Table13[[#Headers],[Fantasy]],"*")),1,0)</f>
        <v>0</v>
      </c>
      <c r="R1052">
        <f>IF(COUNTIF($E1052, _xlfn.CONCAT("*",Table13[[#Headers],[History]],"*")),1,0)</f>
        <v>0</v>
      </c>
      <c r="S1052">
        <f>IF(COUNTIF($E1052, _xlfn.CONCAT("*",Table13[[#Headers],[Horror]],"*")),1,0)</f>
        <v>0</v>
      </c>
      <c r="T1052">
        <f>IF(COUNTIF($E1052, _xlfn.CONCAT("*",Table13[[#Headers],[Music]],"*")),1,0)</f>
        <v>0</v>
      </c>
      <c r="U1052">
        <f>IF(COUNTIF($E1052, _xlfn.CONCAT("*",Table13[[#Headers],[Mystery]],"*")),1,0)</f>
        <v>0</v>
      </c>
      <c r="V1052">
        <f>IF(COUNTIF($E1052, _xlfn.CONCAT("*",Table13[[#Headers],[Romance]],"*")),1,0)</f>
        <v>0</v>
      </c>
      <c r="W1052">
        <f>IF(COUNTIF($E1052, _xlfn.CONCAT("*",Table13[[#Headers],[Science Fiction]],"*")),1,0)</f>
        <v>0</v>
      </c>
      <c r="X1052">
        <f>IF(COUNTIF($E1052, _xlfn.CONCAT("*",Table13[[#Headers],[TV Movie]],"*")),1,0)</f>
        <v>0</v>
      </c>
      <c r="Y1052">
        <f>IF(COUNTIF($E1052, _xlfn.CONCAT("*",Table13[[#Headers],[Thriller]],"*")),1,0)</f>
        <v>1</v>
      </c>
      <c r="Z1052">
        <f>IF(COUNTIF($E1052, _xlfn.CONCAT("*",Table13[[#Headers],[War]],"*")),1,0)</f>
        <v>0</v>
      </c>
      <c r="AA1052">
        <f>IF(COUNTIF($E1052, _xlfn.CONCAT("*",Table13[[#Headers],[Western]],"*")),1,0)</f>
        <v>0</v>
      </c>
    </row>
    <row r="1053" spans="1:27">
      <c r="A1053" t="s">
        <v>668</v>
      </c>
      <c r="B1053">
        <v>83</v>
      </c>
      <c r="C1053">
        <f>MAX(Table13[Rank])-Table13[[#This Row],[Rank]]</f>
        <v>181</v>
      </c>
      <c r="D1053" t="s">
        <v>994</v>
      </c>
      <c r="E1053" t="s">
        <v>166</v>
      </c>
      <c r="F1053" s="1">
        <v>34600</v>
      </c>
      <c r="G1053">
        <f>YEAR(Table13[[#This Row],[Date]])</f>
        <v>1994</v>
      </c>
      <c r="H1053" t="s">
        <v>668</v>
      </c>
      <c r="I1053">
        <f>IF(COUNTIF($E1053, _xlfn.CONCAT("*",Table13[[#Headers],[Action]],"*")),1,0)</f>
        <v>0</v>
      </c>
      <c r="J1053">
        <f>IF(COUNTIF($E1053, _xlfn.CONCAT("*",Table13[[#Headers],[Adventure]],"*")),1,0)</f>
        <v>0</v>
      </c>
      <c r="K1053">
        <f>IF(COUNTIF($E1053, _xlfn.CONCAT("*",Table13[[#Headers],[Animation]],"*")),1,0)</f>
        <v>0</v>
      </c>
      <c r="L1053">
        <f>IF(COUNTIF($E1053, _xlfn.CONCAT("*",Table13[[#Headers],[Comedy]],"*")),1,0)</f>
        <v>0</v>
      </c>
      <c r="M1053">
        <f>IF(COUNTIF($E1053, _xlfn.CONCAT("*",Table13[[#Headers],[Crime]],"*")),1,0)</f>
        <v>1</v>
      </c>
      <c r="N1053">
        <f>IF(COUNTIF($E1053, _xlfn.CONCAT("*",Table13[[#Headers],[Documentary]],"*")),1,0)</f>
        <v>0</v>
      </c>
      <c r="O1053">
        <f>IF(COUNTIF($E1053, _xlfn.CONCAT("*",Table13[[#Headers],[Drama]],"*")),1,0)</f>
        <v>1</v>
      </c>
      <c r="P1053">
        <f>IF(COUNTIF($E1053, _xlfn.CONCAT("*",Table13[[#Headers],[Family]],"*")),1,0)</f>
        <v>0</v>
      </c>
      <c r="Q1053">
        <f>IF(COUNTIF($E1053, _xlfn.CONCAT("*",Table13[[#Headers],[Fantasy]],"*")),1,0)</f>
        <v>0</v>
      </c>
      <c r="R1053">
        <f>IF(COUNTIF($E1053, _xlfn.CONCAT("*",Table13[[#Headers],[History]],"*")),1,0)</f>
        <v>0</v>
      </c>
      <c r="S1053">
        <f>IF(COUNTIF($E1053, _xlfn.CONCAT("*",Table13[[#Headers],[Horror]],"*")),1,0)</f>
        <v>0</v>
      </c>
      <c r="T1053">
        <f>IF(COUNTIF($E1053, _xlfn.CONCAT("*",Table13[[#Headers],[Music]],"*")),1,0)</f>
        <v>0</v>
      </c>
      <c r="U1053">
        <f>IF(COUNTIF($E1053, _xlfn.CONCAT("*",Table13[[#Headers],[Mystery]],"*")),1,0)</f>
        <v>0</v>
      </c>
      <c r="V1053">
        <f>IF(COUNTIF($E1053, _xlfn.CONCAT("*",Table13[[#Headers],[Romance]],"*")),1,0)</f>
        <v>0</v>
      </c>
      <c r="W1053">
        <f>IF(COUNTIF($E1053, _xlfn.CONCAT("*",Table13[[#Headers],[Science Fiction]],"*")),1,0)</f>
        <v>0</v>
      </c>
      <c r="X1053">
        <f>IF(COUNTIF($E1053, _xlfn.CONCAT("*",Table13[[#Headers],[TV Movie]],"*")),1,0)</f>
        <v>0</v>
      </c>
      <c r="Y1053">
        <f>IF(COUNTIF($E1053, _xlfn.CONCAT("*",Table13[[#Headers],[Thriller]],"*")),1,0)</f>
        <v>0</v>
      </c>
      <c r="Z1053">
        <f>IF(COUNTIF($E1053, _xlfn.CONCAT("*",Table13[[#Headers],[War]],"*")),1,0)</f>
        <v>0</v>
      </c>
      <c r="AA1053">
        <f>IF(COUNTIF($E1053, _xlfn.CONCAT("*",Table13[[#Headers],[Western]],"*")),1,0)</f>
        <v>0</v>
      </c>
    </row>
    <row r="1054" spans="1:27">
      <c r="A1054" t="s">
        <v>1000</v>
      </c>
      <c r="B1054">
        <v>82</v>
      </c>
      <c r="C1054">
        <f>MAX(Table13[Rank])-Table13[[#This Row],[Rank]]</f>
        <v>182</v>
      </c>
      <c r="D1054" t="s">
        <v>994</v>
      </c>
      <c r="E1054" t="s">
        <v>345</v>
      </c>
      <c r="F1054" s="1">
        <v>21732</v>
      </c>
      <c r="G1054">
        <f>YEAR(Table13[[#This Row],[Date]])</f>
        <v>1959</v>
      </c>
      <c r="H1054" t="s">
        <v>1000</v>
      </c>
      <c r="I1054">
        <f>IF(COUNTIF($E1054, _xlfn.CONCAT("*",Table13[[#Headers],[Action]],"*")),1,0)</f>
        <v>0</v>
      </c>
      <c r="J1054">
        <f>IF(COUNTIF($E1054, _xlfn.CONCAT("*",Table13[[#Headers],[Adventure]],"*")),1,0)</f>
        <v>0</v>
      </c>
      <c r="K1054">
        <f>IF(COUNTIF($E1054, _xlfn.CONCAT("*",Table13[[#Headers],[Animation]],"*")),1,0)</f>
        <v>0</v>
      </c>
      <c r="L1054">
        <f>IF(COUNTIF($E1054, _xlfn.CONCAT("*",Table13[[#Headers],[Comedy]],"*")),1,0)</f>
        <v>0</v>
      </c>
      <c r="M1054">
        <f>IF(COUNTIF($E1054, _xlfn.CONCAT("*",Table13[[#Headers],[Crime]],"*")),1,0)</f>
        <v>1</v>
      </c>
      <c r="N1054">
        <f>IF(COUNTIF($E1054, _xlfn.CONCAT("*",Table13[[#Headers],[Documentary]],"*")),1,0)</f>
        <v>0</v>
      </c>
      <c r="O1054">
        <f>IF(COUNTIF($E1054, _xlfn.CONCAT("*",Table13[[#Headers],[Drama]],"*")),1,0)</f>
        <v>1</v>
      </c>
      <c r="P1054">
        <f>IF(COUNTIF($E1054, _xlfn.CONCAT("*",Table13[[#Headers],[Family]],"*")),1,0)</f>
        <v>0</v>
      </c>
      <c r="Q1054">
        <f>IF(COUNTIF($E1054, _xlfn.CONCAT("*",Table13[[#Headers],[Fantasy]],"*")),1,0)</f>
        <v>0</v>
      </c>
      <c r="R1054">
        <f>IF(COUNTIF($E1054, _xlfn.CONCAT("*",Table13[[#Headers],[History]],"*")),1,0)</f>
        <v>0</v>
      </c>
      <c r="S1054">
        <f>IF(COUNTIF($E1054, _xlfn.CONCAT("*",Table13[[#Headers],[Horror]],"*")),1,0)</f>
        <v>0</v>
      </c>
      <c r="T1054">
        <f>IF(COUNTIF($E1054, _xlfn.CONCAT("*",Table13[[#Headers],[Music]],"*")),1,0)</f>
        <v>0</v>
      </c>
      <c r="U1054">
        <f>IF(COUNTIF($E1054, _xlfn.CONCAT("*",Table13[[#Headers],[Mystery]],"*")),1,0)</f>
        <v>1</v>
      </c>
      <c r="V1054">
        <f>IF(COUNTIF($E1054, _xlfn.CONCAT("*",Table13[[#Headers],[Romance]],"*")),1,0)</f>
        <v>0</v>
      </c>
      <c r="W1054">
        <f>IF(COUNTIF($E1054, _xlfn.CONCAT("*",Table13[[#Headers],[Science Fiction]],"*")),1,0)</f>
        <v>0</v>
      </c>
      <c r="X1054">
        <f>IF(COUNTIF($E1054, _xlfn.CONCAT("*",Table13[[#Headers],[TV Movie]],"*")),1,0)</f>
        <v>0</v>
      </c>
      <c r="Y1054">
        <f>IF(COUNTIF($E1054, _xlfn.CONCAT("*",Table13[[#Headers],[Thriller]],"*")),1,0)</f>
        <v>0</v>
      </c>
      <c r="Z1054">
        <f>IF(COUNTIF($E1054, _xlfn.CONCAT("*",Table13[[#Headers],[War]],"*")),1,0)</f>
        <v>0</v>
      </c>
      <c r="AA1054">
        <f>IF(COUNTIF($E1054, _xlfn.CONCAT("*",Table13[[#Headers],[Western]],"*")),1,0)</f>
        <v>0</v>
      </c>
    </row>
    <row r="1055" spans="1:27">
      <c r="A1055" t="s">
        <v>1001</v>
      </c>
      <c r="B1055">
        <v>81</v>
      </c>
      <c r="C1055">
        <f>MAX(Table13[Rank])-Table13[[#This Row],[Rank]]</f>
        <v>183</v>
      </c>
      <c r="D1055" t="s">
        <v>994</v>
      </c>
      <c r="E1055" t="s">
        <v>220</v>
      </c>
      <c r="F1055" s="1">
        <v>14950</v>
      </c>
      <c r="G1055">
        <f>YEAR(Table13[[#This Row],[Date]])</f>
        <v>1940</v>
      </c>
      <c r="H1055" t="s">
        <v>1001</v>
      </c>
      <c r="I1055">
        <f>IF(COUNTIF($E1055, _xlfn.CONCAT("*",Table13[[#Headers],[Action]],"*")),1,0)</f>
        <v>0</v>
      </c>
      <c r="J1055">
        <f>IF(COUNTIF($E1055, _xlfn.CONCAT("*",Table13[[#Headers],[Adventure]],"*")),1,0)</f>
        <v>0</v>
      </c>
      <c r="K1055">
        <f>IF(COUNTIF($E1055, _xlfn.CONCAT("*",Table13[[#Headers],[Animation]],"*")),1,0)</f>
        <v>0</v>
      </c>
      <c r="L1055">
        <f>IF(COUNTIF($E1055, _xlfn.CONCAT("*",Table13[[#Headers],[Comedy]],"*")),1,0)</f>
        <v>1</v>
      </c>
      <c r="M1055">
        <f>IF(COUNTIF($E1055, _xlfn.CONCAT("*",Table13[[#Headers],[Crime]],"*")),1,0)</f>
        <v>0</v>
      </c>
      <c r="N1055">
        <f>IF(COUNTIF($E1055, _xlfn.CONCAT("*",Table13[[#Headers],[Documentary]],"*")),1,0)</f>
        <v>0</v>
      </c>
      <c r="O1055">
        <f>IF(COUNTIF($E1055, _xlfn.CONCAT("*",Table13[[#Headers],[Drama]],"*")),1,0)</f>
        <v>0</v>
      </c>
      <c r="P1055">
        <f>IF(COUNTIF($E1055, _xlfn.CONCAT("*",Table13[[#Headers],[Family]],"*")),1,0)</f>
        <v>0</v>
      </c>
      <c r="Q1055">
        <f>IF(COUNTIF($E1055, _xlfn.CONCAT("*",Table13[[#Headers],[Fantasy]],"*")),1,0)</f>
        <v>0</v>
      </c>
      <c r="R1055">
        <f>IF(COUNTIF($E1055, _xlfn.CONCAT("*",Table13[[#Headers],[History]],"*")),1,0)</f>
        <v>0</v>
      </c>
      <c r="S1055">
        <f>IF(COUNTIF($E1055, _xlfn.CONCAT("*",Table13[[#Headers],[Horror]],"*")),1,0)</f>
        <v>0</v>
      </c>
      <c r="T1055">
        <f>IF(COUNTIF($E1055, _xlfn.CONCAT("*",Table13[[#Headers],[Music]],"*")),1,0)</f>
        <v>0</v>
      </c>
      <c r="U1055">
        <f>IF(COUNTIF($E1055, _xlfn.CONCAT("*",Table13[[#Headers],[Mystery]],"*")),1,0)</f>
        <v>0</v>
      </c>
      <c r="V1055">
        <f>IF(COUNTIF($E1055, _xlfn.CONCAT("*",Table13[[#Headers],[Romance]],"*")),1,0)</f>
        <v>1</v>
      </c>
      <c r="W1055">
        <f>IF(COUNTIF($E1055, _xlfn.CONCAT("*",Table13[[#Headers],[Science Fiction]],"*")),1,0)</f>
        <v>0</v>
      </c>
      <c r="X1055">
        <f>IF(COUNTIF($E1055, _xlfn.CONCAT("*",Table13[[#Headers],[TV Movie]],"*")),1,0)</f>
        <v>0</v>
      </c>
      <c r="Y1055">
        <f>IF(COUNTIF($E1055, _xlfn.CONCAT("*",Table13[[#Headers],[Thriller]],"*")),1,0)</f>
        <v>0</v>
      </c>
      <c r="Z1055">
        <f>IF(COUNTIF($E1055, _xlfn.CONCAT("*",Table13[[#Headers],[War]],"*")),1,0)</f>
        <v>0</v>
      </c>
      <c r="AA1055">
        <f>IF(COUNTIF($E1055, _xlfn.CONCAT("*",Table13[[#Headers],[Western]],"*")),1,0)</f>
        <v>0</v>
      </c>
    </row>
    <row r="1056" spans="1:27">
      <c r="A1056" t="s">
        <v>864</v>
      </c>
      <c r="B1056">
        <v>80</v>
      </c>
      <c r="C1056">
        <f>MAX(Table13[Rank])-Table13[[#This Row],[Rank]]</f>
        <v>184</v>
      </c>
      <c r="D1056" t="s">
        <v>994</v>
      </c>
      <c r="E1056" t="s">
        <v>164</v>
      </c>
      <c r="F1056" s="1">
        <v>21951</v>
      </c>
      <c r="G1056">
        <f>YEAR(Table13[[#This Row],[Date]])</f>
        <v>1960</v>
      </c>
      <c r="H1056" t="s">
        <v>864</v>
      </c>
      <c r="I1056">
        <f>IF(COUNTIF($E1056, _xlfn.CONCAT("*",Table13[[#Headers],[Action]],"*")),1,0)</f>
        <v>0</v>
      </c>
      <c r="J1056">
        <f>IF(COUNTIF($E1056, _xlfn.CONCAT("*",Table13[[#Headers],[Adventure]],"*")),1,0)</f>
        <v>0</v>
      </c>
      <c r="K1056">
        <f>IF(COUNTIF($E1056, _xlfn.CONCAT("*",Table13[[#Headers],[Animation]],"*")),1,0)</f>
        <v>0</v>
      </c>
      <c r="L1056">
        <f>IF(COUNTIF($E1056, _xlfn.CONCAT("*",Table13[[#Headers],[Comedy]],"*")),1,0)</f>
        <v>1</v>
      </c>
      <c r="M1056">
        <f>IF(COUNTIF($E1056, _xlfn.CONCAT("*",Table13[[#Headers],[Crime]],"*")),1,0)</f>
        <v>0</v>
      </c>
      <c r="N1056">
        <f>IF(COUNTIF($E1056, _xlfn.CONCAT("*",Table13[[#Headers],[Documentary]],"*")),1,0)</f>
        <v>0</v>
      </c>
      <c r="O1056">
        <f>IF(COUNTIF($E1056, _xlfn.CONCAT("*",Table13[[#Headers],[Drama]],"*")),1,0)</f>
        <v>1</v>
      </c>
      <c r="P1056">
        <f>IF(COUNTIF($E1056, _xlfn.CONCAT("*",Table13[[#Headers],[Family]],"*")),1,0)</f>
        <v>0</v>
      </c>
      <c r="Q1056">
        <f>IF(COUNTIF($E1056, _xlfn.CONCAT("*",Table13[[#Headers],[Fantasy]],"*")),1,0)</f>
        <v>0</v>
      </c>
      <c r="R1056">
        <f>IF(COUNTIF($E1056, _xlfn.CONCAT("*",Table13[[#Headers],[History]],"*")),1,0)</f>
        <v>0</v>
      </c>
      <c r="S1056">
        <f>IF(COUNTIF($E1056, _xlfn.CONCAT("*",Table13[[#Headers],[Horror]],"*")),1,0)</f>
        <v>0</v>
      </c>
      <c r="T1056">
        <f>IF(COUNTIF($E1056, _xlfn.CONCAT("*",Table13[[#Headers],[Music]],"*")),1,0)</f>
        <v>0</v>
      </c>
      <c r="U1056">
        <f>IF(COUNTIF($E1056, _xlfn.CONCAT("*",Table13[[#Headers],[Mystery]],"*")),1,0)</f>
        <v>0</v>
      </c>
      <c r="V1056">
        <f>IF(COUNTIF($E1056, _xlfn.CONCAT("*",Table13[[#Headers],[Romance]],"*")),1,0)</f>
        <v>0</v>
      </c>
      <c r="W1056">
        <f>IF(COUNTIF($E1056, _xlfn.CONCAT("*",Table13[[#Headers],[Science Fiction]],"*")),1,0)</f>
        <v>0</v>
      </c>
      <c r="X1056">
        <f>IF(COUNTIF($E1056, _xlfn.CONCAT("*",Table13[[#Headers],[TV Movie]],"*")),1,0)</f>
        <v>0</v>
      </c>
      <c r="Y1056">
        <f>IF(COUNTIF($E1056, _xlfn.CONCAT("*",Table13[[#Headers],[Thriller]],"*")),1,0)</f>
        <v>0</v>
      </c>
      <c r="Z1056">
        <f>IF(COUNTIF($E1056, _xlfn.CONCAT("*",Table13[[#Headers],[War]],"*")),1,0)</f>
        <v>0</v>
      </c>
      <c r="AA1056">
        <f>IF(COUNTIF($E1056, _xlfn.CONCAT("*",Table13[[#Headers],[Western]],"*")),1,0)</f>
        <v>0</v>
      </c>
    </row>
    <row r="1057" spans="1:27">
      <c r="A1057" t="s">
        <v>249</v>
      </c>
      <c r="B1057">
        <v>79</v>
      </c>
      <c r="C1057">
        <f>MAX(Table13[Rank])-Table13[[#This Row],[Rank]]</f>
        <v>185</v>
      </c>
      <c r="D1057" t="s">
        <v>994</v>
      </c>
      <c r="E1057" t="s">
        <v>141</v>
      </c>
      <c r="F1057" s="1">
        <v>22749</v>
      </c>
      <c r="G1057">
        <f>YEAR(Table13[[#This Row],[Date]])</f>
        <v>1962</v>
      </c>
      <c r="H1057" t="s">
        <v>249</v>
      </c>
      <c r="I1057">
        <f>IF(COUNTIF($E1057, _xlfn.CONCAT("*",Table13[[#Headers],[Action]],"*")),1,0)</f>
        <v>0</v>
      </c>
      <c r="J1057">
        <f>IF(COUNTIF($E1057, _xlfn.CONCAT("*",Table13[[#Headers],[Adventure]],"*")),1,0)</f>
        <v>0</v>
      </c>
      <c r="K1057">
        <f>IF(COUNTIF($E1057, _xlfn.CONCAT("*",Table13[[#Headers],[Animation]],"*")),1,0)</f>
        <v>0</v>
      </c>
      <c r="L1057">
        <f>IF(COUNTIF($E1057, _xlfn.CONCAT("*",Table13[[#Headers],[Comedy]],"*")),1,0)</f>
        <v>0</v>
      </c>
      <c r="M1057">
        <f>IF(COUNTIF($E1057, _xlfn.CONCAT("*",Table13[[#Headers],[Crime]],"*")),1,0)</f>
        <v>0</v>
      </c>
      <c r="N1057">
        <f>IF(COUNTIF($E1057, _xlfn.CONCAT("*",Table13[[#Headers],[Documentary]],"*")),1,0)</f>
        <v>0</v>
      </c>
      <c r="O1057">
        <f>IF(COUNTIF($E1057, _xlfn.CONCAT("*",Table13[[#Headers],[Drama]],"*")),1,0)</f>
        <v>0</v>
      </c>
      <c r="P1057">
        <f>IF(COUNTIF($E1057, _xlfn.CONCAT("*",Table13[[#Headers],[Family]],"*")),1,0)</f>
        <v>0</v>
      </c>
      <c r="Q1057">
        <f>IF(COUNTIF($E1057, _xlfn.CONCAT("*",Table13[[#Headers],[Fantasy]],"*")),1,0)</f>
        <v>0</v>
      </c>
      <c r="R1057">
        <f>IF(COUNTIF($E1057, _xlfn.CONCAT("*",Table13[[#Headers],[History]],"*")),1,0)</f>
        <v>0</v>
      </c>
      <c r="S1057">
        <f>IF(COUNTIF($E1057, _xlfn.CONCAT("*",Table13[[#Headers],[Horror]],"*")),1,0)</f>
        <v>0</v>
      </c>
      <c r="T1057">
        <f>IF(COUNTIF($E1057, _xlfn.CONCAT("*",Table13[[#Headers],[Music]],"*")),1,0)</f>
        <v>0</v>
      </c>
      <c r="U1057">
        <f>IF(COUNTIF($E1057, _xlfn.CONCAT("*",Table13[[#Headers],[Mystery]],"*")),1,0)</f>
        <v>0</v>
      </c>
      <c r="V1057">
        <f>IF(COUNTIF($E1057, _xlfn.CONCAT("*",Table13[[#Headers],[Romance]],"*")),1,0)</f>
        <v>0</v>
      </c>
      <c r="W1057">
        <f>IF(COUNTIF($E1057, _xlfn.CONCAT("*",Table13[[#Headers],[Science Fiction]],"*")),1,0)</f>
        <v>0</v>
      </c>
      <c r="X1057">
        <f>IF(COUNTIF($E1057, _xlfn.CONCAT("*",Table13[[#Headers],[TV Movie]],"*")),1,0)</f>
        <v>0</v>
      </c>
      <c r="Y1057">
        <f>IF(COUNTIF($E1057, _xlfn.CONCAT("*",Table13[[#Headers],[Thriller]],"*")),1,0)</f>
        <v>0</v>
      </c>
      <c r="Z1057">
        <f>IF(COUNTIF($E1057, _xlfn.CONCAT("*",Table13[[#Headers],[War]],"*")),1,0)</f>
        <v>0</v>
      </c>
      <c r="AA1057">
        <f>IF(COUNTIF($E1057, _xlfn.CONCAT("*",Table13[[#Headers],[Western]],"*")),1,0)</f>
        <v>1</v>
      </c>
    </row>
    <row r="1058" spans="1:27">
      <c r="A1058" t="s">
        <v>843</v>
      </c>
      <c r="B1058">
        <v>78</v>
      </c>
      <c r="C1058">
        <f>MAX(Table13[Rank])-Table13[[#This Row],[Rank]]</f>
        <v>186</v>
      </c>
      <c r="D1058" t="s">
        <v>994</v>
      </c>
      <c r="E1058" t="s">
        <v>105</v>
      </c>
      <c r="F1058" s="1">
        <v>22396</v>
      </c>
      <c r="G1058">
        <f>YEAR(Table13[[#This Row],[Date]])</f>
        <v>1961</v>
      </c>
      <c r="H1058" t="s">
        <v>843</v>
      </c>
      <c r="I1058">
        <f>IF(COUNTIF($E1058, _xlfn.CONCAT("*",Table13[[#Headers],[Action]],"*")),1,0)</f>
        <v>0</v>
      </c>
      <c r="J1058">
        <f>IF(COUNTIF($E1058, _xlfn.CONCAT("*",Table13[[#Headers],[Adventure]],"*")),1,0)</f>
        <v>0</v>
      </c>
      <c r="K1058">
        <f>IF(COUNTIF($E1058, _xlfn.CONCAT("*",Table13[[#Headers],[Animation]],"*")),1,0)</f>
        <v>0</v>
      </c>
      <c r="L1058">
        <f>IF(COUNTIF($E1058, _xlfn.CONCAT("*",Table13[[#Headers],[Comedy]],"*")),1,0)</f>
        <v>0</v>
      </c>
      <c r="M1058">
        <f>IF(COUNTIF($E1058, _xlfn.CONCAT("*",Table13[[#Headers],[Crime]],"*")),1,0)</f>
        <v>0</v>
      </c>
      <c r="N1058">
        <f>IF(COUNTIF($E1058, _xlfn.CONCAT("*",Table13[[#Headers],[Documentary]],"*")),1,0)</f>
        <v>0</v>
      </c>
      <c r="O1058">
        <f>IF(COUNTIF($E1058, _xlfn.CONCAT("*",Table13[[#Headers],[Drama]],"*")),1,0)</f>
        <v>1</v>
      </c>
      <c r="P1058">
        <f>IF(COUNTIF($E1058, _xlfn.CONCAT("*",Table13[[#Headers],[Family]],"*")),1,0)</f>
        <v>0</v>
      </c>
      <c r="Q1058">
        <f>IF(COUNTIF($E1058, _xlfn.CONCAT("*",Table13[[#Headers],[Fantasy]],"*")),1,0)</f>
        <v>0</v>
      </c>
      <c r="R1058">
        <f>IF(COUNTIF($E1058, _xlfn.CONCAT("*",Table13[[#Headers],[History]],"*")),1,0)</f>
        <v>0</v>
      </c>
      <c r="S1058">
        <f>IF(COUNTIF($E1058, _xlfn.CONCAT("*",Table13[[#Headers],[Horror]],"*")),1,0)</f>
        <v>0</v>
      </c>
      <c r="T1058">
        <f>IF(COUNTIF($E1058, _xlfn.CONCAT("*",Table13[[#Headers],[Music]],"*")),1,0)</f>
        <v>0</v>
      </c>
      <c r="U1058">
        <f>IF(COUNTIF($E1058, _xlfn.CONCAT("*",Table13[[#Headers],[Mystery]],"*")),1,0)</f>
        <v>0</v>
      </c>
      <c r="V1058">
        <f>IF(COUNTIF($E1058, _xlfn.CONCAT("*",Table13[[#Headers],[Romance]],"*")),1,0)</f>
        <v>0</v>
      </c>
      <c r="W1058">
        <f>IF(COUNTIF($E1058, _xlfn.CONCAT("*",Table13[[#Headers],[Science Fiction]],"*")),1,0)</f>
        <v>0</v>
      </c>
      <c r="X1058">
        <f>IF(COUNTIF($E1058, _xlfn.CONCAT("*",Table13[[#Headers],[TV Movie]],"*")),1,0)</f>
        <v>0</v>
      </c>
      <c r="Y1058">
        <f>IF(COUNTIF($E1058, _xlfn.CONCAT("*",Table13[[#Headers],[Thriller]],"*")),1,0)</f>
        <v>1</v>
      </c>
      <c r="Z1058">
        <f>IF(COUNTIF($E1058, _xlfn.CONCAT("*",Table13[[#Headers],[War]],"*")),1,0)</f>
        <v>0</v>
      </c>
      <c r="AA1058">
        <f>IF(COUNTIF($E1058, _xlfn.CONCAT("*",Table13[[#Headers],[Western]],"*")),1,0)</f>
        <v>0</v>
      </c>
    </row>
    <row r="1059" spans="1:27">
      <c r="A1059" t="s">
        <v>210</v>
      </c>
      <c r="B1059">
        <v>77</v>
      </c>
      <c r="C1059">
        <f>MAX(Table13[Rank])-Table13[[#This Row],[Rank]]</f>
        <v>187</v>
      </c>
      <c r="D1059" t="s">
        <v>994</v>
      </c>
      <c r="E1059" t="s">
        <v>211</v>
      </c>
      <c r="F1059" s="1">
        <v>17156</v>
      </c>
      <c r="G1059">
        <f>YEAR(Table13[[#This Row],[Date]])</f>
        <v>1946</v>
      </c>
      <c r="H1059" t="s">
        <v>210</v>
      </c>
      <c r="I1059">
        <f>IF(COUNTIF($E1059, _xlfn.CONCAT("*",Table13[[#Headers],[Action]],"*")),1,0)</f>
        <v>0</v>
      </c>
      <c r="J1059">
        <f>IF(COUNTIF($E1059, _xlfn.CONCAT("*",Table13[[#Headers],[Adventure]],"*")),1,0)</f>
        <v>0</v>
      </c>
      <c r="K1059">
        <f>IF(COUNTIF($E1059, _xlfn.CONCAT("*",Table13[[#Headers],[Animation]],"*")),1,0)</f>
        <v>0</v>
      </c>
      <c r="L1059">
        <f>IF(COUNTIF($E1059, _xlfn.CONCAT("*",Table13[[#Headers],[Comedy]],"*")),1,0)</f>
        <v>0</v>
      </c>
      <c r="M1059">
        <f>IF(COUNTIF($E1059, _xlfn.CONCAT("*",Table13[[#Headers],[Crime]],"*")),1,0)</f>
        <v>0</v>
      </c>
      <c r="N1059">
        <f>IF(COUNTIF($E1059, _xlfn.CONCAT("*",Table13[[#Headers],[Documentary]],"*")),1,0)</f>
        <v>0</v>
      </c>
      <c r="O1059">
        <f>IF(COUNTIF($E1059, _xlfn.CONCAT("*",Table13[[#Headers],[Drama]],"*")),1,0)</f>
        <v>1</v>
      </c>
      <c r="P1059">
        <f>IF(COUNTIF($E1059, _xlfn.CONCAT("*",Table13[[#Headers],[Family]],"*")),1,0)</f>
        <v>1</v>
      </c>
      <c r="Q1059">
        <f>IF(COUNTIF($E1059, _xlfn.CONCAT("*",Table13[[#Headers],[Fantasy]],"*")),1,0)</f>
        <v>1</v>
      </c>
      <c r="R1059">
        <f>IF(COUNTIF($E1059, _xlfn.CONCAT("*",Table13[[#Headers],[History]],"*")),1,0)</f>
        <v>0</v>
      </c>
      <c r="S1059">
        <f>IF(COUNTIF($E1059, _xlfn.CONCAT("*",Table13[[#Headers],[Horror]],"*")),1,0)</f>
        <v>0</v>
      </c>
      <c r="T1059">
        <f>IF(COUNTIF($E1059, _xlfn.CONCAT("*",Table13[[#Headers],[Music]],"*")),1,0)</f>
        <v>0</v>
      </c>
      <c r="U1059">
        <f>IF(COUNTIF($E1059, _xlfn.CONCAT("*",Table13[[#Headers],[Mystery]],"*")),1,0)</f>
        <v>0</v>
      </c>
      <c r="V1059">
        <f>IF(COUNTIF($E1059, _xlfn.CONCAT("*",Table13[[#Headers],[Romance]],"*")),1,0)</f>
        <v>0</v>
      </c>
      <c r="W1059">
        <f>IF(COUNTIF($E1059, _xlfn.CONCAT("*",Table13[[#Headers],[Science Fiction]],"*")),1,0)</f>
        <v>0</v>
      </c>
      <c r="X1059">
        <f>IF(COUNTIF($E1059, _xlfn.CONCAT("*",Table13[[#Headers],[TV Movie]],"*")),1,0)</f>
        <v>0</v>
      </c>
      <c r="Y1059">
        <f>IF(COUNTIF($E1059, _xlfn.CONCAT("*",Table13[[#Headers],[Thriller]],"*")),1,0)</f>
        <v>0</v>
      </c>
      <c r="Z1059">
        <f>IF(COUNTIF($E1059, _xlfn.CONCAT("*",Table13[[#Headers],[War]],"*")),1,0)</f>
        <v>0</v>
      </c>
      <c r="AA1059">
        <f>IF(COUNTIF($E1059, _xlfn.CONCAT("*",Table13[[#Headers],[Western]],"*")),1,0)</f>
        <v>0</v>
      </c>
    </row>
    <row r="1060" spans="1:27">
      <c r="A1060" t="s">
        <v>752</v>
      </c>
      <c r="B1060">
        <v>76</v>
      </c>
      <c r="C1060">
        <f>MAX(Table13[Rank])-Table13[[#This Row],[Rank]]</f>
        <v>188</v>
      </c>
      <c r="D1060" t="s">
        <v>994</v>
      </c>
      <c r="E1060" t="s">
        <v>753</v>
      </c>
      <c r="F1060" s="1">
        <v>33533</v>
      </c>
      <c r="G1060">
        <f>YEAR(Table13[[#This Row],[Date]])</f>
        <v>1991</v>
      </c>
      <c r="H1060" t="s">
        <v>752</v>
      </c>
      <c r="I1060">
        <f>IF(COUNTIF($E1060, _xlfn.CONCAT("*",Table13[[#Headers],[Action]],"*")),1,0)</f>
        <v>0</v>
      </c>
      <c r="J1060">
        <f>IF(COUNTIF($E1060, _xlfn.CONCAT("*",Table13[[#Headers],[Adventure]],"*")),1,0)</f>
        <v>0</v>
      </c>
      <c r="K1060">
        <f>IF(COUNTIF($E1060, _xlfn.CONCAT("*",Table13[[#Headers],[Animation]],"*")),1,0)</f>
        <v>1</v>
      </c>
      <c r="L1060">
        <f>IF(COUNTIF($E1060, _xlfn.CONCAT("*",Table13[[#Headers],[Comedy]],"*")),1,0)</f>
        <v>0</v>
      </c>
      <c r="M1060">
        <f>IF(COUNTIF($E1060, _xlfn.CONCAT("*",Table13[[#Headers],[Crime]],"*")),1,0)</f>
        <v>0</v>
      </c>
      <c r="N1060">
        <f>IF(COUNTIF($E1060, _xlfn.CONCAT("*",Table13[[#Headers],[Documentary]],"*")),1,0)</f>
        <v>0</v>
      </c>
      <c r="O1060">
        <f>IF(COUNTIF($E1060, _xlfn.CONCAT("*",Table13[[#Headers],[Drama]],"*")),1,0)</f>
        <v>0</v>
      </c>
      <c r="P1060">
        <f>IF(COUNTIF($E1060, _xlfn.CONCAT("*",Table13[[#Headers],[Family]],"*")),1,0)</f>
        <v>1</v>
      </c>
      <c r="Q1060">
        <f>IF(COUNTIF($E1060, _xlfn.CONCAT("*",Table13[[#Headers],[Fantasy]],"*")),1,0)</f>
        <v>1</v>
      </c>
      <c r="R1060">
        <f>IF(COUNTIF($E1060, _xlfn.CONCAT("*",Table13[[#Headers],[History]],"*")),1,0)</f>
        <v>0</v>
      </c>
      <c r="S1060">
        <f>IF(COUNTIF($E1060, _xlfn.CONCAT("*",Table13[[#Headers],[Horror]],"*")),1,0)</f>
        <v>0</v>
      </c>
      <c r="T1060">
        <f>IF(COUNTIF($E1060, _xlfn.CONCAT("*",Table13[[#Headers],[Music]],"*")),1,0)</f>
        <v>0</v>
      </c>
      <c r="U1060">
        <f>IF(COUNTIF($E1060, _xlfn.CONCAT("*",Table13[[#Headers],[Mystery]],"*")),1,0)</f>
        <v>0</v>
      </c>
      <c r="V1060">
        <f>IF(COUNTIF($E1060, _xlfn.CONCAT("*",Table13[[#Headers],[Romance]],"*")),1,0)</f>
        <v>1</v>
      </c>
      <c r="W1060">
        <f>IF(COUNTIF($E1060, _xlfn.CONCAT("*",Table13[[#Headers],[Science Fiction]],"*")),1,0)</f>
        <v>0</v>
      </c>
      <c r="X1060">
        <f>IF(COUNTIF($E1060, _xlfn.CONCAT("*",Table13[[#Headers],[TV Movie]],"*")),1,0)</f>
        <v>0</v>
      </c>
      <c r="Y1060">
        <f>IF(COUNTIF($E1060, _xlfn.CONCAT("*",Table13[[#Headers],[Thriller]],"*")),1,0)</f>
        <v>0</v>
      </c>
      <c r="Z1060">
        <f>IF(COUNTIF($E1060, _xlfn.CONCAT("*",Table13[[#Headers],[War]],"*")),1,0)</f>
        <v>0</v>
      </c>
      <c r="AA1060">
        <f>IF(COUNTIF($E1060, _xlfn.CONCAT("*",Table13[[#Headers],[Western]],"*")),1,0)</f>
        <v>0</v>
      </c>
    </row>
    <row r="1061" spans="1:27">
      <c r="A1061" t="s">
        <v>234</v>
      </c>
      <c r="B1061">
        <v>75</v>
      </c>
      <c r="C1061">
        <f>MAX(Table13[Rank])-Table13[[#This Row],[Rank]]</f>
        <v>189</v>
      </c>
      <c r="D1061" t="s">
        <v>994</v>
      </c>
      <c r="E1061" t="s">
        <v>21</v>
      </c>
      <c r="F1061" s="1">
        <v>39442</v>
      </c>
      <c r="G1061">
        <f>YEAR(Table13[[#This Row],[Date]])</f>
        <v>2007</v>
      </c>
      <c r="H1061" t="s">
        <v>234</v>
      </c>
      <c r="I1061">
        <f>IF(COUNTIF($E1061, _xlfn.CONCAT("*",Table13[[#Headers],[Action]],"*")),1,0)</f>
        <v>0</v>
      </c>
      <c r="J1061">
        <f>IF(COUNTIF($E1061, _xlfn.CONCAT("*",Table13[[#Headers],[Adventure]],"*")),1,0)</f>
        <v>0</v>
      </c>
      <c r="K1061">
        <f>IF(COUNTIF($E1061, _xlfn.CONCAT("*",Table13[[#Headers],[Animation]],"*")),1,0)</f>
        <v>0</v>
      </c>
      <c r="L1061">
        <f>IF(COUNTIF($E1061, _xlfn.CONCAT("*",Table13[[#Headers],[Comedy]],"*")),1,0)</f>
        <v>0</v>
      </c>
      <c r="M1061">
        <f>IF(COUNTIF($E1061, _xlfn.CONCAT("*",Table13[[#Headers],[Crime]],"*")),1,0)</f>
        <v>0</v>
      </c>
      <c r="N1061">
        <f>IF(COUNTIF($E1061, _xlfn.CONCAT("*",Table13[[#Headers],[Documentary]],"*")),1,0)</f>
        <v>0</v>
      </c>
      <c r="O1061">
        <f>IF(COUNTIF($E1061, _xlfn.CONCAT("*",Table13[[#Headers],[Drama]],"*")),1,0)</f>
        <v>1</v>
      </c>
      <c r="P1061">
        <f>IF(COUNTIF($E1061, _xlfn.CONCAT("*",Table13[[#Headers],[Family]],"*")),1,0)</f>
        <v>0</v>
      </c>
      <c r="Q1061">
        <f>IF(COUNTIF($E1061, _xlfn.CONCAT("*",Table13[[#Headers],[Fantasy]],"*")),1,0)</f>
        <v>0</v>
      </c>
      <c r="R1061">
        <f>IF(COUNTIF($E1061, _xlfn.CONCAT("*",Table13[[#Headers],[History]],"*")),1,0)</f>
        <v>0</v>
      </c>
      <c r="S1061">
        <f>IF(COUNTIF($E1061, _xlfn.CONCAT("*",Table13[[#Headers],[Horror]],"*")),1,0)</f>
        <v>0</v>
      </c>
      <c r="T1061">
        <f>IF(COUNTIF($E1061, _xlfn.CONCAT("*",Table13[[#Headers],[Music]],"*")),1,0)</f>
        <v>0</v>
      </c>
      <c r="U1061">
        <f>IF(COUNTIF($E1061, _xlfn.CONCAT("*",Table13[[#Headers],[Mystery]],"*")),1,0)</f>
        <v>0</v>
      </c>
      <c r="V1061">
        <f>IF(COUNTIF($E1061, _xlfn.CONCAT("*",Table13[[#Headers],[Romance]],"*")),1,0)</f>
        <v>0</v>
      </c>
      <c r="W1061">
        <f>IF(COUNTIF($E1061, _xlfn.CONCAT("*",Table13[[#Headers],[Science Fiction]],"*")),1,0)</f>
        <v>0</v>
      </c>
      <c r="X1061">
        <f>IF(COUNTIF($E1061, _xlfn.CONCAT("*",Table13[[#Headers],[TV Movie]],"*")),1,0)</f>
        <v>0</v>
      </c>
      <c r="Y1061">
        <f>IF(COUNTIF($E1061, _xlfn.CONCAT("*",Table13[[#Headers],[Thriller]],"*")),1,0)</f>
        <v>0</v>
      </c>
      <c r="Z1061">
        <f>IF(COUNTIF($E1061, _xlfn.CONCAT("*",Table13[[#Headers],[War]],"*")),1,0)</f>
        <v>0</v>
      </c>
      <c r="AA1061">
        <f>IF(COUNTIF($E1061, _xlfn.CONCAT("*",Table13[[#Headers],[Western]],"*")),1,0)</f>
        <v>0</v>
      </c>
    </row>
    <row r="1062" spans="1:27">
      <c r="A1062" t="s">
        <v>716</v>
      </c>
      <c r="B1062">
        <v>74</v>
      </c>
      <c r="C1062">
        <f>MAX(Table13[Rank])-Table13[[#This Row],[Rank]]</f>
        <v>190</v>
      </c>
      <c r="D1062" t="s">
        <v>994</v>
      </c>
      <c r="E1062" t="s">
        <v>717</v>
      </c>
      <c r="F1062" s="1">
        <v>40345</v>
      </c>
      <c r="G1062">
        <f>YEAR(Table13[[#This Row],[Date]])</f>
        <v>2010</v>
      </c>
      <c r="H1062" t="s">
        <v>716</v>
      </c>
      <c r="I1062">
        <f>IF(COUNTIF($E1062, _xlfn.CONCAT("*",Table13[[#Headers],[Action]],"*")),1,0)</f>
        <v>0</v>
      </c>
      <c r="J1062">
        <f>IF(COUNTIF($E1062, _xlfn.CONCAT("*",Table13[[#Headers],[Adventure]],"*")),1,0)</f>
        <v>0</v>
      </c>
      <c r="K1062">
        <f>IF(COUNTIF($E1062, _xlfn.CONCAT("*",Table13[[#Headers],[Animation]],"*")),1,0)</f>
        <v>1</v>
      </c>
      <c r="L1062">
        <f>IF(COUNTIF($E1062, _xlfn.CONCAT("*",Table13[[#Headers],[Comedy]],"*")),1,0)</f>
        <v>1</v>
      </c>
      <c r="M1062">
        <f>IF(COUNTIF($E1062, _xlfn.CONCAT("*",Table13[[#Headers],[Crime]],"*")),1,0)</f>
        <v>0</v>
      </c>
      <c r="N1062">
        <f>IF(COUNTIF($E1062, _xlfn.CONCAT("*",Table13[[#Headers],[Documentary]],"*")),1,0)</f>
        <v>0</v>
      </c>
      <c r="O1062">
        <f>IF(COUNTIF($E1062, _xlfn.CONCAT("*",Table13[[#Headers],[Drama]],"*")),1,0)</f>
        <v>0</v>
      </c>
      <c r="P1062">
        <f>IF(COUNTIF($E1062, _xlfn.CONCAT("*",Table13[[#Headers],[Family]],"*")),1,0)</f>
        <v>1</v>
      </c>
      <c r="Q1062">
        <f>IF(COUNTIF($E1062, _xlfn.CONCAT("*",Table13[[#Headers],[Fantasy]],"*")),1,0)</f>
        <v>0</v>
      </c>
      <c r="R1062">
        <f>IF(COUNTIF($E1062, _xlfn.CONCAT("*",Table13[[#Headers],[History]],"*")),1,0)</f>
        <v>0</v>
      </c>
      <c r="S1062">
        <f>IF(COUNTIF($E1062, _xlfn.CONCAT("*",Table13[[#Headers],[Horror]],"*")),1,0)</f>
        <v>0</v>
      </c>
      <c r="T1062">
        <f>IF(COUNTIF($E1062, _xlfn.CONCAT("*",Table13[[#Headers],[Music]],"*")),1,0)</f>
        <v>0</v>
      </c>
      <c r="U1062">
        <f>IF(COUNTIF($E1062, _xlfn.CONCAT("*",Table13[[#Headers],[Mystery]],"*")),1,0)</f>
        <v>0</v>
      </c>
      <c r="V1062">
        <f>IF(COUNTIF($E1062, _xlfn.CONCAT("*",Table13[[#Headers],[Romance]],"*")),1,0)</f>
        <v>0</v>
      </c>
      <c r="W1062">
        <f>IF(COUNTIF($E1062, _xlfn.CONCAT("*",Table13[[#Headers],[Science Fiction]],"*")),1,0)</f>
        <v>0</v>
      </c>
      <c r="X1062">
        <f>IF(COUNTIF($E1062, _xlfn.CONCAT("*",Table13[[#Headers],[TV Movie]],"*")),1,0)</f>
        <v>0</v>
      </c>
      <c r="Y1062">
        <f>IF(COUNTIF($E1062, _xlfn.CONCAT("*",Table13[[#Headers],[Thriller]],"*")),1,0)</f>
        <v>0</v>
      </c>
      <c r="Z1062">
        <f>IF(COUNTIF($E1062, _xlfn.CONCAT("*",Table13[[#Headers],[War]],"*")),1,0)</f>
        <v>0</v>
      </c>
      <c r="AA1062">
        <f>IF(COUNTIF($E1062, _xlfn.CONCAT("*",Table13[[#Headers],[Western]],"*")),1,0)</f>
        <v>0</v>
      </c>
    </row>
    <row r="1063" spans="1:27">
      <c r="A1063" t="s">
        <v>619</v>
      </c>
      <c r="B1063">
        <v>73</v>
      </c>
      <c r="C1063">
        <f>MAX(Table13[Rank])-Table13[[#This Row],[Rank]]</f>
        <v>191</v>
      </c>
      <c r="D1063" t="s">
        <v>994</v>
      </c>
      <c r="E1063" t="s">
        <v>618</v>
      </c>
      <c r="F1063" s="1">
        <v>37608</v>
      </c>
      <c r="G1063">
        <f>YEAR(Table13[[#This Row],[Date]])</f>
        <v>2002</v>
      </c>
      <c r="H1063" t="s">
        <v>619</v>
      </c>
      <c r="I1063">
        <f>IF(COUNTIF($E1063, _xlfn.CONCAT("*",Table13[[#Headers],[Action]],"*")),1,0)</f>
        <v>1</v>
      </c>
      <c r="J1063">
        <f>IF(COUNTIF($E1063, _xlfn.CONCAT("*",Table13[[#Headers],[Adventure]],"*")),1,0)</f>
        <v>1</v>
      </c>
      <c r="K1063">
        <f>IF(COUNTIF($E1063, _xlfn.CONCAT("*",Table13[[#Headers],[Animation]],"*")),1,0)</f>
        <v>0</v>
      </c>
      <c r="L1063">
        <f>IF(COUNTIF($E1063, _xlfn.CONCAT("*",Table13[[#Headers],[Comedy]],"*")),1,0)</f>
        <v>0</v>
      </c>
      <c r="M1063">
        <f>IF(COUNTIF($E1063, _xlfn.CONCAT("*",Table13[[#Headers],[Crime]],"*")),1,0)</f>
        <v>0</v>
      </c>
      <c r="N1063">
        <f>IF(COUNTIF($E1063, _xlfn.CONCAT("*",Table13[[#Headers],[Documentary]],"*")),1,0)</f>
        <v>0</v>
      </c>
      <c r="O1063">
        <f>IF(COUNTIF($E1063, _xlfn.CONCAT("*",Table13[[#Headers],[Drama]],"*")),1,0)</f>
        <v>0</v>
      </c>
      <c r="P1063">
        <f>IF(COUNTIF($E1063, _xlfn.CONCAT("*",Table13[[#Headers],[Family]],"*")),1,0)</f>
        <v>0</v>
      </c>
      <c r="Q1063">
        <f>IF(COUNTIF($E1063, _xlfn.CONCAT("*",Table13[[#Headers],[Fantasy]],"*")),1,0)</f>
        <v>1</v>
      </c>
      <c r="R1063">
        <f>IF(COUNTIF($E1063, _xlfn.CONCAT("*",Table13[[#Headers],[History]],"*")),1,0)</f>
        <v>0</v>
      </c>
      <c r="S1063">
        <f>IF(COUNTIF($E1063, _xlfn.CONCAT("*",Table13[[#Headers],[Horror]],"*")),1,0)</f>
        <v>0</v>
      </c>
      <c r="T1063">
        <f>IF(COUNTIF($E1063, _xlfn.CONCAT("*",Table13[[#Headers],[Music]],"*")),1,0)</f>
        <v>0</v>
      </c>
      <c r="U1063">
        <f>IF(COUNTIF($E1063, _xlfn.CONCAT("*",Table13[[#Headers],[Mystery]],"*")),1,0)</f>
        <v>0</v>
      </c>
      <c r="V1063">
        <f>IF(COUNTIF($E1063, _xlfn.CONCAT("*",Table13[[#Headers],[Romance]],"*")),1,0)</f>
        <v>0</v>
      </c>
      <c r="W1063">
        <f>IF(COUNTIF($E1063, _xlfn.CONCAT("*",Table13[[#Headers],[Science Fiction]],"*")),1,0)</f>
        <v>0</v>
      </c>
      <c r="X1063">
        <f>IF(COUNTIF($E1063, _xlfn.CONCAT("*",Table13[[#Headers],[TV Movie]],"*")),1,0)</f>
        <v>0</v>
      </c>
      <c r="Y1063">
        <f>IF(COUNTIF($E1063, _xlfn.CONCAT("*",Table13[[#Headers],[Thriller]],"*")),1,0)</f>
        <v>0</v>
      </c>
      <c r="Z1063">
        <f>IF(COUNTIF($E1063, _xlfn.CONCAT("*",Table13[[#Headers],[War]],"*")),1,0)</f>
        <v>0</v>
      </c>
      <c r="AA1063">
        <f>IF(COUNTIF($E1063, _xlfn.CONCAT("*",Table13[[#Headers],[Western]],"*")),1,0)</f>
        <v>0</v>
      </c>
    </row>
    <row r="1064" spans="1:27">
      <c r="A1064" t="s">
        <v>368</v>
      </c>
      <c r="B1064">
        <v>72</v>
      </c>
      <c r="C1064">
        <f>MAX(Table13[Rank])-Table13[[#This Row],[Rank]]</f>
        <v>192</v>
      </c>
      <c r="D1064" t="s">
        <v>994</v>
      </c>
      <c r="E1064" t="s">
        <v>21</v>
      </c>
      <c r="F1064" s="1">
        <v>24252</v>
      </c>
      <c r="G1064">
        <f>YEAR(Table13[[#This Row],[Date]])</f>
        <v>1966</v>
      </c>
      <c r="H1064" t="s">
        <v>1291</v>
      </c>
      <c r="I1064">
        <f>IF(COUNTIF($E1064, _xlfn.CONCAT("*",Table13[[#Headers],[Action]],"*")),1,0)</f>
        <v>0</v>
      </c>
      <c r="J1064">
        <f>IF(COUNTIF($E1064, _xlfn.CONCAT("*",Table13[[#Headers],[Adventure]],"*")),1,0)</f>
        <v>0</v>
      </c>
      <c r="K1064">
        <f>IF(COUNTIF($E1064, _xlfn.CONCAT("*",Table13[[#Headers],[Animation]],"*")),1,0)</f>
        <v>0</v>
      </c>
      <c r="L1064">
        <f>IF(COUNTIF($E1064, _xlfn.CONCAT("*",Table13[[#Headers],[Comedy]],"*")),1,0)</f>
        <v>0</v>
      </c>
      <c r="M1064">
        <f>IF(COUNTIF($E1064, _xlfn.CONCAT("*",Table13[[#Headers],[Crime]],"*")),1,0)</f>
        <v>0</v>
      </c>
      <c r="N1064">
        <f>IF(COUNTIF($E1064, _xlfn.CONCAT("*",Table13[[#Headers],[Documentary]],"*")),1,0)</f>
        <v>0</v>
      </c>
      <c r="O1064">
        <f>IF(COUNTIF($E1064, _xlfn.CONCAT("*",Table13[[#Headers],[Drama]],"*")),1,0)</f>
        <v>1</v>
      </c>
      <c r="P1064">
        <f>IF(COUNTIF($E1064, _xlfn.CONCAT("*",Table13[[#Headers],[Family]],"*")),1,0)</f>
        <v>0</v>
      </c>
      <c r="Q1064">
        <f>IF(COUNTIF($E1064, _xlfn.CONCAT("*",Table13[[#Headers],[Fantasy]],"*")),1,0)</f>
        <v>0</v>
      </c>
      <c r="R1064">
        <f>IF(COUNTIF($E1064, _xlfn.CONCAT("*",Table13[[#Headers],[History]],"*")),1,0)</f>
        <v>0</v>
      </c>
      <c r="S1064">
        <f>IF(COUNTIF($E1064, _xlfn.CONCAT("*",Table13[[#Headers],[Horror]],"*")),1,0)</f>
        <v>0</v>
      </c>
      <c r="T1064">
        <f>IF(COUNTIF($E1064, _xlfn.CONCAT("*",Table13[[#Headers],[Music]],"*")),1,0)</f>
        <v>0</v>
      </c>
      <c r="U1064">
        <f>IF(COUNTIF($E1064, _xlfn.CONCAT("*",Table13[[#Headers],[Mystery]],"*")),1,0)</f>
        <v>0</v>
      </c>
      <c r="V1064">
        <f>IF(COUNTIF($E1064, _xlfn.CONCAT("*",Table13[[#Headers],[Romance]],"*")),1,0)</f>
        <v>0</v>
      </c>
      <c r="W1064">
        <f>IF(COUNTIF($E1064, _xlfn.CONCAT("*",Table13[[#Headers],[Science Fiction]],"*")),1,0)</f>
        <v>0</v>
      </c>
      <c r="X1064">
        <f>IF(COUNTIF($E1064, _xlfn.CONCAT("*",Table13[[#Headers],[TV Movie]],"*")),1,0)</f>
        <v>0</v>
      </c>
      <c r="Y1064">
        <f>IF(COUNTIF($E1064, _xlfn.CONCAT("*",Table13[[#Headers],[Thriller]],"*")),1,0)</f>
        <v>0</v>
      </c>
      <c r="Z1064">
        <f>IF(COUNTIF($E1064, _xlfn.CONCAT("*",Table13[[#Headers],[War]],"*")),1,0)</f>
        <v>0</v>
      </c>
      <c r="AA1064">
        <f>IF(COUNTIF($E1064, _xlfn.CONCAT("*",Table13[[#Headers],[Western]],"*")),1,0)</f>
        <v>0</v>
      </c>
    </row>
    <row r="1065" spans="1:27">
      <c r="A1065" t="s">
        <v>1002</v>
      </c>
      <c r="B1065">
        <v>71</v>
      </c>
      <c r="C1065">
        <f>MAX(Table13[Rank])-Table13[[#This Row],[Rank]]</f>
        <v>193</v>
      </c>
      <c r="D1065" t="s">
        <v>994</v>
      </c>
      <c r="E1065" t="s">
        <v>15</v>
      </c>
      <c r="F1065" s="1">
        <v>14622</v>
      </c>
      <c r="G1065">
        <f>YEAR(Table13[[#This Row],[Date]])</f>
        <v>1940</v>
      </c>
      <c r="H1065" t="s">
        <v>1002</v>
      </c>
      <c r="I1065">
        <f>IF(COUNTIF($E1065, _xlfn.CONCAT("*",Table13[[#Headers],[Action]],"*")),1,0)</f>
        <v>0</v>
      </c>
      <c r="J1065">
        <f>IF(COUNTIF($E1065, _xlfn.CONCAT("*",Table13[[#Headers],[Adventure]],"*")),1,0)</f>
        <v>0</v>
      </c>
      <c r="K1065">
        <f>IF(COUNTIF($E1065, _xlfn.CONCAT("*",Table13[[#Headers],[Animation]],"*")),1,0)</f>
        <v>0</v>
      </c>
      <c r="L1065">
        <f>IF(COUNTIF($E1065, _xlfn.CONCAT("*",Table13[[#Headers],[Comedy]],"*")),1,0)</f>
        <v>1</v>
      </c>
      <c r="M1065">
        <f>IF(COUNTIF($E1065, _xlfn.CONCAT("*",Table13[[#Headers],[Crime]],"*")),1,0)</f>
        <v>0</v>
      </c>
      <c r="N1065">
        <f>IF(COUNTIF($E1065, _xlfn.CONCAT("*",Table13[[#Headers],[Documentary]],"*")),1,0)</f>
        <v>0</v>
      </c>
      <c r="O1065">
        <f>IF(COUNTIF($E1065, _xlfn.CONCAT("*",Table13[[#Headers],[Drama]],"*")),1,0)</f>
        <v>1</v>
      </c>
      <c r="P1065">
        <f>IF(COUNTIF($E1065, _xlfn.CONCAT("*",Table13[[#Headers],[Family]],"*")),1,0)</f>
        <v>0</v>
      </c>
      <c r="Q1065">
        <f>IF(COUNTIF($E1065, _xlfn.CONCAT("*",Table13[[#Headers],[Fantasy]],"*")),1,0)</f>
        <v>0</v>
      </c>
      <c r="R1065">
        <f>IF(COUNTIF($E1065, _xlfn.CONCAT("*",Table13[[#Headers],[History]],"*")),1,0)</f>
        <v>0</v>
      </c>
      <c r="S1065">
        <f>IF(COUNTIF($E1065, _xlfn.CONCAT("*",Table13[[#Headers],[Horror]],"*")),1,0)</f>
        <v>0</v>
      </c>
      <c r="T1065">
        <f>IF(COUNTIF($E1065, _xlfn.CONCAT("*",Table13[[#Headers],[Music]],"*")),1,0)</f>
        <v>0</v>
      </c>
      <c r="U1065">
        <f>IF(COUNTIF($E1065, _xlfn.CONCAT("*",Table13[[#Headers],[Mystery]],"*")),1,0)</f>
        <v>0</v>
      </c>
      <c r="V1065">
        <f>IF(COUNTIF($E1065, _xlfn.CONCAT("*",Table13[[#Headers],[Romance]],"*")),1,0)</f>
        <v>1</v>
      </c>
      <c r="W1065">
        <f>IF(COUNTIF($E1065, _xlfn.CONCAT("*",Table13[[#Headers],[Science Fiction]],"*")),1,0)</f>
        <v>0</v>
      </c>
      <c r="X1065">
        <f>IF(COUNTIF($E1065, _xlfn.CONCAT("*",Table13[[#Headers],[TV Movie]],"*")),1,0)</f>
        <v>0</v>
      </c>
      <c r="Y1065">
        <f>IF(COUNTIF($E1065, _xlfn.CONCAT("*",Table13[[#Headers],[Thriller]],"*")),1,0)</f>
        <v>0</v>
      </c>
      <c r="Z1065">
        <f>IF(COUNTIF($E1065, _xlfn.CONCAT("*",Table13[[#Headers],[War]],"*")),1,0)</f>
        <v>0</v>
      </c>
      <c r="AA1065">
        <f>IF(COUNTIF($E1065, _xlfn.CONCAT("*",Table13[[#Headers],[Western]],"*")),1,0)</f>
        <v>0</v>
      </c>
    </row>
    <row r="1066" spans="1:27">
      <c r="A1066" t="s">
        <v>1003</v>
      </c>
      <c r="B1066">
        <v>70</v>
      </c>
      <c r="C1066">
        <f>MAX(Table13[Rank])-Table13[[#This Row],[Rank]]</f>
        <v>194</v>
      </c>
      <c r="D1066" t="s">
        <v>994</v>
      </c>
      <c r="E1066" t="s">
        <v>1004</v>
      </c>
      <c r="F1066" s="1">
        <v>14013</v>
      </c>
      <c r="G1066">
        <f>YEAR(Table13[[#This Row],[Date]])</f>
        <v>1938</v>
      </c>
      <c r="H1066" t="s">
        <v>1003</v>
      </c>
      <c r="I1066">
        <f>IF(COUNTIF($E1066, _xlfn.CONCAT("*",Table13[[#Headers],[Action]],"*")),1,0)</f>
        <v>0</v>
      </c>
      <c r="J1066">
        <f>IF(COUNTIF($E1066, _xlfn.CONCAT("*",Table13[[#Headers],[Adventure]],"*")),1,0)</f>
        <v>1</v>
      </c>
      <c r="K1066">
        <f>IF(COUNTIF($E1066, _xlfn.CONCAT("*",Table13[[#Headers],[Animation]],"*")),1,0)</f>
        <v>0</v>
      </c>
      <c r="L1066">
        <f>IF(COUNTIF($E1066, _xlfn.CONCAT("*",Table13[[#Headers],[Comedy]],"*")),1,0)</f>
        <v>0</v>
      </c>
      <c r="M1066">
        <f>IF(COUNTIF($E1066, _xlfn.CONCAT("*",Table13[[#Headers],[Crime]],"*")),1,0)</f>
        <v>0</v>
      </c>
      <c r="N1066">
        <f>IF(COUNTIF($E1066, _xlfn.CONCAT("*",Table13[[#Headers],[Documentary]],"*")),1,0)</f>
        <v>0</v>
      </c>
      <c r="O1066">
        <f>IF(COUNTIF($E1066, _xlfn.CONCAT("*",Table13[[#Headers],[Drama]],"*")),1,0)</f>
        <v>0</v>
      </c>
      <c r="P1066">
        <f>IF(COUNTIF($E1066, _xlfn.CONCAT("*",Table13[[#Headers],[Family]],"*")),1,0)</f>
        <v>0</v>
      </c>
      <c r="Q1066">
        <f>IF(COUNTIF($E1066, _xlfn.CONCAT("*",Table13[[#Headers],[Fantasy]],"*")),1,0)</f>
        <v>0</v>
      </c>
      <c r="R1066">
        <f>IF(COUNTIF($E1066, _xlfn.CONCAT("*",Table13[[#Headers],[History]],"*")),1,0)</f>
        <v>1</v>
      </c>
      <c r="S1066">
        <f>IF(COUNTIF($E1066, _xlfn.CONCAT("*",Table13[[#Headers],[Horror]],"*")),1,0)</f>
        <v>0</v>
      </c>
      <c r="T1066">
        <f>IF(COUNTIF($E1066, _xlfn.CONCAT("*",Table13[[#Headers],[Music]],"*")),1,0)</f>
        <v>0</v>
      </c>
      <c r="U1066">
        <f>IF(COUNTIF($E1066, _xlfn.CONCAT("*",Table13[[#Headers],[Mystery]],"*")),1,0)</f>
        <v>0</v>
      </c>
      <c r="V1066">
        <f>IF(COUNTIF($E1066, _xlfn.CONCAT("*",Table13[[#Headers],[Romance]],"*")),1,0)</f>
        <v>1</v>
      </c>
      <c r="W1066">
        <f>IF(COUNTIF($E1066, _xlfn.CONCAT("*",Table13[[#Headers],[Science Fiction]],"*")),1,0)</f>
        <v>0</v>
      </c>
      <c r="X1066">
        <f>IF(COUNTIF($E1066, _xlfn.CONCAT("*",Table13[[#Headers],[TV Movie]],"*")),1,0)</f>
        <v>0</v>
      </c>
      <c r="Y1066">
        <f>IF(COUNTIF($E1066, _xlfn.CONCAT("*",Table13[[#Headers],[Thriller]],"*")),1,0)</f>
        <v>0</v>
      </c>
      <c r="Z1066">
        <f>IF(COUNTIF($E1066, _xlfn.CONCAT("*",Table13[[#Headers],[War]],"*")),1,0)</f>
        <v>0</v>
      </c>
      <c r="AA1066">
        <f>IF(COUNTIF($E1066, _xlfn.CONCAT("*",Table13[[#Headers],[Western]],"*")),1,0)</f>
        <v>0</v>
      </c>
    </row>
    <row r="1067" spans="1:27">
      <c r="A1067" t="s">
        <v>1005</v>
      </c>
      <c r="B1067">
        <v>69</v>
      </c>
      <c r="C1067">
        <f>MAX(Table13[Rank])-Table13[[#This Row],[Rank]]</f>
        <v>195</v>
      </c>
      <c r="D1067" t="s">
        <v>994</v>
      </c>
      <c r="E1067" t="s">
        <v>1006</v>
      </c>
      <c r="F1067" s="1">
        <v>14160</v>
      </c>
      <c r="G1067">
        <f>YEAR(Table13[[#This Row],[Date]])</f>
        <v>1938</v>
      </c>
      <c r="H1067" t="s">
        <v>1005</v>
      </c>
      <c r="I1067">
        <f>IF(COUNTIF($E1067, _xlfn.CONCAT("*",Table13[[#Headers],[Action]],"*")),1,0)</f>
        <v>0</v>
      </c>
      <c r="J1067">
        <f>IF(COUNTIF($E1067, _xlfn.CONCAT("*",Table13[[#Headers],[Adventure]],"*")),1,0)</f>
        <v>0</v>
      </c>
      <c r="K1067">
        <f>IF(COUNTIF($E1067, _xlfn.CONCAT("*",Table13[[#Headers],[Animation]],"*")),1,0)</f>
        <v>0</v>
      </c>
      <c r="L1067">
        <f>IF(COUNTIF($E1067, _xlfn.CONCAT("*",Table13[[#Headers],[Comedy]],"*")),1,0)</f>
        <v>1</v>
      </c>
      <c r="M1067">
        <f>IF(COUNTIF($E1067, _xlfn.CONCAT("*",Table13[[#Headers],[Crime]],"*")),1,0)</f>
        <v>0</v>
      </c>
      <c r="N1067">
        <f>IF(COUNTIF($E1067, _xlfn.CONCAT("*",Table13[[#Headers],[Documentary]],"*")),1,0)</f>
        <v>0</v>
      </c>
      <c r="O1067">
        <f>IF(COUNTIF($E1067, _xlfn.CONCAT("*",Table13[[#Headers],[Drama]],"*")),1,0)</f>
        <v>0</v>
      </c>
      <c r="P1067">
        <f>IF(COUNTIF($E1067, _xlfn.CONCAT("*",Table13[[#Headers],[Family]],"*")),1,0)</f>
        <v>0</v>
      </c>
      <c r="Q1067">
        <f>IF(COUNTIF($E1067, _xlfn.CONCAT("*",Table13[[#Headers],[Fantasy]],"*")),1,0)</f>
        <v>0</v>
      </c>
      <c r="R1067">
        <f>IF(COUNTIF($E1067, _xlfn.CONCAT("*",Table13[[#Headers],[History]],"*")),1,0)</f>
        <v>0</v>
      </c>
      <c r="S1067">
        <f>IF(COUNTIF($E1067, _xlfn.CONCAT("*",Table13[[#Headers],[Horror]],"*")),1,0)</f>
        <v>0</v>
      </c>
      <c r="T1067">
        <f>IF(COUNTIF($E1067, _xlfn.CONCAT("*",Table13[[#Headers],[Music]],"*")),1,0)</f>
        <v>0</v>
      </c>
      <c r="U1067">
        <f>IF(COUNTIF($E1067, _xlfn.CONCAT("*",Table13[[#Headers],[Mystery]],"*")),1,0)</f>
        <v>1</v>
      </c>
      <c r="V1067">
        <f>IF(COUNTIF($E1067, _xlfn.CONCAT("*",Table13[[#Headers],[Romance]],"*")),1,0)</f>
        <v>0</v>
      </c>
      <c r="W1067">
        <f>IF(COUNTIF($E1067, _xlfn.CONCAT("*",Table13[[#Headers],[Science Fiction]],"*")),1,0)</f>
        <v>0</v>
      </c>
      <c r="X1067">
        <f>IF(COUNTIF($E1067, _xlfn.CONCAT("*",Table13[[#Headers],[TV Movie]],"*")),1,0)</f>
        <v>0</v>
      </c>
      <c r="Y1067">
        <f>IF(COUNTIF($E1067, _xlfn.CONCAT("*",Table13[[#Headers],[Thriller]],"*")),1,0)</f>
        <v>1</v>
      </c>
      <c r="Z1067">
        <f>IF(COUNTIF($E1067, _xlfn.CONCAT("*",Table13[[#Headers],[War]],"*")),1,0)</f>
        <v>0</v>
      </c>
      <c r="AA1067">
        <f>IF(COUNTIF($E1067, _xlfn.CONCAT("*",Table13[[#Headers],[Western]],"*")),1,0)</f>
        <v>0</v>
      </c>
    </row>
    <row r="1068" spans="1:27">
      <c r="A1068" t="s">
        <v>933</v>
      </c>
      <c r="B1068">
        <v>68</v>
      </c>
      <c r="C1068">
        <f>MAX(Table13[Rank])-Table13[[#This Row],[Rank]]</f>
        <v>196</v>
      </c>
      <c r="D1068" t="s">
        <v>994</v>
      </c>
      <c r="E1068" t="s">
        <v>21</v>
      </c>
      <c r="F1068" s="1">
        <v>39318</v>
      </c>
      <c r="G1068">
        <f>YEAR(Table13[[#This Row],[Date]])</f>
        <v>2007</v>
      </c>
      <c r="H1068" t="s">
        <v>933</v>
      </c>
      <c r="I1068">
        <f>IF(COUNTIF($E1068, _xlfn.CONCAT("*",Table13[[#Headers],[Action]],"*")),1,0)</f>
        <v>0</v>
      </c>
      <c r="J1068">
        <f>IF(COUNTIF($E1068, _xlfn.CONCAT("*",Table13[[#Headers],[Adventure]],"*")),1,0)</f>
        <v>0</v>
      </c>
      <c r="K1068">
        <f>IF(COUNTIF($E1068, _xlfn.CONCAT("*",Table13[[#Headers],[Animation]],"*")),1,0)</f>
        <v>0</v>
      </c>
      <c r="L1068">
        <f>IF(COUNTIF($E1068, _xlfn.CONCAT("*",Table13[[#Headers],[Comedy]],"*")),1,0)</f>
        <v>0</v>
      </c>
      <c r="M1068">
        <f>IF(COUNTIF($E1068, _xlfn.CONCAT("*",Table13[[#Headers],[Crime]],"*")),1,0)</f>
        <v>0</v>
      </c>
      <c r="N1068">
        <f>IF(COUNTIF($E1068, _xlfn.CONCAT("*",Table13[[#Headers],[Documentary]],"*")),1,0)</f>
        <v>0</v>
      </c>
      <c r="O1068">
        <f>IF(COUNTIF($E1068, _xlfn.CONCAT("*",Table13[[#Headers],[Drama]],"*")),1,0)</f>
        <v>1</v>
      </c>
      <c r="P1068">
        <f>IF(COUNTIF($E1068, _xlfn.CONCAT("*",Table13[[#Headers],[Family]],"*")),1,0)</f>
        <v>0</v>
      </c>
      <c r="Q1068">
        <f>IF(COUNTIF($E1068, _xlfn.CONCAT("*",Table13[[#Headers],[Fantasy]],"*")),1,0)</f>
        <v>0</v>
      </c>
      <c r="R1068">
        <f>IF(COUNTIF($E1068, _xlfn.CONCAT("*",Table13[[#Headers],[History]],"*")),1,0)</f>
        <v>0</v>
      </c>
      <c r="S1068">
        <f>IF(COUNTIF($E1068, _xlfn.CONCAT("*",Table13[[#Headers],[Horror]],"*")),1,0)</f>
        <v>0</v>
      </c>
      <c r="T1068">
        <f>IF(COUNTIF($E1068, _xlfn.CONCAT("*",Table13[[#Headers],[Music]],"*")),1,0)</f>
        <v>0</v>
      </c>
      <c r="U1068">
        <f>IF(COUNTIF($E1068, _xlfn.CONCAT("*",Table13[[#Headers],[Mystery]],"*")),1,0)</f>
        <v>0</v>
      </c>
      <c r="V1068">
        <f>IF(COUNTIF($E1068, _xlfn.CONCAT("*",Table13[[#Headers],[Romance]],"*")),1,0)</f>
        <v>0</v>
      </c>
      <c r="W1068">
        <f>IF(COUNTIF($E1068, _xlfn.CONCAT("*",Table13[[#Headers],[Science Fiction]],"*")),1,0)</f>
        <v>0</v>
      </c>
      <c r="X1068">
        <f>IF(COUNTIF($E1068, _xlfn.CONCAT("*",Table13[[#Headers],[TV Movie]],"*")),1,0)</f>
        <v>0</v>
      </c>
      <c r="Y1068">
        <f>IF(COUNTIF($E1068, _xlfn.CONCAT("*",Table13[[#Headers],[Thriller]],"*")),1,0)</f>
        <v>0</v>
      </c>
      <c r="Z1068">
        <f>IF(COUNTIF($E1068, _xlfn.CONCAT("*",Table13[[#Headers],[War]],"*")),1,0)</f>
        <v>0</v>
      </c>
      <c r="AA1068">
        <f>IF(COUNTIF($E1068, _xlfn.CONCAT("*",Table13[[#Headers],[Western]],"*")),1,0)</f>
        <v>0</v>
      </c>
    </row>
    <row r="1069" spans="1:27">
      <c r="A1069" t="s">
        <v>1007</v>
      </c>
      <c r="B1069">
        <v>67</v>
      </c>
      <c r="C1069">
        <f>MAX(Table13[Rank])-Table13[[#This Row],[Rank]]</f>
        <v>197</v>
      </c>
      <c r="D1069" t="s">
        <v>994</v>
      </c>
      <c r="E1069" t="s">
        <v>21</v>
      </c>
      <c r="F1069" s="1">
        <v>32605</v>
      </c>
      <c r="G1069">
        <f>YEAR(Table13[[#This Row],[Date]])</f>
        <v>1989</v>
      </c>
      <c r="H1069" t="s">
        <v>1008</v>
      </c>
      <c r="I1069">
        <f>IF(COUNTIF($E1069, _xlfn.CONCAT("*",Table13[[#Headers],[Action]],"*")),1,0)</f>
        <v>0</v>
      </c>
      <c r="J1069">
        <f>IF(COUNTIF($E1069, _xlfn.CONCAT("*",Table13[[#Headers],[Adventure]],"*")),1,0)</f>
        <v>0</v>
      </c>
      <c r="K1069">
        <f>IF(COUNTIF($E1069, _xlfn.CONCAT("*",Table13[[#Headers],[Animation]],"*")),1,0)</f>
        <v>0</v>
      </c>
      <c r="L1069">
        <f>IF(COUNTIF($E1069, _xlfn.CONCAT("*",Table13[[#Headers],[Comedy]],"*")),1,0)</f>
        <v>0</v>
      </c>
      <c r="M1069">
        <f>IF(COUNTIF($E1069, _xlfn.CONCAT("*",Table13[[#Headers],[Crime]],"*")),1,0)</f>
        <v>0</v>
      </c>
      <c r="N1069">
        <f>IF(COUNTIF($E1069, _xlfn.CONCAT("*",Table13[[#Headers],[Documentary]],"*")),1,0)</f>
        <v>0</v>
      </c>
      <c r="O1069">
        <f>IF(COUNTIF($E1069, _xlfn.CONCAT("*",Table13[[#Headers],[Drama]],"*")),1,0)</f>
        <v>1</v>
      </c>
      <c r="P1069">
        <f>IF(COUNTIF($E1069, _xlfn.CONCAT("*",Table13[[#Headers],[Family]],"*")),1,0)</f>
        <v>0</v>
      </c>
      <c r="Q1069">
        <f>IF(COUNTIF($E1069, _xlfn.CONCAT("*",Table13[[#Headers],[Fantasy]],"*")),1,0)</f>
        <v>0</v>
      </c>
      <c r="R1069">
        <f>IF(COUNTIF($E1069, _xlfn.CONCAT("*",Table13[[#Headers],[History]],"*")),1,0)</f>
        <v>0</v>
      </c>
      <c r="S1069">
        <f>IF(COUNTIF($E1069, _xlfn.CONCAT("*",Table13[[#Headers],[Horror]],"*")),1,0)</f>
        <v>0</v>
      </c>
      <c r="T1069">
        <f>IF(COUNTIF($E1069, _xlfn.CONCAT("*",Table13[[#Headers],[Music]],"*")),1,0)</f>
        <v>0</v>
      </c>
      <c r="U1069">
        <f>IF(COUNTIF($E1069, _xlfn.CONCAT("*",Table13[[#Headers],[Mystery]],"*")),1,0)</f>
        <v>0</v>
      </c>
      <c r="V1069">
        <f>IF(COUNTIF($E1069, _xlfn.CONCAT("*",Table13[[#Headers],[Romance]],"*")),1,0)</f>
        <v>0</v>
      </c>
      <c r="W1069">
        <f>IF(COUNTIF($E1069, _xlfn.CONCAT("*",Table13[[#Headers],[Science Fiction]],"*")),1,0)</f>
        <v>0</v>
      </c>
      <c r="X1069">
        <f>IF(COUNTIF($E1069, _xlfn.CONCAT("*",Table13[[#Headers],[TV Movie]],"*")),1,0)</f>
        <v>0</v>
      </c>
      <c r="Y1069">
        <f>IF(COUNTIF($E1069, _xlfn.CONCAT("*",Table13[[#Headers],[Thriller]],"*")),1,0)</f>
        <v>0</v>
      </c>
      <c r="Z1069">
        <f>IF(COUNTIF($E1069, _xlfn.CONCAT("*",Table13[[#Headers],[War]],"*")),1,0)</f>
        <v>0</v>
      </c>
      <c r="AA1069">
        <f>IF(COUNTIF($E1069, _xlfn.CONCAT("*",Table13[[#Headers],[Western]],"*")),1,0)</f>
        <v>0</v>
      </c>
    </row>
    <row r="1070" spans="1:27">
      <c r="A1070" t="s">
        <v>206</v>
      </c>
      <c r="B1070">
        <v>66</v>
      </c>
      <c r="C1070">
        <f>MAX(Table13[Rank])-Table13[[#This Row],[Rank]]</f>
        <v>198</v>
      </c>
      <c r="D1070" t="s">
        <v>994</v>
      </c>
      <c r="E1070" t="s">
        <v>141</v>
      </c>
      <c r="F1070" s="1">
        <v>25373</v>
      </c>
      <c r="G1070">
        <f>YEAR(Table13[[#This Row],[Date]])</f>
        <v>1969</v>
      </c>
      <c r="H1070" t="s">
        <v>206</v>
      </c>
      <c r="I1070">
        <f>IF(COUNTIF($E1070, _xlfn.CONCAT("*",Table13[[#Headers],[Action]],"*")),1,0)</f>
        <v>0</v>
      </c>
      <c r="J1070">
        <f>IF(COUNTIF($E1070, _xlfn.CONCAT("*",Table13[[#Headers],[Adventure]],"*")),1,0)</f>
        <v>0</v>
      </c>
      <c r="K1070">
        <f>IF(COUNTIF($E1070, _xlfn.CONCAT("*",Table13[[#Headers],[Animation]],"*")),1,0)</f>
        <v>0</v>
      </c>
      <c r="L1070">
        <f>IF(COUNTIF($E1070, _xlfn.CONCAT("*",Table13[[#Headers],[Comedy]],"*")),1,0)</f>
        <v>0</v>
      </c>
      <c r="M1070">
        <f>IF(COUNTIF($E1070, _xlfn.CONCAT("*",Table13[[#Headers],[Crime]],"*")),1,0)</f>
        <v>0</v>
      </c>
      <c r="N1070">
        <f>IF(COUNTIF($E1070, _xlfn.CONCAT("*",Table13[[#Headers],[Documentary]],"*")),1,0)</f>
        <v>0</v>
      </c>
      <c r="O1070">
        <f>IF(COUNTIF($E1070, _xlfn.CONCAT("*",Table13[[#Headers],[Drama]],"*")),1,0)</f>
        <v>0</v>
      </c>
      <c r="P1070">
        <f>IF(COUNTIF($E1070, _xlfn.CONCAT("*",Table13[[#Headers],[Family]],"*")),1,0)</f>
        <v>0</v>
      </c>
      <c r="Q1070">
        <f>IF(COUNTIF($E1070, _xlfn.CONCAT("*",Table13[[#Headers],[Fantasy]],"*")),1,0)</f>
        <v>0</v>
      </c>
      <c r="R1070">
        <f>IF(COUNTIF($E1070, _xlfn.CONCAT("*",Table13[[#Headers],[History]],"*")),1,0)</f>
        <v>0</v>
      </c>
      <c r="S1070">
        <f>IF(COUNTIF($E1070, _xlfn.CONCAT("*",Table13[[#Headers],[Horror]],"*")),1,0)</f>
        <v>0</v>
      </c>
      <c r="T1070">
        <f>IF(COUNTIF($E1070, _xlfn.CONCAT("*",Table13[[#Headers],[Music]],"*")),1,0)</f>
        <v>0</v>
      </c>
      <c r="U1070">
        <f>IF(COUNTIF($E1070, _xlfn.CONCAT("*",Table13[[#Headers],[Mystery]],"*")),1,0)</f>
        <v>0</v>
      </c>
      <c r="V1070">
        <f>IF(COUNTIF($E1070, _xlfn.CONCAT("*",Table13[[#Headers],[Romance]],"*")),1,0)</f>
        <v>0</v>
      </c>
      <c r="W1070">
        <f>IF(COUNTIF($E1070, _xlfn.CONCAT("*",Table13[[#Headers],[Science Fiction]],"*")),1,0)</f>
        <v>0</v>
      </c>
      <c r="X1070">
        <f>IF(COUNTIF($E1070, _xlfn.CONCAT("*",Table13[[#Headers],[TV Movie]],"*")),1,0)</f>
        <v>0</v>
      </c>
      <c r="Y1070">
        <f>IF(COUNTIF($E1070, _xlfn.CONCAT("*",Table13[[#Headers],[Thriller]],"*")),1,0)</f>
        <v>0</v>
      </c>
      <c r="Z1070">
        <f>IF(COUNTIF($E1070, _xlfn.CONCAT("*",Table13[[#Headers],[War]],"*")),1,0)</f>
        <v>0</v>
      </c>
      <c r="AA1070">
        <f>IF(COUNTIF($E1070, _xlfn.CONCAT("*",Table13[[#Headers],[Western]],"*")),1,0)</f>
        <v>1</v>
      </c>
    </row>
    <row r="1071" spans="1:27">
      <c r="A1071" t="s">
        <v>361</v>
      </c>
      <c r="B1071">
        <v>65</v>
      </c>
      <c r="C1071">
        <f>MAX(Table13[Rank])-Table13[[#This Row],[Rank]]</f>
        <v>199</v>
      </c>
      <c r="D1071" t="s">
        <v>994</v>
      </c>
      <c r="E1071" t="s">
        <v>35</v>
      </c>
      <c r="F1071" s="1">
        <v>43633</v>
      </c>
      <c r="G1071">
        <f>YEAR(Table13[[#This Row],[Date]])</f>
        <v>2019</v>
      </c>
      <c r="H1071" t="s">
        <v>361</v>
      </c>
      <c r="I1071">
        <f>IF(COUNTIF($E1071, _xlfn.CONCAT("*",Table13[[#Headers],[Action]],"*")),1,0)</f>
        <v>0</v>
      </c>
      <c r="J1071">
        <f>IF(COUNTIF($E1071, _xlfn.CONCAT("*",Table13[[#Headers],[Adventure]],"*")),1,0)</f>
        <v>0</v>
      </c>
      <c r="K1071">
        <f>IF(COUNTIF($E1071, _xlfn.CONCAT("*",Table13[[#Headers],[Animation]],"*")),1,0)</f>
        <v>0</v>
      </c>
      <c r="L1071">
        <f>IF(COUNTIF($E1071, _xlfn.CONCAT("*",Table13[[#Headers],[Comedy]],"*")),1,0)</f>
        <v>0</v>
      </c>
      <c r="M1071">
        <f>IF(COUNTIF($E1071, _xlfn.CONCAT("*",Table13[[#Headers],[Crime]],"*")),1,0)</f>
        <v>0</v>
      </c>
      <c r="N1071">
        <f>IF(COUNTIF($E1071, _xlfn.CONCAT("*",Table13[[#Headers],[Documentary]],"*")),1,0)</f>
        <v>0</v>
      </c>
      <c r="O1071">
        <f>IF(COUNTIF($E1071, _xlfn.CONCAT("*",Table13[[#Headers],[Drama]],"*")),1,0)</f>
        <v>1</v>
      </c>
      <c r="P1071">
        <f>IF(COUNTIF($E1071, _xlfn.CONCAT("*",Table13[[#Headers],[Family]],"*")),1,0)</f>
        <v>0</v>
      </c>
      <c r="Q1071">
        <f>IF(COUNTIF($E1071, _xlfn.CONCAT("*",Table13[[#Headers],[Fantasy]],"*")),1,0)</f>
        <v>0</v>
      </c>
      <c r="R1071">
        <f>IF(COUNTIF($E1071, _xlfn.CONCAT("*",Table13[[#Headers],[History]],"*")),1,0)</f>
        <v>0</v>
      </c>
      <c r="S1071">
        <f>IF(COUNTIF($E1071, _xlfn.CONCAT("*",Table13[[#Headers],[Horror]],"*")),1,0)</f>
        <v>0</v>
      </c>
      <c r="T1071">
        <f>IF(COUNTIF($E1071, _xlfn.CONCAT("*",Table13[[#Headers],[Music]],"*")),1,0)</f>
        <v>0</v>
      </c>
      <c r="U1071">
        <f>IF(COUNTIF($E1071, _xlfn.CONCAT("*",Table13[[#Headers],[Mystery]],"*")),1,0)</f>
        <v>0</v>
      </c>
      <c r="V1071">
        <f>IF(COUNTIF($E1071, _xlfn.CONCAT("*",Table13[[#Headers],[Romance]],"*")),1,0)</f>
        <v>1</v>
      </c>
      <c r="W1071">
        <f>IF(COUNTIF($E1071, _xlfn.CONCAT("*",Table13[[#Headers],[Science Fiction]],"*")),1,0)</f>
        <v>0</v>
      </c>
      <c r="X1071">
        <f>IF(COUNTIF($E1071, _xlfn.CONCAT("*",Table13[[#Headers],[TV Movie]],"*")),1,0)</f>
        <v>0</v>
      </c>
      <c r="Y1071">
        <f>IF(COUNTIF($E1071, _xlfn.CONCAT("*",Table13[[#Headers],[Thriller]],"*")),1,0)</f>
        <v>0</v>
      </c>
      <c r="Z1071">
        <f>IF(COUNTIF($E1071, _xlfn.CONCAT("*",Table13[[#Headers],[War]],"*")),1,0)</f>
        <v>0</v>
      </c>
      <c r="AA1071">
        <f>IF(COUNTIF($E1071, _xlfn.CONCAT("*",Table13[[#Headers],[Western]],"*")),1,0)</f>
        <v>0</v>
      </c>
    </row>
    <row r="1072" spans="1:27">
      <c r="A1072" t="s">
        <v>1009</v>
      </c>
      <c r="B1072">
        <v>64</v>
      </c>
      <c r="C1072">
        <f>MAX(Table13[Rank])-Table13[[#This Row],[Rank]]</f>
        <v>200</v>
      </c>
      <c r="D1072" t="s">
        <v>994</v>
      </c>
      <c r="E1072" t="s">
        <v>21</v>
      </c>
      <c r="F1072" s="1">
        <v>18890</v>
      </c>
      <c r="G1072">
        <f>YEAR(Table13[[#This Row],[Date]])</f>
        <v>1951</v>
      </c>
      <c r="H1072" t="s">
        <v>1009</v>
      </c>
      <c r="I1072">
        <f>IF(COUNTIF($E1072, _xlfn.CONCAT("*",Table13[[#Headers],[Action]],"*")),1,0)</f>
        <v>0</v>
      </c>
      <c r="J1072">
        <f>IF(COUNTIF($E1072, _xlfn.CONCAT("*",Table13[[#Headers],[Adventure]],"*")),1,0)</f>
        <v>0</v>
      </c>
      <c r="K1072">
        <f>IF(COUNTIF($E1072, _xlfn.CONCAT("*",Table13[[#Headers],[Animation]],"*")),1,0)</f>
        <v>0</v>
      </c>
      <c r="L1072">
        <f>IF(COUNTIF($E1072, _xlfn.CONCAT("*",Table13[[#Headers],[Comedy]],"*")),1,0)</f>
        <v>0</v>
      </c>
      <c r="M1072">
        <f>IF(COUNTIF($E1072, _xlfn.CONCAT("*",Table13[[#Headers],[Crime]],"*")),1,0)</f>
        <v>0</v>
      </c>
      <c r="N1072">
        <f>IF(COUNTIF($E1072, _xlfn.CONCAT("*",Table13[[#Headers],[Documentary]],"*")),1,0)</f>
        <v>0</v>
      </c>
      <c r="O1072">
        <f>IF(COUNTIF($E1072, _xlfn.CONCAT("*",Table13[[#Headers],[Drama]],"*")),1,0)</f>
        <v>1</v>
      </c>
      <c r="P1072">
        <f>IF(COUNTIF($E1072, _xlfn.CONCAT("*",Table13[[#Headers],[Family]],"*")),1,0)</f>
        <v>0</v>
      </c>
      <c r="Q1072">
        <f>IF(COUNTIF($E1072, _xlfn.CONCAT("*",Table13[[#Headers],[Fantasy]],"*")),1,0)</f>
        <v>0</v>
      </c>
      <c r="R1072">
        <f>IF(COUNTIF($E1072, _xlfn.CONCAT("*",Table13[[#Headers],[History]],"*")),1,0)</f>
        <v>0</v>
      </c>
      <c r="S1072">
        <f>IF(COUNTIF($E1072, _xlfn.CONCAT("*",Table13[[#Headers],[Horror]],"*")),1,0)</f>
        <v>0</v>
      </c>
      <c r="T1072">
        <f>IF(COUNTIF($E1072, _xlfn.CONCAT("*",Table13[[#Headers],[Music]],"*")),1,0)</f>
        <v>0</v>
      </c>
      <c r="U1072">
        <f>IF(COUNTIF($E1072, _xlfn.CONCAT("*",Table13[[#Headers],[Mystery]],"*")),1,0)</f>
        <v>0</v>
      </c>
      <c r="V1072">
        <f>IF(COUNTIF($E1072, _xlfn.CONCAT("*",Table13[[#Headers],[Romance]],"*")),1,0)</f>
        <v>0</v>
      </c>
      <c r="W1072">
        <f>IF(COUNTIF($E1072, _xlfn.CONCAT("*",Table13[[#Headers],[Science Fiction]],"*")),1,0)</f>
        <v>0</v>
      </c>
      <c r="X1072">
        <f>IF(COUNTIF($E1072, _xlfn.CONCAT("*",Table13[[#Headers],[TV Movie]],"*")),1,0)</f>
        <v>0</v>
      </c>
      <c r="Y1072">
        <f>IF(COUNTIF($E1072, _xlfn.CONCAT("*",Table13[[#Headers],[Thriller]],"*")),1,0)</f>
        <v>0</v>
      </c>
      <c r="Z1072">
        <f>IF(COUNTIF($E1072, _xlfn.CONCAT("*",Table13[[#Headers],[War]],"*")),1,0)</f>
        <v>0</v>
      </c>
      <c r="AA1072">
        <f>IF(COUNTIF($E1072, _xlfn.CONCAT("*",Table13[[#Headers],[Western]],"*")),1,0)</f>
        <v>0</v>
      </c>
    </row>
    <row r="1073" spans="1:27">
      <c r="A1073" t="s">
        <v>464</v>
      </c>
      <c r="B1073">
        <v>63</v>
      </c>
      <c r="C1073">
        <f>MAX(Table13[Rank])-Table13[[#This Row],[Rank]]</f>
        <v>201</v>
      </c>
      <c r="D1073" t="s">
        <v>994</v>
      </c>
      <c r="E1073" t="s">
        <v>465</v>
      </c>
      <c r="F1073" s="1">
        <v>25001</v>
      </c>
      <c r="G1073">
        <f>YEAR(Table13[[#This Row],[Date]])</f>
        <v>1968</v>
      </c>
      <c r="H1073" t="s">
        <v>464</v>
      </c>
      <c r="I1073">
        <f>IF(COUNTIF($E1073, _xlfn.CONCAT("*",Table13[[#Headers],[Action]],"*")),1,0)</f>
        <v>0</v>
      </c>
      <c r="J1073">
        <f>IF(COUNTIF($E1073, _xlfn.CONCAT("*",Table13[[#Headers],[Adventure]],"*")),1,0)</f>
        <v>0</v>
      </c>
      <c r="K1073">
        <f>IF(COUNTIF($E1073, _xlfn.CONCAT("*",Table13[[#Headers],[Animation]],"*")),1,0)</f>
        <v>0</v>
      </c>
      <c r="L1073">
        <f>IF(COUNTIF($E1073, _xlfn.CONCAT("*",Table13[[#Headers],[Comedy]],"*")),1,0)</f>
        <v>0</v>
      </c>
      <c r="M1073">
        <f>IF(COUNTIF($E1073, _xlfn.CONCAT("*",Table13[[#Headers],[Crime]],"*")),1,0)</f>
        <v>0</v>
      </c>
      <c r="N1073">
        <f>IF(COUNTIF($E1073, _xlfn.CONCAT("*",Table13[[#Headers],[Documentary]],"*")),1,0)</f>
        <v>0</v>
      </c>
      <c r="O1073">
        <f>IF(COUNTIF($E1073, _xlfn.CONCAT("*",Table13[[#Headers],[Drama]],"*")),1,0)</f>
        <v>1</v>
      </c>
      <c r="P1073">
        <f>IF(COUNTIF($E1073, _xlfn.CONCAT("*",Table13[[#Headers],[Family]],"*")),1,0)</f>
        <v>0</v>
      </c>
      <c r="Q1073">
        <f>IF(COUNTIF($E1073, _xlfn.CONCAT("*",Table13[[#Headers],[Fantasy]],"*")),1,0)</f>
        <v>0</v>
      </c>
      <c r="R1073">
        <f>IF(COUNTIF($E1073, _xlfn.CONCAT("*",Table13[[#Headers],[History]],"*")),1,0)</f>
        <v>0</v>
      </c>
      <c r="S1073">
        <f>IF(COUNTIF($E1073, _xlfn.CONCAT("*",Table13[[#Headers],[Horror]],"*")),1,0)</f>
        <v>1</v>
      </c>
      <c r="T1073">
        <f>IF(COUNTIF($E1073, _xlfn.CONCAT("*",Table13[[#Headers],[Music]],"*")),1,0)</f>
        <v>0</v>
      </c>
      <c r="U1073">
        <f>IF(COUNTIF($E1073, _xlfn.CONCAT("*",Table13[[#Headers],[Mystery]],"*")),1,0)</f>
        <v>0</v>
      </c>
      <c r="V1073">
        <f>IF(COUNTIF($E1073, _xlfn.CONCAT("*",Table13[[#Headers],[Romance]],"*")),1,0)</f>
        <v>0</v>
      </c>
      <c r="W1073">
        <f>IF(COUNTIF($E1073, _xlfn.CONCAT("*",Table13[[#Headers],[Science Fiction]],"*")),1,0)</f>
        <v>0</v>
      </c>
      <c r="X1073">
        <f>IF(COUNTIF($E1073, _xlfn.CONCAT("*",Table13[[#Headers],[TV Movie]],"*")),1,0)</f>
        <v>0</v>
      </c>
      <c r="Y1073">
        <f>IF(COUNTIF($E1073, _xlfn.CONCAT("*",Table13[[#Headers],[Thriller]],"*")),1,0)</f>
        <v>1</v>
      </c>
      <c r="Z1073">
        <f>IF(COUNTIF($E1073, _xlfn.CONCAT("*",Table13[[#Headers],[War]],"*")),1,0)</f>
        <v>0</v>
      </c>
      <c r="AA1073">
        <f>IF(COUNTIF($E1073, _xlfn.CONCAT("*",Table13[[#Headers],[Western]],"*")),1,0)</f>
        <v>0</v>
      </c>
    </row>
    <row r="1074" spans="1:27">
      <c r="A1074" t="s">
        <v>411</v>
      </c>
      <c r="B1074">
        <v>62</v>
      </c>
      <c r="C1074">
        <f>MAX(Table13[Rank])-Table13[[#This Row],[Rank]]</f>
        <v>202</v>
      </c>
      <c r="D1074" t="s">
        <v>994</v>
      </c>
      <c r="E1074" t="s">
        <v>412</v>
      </c>
      <c r="F1074" s="1">
        <v>42164</v>
      </c>
      <c r="G1074">
        <f>YEAR(Table13[[#This Row],[Date]])</f>
        <v>2015</v>
      </c>
      <c r="H1074" t="s">
        <v>411</v>
      </c>
      <c r="I1074">
        <f>IF(COUNTIF($E1074, _xlfn.CONCAT("*",Table13[[#Headers],[Action]],"*")),1,0)</f>
        <v>0</v>
      </c>
      <c r="J1074">
        <f>IF(COUNTIF($E1074, _xlfn.CONCAT("*",Table13[[#Headers],[Adventure]],"*")),1,0)</f>
        <v>1</v>
      </c>
      <c r="K1074">
        <f>IF(COUNTIF($E1074, _xlfn.CONCAT("*",Table13[[#Headers],[Animation]],"*")),1,0)</f>
        <v>1</v>
      </c>
      <c r="L1074">
        <f>IF(COUNTIF($E1074, _xlfn.CONCAT("*",Table13[[#Headers],[Comedy]],"*")),1,0)</f>
        <v>1</v>
      </c>
      <c r="M1074">
        <f>IF(COUNTIF($E1074, _xlfn.CONCAT("*",Table13[[#Headers],[Crime]],"*")),1,0)</f>
        <v>0</v>
      </c>
      <c r="N1074">
        <f>IF(COUNTIF($E1074, _xlfn.CONCAT("*",Table13[[#Headers],[Documentary]],"*")),1,0)</f>
        <v>0</v>
      </c>
      <c r="O1074">
        <f>IF(COUNTIF($E1074, _xlfn.CONCAT("*",Table13[[#Headers],[Drama]],"*")),1,0)</f>
        <v>1</v>
      </c>
      <c r="P1074">
        <f>IF(COUNTIF($E1074, _xlfn.CONCAT("*",Table13[[#Headers],[Family]],"*")),1,0)</f>
        <v>1</v>
      </c>
      <c r="Q1074">
        <f>IF(COUNTIF($E1074, _xlfn.CONCAT("*",Table13[[#Headers],[Fantasy]],"*")),1,0)</f>
        <v>0</v>
      </c>
      <c r="R1074">
        <f>IF(COUNTIF($E1074, _xlfn.CONCAT("*",Table13[[#Headers],[History]],"*")),1,0)</f>
        <v>0</v>
      </c>
      <c r="S1074">
        <f>IF(COUNTIF($E1074, _xlfn.CONCAT("*",Table13[[#Headers],[Horror]],"*")),1,0)</f>
        <v>0</v>
      </c>
      <c r="T1074">
        <f>IF(COUNTIF($E1074, _xlfn.CONCAT("*",Table13[[#Headers],[Music]],"*")),1,0)</f>
        <v>0</v>
      </c>
      <c r="U1074">
        <f>IF(COUNTIF($E1074, _xlfn.CONCAT("*",Table13[[#Headers],[Mystery]],"*")),1,0)</f>
        <v>0</v>
      </c>
      <c r="V1074">
        <f>IF(COUNTIF($E1074, _xlfn.CONCAT("*",Table13[[#Headers],[Romance]],"*")),1,0)</f>
        <v>0</v>
      </c>
      <c r="W1074">
        <f>IF(COUNTIF($E1074, _xlfn.CONCAT("*",Table13[[#Headers],[Science Fiction]],"*")),1,0)</f>
        <v>0</v>
      </c>
      <c r="X1074">
        <f>IF(COUNTIF($E1074, _xlfn.CONCAT("*",Table13[[#Headers],[TV Movie]],"*")),1,0)</f>
        <v>0</v>
      </c>
      <c r="Y1074">
        <f>IF(COUNTIF($E1074, _xlfn.CONCAT("*",Table13[[#Headers],[Thriller]],"*")),1,0)</f>
        <v>0</v>
      </c>
      <c r="Z1074">
        <f>IF(COUNTIF($E1074, _xlfn.CONCAT("*",Table13[[#Headers],[War]],"*")),1,0)</f>
        <v>0</v>
      </c>
      <c r="AA1074">
        <f>IF(COUNTIF($E1074, _xlfn.CONCAT("*",Table13[[#Headers],[Western]],"*")),1,0)</f>
        <v>0</v>
      </c>
    </row>
    <row r="1075" spans="1:27">
      <c r="A1075" t="s">
        <v>362</v>
      </c>
      <c r="B1075">
        <v>61</v>
      </c>
      <c r="C1075">
        <f>MAX(Table13[Rank])-Table13[[#This Row],[Rank]]</f>
        <v>203</v>
      </c>
      <c r="D1075" t="s">
        <v>994</v>
      </c>
      <c r="E1075" t="s">
        <v>156</v>
      </c>
      <c r="F1075" s="1">
        <v>27799</v>
      </c>
      <c r="G1075">
        <f>YEAR(Table13[[#This Row],[Date]])</f>
        <v>1976</v>
      </c>
      <c r="H1075" t="s">
        <v>362</v>
      </c>
      <c r="I1075">
        <f>IF(COUNTIF($E1075, _xlfn.CONCAT("*",Table13[[#Headers],[Action]],"*")),1,0)</f>
        <v>0</v>
      </c>
      <c r="J1075">
        <f>IF(COUNTIF($E1075, _xlfn.CONCAT("*",Table13[[#Headers],[Adventure]],"*")),1,0)</f>
        <v>0</v>
      </c>
      <c r="K1075">
        <f>IF(COUNTIF($E1075, _xlfn.CONCAT("*",Table13[[#Headers],[Animation]],"*")),1,0)</f>
        <v>0</v>
      </c>
      <c r="L1075">
        <f>IF(COUNTIF($E1075, _xlfn.CONCAT("*",Table13[[#Headers],[Comedy]],"*")),1,0)</f>
        <v>0</v>
      </c>
      <c r="M1075">
        <f>IF(COUNTIF($E1075, _xlfn.CONCAT("*",Table13[[#Headers],[Crime]],"*")),1,0)</f>
        <v>1</v>
      </c>
      <c r="N1075">
        <f>IF(COUNTIF($E1075, _xlfn.CONCAT("*",Table13[[#Headers],[Documentary]],"*")),1,0)</f>
        <v>0</v>
      </c>
      <c r="O1075">
        <f>IF(COUNTIF($E1075, _xlfn.CONCAT("*",Table13[[#Headers],[Drama]],"*")),1,0)</f>
        <v>1</v>
      </c>
      <c r="P1075">
        <f>IF(COUNTIF($E1075, _xlfn.CONCAT("*",Table13[[#Headers],[Family]],"*")),1,0)</f>
        <v>0</v>
      </c>
      <c r="Q1075">
        <f>IF(COUNTIF($E1075, _xlfn.CONCAT("*",Table13[[#Headers],[Fantasy]],"*")),1,0)</f>
        <v>0</v>
      </c>
      <c r="R1075">
        <f>IF(COUNTIF($E1075, _xlfn.CONCAT("*",Table13[[#Headers],[History]],"*")),1,0)</f>
        <v>0</v>
      </c>
      <c r="S1075">
        <f>IF(COUNTIF($E1075, _xlfn.CONCAT("*",Table13[[#Headers],[Horror]],"*")),1,0)</f>
        <v>0</v>
      </c>
      <c r="T1075">
        <f>IF(COUNTIF($E1075, _xlfn.CONCAT("*",Table13[[#Headers],[Music]],"*")),1,0)</f>
        <v>0</v>
      </c>
      <c r="U1075">
        <f>IF(COUNTIF($E1075, _xlfn.CONCAT("*",Table13[[#Headers],[Mystery]],"*")),1,0)</f>
        <v>0</v>
      </c>
      <c r="V1075">
        <f>IF(COUNTIF($E1075, _xlfn.CONCAT("*",Table13[[#Headers],[Romance]],"*")),1,0)</f>
        <v>0</v>
      </c>
      <c r="W1075">
        <f>IF(COUNTIF($E1075, _xlfn.CONCAT("*",Table13[[#Headers],[Science Fiction]],"*")),1,0)</f>
        <v>0</v>
      </c>
      <c r="X1075">
        <f>IF(COUNTIF($E1075, _xlfn.CONCAT("*",Table13[[#Headers],[TV Movie]],"*")),1,0)</f>
        <v>0</v>
      </c>
      <c r="Y1075">
        <f>IF(COUNTIF($E1075, _xlfn.CONCAT("*",Table13[[#Headers],[Thriller]],"*")),1,0)</f>
        <v>0</v>
      </c>
      <c r="Z1075">
        <f>IF(COUNTIF($E1075, _xlfn.CONCAT("*",Table13[[#Headers],[War]],"*")),1,0)</f>
        <v>0</v>
      </c>
      <c r="AA1075">
        <f>IF(COUNTIF($E1075, _xlfn.CONCAT("*",Table13[[#Headers],[Western]],"*")),1,0)</f>
        <v>0</v>
      </c>
    </row>
    <row r="1076" spans="1:27">
      <c r="A1076" t="s">
        <v>1010</v>
      </c>
      <c r="B1076">
        <v>60</v>
      </c>
      <c r="C1076">
        <f>MAX(Table13[Rank])-Table13[[#This Row],[Rank]]</f>
        <v>204</v>
      </c>
      <c r="D1076" t="s">
        <v>994</v>
      </c>
      <c r="E1076" t="s">
        <v>49</v>
      </c>
      <c r="F1076" s="1">
        <v>28270</v>
      </c>
      <c r="G1076">
        <f>YEAR(Table13[[#This Row],[Date]])</f>
        <v>1977</v>
      </c>
      <c r="H1076" t="s">
        <v>48</v>
      </c>
      <c r="I1076">
        <f>IF(COUNTIF($E1076, _xlfn.CONCAT("*",Table13[[#Headers],[Action]],"*")),1,0)</f>
        <v>1</v>
      </c>
      <c r="J1076">
        <f>IF(COUNTIF($E1076, _xlfn.CONCAT("*",Table13[[#Headers],[Adventure]],"*")),1,0)</f>
        <v>1</v>
      </c>
      <c r="K1076">
        <f>IF(COUNTIF($E1076, _xlfn.CONCAT("*",Table13[[#Headers],[Animation]],"*")),1,0)</f>
        <v>0</v>
      </c>
      <c r="L1076">
        <f>IF(COUNTIF($E1076, _xlfn.CONCAT("*",Table13[[#Headers],[Comedy]],"*")),1,0)</f>
        <v>0</v>
      </c>
      <c r="M1076">
        <f>IF(COUNTIF($E1076, _xlfn.CONCAT("*",Table13[[#Headers],[Crime]],"*")),1,0)</f>
        <v>0</v>
      </c>
      <c r="N1076">
        <f>IF(COUNTIF($E1076, _xlfn.CONCAT("*",Table13[[#Headers],[Documentary]],"*")),1,0)</f>
        <v>0</v>
      </c>
      <c r="O1076">
        <f>IF(COUNTIF($E1076, _xlfn.CONCAT("*",Table13[[#Headers],[Drama]],"*")),1,0)</f>
        <v>0</v>
      </c>
      <c r="P1076">
        <f>IF(COUNTIF($E1076, _xlfn.CONCAT("*",Table13[[#Headers],[Family]],"*")),1,0)</f>
        <v>0</v>
      </c>
      <c r="Q1076">
        <f>IF(COUNTIF($E1076, _xlfn.CONCAT("*",Table13[[#Headers],[Fantasy]],"*")),1,0)</f>
        <v>0</v>
      </c>
      <c r="R1076">
        <f>IF(COUNTIF($E1076, _xlfn.CONCAT("*",Table13[[#Headers],[History]],"*")),1,0)</f>
        <v>0</v>
      </c>
      <c r="S1076">
        <f>IF(COUNTIF($E1076, _xlfn.CONCAT("*",Table13[[#Headers],[Horror]],"*")),1,0)</f>
        <v>0</v>
      </c>
      <c r="T1076">
        <f>IF(COUNTIF($E1076, _xlfn.CONCAT("*",Table13[[#Headers],[Music]],"*")),1,0)</f>
        <v>0</v>
      </c>
      <c r="U1076">
        <f>IF(COUNTIF($E1076, _xlfn.CONCAT("*",Table13[[#Headers],[Mystery]],"*")),1,0)</f>
        <v>0</v>
      </c>
      <c r="V1076">
        <f>IF(COUNTIF($E1076, _xlfn.CONCAT("*",Table13[[#Headers],[Romance]],"*")),1,0)</f>
        <v>0</v>
      </c>
      <c r="W1076">
        <f>IF(COUNTIF($E1076, _xlfn.CONCAT("*",Table13[[#Headers],[Science Fiction]],"*")),1,0)</f>
        <v>1</v>
      </c>
      <c r="X1076">
        <f>IF(COUNTIF($E1076, _xlfn.CONCAT("*",Table13[[#Headers],[TV Movie]],"*")),1,0)</f>
        <v>0</v>
      </c>
      <c r="Y1076">
        <f>IF(COUNTIF($E1076, _xlfn.CONCAT("*",Table13[[#Headers],[Thriller]],"*")),1,0)</f>
        <v>0</v>
      </c>
      <c r="Z1076">
        <f>IF(COUNTIF($E1076, _xlfn.CONCAT("*",Table13[[#Headers],[War]],"*")),1,0)</f>
        <v>0</v>
      </c>
      <c r="AA1076">
        <f>IF(COUNTIF($E1076, _xlfn.CONCAT("*",Table13[[#Headers],[Western]],"*")),1,0)</f>
        <v>0</v>
      </c>
    </row>
    <row r="1077" spans="1:27">
      <c r="A1077" t="s">
        <v>1011</v>
      </c>
      <c r="B1077">
        <v>59</v>
      </c>
      <c r="C1077">
        <f>MAX(Table13[Rank])-Table13[[#This Row],[Rank]]</f>
        <v>205</v>
      </c>
      <c r="D1077" t="s">
        <v>994</v>
      </c>
      <c r="E1077" t="s">
        <v>118</v>
      </c>
      <c r="F1077" s="1">
        <v>44253</v>
      </c>
      <c r="G1077">
        <f>YEAR(Table13[[#This Row],[Date]])</f>
        <v>2021</v>
      </c>
      <c r="H1077" t="s">
        <v>1011</v>
      </c>
      <c r="I1077">
        <f>IF(COUNTIF($E1077, _xlfn.CONCAT("*",Table13[[#Headers],[Action]],"*")),1,0)</f>
        <v>0</v>
      </c>
      <c r="J1077">
        <f>IF(COUNTIF($E1077, _xlfn.CONCAT("*",Table13[[#Headers],[Adventure]],"*")),1,0)</f>
        <v>0</v>
      </c>
      <c r="K1077">
        <f>IF(COUNTIF($E1077, _xlfn.CONCAT("*",Table13[[#Headers],[Animation]],"*")),1,0)</f>
        <v>0</v>
      </c>
      <c r="L1077">
        <f>IF(COUNTIF($E1077, _xlfn.CONCAT("*",Table13[[#Headers],[Comedy]],"*")),1,0)</f>
        <v>0</v>
      </c>
      <c r="M1077">
        <f>IF(COUNTIF($E1077, _xlfn.CONCAT("*",Table13[[#Headers],[Crime]],"*")),1,0)</f>
        <v>0</v>
      </c>
      <c r="N1077">
        <f>IF(COUNTIF($E1077, _xlfn.CONCAT("*",Table13[[#Headers],[Documentary]],"*")),1,0)</f>
        <v>0</v>
      </c>
      <c r="O1077">
        <f>IF(COUNTIF($E1077, _xlfn.CONCAT("*",Table13[[#Headers],[Drama]],"*")),1,0)</f>
        <v>1</v>
      </c>
      <c r="P1077">
        <f>IF(COUNTIF($E1077, _xlfn.CONCAT("*",Table13[[#Headers],[Family]],"*")),1,0)</f>
        <v>0</v>
      </c>
      <c r="Q1077">
        <f>IF(COUNTIF($E1077, _xlfn.CONCAT("*",Table13[[#Headers],[Fantasy]],"*")),1,0)</f>
        <v>0</v>
      </c>
      <c r="R1077">
        <f>IF(COUNTIF($E1077, _xlfn.CONCAT("*",Table13[[#Headers],[History]],"*")),1,0)</f>
        <v>1</v>
      </c>
      <c r="S1077">
        <f>IF(COUNTIF($E1077, _xlfn.CONCAT("*",Table13[[#Headers],[Horror]],"*")),1,0)</f>
        <v>0</v>
      </c>
      <c r="T1077">
        <f>IF(COUNTIF($E1077, _xlfn.CONCAT("*",Table13[[#Headers],[Music]],"*")),1,0)</f>
        <v>0</v>
      </c>
      <c r="U1077">
        <f>IF(COUNTIF($E1077, _xlfn.CONCAT("*",Table13[[#Headers],[Mystery]],"*")),1,0)</f>
        <v>0</v>
      </c>
      <c r="V1077">
        <f>IF(COUNTIF($E1077, _xlfn.CONCAT("*",Table13[[#Headers],[Romance]],"*")),1,0)</f>
        <v>0</v>
      </c>
      <c r="W1077">
        <f>IF(COUNTIF($E1077, _xlfn.CONCAT("*",Table13[[#Headers],[Science Fiction]],"*")),1,0)</f>
        <v>0</v>
      </c>
      <c r="X1077">
        <f>IF(COUNTIF($E1077, _xlfn.CONCAT("*",Table13[[#Headers],[TV Movie]],"*")),1,0)</f>
        <v>0</v>
      </c>
      <c r="Y1077">
        <f>IF(COUNTIF($E1077, _xlfn.CONCAT("*",Table13[[#Headers],[Thriller]],"*")),1,0)</f>
        <v>0</v>
      </c>
      <c r="Z1077">
        <f>IF(COUNTIF($E1077, _xlfn.CONCAT("*",Table13[[#Headers],[War]],"*")),1,0)</f>
        <v>1</v>
      </c>
      <c r="AA1077">
        <f>IF(COUNTIF($E1077, _xlfn.CONCAT("*",Table13[[#Headers],[Western]],"*")),1,0)</f>
        <v>0</v>
      </c>
    </row>
    <row r="1078" spans="1:27">
      <c r="A1078" t="s">
        <v>326</v>
      </c>
      <c r="B1078">
        <v>58</v>
      </c>
      <c r="C1078">
        <f>MAX(Table13[Rank])-Table13[[#This Row],[Rank]]</f>
        <v>206</v>
      </c>
      <c r="D1078" t="s">
        <v>994</v>
      </c>
      <c r="E1078" t="s">
        <v>186</v>
      </c>
      <c r="F1078" s="1">
        <v>9490</v>
      </c>
      <c r="G1078">
        <f>YEAR(Table13[[#This Row],[Date]])</f>
        <v>1925</v>
      </c>
      <c r="H1078" t="s">
        <v>326</v>
      </c>
      <c r="I1078">
        <f>IF(COUNTIF($E1078, _xlfn.CONCAT("*",Table13[[#Headers],[Action]],"*")),1,0)</f>
        <v>0</v>
      </c>
      <c r="J1078">
        <f>IF(COUNTIF($E1078, _xlfn.CONCAT("*",Table13[[#Headers],[Adventure]],"*")),1,0)</f>
        <v>0</v>
      </c>
      <c r="K1078">
        <f>IF(COUNTIF($E1078, _xlfn.CONCAT("*",Table13[[#Headers],[Animation]],"*")),1,0)</f>
        <v>0</v>
      </c>
      <c r="L1078">
        <f>IF(COUNTIF($E1078, _xlfn.CONCAT("*",Table13[[#Headers],[Comedy]],"*")),1,0)</f>
        <v>0</v>
      </c>
      <c r="M1078">
        <f>IF(COUNTIF($E1078, _xlfn.CONCAT("*",Table13[[#Headers],[Crime]],"*")),1,0)</f>
        <v>0</v>
      </c>
      <c r="N1078">
        <f>IF(COUNTIF($E1078, _xlfn.CONCAT("*",Table13[[#Headers],[Documentary]],"*")),1,0)</f>
        <v>0</v>
      </c>
      <c r="O1078">
        <f>IF(COUNTIF($E1078, _xlfn.CONCAT("*",Table13[[#Headers],[Drama]],"*")),1,0)</f>
        <v>1</v>
      </c>
      <c r="P1078">
        <f>IF(COUNTIF($E1078, _xlfn.CONCAT("*",Table13[[#Headers],[Family]],"*")),1,0)</f>
        <v>0</v>
      </c>
      <c r="Q1078">
        <f>IF(COUNTIF($E1078, _xlfn.CONCAT("*",Table13[[#Headers],[Fantasy]],"*")),1,0)</f>
        <v>0</v>
      </c>
      <c r="R1078">
        <f>IF(COUNTIF($E1078, _xlfn.CONCAT("*",Table13[[#Headers],[History]],"*")),1,0)</f>
        <v>1</v>
      </c>
      <c r="S1078">
        <f>IF(COUNTIF($E1078, _xlfn.CONCAT("*",Table13[[#Headers],[Horror]],"*")),1,0)</f>
        <v>0</v>
      </c>
      <c r="T1078">
        <f>IF(COUNTIF($E1078, _xlfn.CONCAT("*",Table13[[#Headers],[Music]],"*")),1,0)</f>
        <v>0</v>
      </c>
      <c r="U1078">
        <f>IF(COUNTIF($E1078, _xlfn.CONCAT("*",Table13[[#Headers],[Mystery]],"*")),1,0)</f>
        <v>0</v>
      </c>
      <c r="V1078">
        <f>IF(COUNTIF($E1078, _xlfn.CONCAT("*",Table13[[#Headers],[Romance]],"*")),1,0)</f>
        <v>0</v>
      </c>
      <c r="W1078">
        <f>IF(COUNTIF($E1078, _xlfn.CONCAT("*",Table13[[#Headers],[Science Fiction]],"*")),1,0)</f>
        <v>0</v>
      </c>
      <c r="X1078">
        <f>IF(COUNTIF($E1078, _xlfn.CONCAT("*",Table13[[#Headers],[TV Movie]],"*")),1,0)</f>
        <v>0</v>
      </c>
      <c r="Y1078">
        <f>IF(COUNTIF($E1078, _xlfn.CONCAT("*",Table13[[#Headers],[Thriller]],"*")),1,0)</f>
        <v>0</v>
      </c>
      <c r="Z1078">
        <f>IF(COUNTIF($E1078, _xlfn.CONCAT("*",Table13[[#Headers],[War]],"*")),1,0)</f>
        <v>1</v>
      </c>
      <c r="AA1078">
        <f>IF(COUNTIF($E1078, _xlfn.CONCAT("*",Table13[[#Headers],[Western]],"*")),1,0)</f>
        <v>0</v>
      </c>
    </row>
    <row r="1079" spans="1:27">
      <c r="A1079" t="s">
        <v>339</v>
      </c>
      <c r="B1079">
        <v>57</v>
      </c>
      <c r="C1079">
        <f>MAX(Table13[Rank])-Table13[[#This Row],[Rank]]</f>
        <v>207</v>
      </c>
      <c r="D1079" t="s">
        <v>994</v>
      </c>
      <c r="E1079" t="s">
        <v>340</v>
      </c>
      <c r="F1079" s="1">
        <v>24358</v>
      </c>
      <c r="G1079">
        <f>YEAR(Table13[[#This Row],[Date]])</f>
        <v>1966</v>
      </c>
      <c r="H1079" t="s">
        <v>339</v>
      </c>
      <c r="I1079">
        <f>IF(COUNTIF($E1079, _xlfn.CONCAT("*",Table13[[#Headers],[Action]],"*")),1,0)</f>
        <v>0</v>
      </c>
      <c r="J1079">
        <f>IF(COUNTIF($E1079, _xlfn.CONCAT("*",Table13[[#Headers],[Adventure]],"*")),1,0)</f>
        <v>0</v>
      </c>
      <c r="K1079">
        <f>IF(COUNTIF($E1079, _xlfn.CONCAT("*",Table13[[#Headers],[Animation]],"*")),1,0)</f>
        <v>0</v>
      </c>
      <c r="L1079">
        <f>IF(COUNTIF($E1079, _xlfn.CONCAT("*",Table13[[#Headers],[Comedy]],"*")),1,0)</f>
        <v>0</v>
      </c>
      <c r="M1079">
        <f>IF(COUNTIF($E1079, _xlfn.CONCAT("*",Table13[[#Headers],[Crime]],"*")),1,0)</f>
        <v>0</v>
      </c>
      <c r="N1079">
        <f>IF(COUNTIF($E1079, _xlfn.CONCAT("*",Table13[[#Headers],[Documentary]],"*")),1,0)</f>
        <v>0</v>
      </c>
      <c r="O1079">
        <f>IF(COUNTIF($E1079, _xlfn.CONCAT("*",Table13[[#Headers],[Drama]],"*")),1,0)</f>
        <v>1</v>
      </c>
      <c r="P1079">
        <f>IF(COUNTIF($E1079, _xlfn.CONCAT("*",Table13[[#Headers],[Family]],"*")),1,0)</f>
        <v>0</v>
      </c>
      <c r="Q1079">
        <f>IF(COUNTIF($E1079, _xlfn.CONCAT("*",Table13[[#Headers],[Fantasy]],"*")),1,0)</f>
        <v>0</v>
      </c>
      <c r="R1079">
        <f>IF(COUNTIF($E1079, _xlfn.CONCAT("*",Table13[[#Headers],[History]],"*")),1,0)</f>
        <v>1</v>
      </c>
      <c r="S1079">
        <f>IF(COUNTIF($E1079, _xlfn.CONCAT("*",Table13[[#Headers],[Horror]],"*")),1,0)</f>
        <v>0</v>
      </c>
      <c r="T1079">
        <f>IF(COUNTIF($E1079, _xlfn.CONCAT("*",Table13[[#Headers],[Music]],"*")),1,0)</f>
        <v>0</v>
      </c>
      <c r="U1079">
        <f>IF(COUNTIF($E1079, _xlfn.CONCAT("*",Table13[[#Headers],[Mystery]],"*")),1,0)</f>
        <v>0</v>
      </c>
      <c r="V1079">
        <f>IF(COUNTIF($E1079, _xlfn.CONCAT("*",Table13[[#Headers],[Romance]],"*")),1,0)</f>
        <v>0</v>
      </c>
      <c r="W1079">
        <f>IF(COUNTIF($E1079, _xlfn.CONCAT("*",Table13[[#Headers],[Science Fiction]],"*")),1,0)</f>
        <v>0</v>
      </c>
      <c r="X1079">
        <f>IF(COUNTIF($E1079, _xlfn.CONCAT("*",Table13[[#Headers],[TV Movie]],"*")),1,0)</f>
        <v>0</v>
      </c>
      <c r="Y1079">
        <f>IF(COUNTIF($E1079, _xlfn.CONCAT("*",Table13[[#Headers],[Thriller]],"*")),1,0)</f>
        <v>0</v>
      </c>
      <c r="Z1079">
        <f>IF(COUNTIF($E1079, _xlfn.CONCAT("*",Table13[[#Headers],[War]],"*")),1,0)</f>
        <v>1</v>
      </c>
      <c r="AA1079">
        <f>IF(COUNTIF($E1079, _xlfn.CONCAT("*",Table13[[#Headers],[Western]],"*")),1,0)</f>
        <v>0</v>
      </c>
    </row>
    <row r="1080" spans="1:27">
      <c r="A1080" t="s">
        <v>1012</v>
      </c>
      <c r="B1080">
        <v>56</v>
      </c>
      <c r="C1080">
        <f>MAX(Table13[Rank])-Table13[[#This Row],[Rank]]</f>
        <v>208</v>
      </c>
      <c r="D1080" t="s">
        <v>994</v>
      </c>
      <c r="E1080" t="s">
        <v>21</v>
      </c>
      <c r="F1080" s="1">
        <v>14685</v>
      </c>
      <c r="G1080">
        <f>YEAR(Table13[[#This Row],[Date]])</f>
        <v>1940</v>
      </c>
      <c r="H1080" t="s">
        <v>1012</v>
      </c>
      <c r="I1080">
        <f>IF(COUNTIF($E1080, _xlfn.CONCAT("*",Table13[[#Headers],[Action]],"*")),1,0)</f>
        <v>0</v>
      </c>
      <c r="J1080">
        <f>IF(COUNTIF($E1080, _xlfn.CONCAT("*",Table13[[#Headers],[Adventure]],"*")),1,0)</f>
        <v>0</v>
      </c>
      <c r="K1080">
        <f>IF(COUNTIF($E1080, _xlfn.CONCAT("*",Table13[[#Headers],[Animation]],"*")),1,0)</f>
        <v>0</v>
      </c>
      <c r="L1080">
        <f>IF(COUNTIF($E1080, _xlfn.CONCAT("*",Table13[[#Headers],[Comedy]],"*")),1,0)</f>
        <v>0</v>
      </c>
      <c r="M1080">
        <f>IF(COUNTIF($E1080, _xlfn.CONCAT("*",Table13[[#Headers],[Crime]],"*")),1,0)</f>
        <v>0</v>
      </c>
      <c r="N1080">
        <f>IF(COUNTIF($E1080, _xlfn.CONCAT("*",Table13[[#Headers],[Documentary]],"*")),1,0)</f>
        <v>0</v>
      </c>
      <c r="O1080">
        <f>IF(COUNTIF($E1080, _xlfn.CONCAT("*",Table13[[#Headers],[Drama]],"*")),1,0)</f>
        <v>1</v>
      </c>
      <c r="P1080">
        <f>IF(COUNTIF($E1080, _xlfn.CONCAT("*",Table13[[#Headers],[Family]],"*")),1,0)</f>
        <v>0</v>
      </c>
      <c r="Q1080">
        <f>IF(COUNTIF($E1080, _xlfn.CONCAT("*",Table13[[#Headers],[Fantasy]],"*")),1,0)</f>
        <v>0</v>
      </c>
      <c r="R1080">
        <f>IF(COUNTIF($E1080, _xlfn.CONCAT("*",Table13[[#Headers],[History]],"*")),1,0)</f>
        <v>0</v>
      </c>
      <c r="S1080">
        <f>IF(COUNTIF($E1080, _xlfn.CONCAT("*",Table13[[#Headers],[Horror]],"*")),1,0)</f>
        <v>0</v>
      </c>
      <c r="T1080">
        <f>IF(COUNTIF($E1080, _xlfn.CONCAT("*",Table13[[#Headers],[Music]],"*")),1,0)</f>
        <v>0</v>
      </c>
      <c r="U1080">
        <f>IF(COUNTIF($E1080, _xlfn.CONCAT("*",Table13[[#Headers],[Mystery]],"*")),1,0)</f>
        <v>0</v>
      </c>
      <c r="V1080">
        <f>IF(COUNTIF($E1080, _xlfn.CONCAT("*",Table13[[#Headers],[Romance]],"*")),1,0)</f>
        <v>0</v>
      </c>
      <c r="W1080">
        <f>IF(COUNTIF($E1080, _xlfn.CONCAT("*",Table13[[#Headers],[Science Fiction]],"*")),1,0)</f>
        <v>0</v>
      </c>
      <c r="X1080">
        <f>IF(COUNTIF($E1080, _xlfn.CONCAT("*",Table13[[#Headers],[TV Movie]],"*")),1,0)</f>
        <v>0</v>
      </c>
      <c r="Y1080">
        <f>IF(COUNTIF($E1080, _xlfn.CONCAT("*",Table13[[#Headers],[Thriller]],"*")),1,0)</f>
        <v>0</v>
      </c>
      <c r="Z1080">
        <f>IF(COUNTIF($E1080, _xlfn.CONCAT("*",Table13[[#Headers],[War]],"*")),1,0)</f>
        <v>0</v>
      </c>
      <c r="AA1080">
        <f>IF(COUNTIF($E1080, _xlfn.CONCAT("*",Table13[[#Headers],[Western]],"*")),1,0)</f>
        <v>0</v>
      </c>
    </row>
    <row r="1081" spans="1:27">
      <c r="A1081" t="s">
        <v>1013</v>
      </c>
      <c r="B1081">
        <v>55</v>
      </c>
      <c r="C1081">
        <f>MAX(Table13[Rank])-Table13[[#This Row],[Rank]]</f>
        <v>209</v>
      </c>
      <c r="D1081" t="s">
        <v>994</v>
      </c>
      <c r="E1081" t="s">
        <v>1014</v>
      </c>
      <c r="F1081" s="1">
        <v>15267</v>
      </c>
      <c r="G1081">
        <f>YEAR(Table13[[#This Row],[Date]])</f>
        <v>1941</v>
      </c>
      <c r="H1081" t="s">
        <v>1013</v>
      </c>
      <c r="I1081">
        <f>IF(COUNTIF($E1081, _xlfn.CONCAT("*",Table13[[#Headers],[Action]],"*")),1,0)</f>
        <v>0</v>
      </c>
      <c r="J1081">
        <f>IF(COUNTIF($E1081, _xlfn.CONCAT("*",Table13[[#Headers],[Adventure]],"*")),1,0)</f>
        <v>0</v>
      </c>
      <c r="K1081">
        <f>IF(COUNTIF($E1081, _xlfn.CONCAT("*",Table13[[#Headers],[Animation]],"*")),1,0)</f>
        <v>0</v>
      </c>
      <c r="L1081">
        <f>IF(COUNTIF($E1081, _xlfn.CONCAT("*",Table13[[#Headers],[Comedy]],"*")),1,0)</f>
        <v>0</v>
      </c>
      <c r="M1081">
        <f>IF(COUNTIF($E1081, _xlfn.CONCAT("*",Table13[[#Headers],[Crime]],"*")),1,0)</f>
        <v>1</v>
      </c>
      <c r="N1081">
        <f>IF(COUNTIF($E1081, _xlfn.CONCAT("*",Table13[[#Headers],[Documentary]],"*")),1,0)</f>
        <v>0</v>
      </c>
      <c r="O1081">
        <f>IF(COUNTIF($E1081, _xlfn.CONCAT("*",Table13[[#Headers],[Drama]],"*")),1,0)</f>
        <v>0</v>
      </c>
      <c r="P1081">
        <f>IF(COUNTIF($E1081, _xlfn.CONCAT("*",Table13[[#Headers],[Family]],"*")),1,0)</f>
        <v>0</v>
      </c>
      <c r="Q1081">
        <f>IF(COUNTIF($E1081, _xlfn.CONCAT("*",Table13[[#Headers],[Fantasy]],"*")),1,0)</f>
        <v>0</v>
      </c>
      <c r="R1081">
        <f>IF(COUNTIF($E1081, _xlfn.CONCAT("*",Table13[[#Headers],[History]],"*")),1,0)</f>
        <v>0</v>
      </c>
      <c r="S1081">
        <f>IF(COUNTIF($E1081, _xlfn.CONCAT("*",Table13[[#Headers],[Horror]],"*")),1,0)</f>
        <v>0</v>
      </c>
      <c r="T1081">
        <f>IF(COUNTIF($E1081, _xlfn.CONCAT("*",Table13[[#Headers],[Music]],"*")),1,0)</f>
        <v>0</v>
      </c>
      <c r="U1081">
        <f>IF(COUNTIF($E1081, _xlfn.CONCAT("*",Table13[[#Headers],[Mystery]],"*")),1,0)</f>
        <v>1</v>
      </c>
      <c r="V1081">
        <f>IF(COUNTIF($E1081, _xlfn.CONCAT("*",Table13[[#Headers],[Romance]],"*")),1,0)</f>
        <v>0</v>
      </c>
      <c r="W1081">
        <f>IF(COUNTIF($E1081, _xlfn.CONCAT("*",Table13[[#Headers],[Science Fiction]],"*")),1,0)</f>
        <v>0</v>
      </c>
      <c r="X1081">
        <f>IF(COUNTIF($E1081, _xlfn.CONCAT("*",Table13[[#Headers],[TV Movie]],"*")),1,0)</f>
        <v>0</v>
      </c>
      <c r="Y1081">
        <f>IF(COUNTIF($E1081, _xlfn.CONCAT("*",Table13[[#Headers],[Thriller]],"*")),1,0)</f>
        <v>1</v>
      </c>
      <c r="Z1081">
        <f>IF(COUNTIF($E1081, _xlfn.CONCAT("*",Table13[[#Headers],[War]],"*")),1,0)</f>
        <v>0</v>
      </c>
      <c r="AA1081">
        <f>IF(COUNTIF($E1081, _xlfn.CONCAT("*",Table13[[#Headers],[Western]],"*")),1,0)</f>
        <v>0</v>
      </c>
    </row>
    <row r="1082" spans="1:27">
      <c r="A1082" t="s">
        <v>322</v>
      </c>
      <c r="B1082">
        <v>54</v>
      </c>
      <c r="C1082">
        <f>MAX(Table13[Rank])-Table13[[#This Row],[Rank]]</f>
        <v>210</v>
      </c>
      <c r="D1082" t="s">
        <v>994</v>
      </c>
      <c r="E1082" t="s">
        <v>15</v>
      </c>
      <c r="F1082" s="1">
        <v>22088</v>
      </c>
      <c r="G1082">
        <f>YEAR(Table13[[#This Row],[Date]])</f>
        <v>1960</v>
      </c>
      <c r="H1082" t="s">
        <v>322</v>
      </c>
      <c r="I1082">
        <f>IF(COUNTIF($E1082, _xlfn.CONCAT("*",Table13[[#Headers],[Action]],"*")),1,0)</f>
        <v>0</v>
      </c>
      <c r="J1082">
        <f>IF(COUNTIF($E1082, _xlfn.CONCAT("*",Table13[[#Headers],[Adventure]],"*")),1,0)</f>
        <v>0</v>
      </c>
      <c r="K1082">
        <f>IF(COUNTIF($E1082, _xlfn.CONCAT("*",Table13[[#Headers],[Animation]],"*")),1,0)</f>
        <v>0</v>
      </c>
      <c r="L1082">
        <f>IF(COUNTIF($E1082, _xlfn.CONCAT("*",Table13[[#Headers],[Comedy]],"*")),1,0)</f>
        <v>1</v>
      </c>
      <c r="M1082">
        <f>IF(COUNTIF($E1082, _xlfn.CONCAT("*",Table13[[#Headers],[Crime]],"*")),1,0)</f>
        <v>0</v>
      </c>
      <c r="N1082">
        <f>IF(COUNTIF($E1082, _xlfn.CONCAT("*",Table13[[#Headers],[Documentary]],"*")),1,0)</f>
        <v>0</v>
      </c>
      <c r="O1082">
        <f>IF(COUNTIF($E1082, _xlfn.CONCAT("*",Table13[[#Headers],[Drama]],"*")),1,0)</f>
        <v>1</v>
      </c>
      <c r="P1082">
        <f>IF(COUNTIF($E1082, _xlfn.CONCAT("*",Table13[[#Headers],[Family]],"*")),1,0)</f>
        <v>0</v>
      </c>
      <c r="Q1082">
        <f>IF(COUNTIF($E1082, _xlfn.CONCAT("*",Table13[[#Headers],[Fantasy]],"*")),1,0)</f>
        <v>0</v>
      </c>
      <c r="R1082">
        <f>IF(COUNTIF($E1082, _xlfn.CONCAT("*",Table13[[#Headers],[History]],"*")),1,0)</f>
        <v>0</v>
      </c>
      <c r="S1082">
        <f>IF(COUNTIF($E1082, _xlfn.CONCAT("*",Table13[[#Headers],[Horror]],"*")),1,0)</f>
        <v>0</v>
      </c>
      <c r="T1082">
        <f>IF(COUNTIF($E1082, _xlfn.CONCAT("*",Table13[[#Headers],[Music]],"*")),1,0)</f>
        <v>0</v>
      </c>
      <c r="U1082">
        <f>IF(COUNTIF($E1082, _xlfn.CONCAT("*",Table13[[#Headers],[Mystery]],"*")),1,0)</f>
        <v>0</v>
      </c>
      <c r="V1082">
        <f>IF(COUNTIF($E1082, _xlfn.CONCAT("*",Table13[[#Headers],[Romance]],"*")),1,0)</f>
        <v>1</v>
      </c>
      <c r="W1082">
        <f>IF(COUNTIF($E1082, _xlfn.CONCAT("*",Table13[[#Headers],[Science Fiction]],"*")),1,0)</f>
        <v>0</v>
      </c>
      <c r="X1082">
        <f>IF(COUNTIF($E1082, _xlfn.CONCAT("*",Table13[[#Headers],[TV Movie]],"*")),1,0)</f>
        <v>0</v>
      </c>
      <c r="Y1082">
        <f>IF(COUNTIF($E1082, _xlfn.CONCAT("*",Table13[[#Headers],[Thriller]],"*")),1,0)</f>
        <v>0</v>
      </c>
      <c r="Z1082">
        <f>IF(COUNTIF($E1082, _xlfn.CONCAT("*",Table13[[#Headers],[War]],"*")),1,0)</f>
        <v>0</v>
      </c>
      <c r="AA1082">
        <f>IF(COUNTIF($E1082, _xlfn.CONCAT("*",Table13[[#Headers],[Western]],"*")),1,0)</f>
        <v>0</v>
      </c>
    </row>
    <row r="1083" spans="1:27">
      <c r="A1083" t="s">
        <v>452</v>
      </c>
      <c r="B1083">
        <v>53</v>
      </c>
      <c r="C1083">
        <f>MAX(Table13[Rank])-Table13[[#This Row],[Rank]]</f>
        <v>211</v>
      </c>
      <c r="D1083" t="s">
        <v>994</v>
      </c>
      <c r="E1083" t="s">
        <v>109</v>
      </c>
      <c r="F1083" s="1">
        <v>41565</v>
      </c>
      <c r="G1083">
        <f>YEAR(Table13[[#This Row],[Date]])</f>
        <v>2013</v>
      </c>
      <c r="H1083" t="s">
        <v>452</v>
      </c>
      <c r="I1083">
        <f>IF(COUNTIF($E1083, _xlfn.CONCAT("*",Table13[[#Headers],[Action]],"*")),1,0)</f>
        <v>0</v>
      </c>
      <c r="J1083">
        <f>IF(COUNTIF($E1083, _xlfn.CONCAT("*",Table13[[#Headers],[Adventure]],"*")),1,0)</f>
        <v>0</v>
      </c>
      <c r="K1083">
        <f>IF(COUNTIF($E1083, _xlfn.CONCAT("*",Table13[[#Headers],[Animation]],"*")),1,0)</f>
        <v>0</v>
      </c>
      <c r="L1083">
        <f>IF(COUNTIF($E1083, _xlfn.CONCAT("*",Table13[[#Headers],[Comedy]],"*")),1,0)</f>
        <v>0</v>
      </c>
      <c r="M1083">
        <f>IF(COUNTIF($E1083, _xlfn.CONCAT("*",Table13[[#Headers],[Crime]],"*")),1,0)</f>
        <v>0</v>
      </c>
      <c r="N1083">
        <f>IF(COUNTIF($E1083, _xlfn.CONCAT("*",Table13[[#Headers],[Documentary]],"*")),1,0)</f>
        <v>0</v>
      </c>
      <c r="O1083">
        <f>IF(COUNTIF($E1083, _xlfn.CONCAT("*",Table13[[#Headers],[Drama]],"*")),1,0)</f>
        <v>1</v>
      </c>
      <c r="P1083">
        <f>IF(COUNTIF($E1083, _xlfn.CONCAT("*",Table13[[#Headers],[Family]],"*")),1,0)</f>
        <v>0</v>
      </c>
      <c r="Q1083">
        <f>IF(COUNTIF($E1083, _xlfn.CONCAT("*",Table13[[#Headers],[Fantasy]],"*")),1,0)</f>
        <v>0</v>
      </c>
      <c r="R1083">
        <f>IF(COUNTIF($E1083, _xlfn.CONCAT("*",Table13[[#Headers],[History]],"*")),1,0)</f>
        <v>1</v>
      </c>
      <c r="S1083">
        <f>IF(COUNTIF($E1083, _xlfn.CONCAT("*",Table13[[#Headers],[Horror]],"*")),1,0)</f>
        <v>0</v>
      </c>
      <c r="T1083">
        <f>IF(COUNTIF($E1083, _xlfn.CONCAT("*",Table13[[#Headers],[Music]],"*")),1,0)</f>
        <v>0</v>
      </c>
      <c r="U1083">
        <f>IF(COUNTIF($E1083, _xlfn.CONCAT("*",Table13[[#Headers],[Mystery]],"*")),1,0)</f>
        <v>0</v>
      </c>
      <c r="V1083">
        <f>IF(COUNTIF($E1083, _xlfn.CONCAT("*",Table13[[#Headers],[Romance]],"*")),1,0)</f>
        <v>0</v>
      </c>
      <c r="W1083">
        <f>IF(COUNTIF($E1083, _xlfn.CONCAT("*",Table13[[#Headers],[Science Fiction]],"*")),1,0)</f>
        <v>0</v>
      </c>
      <c r="X1083">
        <f>IF(COUNTIF($E1083, _xlfn.CONCAT("*",Table13[[#Headers],[TV Movie]],"*")),1,0)</f>
        <v>0</v>
      </c>
      <c r="Y1083">
        <f>IF(COUNTIF($E1083, _xlfn.CONCAT("*",Table13[[#Headers],[Thriller]],"*")),1,0)</f>
        <v>0</v>
      </c>
      <c r="Z1083">
        <f>IF(COUNTIF($E1083, _xlfn.CONCAT("*",Table13[[#Headers],[War]],"*")),1,0)</f>
        <v>0</v>
      </c>
      <c r="AA1083">
        <f>IF(COUNTIF($E1083, _xlfn.CONCAT("*",Table13[[#Headers],[Western]],"*")),1,0)</f>
        <v>0</v>
      </c>
    </row>
    <row r="1084" spans="1:27">
      <c r="A1084" t="s">
        <v>1015</v>
      </c>
      <c r="B1084">
        <v>52</v>
      </c>
      <c r="C1084">
        <f>MAX(Table13[Rank])-Table13[[#This Row],[Rank]]</f>
        <v>212</v>
      </c>
      <c r="D1084" t="s">
        <v>994</v>
      </c>
      <c r="E1084" t="s">
        <v>1016</v>
      </c>
      <c r="F1084" s="1">
        <v>39261</v>
      </c>
      <c r="G1084">
        <f>YEAR(Table13[[#This Row],[Date]])</f>
        <v>2007</v>
      </c>
      <c r="H1084" t="s">
        <v>1015</v>
      </c>
      <c r="I1084">
        <f>IF(COUNTIF($E1084, _xlfn.CONCAT("*",Table13[[#Headers],[Action]],"*")),1,0)</f>
        <v>0</v>
      </c>
      <c r="J1084">
        <f>IF(COUNTIF($E1084, _xlfn.CONCAT("*",Table13[[#Headers],[Adventure]],"*")),1,0)</f>
        <v>0</v>
      </c>
      <c r="K1084">
        <f>IF(COUNTIF($E1084, _xlfn.CONCAT("*",Table13[[#Headers],[Animation]],"*")),1,0)</f>
        <v>1</v>
      </c>
      <c r="L1084">
        <f>IF(COUNTIF($E1084, _xlfn.CONCAT("*",Table13[[#Headers],[Comedy]],"*")),1,0)</f>
        <v>1</v>
      </c>
      <c r="M1084">
        <f>IF(COUNTIF($E1084, _xlfn.CONCAT("*",Table13[[#Headers],[Crime]],"*")),1,0)</f>
        <v>0</v>
      </c>
      <c r="N1084">
        <f>IF(COUNTIF($E1084, _xlfn.CONCAT("*",Table13[[#Headers],[Documentary]],"*")),1,0)</f>
        <v>0</v>
      </c>
      <c r="O1084">
        <f>IF(COUNTIF($E1084, _xlfn.CONCAT("*",Table13[[#Headers],[Drama]],"*")),1,0)</f>
        <v>0</v>
      </c>
      <c r="P1084">
        <f>IF(COUNTIF($E1084, _xlfn.CONCAT("*",Table13[[#Headers],[Family]],"*")),1,0)</f>
        <v>1</v>
      </c>
      <c r="Q1084">
        <f>IF(COUNTIF($E1084, _xlfn.CONCAT("*",Table13[[#Headers],[Fantasy]],"*")),1,0)</f>
        <v>1</v>
      </c>
      <c r="R1084">
        <f>IF(COUNTIF($E1084, _xlfn.CONCAT("*",Table13[[#Headers],[History]],"*")),1,0)</f>
        <v>0</v>
      </c>
      <c r="S1084">
        <f>IF(COUNTIF($E1084, _xlfn.CONCAT("*",Table13[[#Headers],[Horror]],"*")),1,0)</f>
        <v>0</v>
      </c>
      <c r="T1084">
        <f>IF(COUNTIF($E1084, _xlfn.CONCAT("*",Table13[[#Headers],[Music]],"*")),1,0)</f>
        <v>0</v>
      </c>
      <c r="U1084">
        <f>IF(COUNTIF($E1084, _xlfn.CONCAT("*",Table13[[#Headers],[Mystery]],"*")),1,0)</f>
        <v>0</v>
      </c>
      <c r="V1084">
        <f>IF(COUNTIF($E1084, _xlfn.CONCAT("*",Table13[[#Headers],[Romance]],"*")),1,0)</f>
        <v>0</v>
      </c>
      <c r="W1084">
        <f>IF(COUNTIF($E1084, _xlfn.CONCAT("*",Table13[[#Headers],[Science Fiction]],"*")),1,0)</f>
        <v>0</v>
      </c>
      <c r="X1084">
        <f>IF(COUNTIF($E1084, _xlfn.CONCAT("*",Table13[[#Headers],[TV Movie]],"*")),1,0)</f>
        <v>0</v>
      </c>
      <c r="Y1084">
        <f>IF(COUNTIF($E1084, _xlfn.CONCAT("*",Table13[[#Headers],[Thriller]],"*")),1,0)</f>
        <v>0</v>
      </c>
      <c r="Z1084">
        <f>IF(COUNTIF($E1084, _xlfn.CONCAT("*",Table13[[#Headers],[War]],"*")),1,0)</f>
        <v>0</v>
      </c>
      <c r="AA1084">
        <f>IF(COUNTIF($E1084, _xlfn.CONCAT("*",Table13[[#Headers],[Western]],"*")),1,0)</f>
        <v>0</v>
      </c>
    </row>
    <row r="1085" spans="1:27">
      <c r="A1085" t="s">
        <v>484</v>
      </c>
      <c r="B1085">
        <v>51</v>
      </c>
      <c r="C1085">
        <f>MAX(Table13[Rank])-Table13[[#This Row],[Rank]]</f>
        <v>213</v>
      </c>
      <c r="D1085" t="s">
        <v>994</v>
      </c>
      <c r="E1085" t="s">
        <v>166</v>
      </c>
      <c r="F1085" s="1">
        <v>33128</v>
      </c>
      <c r="G1085">
        <f>YEAR(Table13[[#This Row],[Date]])</f>
        <v>1990</v>
      </c>
      <c r="H1085" t="s">
        <v>316</v>
      </c>
      <c r="I1085">
        <f>IF(COUNTIF($E1085, _xlfn.CONCAT("*",Table13[[#Headers],[Action]],"*")),1,0)</f>
        <v>0</v>
      </c>
      <c r="J1085">
        <f>IF(COUNTIF($E1085, _xlfn.CONCAT("*",Table13[[#Headers],[Adventure]],"*")),1,0)</f>
        <v>0</v>
      </c>
      <c r="K1085">
        <f>IF(COUNTIF($E1085, _xlfn.CONCAT("*",Table13[[#Headers],[Animation]],"*")),1,0)</f>
        <v>0</v>
      </c>
      <c r="L1085">
        <f>IF(COUNTIF($E1085, _xlfn.CONCAT("*",Table13[[#Headers],[Comedy]],"*")),1,0)</f>
        <v>0</v>
      </c>
      <c r="M1085">
        <f>IF(COUNTIF($E1085, _xlfn.CONCAT("*",Table13[[#Headers],[Crime]],"*")),1,0)</f>
        <v>1</v>
      </c>
      <c r="N1085">
        <f>IF(COUNTIF($E1085, _xlfn.CONCAT("*",Table13[[#Headers],[Documentary]],"*")),1,0)</f>
        <v>0</v>
      </c>
      <c r="O1085">
        <f>IF(COUNTIF($E1085, _xlfn.CONCAT("*",Table13[[#Headers],[Drama]],"*")),1,0)</f>
        <v>1</v>
      </c>
      <c r="P1085">
        <f>IF(COUNTIF($E1085, _xlfn.CONCAT("*",Table13[[#Headers],[Family]],"*")),1,0)</f>
        <v>0</v>
      </c>
      <c r="Q1085">
        <f>IF(COUNTIF($E1085, _xlfn.CONCAT("*",Table13[[#Headers],[Fantasy]],"*")),1,0)</f>
        <v>0</v>
      </c>
      <c r="R1085">
        <f>IF(COUNTIF($E1085, _xlfn.CONCAT("*",Table13[[#Headers],[History]],"*")),1,0)</f>
        <v>0</v>
      </c>
      <c r="S1085">
        <f>IF(COUNTIF($E1085, _xlfn.CONCAT("*",Table13[[#Headers],[Horror]],"*")),1,0)</f>
        <v>0</v>
      </c>
      <c r="T1085">
        <f>IF(COUNTIF($E1085, _xlfn.CONCAT("*",Table13[[#Headers],[Music]],"*")),1,0)</f>
        <v>0</v>
      </c>
      <c r="U1085">
        <f>IF(COUNTIF($E1085, _xlfn.CONCAT("*",Table13[[#Headers],[Mystery]],"*")),1,0)</f>
        <v>0</v>
      </c>
      <c r="V1085">
        <f>IF(COUNTIF($E1085, _xlfn.CONCAT("*",Table13[[#Headers],[Romance]],"*")),1,0)</f>
        <v>0</v>
      </c>
      <c r="W1085">
        <f>IF(COUNTIF($E1085, _xlfn.CONCAT("*",Table13[[#Headers],[Science Fiction]],"*")),1,0)</f>
        <v>0</v>
      </c>
      <c r="X1085">
        <f>IF(COUNTIF($E1085, _xlfn.CONCAT("*",Table13[[#Headers],[TV Movie]],"*")),1,0)</f>
        <v>0</v>
      </c>
      <c r="Y1085">
        <f>IF(COUNTIF($E1085, _xlfn.CONCAT("*",Table13[[#Headers],[Thriller]],"*")),1,0)</f>
        <v>0</v>
      </c>
      <c r="Z1085">
        <f>IF(COUNTIF($E1085, _xlfn.CONCAT("*",Table13[[#Headers],[War]],"*")),1,0)</f>
        <v>0</v>
      </c>
      <c r="AA1085">
        <f>IF(COUNTIF($E1085, _xlfn.CONCAT("*",Table13[[#Headers],[Western]],"*")),1,0)</f>
        <v>0</v>
      </c>
    </row>
    <row r="1086" spans="1:27">
      <c r="A1086" t="s">
        <v>486</v>
      </c>
      <c r="B1086">
        <v>50</v>
      </c>
      <c r="C1086">
        <f>MAX(Table13[Rank])-Table13[[#This Row],[Rank]]</f>
        <v>214</v>
      </c>
      <c r="D1086" t="s">
        <v>994</v>
      </c>
      <c r="E1086" t="s">
        <v>186</v>
      </c>
      <c r="F1086" s="1">
        <v>36000</v>
      </c>
      <c r="G1086">
        <f>YEAR(Table13[[#This Row],[Date]])</f>
        <v>1998</v>
      </c>
      <c r="H1086" t="s">
        <v>486</v>
      </c>
      <c r="I1086">
        <f>IF(COUNTIF($E1086, _xlfn.CONCAT("*",Table13[[#Headers],[Action]],"*")),1,0)</f>
        <v>0</v>
      </c>
      <c r="J1086">
        <f>IF(COUNTIF($E1086, _xlfn.CONCAT("*",Table13[[#Headers],[Adventure]],"*")),1,0)</f>
        <v>0</v>
      </c>
      <c r="K1086">
        <f>IF(COUNTIF($E1086, _xlfn.CONCAT("*",Table13[[#Headers],[Animation]],"*")),1,0)</f>
        <v>0</v>
      </c>
      <c r="L1086">
        <f>IF(COUNTIF($E1086, _xlfn.CONCAT("*",Table13[[#Headers],[Comedy]],"*")),1,0)</f>
        <v>0</v>
      </c>
      <c r="M1086">
        <f>IF(COUNTIF($E1086, _xlfn.CONCAT("*",Table13[[#Headers],[Crime]],"*")),1,0)</f>
        <v>0</v>
      </c>
      <c r="N1086">
        <f>IF(COUNTIF($E1086, _xlfn.CONCAT("*",Table13[[#Headers],[Documentary]],"*")),1,0)</f>
        <v>0</v>
      </c>
      <c r="O1086">
        <f>IF(COUNTIF($E1086, _xlfn.CONCAT("*",Table13[[#Headers],[Drama]],"*")),1,0)</f>
        <v>1</v>
      </c>
      <c r="P1086">
        <f>IF(COUNTIF($E1086, _xlfn.CONCAT("*",Table13[[#Headers],[Family]],"*")),1,0)</f>
        <v>0</v>
      </c>
      <c r="Q1086">
        <f>IF(COUNTIF($E1086, _xlfn.CONCAT("*",Table13[[#Headers],[Fantasy]],"*")),1,0)</f>
        <v>0</v>
      </c>
      <c r="R1086">
        <f>IF(COUNTIF($E1086, _xlfn.CONCAT("*",Table13[[#Headers],[History]],"*")),1,0)</f>
        <v>1</v>
      </c>
      <c r="S1086">
        <f>IF(COUNTIF($E1086, _xlfn.CONCAT("*",Table13[[#Headers],[Horror]],"*")),1,0)</f>
        <v>0</v>
      </c>
      <c r="T1086">
        <f>IF(COUNTIF($E1086, _xlfn.CONCAT("*",Table13[[#Headers],[Music]],"*")),1,0)</f>
        <v>0</v>
      </c>
      <c r="U1086">
        <f>IF(COUNTIF($E1086, _xlfn.CONCAT("*",Table13[[#Headers],[Mystery]],"*")),1,0)</f>
        <v>0</v>
      </c>
      <c r="V1086">
        <f>IF(COUNTIF($E1086, _xlfn.CONCAT("*",Table13[[#Headers],[Romance]],"*")),1,0)</f>
        <v>0</v>
      </c>
      <c r="W1086">
        <f>IF(COUNTIF($E1086, _xlfn.CONCAT("*",Table13[[#Headers],[Science Fiction]],"*")),1,0)</f>
        <v>0</v>
      </c>
      <c r="X1086">
        <f>IF(COUNTIF($E1086, _xlfn.CONCAT("*",Table13[[#Headers],[TV Movie]],"*")),1,0)</f>
        <v>0</v>
      </c>
      <c r="Y1086">
        <f>IF(COUNTIF($E1086, _xlfn.CONCAT("*",Table13[[#Headers],[Thriller]],"*")),1,0)</f>
        <v>0</v>
      </c>
      <c r="Z1086">
        <f>IF(COUNTIF($E1086, _xlfn.CONCAT("*",Table13[[#Headers],[War]],"*")),1,0)</f>
        <v>1</v>
      </c>
      <c r="AA1086">
        <f>IF(COUNTIF($E1086, _xlfn.CONCAT("*",Table13[[#Headers],[Western]],"*")),1,0)</f>
        <v>0</v>
      </c>
    </row>
    <row r="1087" spans="1:27">
      <c r="A1087" t="s">
        <v>898</v>
      </c>
      <c r="B1087">
        <v>49</v>
      </c>
      <c r="C1087">
        <f>MAX(Table13[Rank])-Table13[[#This Row],[Rank]]</f>
        <v>215</v>
      </c>
      <c r="D1087" t="s">
        <v>994</v>
      </c>
      <c r="E1087" t="s">
        <v>436</v>
      </c>
      <c r="F1087" s="1">
        <v>20192</v>
      </c>
      <c r="G1087">
        <f>YEAR(Table13[[#This Row],[Date]])</f>
        <v>1955</v>
      </c>
      <c r="H1087" t="s">
        <v>898</v>
      </c>
      <c r="I1087">
        <f>IF(COUNTIF($E1087, _xlfn.CONCAT("*",Table13[[#Headers],[Action]],"*")),1,0)</f>
        <v>0</v>
      </c>
      <c r="J1087">
        <f>IF(COUNTIF($E1087, _xlfn.CONCAT("*",Table13[[#Headers],[Adventure]],"*")),1,0)</f>
        <v>0</v>
      </c>
      <c r="K1087">
        <f>IF(COUNTIF($E1087, _xlfn.CONCAT("*",Table13[[#Headers],[Animation]],"*")),1,0)</f>
        <v>0</v>
      </c>
      <c r="L1087">
        <f>IF(COUNTIF($E1087, _xlfn.CONCAT("*",Table13[[#Headers],[Comedy]],"*")),1,0)</f>
        <v>0</v>
      </c>
      <c r="M1087">
        <f>IF(COUNTIF($E1087, _xlfn.CONCAT("*",Table13[[#Headers],[Crime]],"*")),1,0)</f>
        <v>1</v>
      </c>
      <c r="N1087">
        <f>IF(COUNTIF($E1087, _xlfn.CONCAT("*",Table13[[#Headers],[Documentary]],"*")),1,0)</f>
        <v>0</v>
      </c>
      <c r="O1087">
        <f>IF(COUNTIF($E1087, _xlfn.CONCAT("*",Table13[[#Headers],[Drama]],"*")),1,0)</f>
        <v>1</v>
      </c>
      <c r="P1087">
        <f>IF(COUNTIF($E1087, _xlfn.CONCAT("*",Table13[[#Headers],[Family]],"*")),1,0)</f>
        <v>0</v>
      </c>
      <c r="Q1087">
        <f>IF(COUNTIF($E1087, _xlfn.CONCAT("*",Table13[[#Headers],[Fantasy]],"*")),1,0)</f>
        <v>0</v>
      </c>
      <c r="R1087">
        <f>IF(COUNTIF($E1087, _xlfn.CONCAT("*",Table13[[#Headers],[History]],"*")),1,0)</f>
        <v>0</v>
      </c>
      <c r="S1087">
        <f>IF(COUNTIF($E1087, _xlfn.CONCAT("*",Table13[[#Headers],[Horror]],"*")),1,0)</f>
        <v>0</v>
      </c>
      <c r="T1087">
        <f>IF(COUNTIF($E1087, _xlfn.CONCAT("*",Table13[[#Headers],[Music]],"*")),1,0)</f>
        <v>0</v>
      </c>
      <c r="U1087">
        <f>IF(COUNTIF($E1087, _xlfn.CONCAT("*",Table13[[#Headers],[Mystery]],"*")),1,0)</f>
        <v>0</v>
      </c>
      <c r="V1087">
        <f>IF(COUNTIF($E1087, _xlfn.CONCAT("*",Table13[[#Headers],[Romance]],"*")),1,0)</f>
        <v>0</v>
      </c>
      <c r="W1087">
        <f>IF(COUNTIF($E1087, _xlfn.CONCAT("*",Table13[[#Headers],[Science Fiction]],"*")),1,0)</f>
        <v>0</v>
      </c>
      <c r="X1087">
        <f>IF(COUNTIF($E1087, _xlfn.CONCAT("*",Table13[[#Headers],[TV Movie]],"*")),1,0)</f>
        <v>0</v>
      </c>
      <c r="Y1087">
        <f>IF(COUNTIF($E1087, _xlfn.CONCAT("*",Table13[[#Headers],[Thriller]],"*")),1,0)</f>
        <v>1</v>
      </c>
      <c r="Z1087">
        <f>IF(COUNTIF($E1087, _xlfn.CONCAT("*",Table13[[#Headers],[War]],"*")),1,0)</f>
        <v>0</v>
      </c>
      <c r="AA1087">
        <f>IF(COUNTIF($E1087, _xlfn.CONCAT("*",Table13[[#Headers],[Western]],"*")),1,0)</f>
        <v>0</v>
      </c>
    </row>
    <row r="1088" spans="1:27">
      <c r="A1088" t="s">
        <v>128</v>
      </c>
      <c r="B1088">
        <v>48</v>
      </c>
      <c r="C1088">
        <f>MAX(Table13[Rank])-Table13[[#This Row],[Rank]]</f>
        <v>216</v>
      </c>
      <c r="D1088" t="s">
        <v>994</v>
      </c>
      <c r="E1088" t="s">
        <v>129</v>
      </c>
      <c r="F1088" s="1">
        <v>43257</v>
      </c>
      <c r="G1088">
        <f>YEAR(Table13[[#This Row],[Date]])</f>
        <v>2018</v>
      </c>
      <c r="H1088" t="s">
        <v>128</v>
      </c>
      <c r="I1088">
        <f>IF(COUNTIF($E1088, _xlfn.CONCAT("*",Table13[[#Headers],[Action]],"*")),1,0)</f>
        <v>0</v>
      </c>
      <c r="J1088">
        <f>IF(COUNTIF($E1088, _xlfn.CONCAT("*",Table13[[#Headers],[Adventure]],"*")),1,0)</f>
        <v>0</v>
      </c>
      <c r="K1088">
        <f>IF(COUNTIF($E1088, _xlfn.CONCAT("*",Table13[[#Headers],[Animation]],"*")),1,0)</f>
        <v>0</v>
      </c>
      <c r="L1088">
        <f>IF(COUNTIF($E1088, _xlfn.CONCAT("*",Table13[[#Headers],[Comedy]],"*")),1,0)</f>
        <v>0</v>
      </c>
      <c r="M1088">
        <f>IF(COUNTIF($E1088, _xlfn.CONCAT("*",Table13[[#Headers],[Crime]],"*")),1,0)</f>
        <v>0</v>
      </c>
      <c r="N1088">
        <f>IF(COUNTIF($E1088, _xlfn.CONCAT("*",Table13[[#Headers],[Documentary]],"*")),1,0)</f>
        <v>0</v>
      </c>
      <c r="O1088">
        <f>IF(COUNTIF($E1088, _xlfn.CONCAT("*",Table13[[#Headers],[Drama]],"*")),1,0)</f>
        <v>0</v>
      </c>
      <c r="P1088">
        <f>IF(COUNTIF($E1088, _xlfn.CONCAT("*",Table13[[#Headers],[Family]],"*")),1,0)</f>
        <v>0</v>
      </c>
      <c r="Q1088">
        <f>IF(COUNTIF($E1088, _xlfn.CONCAT("*",Table13[[#Headers],[Fantasy]],"*")),1,0)</f>
        <v>0</v>
      </c>
      <c r="R1088">
        <f>IF(COUNTIF($E1088, _xlfn.CONCAT("*",Table13[[#Headers],[History]],"*")),1,0)</f>
        <v>0</v>
      </c>
      <c r="S1088">
        <f>IF(COUNTIF($E1088, _xlfn.CONCAT("*",Table13[[#Headers],[Horror]],"*")),1,0)</f>
        <v>0</v>
      </c>
      <c r="T1088">
        <f>IF(COUNTIF($E1088, _xlfn.CONCAT("*",Table13[[#Headers],[Music]],"*")),1,0)</f>
        <v>0</v>
      </c>
      <c r="U1088">
        <f>IF(COUNTIF($E1088, _xlfn.CONCAT("*",Table13[[#Headers],[Mystery]],"*")),1,0)</f>
        <v>0</v>
      </c>
      <c r="V1088">
        <f>IF(COUNTIF($E1088, _xlfn.CONCAT("*",Table13[[#Headers],[Romance]],"*")),1,0)</f>
        <v>0</v>
      </c>
      <c r="W1088">
        <f>IF(COUNTIF($E1088, _xlfn.CONCAT("*",Table13[[#Headers],[Science Fiction]],"*")),1,0)</f>
        <v>0</v>
      </c>
      <c r="X1088">
        <f>IF(COUNTIF($E1088, _xlfn.CONCAT("*",Table13[[#Headers],[TV Movie]],"*")),1,0)</f>
        <v>0</v>
      </c>
      <c r="Y1088">
        <f>IF(COUNTIF($E1088, _xlfn.CONCAT("*",Table13[[#Headers],[Thriller]],"*")),1,0)</f>
        <v>0</v>
      </c>
      <c r="Z1088">
        <f>IF(COUNTIF($E1088, _xlfn.CONCAT("*",Table13[[#Headers],[War]],"*")),1,0)</f>
        <v>0</v>
      </c>
      <c r="AA1088">
        <f>IF(COUNTIF($E1088, _xlfn.CONCAT("*",Table13[[#Headers],[Western]],"*")),1,0)</f>
        <v>0</v>
      </c>
    </row>
    <row r="1089" spans="1:27">
      <c r="A1089" t="s">
        <v>101</v>
      </c>
      <c r="B1089">
        <v>47</v>
      </c>
      <c r="C1089">
        <f>MAX(Table13[Rank])-Table13[[#This Row],[Rank]]</f>
        <v>217</v>
      </c>
      <c r="D1089" t="s">
        <v>994</v>
      </c>
      <c r="E1089" t="s">
        <v>102</v>
      </c>
      <c r="F1089" s="1">
        <v>16237</v>
      </c>
      <c r="G1089">
        <f>YEAR(Table13[[#This Row],[Date]])</f>
        <v>1944</v>
      </c>
      <c r="H1089" t="s">
        <v>101</v>
      </c>
      <c r="I1089">
        <f>IF(COUNTIF($E1089, _xlfn.CONCAT("*",Table13[[#Headers],[Action]],"*")),1,0)</f>
        <v>0</v>
      </c>
      <c r="J1089">
        <f>IF(COUNTIF($E1089, _xlfn.CONCAT("*",Table13[[#Headers],[Adventure]],"*")),1,0)</f>
        <v>0</v>
      </c>
      <c r="K1089">
        <f>IF(COUNTIF($E1089, _xlfn.CONCAT("*",Table13[[#Headers],[Animation]],"*")),1,0)</f>
        <v>0</v>
      </c>
      <c r="L1089">
        <f>IF(COUNTIF($E1089, _xlfn.CONCAT("*",Table13[[#Headers],[Comedy]],"*")),1,0)</f>
        <v>0</v>
      </c>
      <c r="M1089">
        <f>IF(COUNTIF($E1089, _xlfn.CONCAT("*",Table13[[#Headers],[Crime]],"*")),1,0)</f>
        <v>1</v>
      </c>
      <c r="N1089">
        <f>IF(COUNTIF($E1089, _xlfn.CONCAT("*",Table13[[#Headers],[Documentary]],"*")),1,0)</f>
        <v>0</v>
      </c>
      <c r="O1089">
        <f>IF(COUNTIF($E1089, _xlfn.CONCAT("*",Table13[[#Headers],[Drama]],"*")),1,0)</f>
        <v>0</v>
      </c>
      <c r="P1089">
        <f>IF(COUNTIF($E1089, _xlfn.CONCAT("*",Table13[[#Headers],[Family]],"*")),1,0)</f>
        <v>0</v>
      </c>
      <c r="Q1089">
        <f>IF(COUNTIF($E1089, _xlfn.CONCAT("*",Table13[[#Headers],[Fantasy]],"*")),1,0)</f>
        <v>0</v>
      </c>
      <c r="R1089">
        <f>IF(COUNTIF($E1089, _xlfn.CONCAT("*",Table13[[#Headers],[History]],"*")),1,0)</f>
        <v>0</v>
      </c>
      <c r="S1089">
        <f>IF(COUNTIF($E1089, _xlfn.CONCAT("*",Table13[[#Headers],[Horror]],"*")),1,0)</f>
        <v>0</v>
      </c>
      <c r="T1089">
        <f>IF(COUNTIF($E1089, _xlfn.CONCAT("*",Table13[[#Headers],[Music]],"*")),1,0)</f>
        <v>0</v>
      </c>
      <c r="U1089">
        <f>IF(COUNTIF($E1089, _xlfn.CONCAT("*",Table13[[#Headers],[Mystery]],"*")),1,0)</f>
        <v>0</v>
      </c>
      <c r="V1089">
        <f>IF(COUNTIF($E1089, _xlfn.CONCAT("*",Table13[[#Headers],[Romance]],"*")),1,0)</f>
        <v>0</v>
      </c>
      <c r="W1089">
        <f>IF(COUNTIF($E1089, _xlfn.CONCAT("*",Table13[[#Headers],[Science Fiction]],"*")),1,0)</f>
        <v>0</v>
      </c>
      <c r="X1089">
        <f>IF(COUNTIF($E1089, _xlfn.CONCAT("*",Table13[[#Headers],[TV Movie]],"*")),1,0)</f>
        <v>0</v>
      </c>
      <c r="Y1089">
        <f>IF(COUNTIF($E1089, _xlfn.CONCAT("*",Table13[[#Headers],[Thriller]],"*")),1,0)</f>
        <v>1</v>
      </c>
      <c r="Z1089">
        <f>IF(COUNTIF($E1089, _xlfn.CONCAT("*",Table13[[#Headers],[War]],"*")),1,0)</f>
        <v>0</v>
      </c>
      <c r="AA1089">
        <f>IF(COUNTIF($E1089, _xlfn.CONCAT("*",Table13[[#Headers],[Western]],"*")),1,0)</f>
        <v>0</v>
      </c>
    </row>
    <row r="1090" spans="1:27">
      <c r="A1090" t="s">
        <v>314</v>
      </c>
      <c r="B1090">
        <v>46</v>
      </c>
      <c r="C1090">
        <f>MAX(Table13[Rank])-Table13[[#This Row],[Rank]]</f>
        <v>218</v>
      </c>
      <c r="D1090" t="s">
        <v>994</v>
      </c>
      <c r="E1090" t="s">
        <v>315</v>
      </c>
      <c r="F1090" s="1">
        <v>18141</v>
      </c>
      <c r="G1090">
        <f>YEAR(Table13[[#This Row],[Date]])</f>
        <v>1949</v>
      </c>
      <c r="H1090" t="s">
        <v>314</v>
      </c>
      <c r="I1090">
        <f>IF(COUNTIF($E1090, _xlfn.CONCAT("*",Table13[[#Headers],[Action]],"*")),1,0)</f>
        <v>0</v>
      </c>
      <c r="J1090">
        <f>IF(COUNTIF($E1090, _xlfn.CONCAT("*",Table13[[#Headers],[Adventure]],"*")),1,0)</f>
        <v>0</v>
      </c>
      <c r="K1090">
        <f>IF(COUNTIF($E1090, _xlfn.CONCAT("*",Table13[[#Headers],[Animation]],"*")),1,0)</f>
        <v>0</v>
      </c>
      <c r="L1090">
        <f>IF(COUNTIF($E1090, _xlfn.CONCAT("*",Table13[[#Headers],[Comedy]],"*")),1,0)</f>
        <v>0</v>
      </c>
      <c r="M1090">
        <f>IF(COUNTIF($E1090, _xlfn.CONCAT("*",Table13[[#Headers],[Crime]],"*")),1,0)</f>
        <v>0</v>
      </c>
      <c r="N1090">
        <f>IF(COUNTIF($E1090, _xlfn.CONCAT("*",Table13[[#Headers],[Documentary]],"*")),1,0)</f>
        <v>0</v>
      </c>
      <c r="O1090">
        <f>IF(COUNTIF($E1090, _xlfn.CONCAT("*",Table13[[#Headers],[Drama]],"*")),1,0)</f>
        <v>0</v>
      </c>
      <c r="P1090">
        <f>IF(COUNTIF($E1090, _xlfn.CONCAT("*",Table13[[#Headers],[Family]],"*")),1,0)</f>
        <v>0</v>
      </c>
      <c r="Q1090">
        <f>IF(COUNTIF($E1090, _xlfn.CONCAT("*",Table13[[#Headers],[Fantasy]],"*")),1,0)</f>
        <v>0</v>
      </c>
      <c r="R1090">
        <f>IF(COUNTIF($E1090, _xlfn.CONCAT("*",Table13[[#Headers],[History]],"*")),1,0)</f>
        <v>0</v>
      </c>
      <c r="S1090">
        <f>IF(COUNTIF($E1090, _xlfn.CONCAT("*",Table13[[#Headers],[Horror]],"*")),1,0)</f>
        <v>0</v>
      </c>
      <c r="T1090">
        <f>IF(COUNTIF($E1090, _xlfn.CONCAT("*",Table13[[#Headers],[Music]],"*")),1,0)</f>
        <v>0</v>
      </c>
      <c r="U1090">
        <f>IF(COUNTIF($E1090, _xlfn.CONCAT("*",Table13[[#Headers],[Mystery]],"*")),1,0)</f>
        <v>1</v>
      </c>
      <c r="V1090">
        <f>IF(COUNTIF($E1090, _xlfn.CONCAT("*",Table13[[#Headers],[Romance]],"*")),1,0)</f>
        <v>0</v>
      </c>
      <c r="W1090">
        <f>IF(COUNTIF($E1090, _xlfn.CONCAT("*",Table13[[#Headers],[Science Fiction]],"*")),1,0)</f>
        <v>0</v>
      </c>
      <c r="X1090">
        <f>IF(COUNTIF($E1090, _xlfn.CONCAT("*",Table13[[#Headers],[TV Movie]],"*")),1,0)</f>
        <v>0</v>
      </c>
      <c r="Y1090">
        <f>IF(COUNTIF($E1090, _xlfn.CONCAT("*",Table13[[#Headers],[Thriller]],"*")),1,0)</f>
        <v>1</v>
      </c>
      <c r="Z1090">
        <f>IF(COUNTIF($E1090, _xlfn.CONCAT("*",Table13[[#Headers],[War]],"*")),1,0)</f>
        <v>0</v>
      </c>
      <c r="AA1090">
        <f>IF(COUNTIF($E1090, _xlfn.CONCAT("*",Table13[[#Headers],[Western]],"*")),1,0)</f>
        <v>0</v>
      </c>
    </row>
    <row r="1091" spans="1:27">
      <c r="A1091" t="s">
        <v>813</v>
      </c>
      <c r="B1091">
        <v>45</v>
      </c>
      <c r="C1091">
        <f>MAX(Table13[Rank])-Table13[[#This Row],[Rank]]</f>
        <v>219</v>
      </c>
      <c r="D1091" t="s">
        <v>994</v>
      </c>
      <c r="E1091" t="s">
        <v>21</v>
      </c>
      <c r="F1091" s="1">
        <v>43680</v>
      </c>
      <c r="G1091">
        <f>YEAR(Table13[[#This Row],[Date]])</f>
        <v>2019</v>
      </c>
      <c r="H1091" t="s">
        <v>813</v>
      </c>
      <c r="I1091">
        <f>IF(COUNTIF($E1091, _xlfn.CONCAT("*",Table13[[#Headers],[Action]],"*")),1,0)</f>
        <v>0</v>
      </c>
      <c r="J1091">
        <f>IF(COUNTIF($E1091, _xlfn.CONCAT("*",Table13[[#Headers],[Adventure]],"*")),1,0)</f>
        <v>0</v>
      </c>
      <c r="K1091">
        <f>IF(COUNTIF($E1091, _xlfn.CONCAT("*",Table13[[#Headers],[Animation]],"*")),1,0)</f>
        <v>0</v>
      </c>
      <c r="L1091">
        <f>IF(COUNTIF($E1091, _xlfn.CONCAT("*",Table13[[#Headers],[Comedy]],"*")),1,0)</f>
        <v>0</v>
      </c>
      <c r="M1091">
        <f>IF(COUNTIF($E1091, _xlfn.CONCAT("*",Table13[[#Headers],[Crime]],"*")),1,0)</f>
        <v>0</v>
      </c>
      <c r="N1091">
        <f>IF(COUNTIF($E1091, _xlfn.CONCAT("*",Table13[[#Headers],[Documentary]],"*")),1,0)</f>
        <v>0</v>
      </c>
      <c r="O1091">
        <f>IF(COUNTIF($E1091, _xlfn.CONCAT("*",Table13[[#Headers],[Drama]],"*")),1,0)</f>
        <v>1</v>
      </c>
      <c r="P1091">
        <f>IF(COUNTIF($E1091, _xlfn.CONCAT("*",Table13[[#Headers],[Family]],"*")),1,0)</f>
        <v>0</v>
      </c>
      <c r="Q1091">
        <f>IF(COUNTIF($E1091, _xlfn.CONCAT("*",Table13[[#Headers],[Fantasy]],"*")),1,0)</f>
        <v>0</v>
      </c>
      <c r="R1091">
        <f>IF(COUNTIF($E1091, _xlfn.CONCAT("*",Table13[[#Headers],[History]],"*")),1,0)</f>
        <v>0</v>
      </c>
      <c r="S1091">
        <f>IF(COUNTIF($E1091, _xlfn.CONCAT("*",Table13[[#Headers],[Horror]],"*")),1,0)</f>
        <v>0</v>
      </c>
      <c r="T1091">
        <f>IF(COUNTIF($E1091, _xlfn.CONCAT("*",Table13[[#Headers],[Music]],"*")),1,0)</f>
        <v>0</v>
      </c>
      <c r="U1091">
        <f>IF(COUNTIF($E1091, _xlfn.CONCAT("*",Table13[[#Headers],[Mystery]],"*")),1,0)</f>
        <v>0</v>
      </c>
      <c r="V1091">
        <f>IF(COUNTIF($E1091, _xlfn.CONCAT("*",Table13[[#Headers],[Romance]],"*")),1,0)</f>
        <v>0</v>
      </c>
      <c r="W1091">
        <f>IF(COUNTIF($E1091, _xlfn.CONCAT("*",Table13[[#Headers],[Science Fiction]],"*")),1,0)</f>
        <v>0</v>
      </c>
      <c r="X1091">
        <f>IF(COUNTIF($E1091, _xlfn.CONCAT("*",Table13[[#Headers],[TV Movie]],"*")),1,0)</f>
        <v>0</v>
      </c>
      <c r="Y1091">
        <f>IF(COUNTIF($E1091, _xlfn.CONCAT("*",Table13[[#Headers],[Thriller]],"*")),1,0)</f>
        <v>0</v>
      </c>
      <c r="Z1091">
        <f>IF(COUNTIF($E1091, _xlfn.CONCAT("*",Table13[[#Headers],[War]],"*")),1,0)</f>
        <v>0</v>
      </c>
      <c r="AA1091">
        <f>IF(COUNTIF($E1091, _xlfn.CONCAT("*",Table13[[#Headers],[Western]],"*")),1,0)</f>
        <v>0</v>
      </c>
    </row>
    <row r="1092" spans="1:27">
      <c r="A1092" t="s">
        <v>140</v>
      </c>
      <c r="B1092">
        <v>44</v>
      </c>
      <c r="C1092">
        <f>MAX(Table13[Rank])-Table13[[#This Row],[Rank]]</f>
        <v>220</v>
      </c>
      <c r="D1092" t="s">
        <v>994</v>
      </c>
      <c r="E1092" t="s">
        <v>141</v>
      </c>
      <c r="F1092" s="1">
        <v>24464</v>
      </c>
      <c r="G1092">
        <f>YEAR(Table13[[#This Row],[Date]])</f>
        <v>1966</v>
      </c>
      <c r="H1092" t="s">
        <v>140</v>
      </c>
      <c r="I1092">
        <f>IF(COUNTIF($E1092, _xlfn.CONCAT("*",Table13[[#Headers],[Action]],"*")),1,0)</f>
        <v>0</v>
      </c>
      <c r="J1092">
        <f>IF(COUNTIF($E1092, _xlfn.CONCAT("*",Table13[[#Headers],[Adventure]],"*")),1,0)</f>
        <v>0</v>
      </c>
      <c r="K1092">
        <f>IF(COUNTIF($E1092, _xlfn.CONCAT("*",Table13[[#Headers],[Animation]],"*")),1,0)</f>
        <v>0</v>
      </c>
      <c r="L1092">
        <f>IF(COUNTIF($E1092, _xlfn.CONCAT("*",Table13[[#Headers],[Comedy]],"*")),1,0)</f>
        <v>0</v>
      </c>
      <c r="M1092">
        <f>IF(COUNTIF($E1092, _xlfn.CONCAT("*",Table13[[#Headers],[Crime]],"*")),1,0)</f>
        <v>0</v>
      </c>
      <c r="N1092">
        <f>IF(COUNTIF($E1092, _xlfn.CONCAT("*",Table13[[#Headers],[Documentary]],"*")),1,0)</f>
        <v>0</v>
      </c>
      <c r="O1092">
        <f>IF(COUNTIF($E1092, _xlfn.CONCAT("*",Table13[[#Headers],[Drama]],"*")),1,0)</f>
        <v>0</v>
      </c>
      <c r="P1092">
        <f>IF(COUNTIF($E1092, _xlfn.CONCAT("*",Table13[[#Headers],[Family]],"*")),1,0)</f>
        <v>0</v>
      </c>
      <c r="Q1092">
        <f>IF(COUNTIF($E1092, _xlfn.CONCAT("*",Table13[[#Headers],[Fantasy]],"*")),1,0)</f>
        <v>0</v>
      </c>
      <c r="R1092">
        <f>IF(COUNTIF($E1092, _xlfn.CONCAT("*",Table13[[#Headers],[History]],"*")),1,0)</f>
        <v>0</v>
      </c>
      <c r="S1092">
        <f>IF(COUNTIF($E1092, _xlfn.CONCAT("*",Table13[[#Headers],[Horror]],"*")),1,0)</f>
        <v>0</v>
      </c>
      <c r="T1092">
        <f>IF(COUNTIF($E1092, _xlfn.CONCAT("*",Table13[[#Headers],[Music]],"*")),1,0)</f>
        <v>0</v>
      </c>
      <c r="U1092">
        <f>IF(COUNTIF($E1092, _xlfn.CONCAT("*",Table13[[#Headers],[Mystery]],"*")),1,0)</f>
        <v>0</v>
      </c>
      <c r="V1092">
        <f>IF(COUNTIF($E1092, _xlfn.CONCAT("*",Table13[[#Headers],[Romance]],"*")),1,0)</f>
        <v>0</v>
      </c>
      <c r="W1092">
        <f>IF(COUNTIF($E1092, _xlfn.CONCAT("*",Table13[[#Headers],[Science Fiction]],"*")),1,0)</f>
        <v>0</v>
      </c>
      <c r="X1092">
        <f>IF(COUNTIF($E1092, _xlfn.CONCAT("*",Table13[[#Headers],[TV Movie]],"*")),1,0)</f>
        <v>0</v>
      </c>
      <c r="Y1092">
        <f>IF(COUNTIF($E1092, _xlfn.CONCAT("*",Table13[[#Headers],[Thriller]],"*")),1,0)</f>
        <v>0</v>
      </c>
      <c r="Z1092">
        <f>IF(COUNTIF($E1092, _xlfn.CONCAT("*",Table13[[#Headers],[War]],"*")),1,0)</f>
        <v>0</v>
      </c>
      <c r="AA1092">
        <f>IF(COUNTIF($E1092, _xlfn.CONCAT("*",Table13[[#Headers],[Western]],"*")),1,0)</f>
        <v>1</v>
      </c>
    </row>
    <row r="1093" spans="1:27">
      <c r="A1093" t="s">
        <v>425</v>
      </c>
      <c r="B1093">
        <v>43</v>
      </c>
      <c r="C1093">
        <f>MAX(Table13[Rank])-Table13[[#This Row],[Rank]]</f>
        <v>221</v>
      </c>
      <c r="D1093" t="s">
        <v>994</v>
      </c>
      <c r="E1093" t="s">
        <v>426</v>
      </c>
      <c r="F1093" s="1">
        <v>35002</v>
      </c>
      <c r="G1093">
        <f>YEAR(Table13[[#This Row],[Date]])</f>
        <v>1995</v>
      </c>
      <c r="H1093" t="s">
        <v>425</v>
      </c>
      <c r="I1093">
        <f>IF(COUNTIF($E1093, _xlfn.CONCAT("*",Table13[[#Headers],[Action]],"*")),1,0)</f>
        <v>0</v>
      </c>
      <c r="J1093">
        <f>IF(COUNTIF($E1093, _xlfn.CONCAT("*",Table13[[#Headers],[Adventure]],"*")),1,0)</f>
        <v>1</v>
      </c>
      <c r="K1093">
        <f>IF(COUNTIF($E1093, _xlfn.CONCAT("*",Table13[[#Headers],[Animation]],"*")),1,0)</f>
        <v>1</v>
      </c>
      <c r="L1093">
        <f>IF(COUNTIF($E1093, _xlfn.CONCAT("*",Table13[[#Headers],[Comedy]],"*")),1,0)</f>
        <v>1</v>
      </c>
      <c r="M1093">
        <f>IF(COUNTIF($E1093, _xlfn.CONCAT("*",Table13[[#Headers],[Crime]],"*")),1,0)</f>
        <v>0</v>
      </c>
      <c r="N1093">
        <f>IF(COUNTIF($E1093, _xlfn.CONCAT("*",Table13[[#Headers],[Documentary]],"*")),1,0)</f>
        <v>0</v>
      </c>
      <c r="O1093">
        <f>IF(COUNTIF($E1093, _xlfn.CONCAT("*",Table13[[#Headers],[Drama]],"*")),1,0)</f>
        <v>0</v>
      </c>
      <c r="P1093">
        <f>IF(COUNTIF($E1093, _xlfn.CONCAT("*",Table13[[#Headers],[Family]],"*")),1,0)</f>
        <v>1</v>
      </c>
      <c r="Q1093">
        <f>IF(COUNTIF($E1093, _xlfn.CONCAT("*",Table13[[#Headers],[Fantasy]],"*")),1,0)</f>
        <v>0</v>
      </c>
      <c r="R1093">
        <f>IF(COUNTIF($E1093, _xlfn.CONCAT("*",Table13[[#Headers],[History]],"*")),1,0)</f>
        <v>0</v>
      </c>
      <c r="S1093">
        <f>IF(COUNTIF($E1093, _xlfn.CONCAT("*",Table13[[#Headers],[Horror]],"*")),1,0)</f>
        <v>0</v>
      </c>
      <c r="T1093">
        <f>IF(COUNTIF($E1093, _xlfn.CONCAT("*",Table13[[#Headers],[Music]],"*")),1,0)</f>
        <v>0</v>
      </c>
      <c r="U1093">
        <f>IF(COUNTIF($E1093, _xlfn.CONCAT("*",Table13[[#Headers],[Mystery]],"*")),1,0)</f>
        <v>0</v>
      </c>
      <c r="V1093">
        <f>IF(COUNTIF($E1093, _xlfn.CONCAT("*",Table13[[#Headers],[Romance]],"*")),1,0)</f>
        <v>0</v>
      </c>
      <c r="W1093">
        <f>IF(COUNTIF($E1093, _xlfn.CONCAT("*",Table13[[#Headers],[Science Fiction]],"*")),1,0)</f>
        <v>0</v>
      </c>
      <c r="X1093">
        <f>IF(COUNTIF($E1093, _xlfn.CONCAT("*",Table13[[#Headers],[TV Movie]],"*")),1,0)</f>
        <v>0</v>
      </c>
      <c r="Y1093">
        <f>IF(COUNTIF($E1093, _xlfn.CONCAT("*",Table13[[#Headers],[Thriller]],"*")),1,0)</f>
        <v>0</v>
      </c>
      <c r="Z1093">
        <f>IF(COUNTIF($E1093, _xlfn.CONCAT("*",Table13[[#Headers],[War]],"*")),1,0)</f>
        <v>0</v>
      </c>
      <c r="AA1093">
        <f>IF(COUNTIF($E1093, _xlfn.CONCAT("*",Table13[[#Headers],[Western]],"*")),1,0)</f>
        <v>0</v>
      </c>
    </row>
    <row r="1094" spans="1:27">
      <c r="A1094" t="s">
        <v>896</v>
      </c>
      <c r="B1094">
        <v>42</v>
      </c>
      <c r="C1094">
        <f>MAX(Table13[Rank])-Table13[[#This Row],[Rank]]</f>
        <v>222</v>
      </c>
      <c r="D1094" t="s">
        <v>994</v>
      </c>
      <c r="E1094" t="s">
        <v>35</v>
      </c>
      <c r="F1094" s="1">
        <v>16511</v>
      </c>
      <c r="G1094">
        <f>YEAR(Table13[[#This Row],[Date]])</f>
        <v>1945</v>
      </c>
      <c r="H1094" t="s">
        <v>896</v>
      </c>
      <c r="I1094">
        <f>IF(COUNTIF($E1094, _xlfn.CONCAT("*",Table13[[#Headers],[Action]],"*")),1,0)</f>
        <v>0</v>
      </c>
      <c r="J1094">
        <f>IF(COUNTIF($E1094, _xlfn.CONCAT("*",Table13[[#Headers],[Adventure]],"*")),1,0)</f>
        <v>0</v>
      </c>
      <c r="K1094">
        <f>IF(COUNTIF($E1094, _xlfn.CONCAT("*",Table13[[#Headers],[Animation]],"*")),1,0)</f>
        <v>0</v>
      </c>
      <c r="L1094">
        <f>IF(COUNTIF($E1094, _xlfn.CONCAT("*",Table13[[#Headers],[Comedy]],"*")),1,0)</f>
        <v>0</v>
      </c>
      <c r="M1094">
        <f>IF(COUNTIF($E1094, _xlfn.CONCAT("*",Table13[[#Headers],[Crime]],"*")),1,0)</f>
        <v>0</v>
      </c>
      <c r="N1094">
        <f>IF(COUNTIF($E1094, _xlfn.CONCAT("*",Table13[[#Headers],[Documentary]],"*")),1,0)</f>
        <v>0</v>
      </c>
      <c r="O1094">
        <f>IF(COUNTIF($E1094, _xlfn.CONCAT("*",Table13[[#Headers],[Drama]],"*")),1,0)</f>
        <v>1</v>
      </c>
      <c r="P1094">
        <f>IF(COUNTIF($E1094, _xlfn.CONCAT("*",Table13[[#Headers],[Family]],"*")),1,0)</f>
        <v>0</v>
      </c>
      <c r="Q1094">
        <f>IF(COUNTIF($E1094, _xlfn.CONCAT("*",Table13[[#Headers],[Fantasy]],"*")),1,0)</f>
        <v>0</v>
      </c>
      <c r="R1094">
        <f>IF(COUNTIF($E1094, _xlfn.CONCAT("*",Table13[[#Headers],[History]],"*")),1,0)</f>
        <v>0</v>
      </c>
      <c r="S1094">
        <f>IF(COUNTIF($E1094, _xlfn.CONCAT("*",Table13[[#Headers],[Horror]],"*")),1,0)</f>
        <v>0</v>
      </c>
      <c r="T1094">
        <f>IF(COUNTIF($E1094, _xlfn.CONCAT("*",Table13[[#Headers],[Music]],"*")),1,0)</f>
        <v>0</v>
      </c>
      <c r="U1094">
        <f>IF(COUNTIF($E1094, _xlfn.CONCAT("*",Table13[[#Headers],[Mystery]],"*")),1,0)</f>
        <v>0</v>
      </c>
      <c r="V1094">
        <f>IF(COUNTIF($E1094, _xlfn.CONCAT("*",Table13[[#Headers],[Romance]],"*")),1,0)</f>
        <v>1</v>
      </c>
      <c r="W1094">
        <f>IF(COUNTIF($E1094, _xlfn.CONCAT("*",Table13[[#Headers],[Science Fiction]],"*")),1,0)</f>
        <v>0</v>
      </c>
      <c r="X1094">
        <f>IF(COUNTIF($E1094, _xlfn.CONCAT("*",Table13[[#Headers],[TV Movie]],"*")),1,0)</f>
        <v>0</v>
      </c>
      <c r="Y1094">
        <f>IF(COUNTIF($E1094, _xlfn.CONCAT("*",Table13[[#Headers],[Thriller]],"*")),1,0)</f>
        <v>0</v>
      </c>
      <c r="Z1094">
        <f>IF(COUNTIF($E1094, _xlfn.CONCAT("*",Table13[[#Headers],[War]],"*")),1,0)</f>
        <v>0</v>
      </c>
      <c r="AA1094">
        <f>IF(COUNTIF($E1094, _xlfn.CONCAT("*",Table13[[#Headers],[Western]],"*")),1,0)</f>
        <v>0</v>
      </c>
    </row>
    <row r="1095" spans="1:27">
      <c r="A1095" t="s">
        <v>238</v>
      </c>
      <c r="B1095">
        <v>41</v>
      </c>
      <c r="C1095">
        <f>MAX(Table13[Rank])-Table13[[#This Row],[Rank]]</f>
        <v>223</v>
      </c>
      <c r="D1095" t="s">
        <v>994</v>
      </c>
      <c r="E1095" t="s">
        <v>21</v>
      </c>
      <c r="F1095" s="1">
        <v>25962</v>
      </c>
      <c r="G1095">
        <f>YEAR(Table13[[#This Row],[Date]])</f>
        <v>1971</v>
      </c>
      <c r="H1095" t="s">
        <v>238</v>
      </c>
      <c r="I1095">
        <f>IF(COUNTIF($E1095, _xlfn.CONCAT("*",Table13[[#Headers],[Action]],"*")),1,0)</f>
        <v>0</v>
      </c>
      <c r="J1095">
        <f>IF(COUNTIF($E1095, _xlfn.CONCAT("*",Table13[[#Headers],[Adventure]],"*")),1,0)</f>
        <v>0</v>
      </c>
      <c r="K1095">
        <f>IF(COUNTIF($E1095, _xlfn.CONCAT("*",Table13[[#Headers],[Animation]],"*")),1,0)</f>
        <v>0</v>
      </c>
      <c r="L1095">
        <f>IF(COUNTIF($E1095, _xlfn.CONCAT("*",Table13[[#Headers],[Comedy]],"*")),1,0)</f>
        <v>0</v>
      </c>
      <c r="M1095">
        <f>IF(COUNTIF($E1095, _xlfn.CONCAT("*",Table13[[#Headers],[Crime]],"*")),1,0)</f>
        <v>0</v>
      </c>
      <c r="N1095">
        <f>IF(COUNTIF($E1095, _xlfn.CONCAT("*",Table13[[#Headers],[Documentary]],"*")),1,0)</f>
        <v>0</v>
      </c>
      <c r="O1095">
        <f>IF(COUNTIF($E1095, _xlfn.CONCAT("*",Table13[[#Headers],[Drama]],"*")),1,0)</f>
        <v>1</v>
      </c>
      <c r="P1095">
        <f>IF(COUNTIF($E1095, _xlfn.CONCAT("*",Table13[[#Headers],[Family]],"*")),1,0)</f>
        <v>0</v>
      </c>
      <c r="Q1095">
        <f>IF(COUNTIF($E1095, _xlfn.CONCAT("*",Table13[[#Headers],[Fantasy]],"*")),1,0)</f>
        <v>0</v>
      </c>
      <c r="R1095">
        <f>IF(COUNTIF($E1095, _xlfn.CONCAT("*",Table13[[#Headers],[History]],"*")),1,0)</f>
        <v>0</v>
      </c>
      <c r="S1095">
        <f>IF(COUNTIF($E1095, _xlfn.CONCAT("*",Table13[[#Headers],[Horror]],"*")),1,0)</f>
        <v>0</v>
      </c>
      <c r="T1095">
        <f>IF(COUNTIF($E1095, _xlfn.CONCAT("*",Table13[[#Headers],[Music]],"*")),1,0)</f>
        <v>0</v>
      </c>
      <c r="U1095">
        <f>IF(COUNTIF($E1095, _xlfn.CONCAT("*",Table13[[#Headers],[Mystery]],"*")),1,0)</f>
        <v>0</v>
      </c>
      <c r="V1095">
        <f>IF(COUNTIF($E1095, _xlfn.CONCAT("*",Table13[[#Headers],[Romance]],"*")),1,0)</f>
        <v>0</v>
      </c>
      <c r="W1095">
        <f>IF(COUNTIF($E1095, _xlfn.CONCAT("*",Table13[[#Headers],[Science Fiction]],"*")),1,0)</f>
        <v>0</v>
      </c>
      <c r="X1095">
        <f>IF(COUNTIF($E1095, _xlfn.CONCAT("*",Table13[[#Headers],[TV Movie]],"*")),1,0)</f>
        <v>0</v>
      </c>
      <c r="Y1095">
        <f>IF(COUNTIF($E1095, _xlfn.CONCAT("*",Table13[[#Headers],[Thriller]],"*")),1,0)</f>
        <v>0</v>
      </c>
      <c r="Z1095">
        <f>IF(COUNTIF($E1095, _xlfn.CONCAT("*",Table13[[#Headers],[War]],"*")),1,0)</f>
        <v>0</v>
      </c>
      <c r="AA1095">
        <f>IF(COUNTIF($E1095, _xlfn.CONCAT("*",Table13[[#Headers],[Western]],"*")),1,0)</f>
        <v>0</v>
      </c>
    </row>
    <row r="1096" spans="1:27">
      <c r="A1096" t="s">
        <v>366</v>
      </c>
      <c r="B1096">
        <v>40</v>
      </c>
      <c r="C1096">
        <f>MAX(Table13[Rank])-Table13[[#This Row],[Rank]]</f>
        <v>224</v>
      </c>
      <c r="D1096" t="s">
        <v>994</v>
      </c>
      <c r="E1096" t="s">
        <v>367</v>
      </c>
      <c r="F1096" s="1">
        <v>20327</v>
      </c>
      <c r="G1096">
        <f>YEAR(Table13[[#This Row],[Date]])</f>
        <v>1955</v>
      </c>
      <c r="H1096" t="s">
        <v>366</v>
      </c>
      <c r="I1096">
        <f>IF(COUNTIF($E1096, _xlfn.CONCAT("*",Table13[[#Headers],[Action]],"*")),1,0)</f>
        <v>0</v>
      </c>
      <c r="J1096">
        <f>IF(COUNTIF($E1096, _xlfn.CONCAT("*",Table13[[#Headers],[Adventure]],"*")),1,0)</f>
        <v>0</v>
      </c>
      <c r="K1096">
        <f>IF(COUNTIF($E1096, _xlfn.CONCAT("*",Table13[[#Headers],[Animation]],"*")),1,0)</f>
        <v>0</v>
      </c>
      <c r="L1096">
        <f>IF(COUNTIF($E1096, _xlfn.CONCAT("*",Table13[[#Headers],[Comedy]],"*")),1,0)</f>
        <v>0</v>
      </c>
      <c r="M1096">
        <f>IF(COUNTIF($E1096, _xlfn.CONCAT("*",Table13[[#Headers],[Crime]],"*")),1,0)</f>
        <v>1</v>
      </c>
      <c r="N1096">
        <f>IF(COUNTIF($E1096, _xlfn.CONCAT("*",Table13[[#Headers],[Documentary]],"*")),1,0)</f>
        <v>0</v>
      </c>
      <c r="O1096">
        <f>IF(COUNTIF($E1096, _xlfn.CONCAT("*",Table13[[#Headers],[Drama]],"*")),1,0)</f>
        <v>1</v>
      </c>
      <c r="P1096">
        <f>IF(COUNTIF($E1096, _xlfn.CONCAT("*",Table13[[#Headers],[Family]],"*")),1,0)</f>
        <v>0</v>
      </c>
      <c r="Q1096">
        <f>IF(COUNTIF($E1096, _xlfn.CONCAT("*",Table13[[#Headers],[Fantasy]],"*")),1,0)</f>
        <v>0</v>
      </c>
      <c r="R1096">
        <f>IF(COUNTIF($E1096, _xlfn.CONCAT("*",Table13[[#Headers],[History]],"*")),1,0)</f>
        <v>0</v>
      </c>
      <c r="S1096">
        <f>IF(COUNTIF($E1096, _xlfn.CONCAT("*",Table13[[#Headers],[Horror]],"*")),1,0)</f>
        <v>0</v>
      </c>
      <c r="T1096">
        <f>IF(COUNTIF($E1096, _xlfn.CONCAT("*",Table13[[#Headers],[Music]],"*")),1,0)</f>
        <v>0</v>
      </c>
      <c r="U1096">
        <f>IF(COUNTIF($E1096, _xlfn.CONCAT("*",Table13[[#Headers],[Mystery]],"*")),1,0)</f>
        <v>0</v>
      </c>
      <c r="V1096">
        <f>IF(COUNTIF($E1096, _xlfn.CONCAT("*",Table13[[#Headers],[Romance]],"*")),1,0)</f>
        <v>0</v>
      </c>
      <c r="W1096">
        <f>IF(COUNTIF($E1096, _xlfn.CONCAT("*",Table13[[#Headers],[Science Fiction]],"*")),1,0)</f>
        <v>0</v>
      </c>
      <c r="X1096">
        <f>IF(COUNTIF($E1096, _xlfn.CONCAT("*",Table13[[#Headers],[TV Movie]],"*")),1,0)</f>
        <v>0</v>
      </c>
      <c r="Y1096">
        <f>IF(COUNTIF($E1096, _xlfn.CONCAT("*",Table13[[#Headers],[Thriller]],"*")),1,0)</f>
        <v>1</v>
      </c>
      <c r="Z1096">
        <f>IF(COUNTIF($E1096, _xlfn.CONCAT("*",Table13[[#Headers],[War]],"*")),1,0)</f>
        <v>0</v>
      </c>
      <c r="AA1096">
        <f>IF(COUNTIF($E1096, _xlfn.CONCAT("*",Table13[[#Headers],[Western]],"*")),1,0)</f>
        <v>0</v>
      </c>
    </row>
    <row r="1097" spans="1:27">
      <c r="A1097" t="s">
        <v>212</v>
      </c>
      <c r="B1097">
        <v>39</v>
      </c>
      <c r="C1097">
        <f>MAX(Table13[Rank])-Table13[[#This Row],[Rank]]</f>
        <v>225</v>
      </c>
      <c r="D1097" t="s">
        <v>994</v>
      </c>
      <c r="E1097" t="s">
        <v>213</v>
      </c>
      <c r="F1097" s="1">
        <v>39829</v>
      </c>
      <c r="G1097">
        <f>YEAR(Table13[[#This Row],[Date]])</f>
        <v>2009</v>
      </c>
      <c r="H1097" t="s">
        <v>212</v>
      </c>
      <c r="I1097">
        <f>IF(COUNTIF($E1097, _xlfn.CONCAT("*",Table13[[#Headers],[Action]],"*")),1,0)</f>
        <v>0</v>
      </c>
      <c r="J1097">
        <f>IF(COUNTIF($E1097, _xlfn.CONCAT("*",Table13[[#Headers],[Adventure]],"*")),1,0)</f>
        <v>0</v>
      </c>
      <c r="K1097">
        <f>IF(COUNTIF($E1097, _xlfn.CONCAT("*",Table13[[#Headers],[Animation]],"*")),1,0)</f>
        <v>0</v>
      </c>
      <c r="L1097">
        <f>IF(COUNTIF($E1097, _xlfn.CONCAT("*",Table13[[#Headers],[Comedy]],"*")),1,0)</f>
        <v>0</v>
      </c>
      <c r="M1097">
        <f>IF(COUNTIF($E1097, _xlfn.CONCAT("*",Table13[[#Headers],[Crime]],"*")),1,0)</f>
        <v>0</v>
      </c>
      <c r="N1097">
        <f>IF(COUNTIF($E1097, _xlfn.CONCAT("*",Table13[[#Headers],[Documentary]],"*")),1,0)</f>
        <v>0</v>
      </c>
      <c r="O1097">
        <f>IF(COUNTIF($E1097, _xlfn.CONCAT("*",Table13[[#Headers],[Drama]],"*")),1,0)</f>
        <v>1</v>
      </c>
      <c r="P1097">
        <f>IF(COUNTIF($E1097, _xlfn.CONCAT("*",Table13[[#Headers],[Family]],"*")),1,0)</f>
        <v>0</v>
      </c>
      <c r="Q1097">
        <f>IF(COUNTIF($E1097, _xlfn.CONCAT("*",Table13[[#Headers],[Fantasy]],"*")),1,0)</f>
        <v>0</v>
      </c>
      <c r="R1097">
        <f>IF(COUNTIF($E1097, _xlfn.CONCAT("*",Table13[[#Headers],[History]],"*")),1,0)</f>
        <v>1</v>
      </c>
      <c r="S1097">
        <f>IF(COUNTIF($E1097, _xlfn.CONCAT("*",Table13[[#Headers],[Horror]],"*")),1,0)</f>
        <v>0</v>
      </c>
      <c r="T1097">
        <f>IF(COUNTIF($E1097, _xlfn.CONCAT("*",Table13[[#Headers],[Music]],"*")),1,0)</f>
        <v>1</v>
      </c>
      <c r="U1097">
        <f>IF(COUNTIF($E1097, _xlfn.CONCAT("*",Table13[[#Headers],[Mystery]],"*")),1,0)</f>
        <v>0</v>
      </c>
      <c r="V1097">
        <f>IF(COUNTIF($E1097, _xlfn.CONCAT("*",Table13[[#Headers],[Romance]],"*")),1,0)</f>
        <v>0</v>
      </c>
      <c r="W1097">
        <f>IF(COUNTIF($E1097, _xlfn.CONCAT("*",Table13[[#Headers],[Science Fiction]],"*")),1,0)</f>
        <v>0</v>
      </c>
      <c r="X1097">
        <f>IF(COUNTIF($E1097, _xlfn.CONCAT("*",Table13[[#Headers],[TV Movie]],"*")),1,0)</f>
        <v>0</v>
      </c>
      <c r="Y1097">
        <f>IF(COUNTIF($E1097, _xlfn.CONCAT("*",Table13[[#Headers],[Thriller]],"*")),1,0)</f>
        <v>0</v>
      </c>
      <c r="Z1097">
        <f>IF(COUNTIF($E1097, _xlfn.CONCAT("*",Table13[[#Headers],[War]],"*")),1,0)</f>
        <v>0</v>
      </c>
      <c r="AA1097">
        <f>IF(COUNTIF($E1097, _xlfn.CONCAT("*",Table13[[#Headers],[Western]],"*")),1,0)</f>
        <v>0</v>
      </c>
    </row>
    <row r="1098" spans="1:27">
      <c r="A1098" t="s">
        <v>250</v>
      </c>
      <c r="B1098">
        <v>38</v>
      </c>
      <c r="C1098">
        <f>MAX(Table13[Rank])-Table13[[#This Row],[Rank]]</f>
        <v>226</v>
      </c>
      <c r="D1098" t="s">
        <v>994</v>
      </c>
      <c r="E1098" t="s">
        <v>251</v>
      </c>
      <c r="F1098" s="1">
        <v>21274</v>
      </c>
      <c r="G1098">
        <f>YEAR(Table13[[#This Row],[Date]])</f>
        <v>1958</v>
      </c>
      <c r="H1098" t="s">
        <v>250</v>
      </c>
      <c r="I1098">
        <f>IF(COUNTIF($E1098, _xlfn.CONCAT("*",Table13[[#Headers],[Action]],"*")),1,0)</f>
        <v>0</v>
      </c>
      <c r="J1098">
        <f>IF(COUNTIF($E1098, _xlfn.CONCAT("*",Table13[[#Headers],[Adventure]],"*")),1,0)</f>
        <v>0</v>
      </c>
      <c r="K1098">
        <f>IF(COUNTIF($E1098, _xlfn.CONCAT("*",Table13[[#Headers],[Animation]],"*")),1,0)</f>
        <v>0</v>
      </c>
      <c r="L1098">
        <f>IF(COUNTIF($E1098, _xlfn.CONCAT("*",Table13[[#Headers],[Comedy]],"*")),1,0)</f>
        <v>0</v>
      </c>
      <c r="M1098">
        <f>IF(COUNTIF($E1098, _xlfn.CONCAT("*",Table13[[#Headers],[Crime]],"*")),1,0)</f>
        <v>1</v>
      </c>
      <c r="N1098">
        <f>IF(COUNTIF($E1098, _xlfn.CONCAT("*",Table13[[#Headers],[Documentary]],"*")),1,0)</f>
        <v>0</v>
      </c>
      <c r="O1098">
        <f>IF(COUNTIF($E1098, _xlfn.CONCAT("*",Table13[[#Headers],[Drama]],"*")),1,0)</f>
        <v>0</v>
      </c>
      <c r="P1098">
        <f>IF(COUNTIF($E1098, _xlfn.CONCAT("*",Table13[[#Headers],[Family]],"*")),1,0)</f>
        <v>0</v>
      </c>
      <c r="Q1098">
        <f>IF(COUNTIF($E1098, _xlfn.CONCAT("*",Table13[[#Headers],[Fantasy]],"*")),1,0)</f>
        <v>0</v>
      </c>
      <c r="R1098">
        <f>IF(COUNTIF($E1098, _xlfn.CONCAT("*",Table13[[#Headers],[History]],"*")),1,0)</f>
        <v>0</v>
      </c>
      <c r="S1098">
        <f>IF(COUNTIF($E1098, _xlfn.CONCAT("*",Table13[[#Headers],[Horror]],"*")),1,0)</f>
        <v>0</v>
      </c>
      <c r="T1098">
        <f>IF(COUNTIF($E1098, _xlfn.CONCAT("*",Table13[[#Headers],[Music]],"*")),1,0)</f>
        <v>0</v>
      </c>
      <c r="U1098">
        <f>IF(COUNTIF($E1098, _xlfn.CONCAT("*",Table13[[#Headers],[Mystery]],"*")),1,0)</f>
        <v>1</v>
      </c>
      <c r="V1098">
        <f>IF(COUNTIF($E1098, _xlfn.CONCAT("*",Table13[[#Headers],[Romance]],"*")),1,0)</f>
        <v>0</v>
      </c>
      <c r="W1098">
        <f>IF(COUNTIF($E1098, _xlfn.CONCAT("*",Table13[[#Headers],[Science Fiction]],"*")),1,0)</f>
        <v>0</v>
      </c>
      <c r="X1098">
        <f>IF(COUNTIF($E1098, _xlfn.CONCAT("*",Table13[[#Headers],[TV Movie]],"*")),1,0)</f>
        <v>0</v>
      </c>
      <c r="Y1098">
        <f>IF(COUNTIF($E1098, _xlfn.CONCAT("*",Table13[[#Headers],[Thriller]],"*")),1,0)</f>
        <v>1</v>
      </c>
      <c r="Z1098">
        <f>IF(COUNTIF($E1098, _xlfn.CONCAT("*",Table13[[#Headers],[War]],"*")),1,0)</f>
        <v>0</v>
      </c>
      <c r="AA1098">
        <f>IF(COUNTIF($E1098, _xlfn.CONCAT("*",Table13[[#Headers],[Western]],"*")),1,0)</f>
        <v>0</v>
      </c>
    </row>
    <row r="1099" spans="1:27">
      <c r="A1099" t="s">
        <v>68</v>
      </c>
      <c r="B1099">
        <v>37</v>
      </c>
      <c r="C1099">
        <f>MAX(Table13[Rank])-Table13[[#This Row],[Rank]]</f>
        <v>227</v>
      </c>
      <c r="D1099" t="s">
        <v>994</v>
      </c>
      <c r="E1099" t="s">
        <v>21</v>
      </c>
      <c r="F1099" s="1">
        <v>38657</v>
      </c>
      <c r="G1099">
        <f>YEAR(Table13[[#This Row],[Date]])</f>
        <v>2005</v>
      </c>
      <c r="H1099" t="s">
        <v>68</v>
      </c>
      <c r="I1099">
        <f>IF(COUNTIF($E1099, _xlfn.CONCAT("*",Table13[[#Headers],[Action]],"*")),1,0)</f>
        <v>0</v>
      </c>
      <c r="J1099">
        <f>IF(COUNTIF($E1099, _xlfn.CONCAT("*",Table13[[#Headers],[Adventure]],"*")),1,0)</f>
        <v>0</v>
      </c>
      <c r="K1099">
        <f>IF(COUNTIF($E1099, _xlfn.CONCAT("*",Table13[[#Headers],[Animation]],"*")),1,0)</f>
        <v>0</v>
      </c>
      <c r="L1099">
        <f>IF(COUNTIF($E1099, _xlfn.CONCAT("*",Table13[[#Headers],[Comedy]],"*")),1,0)</f>
        <v>0</v>
      </c>
      <c r="M1099">
        <f>IF(COUNTIF($E1099, _xlfn.CONCAT("*",Table13[[#Headers],[Crime]],"*")),1,0)</f>
        <v>0</v>
      </c>
      <c r="N1099">
        <f>IF(COUNTIF($E1099, _xlfn.CONCAT("*",Table13[[#Headers],[Documentary]],"*")),1,0)</f>
        <v>0</v>
      </c>
      <c r="O1099">
        <f>IF(COUNTIF($E1099, _xlfn.CONCAT("*",Table13[[#Headers],[Drama]],"*")),1,0)</f>
        <v>1</v>
      </c>
      <c r="P1099">
        <f>IF(COUNTIF($E1099, _xlfn.CONCAT("*",Table13[[#Headers],[Family]],"*")),1,0)</f>
        <v>0</v>
      </c>
      <c r="Q1099">
        <f>IF(COUNTIF($E1099, _xlfn.CONCAT("*",Table13[[#Headers],[Fantasy]],"*")),1,0)</f>
        <v>0</v>
      </c>
      <c r="R1099">
        <f>IF(COUNTIF($E1099, _xlfn.CONCAT("*",Table13[[#Headers],[History]],"*")),1,0)</f>
        <v>0</v>
      </c>
      <c r="S1099">
        <f>IF(COUNTIF($E1099, _xlfn.CONCAT("*",Table13[[#Headers],[Horror]],"*")),1,0)</f>
        <v>0</v>
      </c>
      <c r="T1099">
        <f>IF(COUNTIF($E1099, _xlfn.CONCAT("*",Table13[[#Headers],[Music]],"*")),1,0)</f>
        <v>0</v>
      </c>
      <c r="U1099">
        <f>IF(COUNTIF($E1099, _xlfn.CONCAT("*",Table13[[#Headers],[Mystery]],"*")),1,0)</f>
        <v>0</v>
      </c>
      <c r="V1099">
        <f>IF(COUNTIF($E1099, _xlfn.CONCAT("*",Table13[[#Headers],[Romance]],"*")),1,0)</f>
        <v>0</v>
      </c>
      <c r="W1099">
        <f>IF(COUNTIF($E1099, _xlfn.CONCAT("*",Table13[[#Headers],[Science Fiction]],"*")),1,0)</f>
        <v>0</v>
      </c>
      <c r="X1099">
        <f>IF(COUNTIF($E1099, _xlfn.CONCAT("*",Table13[[#Headers],[TV Movie]],"*")),1,0)</f>
        <v>0</v>
      </c>
      <c r="Y1099">
        <f>IF(COUNTIF($E1099, _xlfn.CONCAT("*",Table13[[#Headers],[Thriller]],"*")),1,0)</f>
        <v>0</v>
      </c>
      <c r="Z1099">
        <f>IF(COUNTIF($E1099, _xlfn.CONCAT("*",Table13[[#Headers],[War]],"*")),1,0)</f>
        <v>0</v>
      </c>
      <c r="AA1099">
        <f>IF(COUNTIF($E1099, _xlfn.CONCAT("*",Table13[[#Headers],[Western]],"*")),1,0)</f>
        <v>0</v>
      </c>
    </row>
    <row r="1100" spans="1:27">
      <c r="A1100" t="s">
        <v>482</v>
      </c>
      <c r="B1100">
        <v>36</v>
      </c>
      <c r="C1100">
        <f>MAX(Table13[Rank])-Table13[[#This Row],[Rank]]</f>
        <v>228</v>
      </c>
      <c r="D1100" t="s">
        <v>994</v>
      </c>
      <c r="E1100" t="s">
        <v>481</v>
      </c>
      <c r="F1100" s="1">
        <v>14594</v>
      </c>
      <c r="G1100">
        <f>YEAR(Table13[[#This Row],[Date]])</f>
        <v>1939</v>
      </c>
      <c r="H1100" t="s">
        <v>482</v>
      </c>
      <c r="I1100">
        <f>IF(COUNTIF($E1100, _xlfn.CONCAT("*",Table13[[#Headers],[Action]],"*")),1,0)</f>
        <v>0</v>
      </c>
      <c r="J1100">
        <f>IF(COUNTIF($E1100, _xlfn.CONCAT("*",Table13[[#Headers],[Adventure]],"*")),1,0)</f>
        <v>0</v>
      </c>
      <c r="K1100">
        <f>IF(COUNTIF($E1100, _xlfn.CONCAT("*",Table13[[#Headers],[Animation]],"*")),1,0)</f>
        <v>0</v>
      </c>
      <c r="L1100">
        <f>IF(COUNTIF($E1100, _xlfn.CONCAT("*",Table13[[#Headers],[Comedy]],"*")),1,0)</f>
        <v>0</v>
      </c>
      <c r="M1100">
        <f>IF(COUNTIF($E1100, _xlfn.CONCAT("*",Table13[[#Headers],[Crime]],"*")),1,0)</f>
        <v>0</v>
      </c>
      <c r="N1100">
        <f>IF(COUNTIF($E1100, _xlfn.CONCAT("*",Table13[[#Headers],[Documentary]],"*")),1,0)</f>
        <v>0</v>
      </c>
      <c r="O1100">
        <f>IF(COUNTIF($E1100, _xlfn.CONCAT("*",Table13[[#Headers],[Drama]],"*")),1,0)</f>
        <v>1</v>
      </c>
      <c r="P1100">
        <f>IF(COUNTIF($E1100, _xlfn.CONCAT("*",Table13[[#Headers],[Family]],"*")),1,0)</f>
        <v>0</v>
      </c>
      <c r="Q1100">
        <f>IF(COUNTIF($E1100, _xlfn.CONCAT("*",Table13[[#Headers],[Fantasy]],"*")),1,0)</f>
        <v>0</v>
      </c>
      <c r="R1100">
        <f>IF(COUNTIF($E1100, _xlfn.CONCAT("*",Table13[[#Headers],[History]],"*")),1,0)</f>
        <v>0</v>
      </c>
      <c r="S1100">
        <f>IF(COUNTIF($E1100, _xlfn.CONCAT("*",Table13[[#Headers],[Horror]],"*")),1,0)</f>
        <v>0</v>
      </c>
      <c r="T1100">
        <f>IF(COUNTIF($E1100, _xlfn.CONCAT("*",Table13[[#Headers],[Music]],"*")),1,0)</f>
        <v>0</v>
      </c>
      <c r="U1100">
        <f>IF(COUNTIF($E1100, _xlfn.CONCAT("*",Table13[[#Headers],[Mystery]],"*")),1,0)</f>
        <v>0</v>
      </c>
      <c r="V1100">
        <f>IF(COUNTIF($E1100, _xlfn.CONCAT("*",Table13[[#Headers],[Romance]],"*")),1,0)</f>
        <v>1</v>
      </c>
      <c r="W1100">
        <f>IF(COUNTIF($E1100, _xlfn.CONCAT("*",Table13[[#Headers],[Science Fiction]],"*")),1,0)</f>
        <v>0</v>
      </c>
      <c r="X1100">
        <f>IF(COUNTIF($E1100, _xlfn.CONCAT("*",Table13[[#Headers],[TV Movie]],"*")),1,0)</f>
        <v>0</v>
      </c>
      <c r="Y1100">
        <f>IF(COUNTIF($E1100, _xlfn.CONCAT("*",Table13[[#Headers],[Thriller]],"*")),1,0)</f>
        <v>0</v>
      </c>
      <c r="Z1100">
        <f>IF(COUNTIF($E1100, _xlfn.CONCAT("*",Table13[[#Headers],[War]],"*")),1,0)</f>
        <v>1</v>
      </c>
      <c r="AA1100">
        <f>IF(COUNTIF($E1100, _xlfn.CONCAT("*",Table13[[#Headers],[Western]],"*")),1,0)</f>
        <v>0</v>
      </c>
    </row>
    <row r="1101" spans="1:27">
      <c r="A1101" t="s">
        <v>1017</v>
      </c>
      <c r="B1101">
        <v>35</v>
      </c>
      <c r="C1101">
        <f>MAX(Table13[Rank])-Table13[[#This Row],[Rank]]</f>
        <v>229</v>
      </c>
      <c r="D1101" t="s">
        <v>994</v>
      </c>
      <c r="E1101" t="s">
        <v>21</v>
      </c>
      <c r="F1101" s="1">
        <v>41795</v>
      </c>
      <c r="G1101">
        <f>YEAR(Table13[[#This Row],[Date]])</f>
        <v>2014</v>
      </c>
      <c r="H1101" t="s">
        <v>1017</v>
      </c>
      <c r="I1101">
        <f>IF(COUNTIF($E1101, _xlfn.CONCAT("*",Table13[[#Headers],[Action]],"*")),1,0)</f>
        <v>0</v>
      </c>
      <c r="J1101">
        <f>IF(COUNTIF($E1101, _xlfn.CONCAT("*",Table13[[#Headers],[Adventure]],"*")),1,0)</f>
        <v>0</v>
      </c>
      <c r="K1101">
        <f>IF(COUNTIF($E1101, _xlfn.CONCAT("*",Table13[[#Headers],[Animation]],"*")),1,0)</f>
        <v>0</v>
      </c>
      <c r="L1101">
        <f>IF(COUNTIF($E1101, _xlfn.CONCAT("*",Table13[[#Headers],[Comedy]],"*")),1,0)</f>
        <v>0</v>
      </c>
      <c r="M1101">
        <f>IF(COUNTIF($E1101, _xlfn.CONCAT("*",Table13[[#Headers],[Crime]],"*")),1,0)</f>
        <v>0</v>
      </c>
      <c r="N1101">
        <f>IF(COUNTIF($E1101, _xlfn.CONCAT("*",Table13[[#Headers],[Documentary]],"*")),1,0)</f>
        <v>0</v>
      </c>
      <c r="O1101">
        <f>IF(COUNTIF($E1101, _xlfn.CONCAT("*",Table13[[#Headers],[Drama]],"*")),1,0)</f>
        <v>1</v>
      </c>
      <c r="P1101">
        <f>IF(COUNTIF($E1101, _xlfn.CONCAT("*",Table13[[#Headers],[Family]],"*")),1,0)</f>
        <v>0</v>
      </c>
      <c r="Q1101">
        <f>IF(COUNTIF($E1101, _xlfn.CONCAT("*",Table13[[#Headers],[Fantasy]],"*")),1,0)</f>
        <v>0</v>
      </c>
      <c r="R1101">
        <f>IF(COUNTIF($E1101, _xlfn.CONCAT("*",Table13[[#Headers],[History]],"*")),1,0)</f>
        <v>0</v>
      </c>
      <c r="S1101">
        <f>IF(COUNTIF($E1101, _xlfn.CONCAT("*",Table13[[#Headers],[Horror]],"*")),1,0)</f>
        <v>0</v>
      </c>
      <c r="T1101">
        <f>IF(COUNTIF($E1101, _xlfn.CONCAT("*",Table13[[#Headers],[Music]],"*")),1,0)</f>
        <v>0</v>
      </c>
      <c r="U1101">
        <f>IF(COUNTIF($E1101, _xlfn.CONCAT("*",Table13[[#Headers],[Mystery]],"*")),1,0)</f>
        <v>0</v>
      </c>
      <c r="V1101">
        <f>IF(COUNTIF($E1101, _xlfn.CONCAT("*",Table13[[#Headers],[Romance]],"*")),1,0)</f>
        <v>0</v>
      </c>
      <c r="W1101">
        <f>IF(COUNTIF($E1101, _xlfn.CONCAT("*",Table13[[#Headers],[Science Fiction]],"*")),1,0)</f>
        <v>0</v>
      </c>
      <c r="X1101">
        <f>IF(COUNTIF($E1101, _xlfn.CONCAT("*",Table13[[#Headers],[TV Movie]],"*")),1,0)</f>
        <v>0</v>
      </c>
      <c r="Y1101">
        <f>IF(COUNTIF($E1101, _xlfn.CONCAT("*",Table13[[#Headers],[Thriller]],"*")),1,0)</f>
        <v>0</v>
      </c>
      <c r="Z1101">
        <f>IF(COUNTIF($E1101, _xlfn.CONCAT("*",Table13[[#Headers],[War]],"*")),1,0)</f>
        <v>0</v>
      </c>
      <c r="AA1101">
        <f>IF(COUNTIF($E1101, _xlfn.CONCAT("*",Table13[[#Headers],[Western]],"*")),1,0)</f>
        <v>0</v>
      </c>
    </row>
    <row r="1102" spans="1:27">
      <c r="A1102" t="s">
        <v>376</v>
      </c>
      <c r="B1102">
        <v>34</v>
      </c>
      <c r="C1102">
        <f>MAX(Table13[Rank])-Table13[[#This Row],[Rank]]</f>
        <v>230</v>
      </c>
      <c r="D1102" t="s">
        <v>994</v>
      </c>
      <c r="E1102" t="s">
        <v>81</v>
      </c>
      <c r="F1102" s="1">
        <v>29082</v>
      </c>
      <c r="G1102">
        <f>YEAR(Table13[[#This Row],[Date]])</f>
        <v>1979</v>
      </c>
      <c r="H1102" t="s">
        <v>376</v>
      </c>
      <c r="I1102">
        <f>IF(COUNTIF($E1102, _xlfn.CONCAT("*",Table13[[#Headers],[Action]],"*")),1,0)</f>
        <v>0</v>
      </c>
      <c r="J1102">
        <f>IF(COUNTIF($E1102, _xlfn.CONCAT("*",Table13[[#Headers],[Adventure]],"*")),1,0)</f>
        <v>0</v>
      </c>
      <c r="K1102">
        <f>IF(COUNTIF($E1102, _xlfn.CONCAT("*",Table13[[#Headers],[Animation]],"*")),1,0)</f>
        <v>0</v>
      </c>
      <c r="L1102">
        <f>IF(COUNTIF($E1102, _xlfn.CONCAT("*",Table13[[#Headers],[Comedy]],"*")),1,0)</f>
        <v>0</v>
      </c>
      <c r="M1102">
        <f>IF(COUNTIF($E1102, _xlfn.CONCAT("*",Table13[[#Headers],[Crime]],"*")),1,0)</f>
        <v>0</v>
      </c>
      <c r="N1102">
        <f>IF(COUNTIF($E1102, _xlfn.CONCAT("*",Table13[[#Headers],[Documentary]],"*")),1,0)</f>
        <v>0</v>
      </c>
      <c r="O1102">
        <f>IF(COUNTIF($E1102, _xlfn.CONCAT("*",Table13[[#Headers],[Drama]],"*")),1,0)</f>
        <v>1</v>
      </c>
      <c r="P1102">
        <f>IF(COUNTIF($E1102, _xlfn.CONCAT("*",Table13[[#Headers],[Family]],"*")),1,0)</f>
        <v>0</v>
      </c>
      <c r="Q1102">
        <f>IF(COUNTIF($E1102, _xlfn.CONCAT("*",Table13[[#Headers],[Fantasy]],"*")),1,0)</f>
        <v>0</v>
      </c>
      <c r="R1102">
        <f>IF(COUNTIF($E1102, _xlfn.CONCAT("*",Table13[[#Headers],[History]],"*")),1,0)</f>
        <v>0</v>
      </c>
      <c r="S1102">
        <f>IF(COUNTIF($E1102, _xlfn.CONCAT("*",Table13[[#Headers],[Horror]],"*")),1,0)</f>
        <v>0</v>
      </c>
      <c r="T1102">
        <f>IF(COUNTIF($E1102, _xlfn.CONCAT("*",Table13[[#Headers],[Music]],"*")),1,0)</f>
        <v>0</v>
      </c>
      <c r="U1102">
        <f>IF(COUNTIF($E1102, _xlfn.CONCAT("*",Table13[[#Headers],[Mystery]],"*")),1,0)</f>
        <v>0</v>
      </c>
      <c r="V1102">
        <f>IF(COUNTIF($E1102, _xlfn.CONCAT("*",Table13[[#Headers],[Romance]],"*")),1,0)</f>
        <v>0</v>
      </c>
      <c r="W1102">
        <f>IF(COUNTIF($E1102, _xlfn.CONCAT("*",Table13[[#Headers],[Science Fiction]],"*")),1,0)</f>
        <v>0</v>
      </c>
      <c r="X1102">
        <f>IF(COUNTIF($E1102, _xlfn.CONCAT("*",Table13[[#Headers],[TV Movie]],"*")),1,0)</f>
        <v>0</v>
      </c>
      <c r="Y1102">
        <f>IF(COUNTIF($E1102, _xlfn.CONCAT("*",Table13[[#Headers],[Thriller]],"*")),1,0)</f>
        <v>0</v>
      </c>
      <c r="Z1102">
        <f>IF(COUNTIF($E1102, _xlfn.CONCAT("*",Table13[[#Headers],[War]],"*")),1,0)</f>
        <v>1</v>
      </c>
      <c r="AA1102">
        <f>IF(COUNTIF($E1102, _xlfn.CONCAT("*",Table13[[#Headers],[Western]],"*")),1,0)</f>
        <v>0</v>
      </c>
    </row>
    <row r="1103" spans="1:27">
      <c r="A1103" t="s">
        <v>1018</v>
      </c>
      <c r="B1103">
        <v>33</v>
      </c>
      <c r="C1103">
        <f>MAX(Table13[Rank])-Table13[[#This Row],[Rank]]</f>
        <v>231</v>
      </c>
      <c r="D1103" t="s">
        <v>994</v>
      </c>
      <c r="E1103" t="s">
        <v>1019</v>
      </c>
      <c r="F1103" s="1">
        <v>39621</v>
      </c>
      <c r="G1103">
        <f>YEAR(Table13[[#This Row],[Date]])</f>
        <v>2008</v>
      </c>
      <c r="H1103" t="s">
        <v>1018</v>
      </c>
      <c r="I1103">
        <f>IF(COUNTIF($E1103, _xlfn.CONCAT("*",Table13[[#Headers],[Action]],"*")),1,0)</f>
        <v>0</v>
      </c>
      <c r="J1103">
        <f>IF(COUNTIF($E1103, _xlfn.CONCAT("*",Table13[[#Headers],[Adventure]],"*")),1,0)</f>
        <v>0</v>
      </c>
      <c r="K1103">
        <f>IF(COUNTIF($E1103, _xlfn.CONCAT("*",Table13[[#Headers],[Animation]],"*")),1,0)</f>
        <v>1</v>
      </c>
      <c r="L1103">
        <f>IF(COUNTIF($E1103, _xlfn.CONCAT("*",Table13[[#Headers],[Comedy]],"*")),1,0)</f>
        <v>0</v>
      </c>
      <c r="M1103">
        <f>IF(COUNTIF($E1103, _xlfn.CONCAT("*",Table13[[#Headers],[Crime]],"*")),1,0)</f>
        <v>0</v>
      </c>
      <c r="N1103">
        <f>IF(COUNTIF($E1103, _xlfn.CONCAT("*",Table13[[#Headers],[Documentary]],"*")),1,0)</f>
        <v>0</v>
      </c>
      <c r="O1103">
        <f>IF(COUNTIF($E1103, _xlfn.CONCAT("*",Table13[[#Headers],[Drama]],"*")),1,0)</f>
        <v>0</v>
      </c>
      <c r="P1103">
        <f>IF(COUNTIF($E1103, _xlfn.CONCAT("*",Table13[[#Headers],[Family]],"*")),1,0)</f>
        <v>1</v>
      </c>
      <c r="Q1103">
        <f>IF(COUNTIF($E1103, _xlfn.CONCAT("*",Table13[[#Headers],[Fantasy]],"*")),1,0)</f>
        <v>0</v>
      </c>
      <c r="R1103">
        <f>IF(COUNTIF($E1103, _xlfn.CONCAT("*",Table13[[#Headers],[History]],"*")),1,0)</f>
        <v>0</v>
      </c>
      <c r="S1103">
        <f>IF(COUNTIF($E1103, _xlfn.CONCAT("*",Table13[[#Headers],[Horror]],"*")),1,0)</f>
        <v>0</v>
      </c>
      <c r="T1103">
        <f>IF(COUNTIF($E1103, _xlfn.CONCAT("*",Table13[[#Headers],[Music]],"*")),1,0)</f>
        <v>0</v>
      </c>
      <c r="U1103">
        <f>IF(COUNTIF($E1103, _xlfn.CONCAT("*",Table13[[#Headers],[Mystery]],"*")),1,0)</f>
        <v>0</v>
      </c>
      <c r="V1103">
        <f>IF(COUNTIF($E1103, _xlfn.CONCAT("*",Table13[[#Headers],[Romance]],"*")),1,0)</f>
        <v>0</v>
      </c>
      <c r="W1103">
        <f>IF(COUNTIF($E1103, _xlfn.CONCAT("*",Table13[[#Headers],[Science Fiction]],"*")),1,0)</f>
        <v>1</v>
      </c>
      <c r="X1103">
        <f>IF(COUNTIF($E1103, _xlfn.CONCAT("*",Table13[[#Headers],[TV Movie]],"*")),1,0)</f>
        <v>0</v>
      </c>
      <c r="Y1103">
        <f>IF(COUNTIF($E1103, _xlfn.CONCAT("*",Table13[[#Headers],[Thriller]],"*")),1,0)</f>
        <v>0</v>
      </c>
      <c r="Z1103">
        <f>IF(COUNTIF($E1103, _xlfn.CONCAT("*",Table13[[#Headers],[War]],"*")),1,0)</f>
        <v>0</v>
      </c>
      <c r="AA1103">
        <f>IF(COUNTIF($E1103, _xlfn.CONCAT("*",Table13[[#Headers],[Western]],"*")),1,0)</f>
        <v>0</v>
      </c>
    </row>
    <row r="1104" spans="1:27">
      <c r="A1104" t="s">
        <v>82</v>
      </c>
      <c r="B1104">
        <v>32</v>
      </c>
      <c r="C1104">
        <f>MAX(Table13[Rank])-Table13[[#This Row],[Rank]]</f>
        <v>232</v>
      </c>
      <c r="D1104" t="s">
        <v>994</v>
      </c>
      <c r="E1104" t="s">
        <v>83</v>
      </c>
      <c r="F1104" s="1">
        <v>25456</v>
      </c>
      <c r="G1104">
        <f>YEAR(Table13[[#This Row],[Date]])</f>
        <v>1969</v>
      </c>
      <c r="H1104" t="s">
        <v>82</v>
      </c>
      <c r="I1104">
        <f>IF(COUNTIF($E1104, _xlfn.CONCAT("*",Table13[[#Headers],[Action]],"*")),1,0)</f>
        <v>0</v>
      </c>
      <c r="J1104">
        <f>IF(COUNTIF($E1104, _xlfn.CONCAT("*",Table13[[#Headers],[Adventure]],"*")),1,0)</f>
        <v>0</v>
      </c>
      <c r="K1104">
        <f>IF(COUNTIF($E1104, _xlfn.CONCAT("*",Table13[[#Headers],[Animation]],"*")),1,0)</f>
        <v>0</v>
      </c>
      <c r="L1104">
        <f>IF(COUNTIF($E1104, _xlfn.CONCAT("*",Table13[[#Headers],[Comedy]],"*")),1,0)</f>
        <v>0</v>
      </c>
      <c r="M1104">
        <f>IF(COUNTIF($E1104, _xlfn.CONCAT("*",Table13[[#Headers],[Crime]],"*")),1,0)</f>
        <v>0</v>
      </c>
      <c r="N1104">
        <f>IF(COUNTIF($E1104, _xlfn.CONCAT("*",Table13[[#Headers],[Documentary]],"*")),1,0)</f>
        <v>0</v>
      </c>
      <c r="O1104">
        <f>IF(COUNTIF($E1104, _xlfn.CONCAT("*",Table13[[#Headers],[Drama]],"*")),1,0)</f>
        <v>1</v>
      </c>
      <c r="P1104">
        <f>IF(COUNTIF($E1104, _xlfn.CONCAT("*",Table13[[#Headers],[Family]],"*")),1,0)</f>
        <v>0</v>
      </c>
      <c r="Q1104">
        <f>IF(COUNTIF($E1104, _xlfn.CONCAT("*",Table13[[#Headers],[Fantasy]],"*")),1,0)</f>
        <v>0</v>
      </c>
      <c r="R1104">
        <f>IF(COUNTIF($E1104, _xlfn.CONCAT("*",Table13[[#Headers],[History]],"*")),1,0)</f>
        <v>0</v>
      </c>
      <c r="S1104">
        <f>IF(COUNTIF($E1104, _xlfn.CONCAT("*",Table13[[#Headers],[Horror]],"*")),1,0)</f>
        <v>0</v>
      </c>
      <c r="T1104">
        <f>IF(COUNTIF($E1104, _xlfn.CONCAT("*",Table13[[#Headers],[Music]],"*")),1,0)</f>
        <v>0</v>
      </c>
      <c r="U1104">
        <f>IF(COUNTIF($E1104, _xlfn.CONCAT("*",Table13[[#Headers],[Mystery]],"*")),1,0)</f>
        <v>0</v>
      </c>
      <c r="V1104">
        <f>IF(COUNTIF($E1104, _xlfn.CONCAT("*",Table13[[#Headers],[Romance]],"*")),1,0)</f>
        <v>0</v>
      </c>
      <c r="W1104">
        <f>IF(COUNTIF($E1104, _xlfn.CONCAT("*",Table13[[#Headers],[Science Fiction]],"*")),1,0)</f>
        <v>0</v>
      </c>
      <c r="X1104">
        <f>IF(COUNTIF($E1104, _xlfn.CONCAT("*",Table13[[#Headers],[TV Movie]],"*")),1,0)</f>
        <v>0</v>
      </c>
      <c r="Y1104">
        <f>IF(COUNTIF($E1104, _xlfn.CONCAT("*",Table13[[#Headers],[Thriller]],"*")),1,0)</f>
        <v>1</v>
      </c>
      <c r="Z1104">
        <f>IF(COUNTIF($E1104, _xlfn.CONCAT("*",Table13[[#Headers],[War]],"*")),1,0)</f>
        <v>1</v>
      </c>
      <c r="AA1104">
        <f>IF(COUNTIF($E1104, _xlfn.CONCAT("*",Table13[[#Headers],[Western]],"*")),1,0)</f>
        <v>0</v>
      </c>
    </row>
    <row r="1105" spans="1:27">
      <c r="A1105" t="s">
        <v>278</v>
      </c>
      <c r="B1105">
        <v>31</v>
      </c>
      <c r="C1105">
        <f>MAX(Table13[Rank])-Table13[[#This Row],[Rank]]</f>
        <v>233</v>
      </c>
      <c r="D1105" t="s">
        <v>994</v>
      </c>
      <c r="E1105" t="s">
        <v>21</v>
      </c>
      <c r="F1105" s="1">
        <v>23098</v>
      </c>
      <c r="G1105">
        <f>YEAR(Table13[[#This Row],[Date]])</f>
        <v>1963</v>
      </c>
      <c r="H1105" t="s">
        <v>278</v>
      </c>
      <c r="I1105">
        <f>IF(COUNTIF($E1105, _xlfn.CONCAT("*",Table13[[#Headers],[Action]],"*")),1,0)</f>
        <v>0</v>
      </c>
      <c r="J1105">
        <f>IF(COUNTIF($E1105, _xlfn.CONCAT("*",Table13[[#Headers],[Adventure]],"*")),1,0)</f>
        <v>0</v>
      </c>
      <c r="K1105">
        <f>IF(COUNTIF($E1105, _xlfn.CONCAT("*",Table13[[#Headers],[Animation]],"*")),1,0)</f>
        <v>0</v>
      </c>
      <c r="L1105">
        <f>IF(COUNTIF($E1105, _xlfn.CONCAT("*",Table13[[#Headers],[Comedy]],"*")),1,0)</f>
        <v>0</v>
      </c>
      <c r="M1105">
        <f>IF(COUNTIF($E1105, _xlfn.CONCAT("*",Table13[[#Headers],[Crime]],"*")),1,0)</f>
        <v>0</v>
      </c>
      <c r="N1105">
        <f>IF(COUNTIF($E1105, _xlfn.CONCAT("*",Table13[[#Headers],[Documentary]],"*")),1,0)</f>
        <v>0</v>
      </c>
      <c r="O1105">
        <f>IF(COUNTIF($E1105, _xlfn.CONCAT("*",Table13[[#Headers],[Drama]],"*")),1,0)</f>
        <v>1</v>
      </c>
      <c r="P1105">
        <f>IF(COUNTIF($E1105, _xlfn.CONCAT("*",Table13[[#Headers],[Family]],"*")),1,0)</f>
        <v>0</v>
      </c>
      <c r="Q1105">
        <f>IF(COUNTIF($E1105, _xlfn.CONCAT("*",Table13[[#Headers],[Fantasy]],"*")),1,0)</f>
        <v>0</v>
      </c>
      <c r="R1105">
        <f>IF(COUNTIF($E1105, _xlfn.CONCAT("*",Table13[[#Headers],[History]],"*")),1,0)</f>
        <v>0</v>
      </c>
      <c r="S1105">
        <f>IF(COUNTIF($E1105, _xlfn.CONCAT("*",Table13[[#Headers],[Horror]],"*")),1,0)</f>
        <v>0</v>
      </c>
      <c r="T1105">
        <f>IF(COUNTIF($E1105, _xlfn.CONCAT("*",Table13[[#Headers],[Music]],"*")),1,0)</f>
        <v>0</v>
      </c>
      <c r="U1105">
        <f>IF(COUNTIF($E1105, _xlfn.CONCAT("*",Table13[[#Headers],[Mystery]],"*")),1,0)</f>
        <v>0</v>
      </c>
      <c r="V1105">
        <f>IF(COUNTIF($E1105, _xlfn.CONCAT("*",Table13[[#Headers],[Romance]],"*")),1,0)</f>
        <v>0</v>
      </c>
      <c r="W1105">
        <f>IF(COUNTIF($E1105, _xlfn.CONCAT("*",Table13[[#Headers],[Science Fiction]],"*")),1,0)</f>
        <v>0</v>
      </c>
      <c r="X1105">
        <f>IF(COUNTIF($E1105, _xlfn.CONCAT("*",Table13[[#Headers],[TV Movie]],"*")),1,0)</f>
        <v>0</v>
      </c>
      <c r="Y1105">
        <f>IF(COUNTIF($E1105, _xlfn.CONCAT("*",Table13[[#Headers],[Thriller]],"*")),1,0)</f>
        <v>0</v>
      </c>
      <c r="Z1105">
        <f>IF(COUNTIF($E1105, _xlfn.CONCAT("*",Table13[[#Headers],[War]],"*")),1,0)</f>
        <v>0</v>
      </c>
      <c r="AA1105">
        <f>IF(COUNTIF($E1105, _xlfn.CONCAT("*",Table13[[#Headers],[Western]],"*")),1,0)</f>
        <v>0</v>
      </c>
    </row>
    <row r="1106" spans="1:27">
      <c r="A1106" t="s">
        <v>906</v>
      </c>
      <c r="B1106">
        <v>30</v>
      </c>
      <c r="C1106">
        <f>MAX(Table13[Rank])-Table13[[#This Row],[Rank]]</f>
        <v>234</v>
      </c>
      <c r="D1106" t="s">
        <v>994</v>
      </c>
      <c r="E1106" t="s">
        <v>21</v>
      </c>
      <c r="F1106" s="1">
        <v>21005</v>
      </c>
      <c r="G1106">
        <f>YEAR(Table13[[#This Row],[Date]])</f>
        <v>1957</v>
      </c>
      <c r="H1106" t="s">
        <v>906</v>
      </c>
      <c r="I1106">
        <f>IF(COUNTIF($E1106, _xlfn.CONCAT("*",Table13[[#Headers],[Action]],"*")),1,0)</f>
        <v>0</v>
      </c>
      <c r="J1106">
        <f>IF(COUNTIF($E1106, _xlfn.CONCAT("*",Table13[[#Headers],[Adventure]],"*")),1,0)</f>
        <v>0</v>
      </c>
      <c r="K1106">
        <f>IF(COUNTIF($E1106, _xlfn.CONCAT("*",Table13[[#Headers],[Animation]],"*")),1,0)</f>
        <v>0</v>
      </c>
      <c r="L1106">
        <f>IF(COUNTIF($E1106, _xlfn.CONCAT("*",Table13[[#Headers],[Comedy]],"*")),1,0)</f>
        <v>0</v>
      </c>
      <c r="M1106">
        <f>IF(COUNTIF($E1106, _xlfn.CONCAT("*",Table13[[#Headers],[Crime]],"*")),1,0)</f>
        <v>0</v>
      </c>
      <c r="N1106">
        <f>IF(COUNTIF($E1106, _xlfn.CONCAT("*",Table13[[#Headers],[Documentary]],"*")),1,0)</f>
        <v>0</v>
      </c>
      <c r="O1106">
        <f>IF(COUNTIF($E1106, _xlfn.CONCAT("*",Table13[[#Headers],[Drama]],"*")),1,0)</f>
        <v>1</v>
      </c>
      <c r="P1106">
        <f>IF(COUNTIF($E1106, _xlfn.CONCAT("*",Table13[[#Headers],[Family]],"*")),1,0)</f>
        <v>0</v>
      </c>
      <c r="Q1106">
        <f>IF(COUNTIF($E1106, _xlfn.CONCAT("*",Table13[[#Headers],[Fantasy]],"*")),1,0)</f>
        <v>0</v>
      </c>
      <c r="R1106">
        <f>IF(COUNTIF($E1106, _xlfn.CONCAT("*",Table13[[#Headers],[History]],"*")),1,0)</f>
        <v>0</v>
      </c>
      <c r="S1106">
        <f>IF(COUNTIF($E1106, _xlfn.CONCAT("*",Table13[[#Headers],[Horror]],"*")),1,0)</f>
        <v>0</v>
      </c>
      <c r="T1106">
        <f>IF(COUNTIF($E1106, _xlfn.CONCAT("*",Table13[[#Headers],[Music]],"*")),1,0)</f>
        <v>0</v>
      </c>
      <c r="U1106">
        <f>IF(COUNTIF($E1106, _xlfn.CONCAT("*",Table13[[#Headers],[Mystery]],"*")),1,0)</f>
        <v>0</v>
      </c>
      <c r="V1106">
        <f>IF(COUNTIF($E1106, _xlfn.CONCAT("*",Table13[[#Headers],[Romance]],"*")),1,0)</f>
        <v>0</v>
      </c>
      <c r="W1106">
        <f>IF(COUNTIF($E1106, _xlfn.CONCAT("*",Table13[[#Headers],[Science Fiction]],"*")),1,0)</f>
        <v>0</v>
      </c>
      <c r="X1106">
        <f>IF(COUNTIF($E1106, _xlfn.CONCAT("*",Table13[[#Headers],[TV Movie]],"*")),1,0)</f>
        <v>0</v>
      </c>
      <c r="Y1106">
        <f>IF(COUNTIF($E1106, _xlfn.CONCAT("*",Table13[[#Headers],[Thriller]],"*")),1,0)</f>
        <v>0</v>
      </c>
      <c r="Z1106">
        <f>IF(COUNTIF($E1106, _xlfn.CONCAT("*",Table13[[#Headers],[War]],"*")),1,0)</f>
        <v>0</v>
      </c>
      <c r="AA1106">
        <f>IF(COUNTIF($E1106, _xlfn.CONCAT("*",Table13[[#Headers],[Western]],"*")),1,0)</f>
        <v>0</v>
      </c>
    </row>
    <row r="1107" spans="1:27">
      <c r="A1107" t="s">
        <v>868</v>
      </c>
      <c r="B1107">
        <v>29</v>
      </c>
      <c r="C1107">
        <f>MAX(Table13[Rank])-Table13[[#This Row],[Rank]]</f>
        <v>235</v>
      </c>
      <c r="D1107" t="s">
        <v>994</v>
      </c>
      <c r="E1107" t="s">
        <v>869</v>
      </c>
      <c r="F1107" s="1">
        <v>17547</v>
      </c>
      <c r="G1107">
        <f>YEAR(Table13[[#This Row],[Date]])</f>
        <v>1948</v>
      </c>
      <c r="H1107" t="s">
        <v>868</v>
      </c>
      <c r="I1107">
        <f>IF(COUNTIF($E1107, _xlfn.CONCAT("*",Table13[[#Headers],[Action]],"*")),1,0)</f>
        <v>0</v>
      </c>
      <c r="J1107">
        <f>IF(COUNTIF($E1107, _xlfn.CONCAT("*",Table13[[#Headers],[Adventure]],"*")),1,0)</f>
        <v>1</v>
      </c>
      <c r="K1107">
        <f>IF(COUNTIF($E1107, _xlfn.CONCAT("*",Table13[[#Headers],[Animation]],"*")),1,0)</f>
        <v>0</v>
      </c>
      <c r="L1107">
        <f>IF(COUNTIF($E1107, _xlfn.CONCAT("*",Table13[[#Headers],[Comedy]],"*")),1,0)</f>
        <v>0</v>
      </c>
      <c r="M1107">
        <f>IF(COUNTIF($E1107, _xlfn.CONCAT("*",Table13[[#Headers],[Crime]],"*")),1,0)</f>
        <v>0</v>
      </c>
      <c r="N1107">
        <f>IF(COUNTIF($E1107, _xlfn.CONCAT("*",Table13[[#Headers],[Documentary]],"*")),1,0)</f>
        <v>0</v>
      </c>
      <c r="O1107">
        <f>IF(COUNTIF($E1107, _xlfn.CONCAT("*",Table13[[#Headers],[Drama]],"*")),1,0)</f>
        <v>1</v>
      </c>
      <c r="P1107">
        <f>IF(COUNTIF($E1107, _xlfn.CONCAT("*",Table13[[#Headers],[Family]],"*")),1,0)</f>
        <v>0</v>
      </c>
      <c r="Q1107">
        <f>IF(COUNTIF($E1107, _xlfn.CONCAT("*",Table13[[#Headers],[Fantasy]],"*")),1,0)</f>
        <v>0</v>
      </c>
      <c r="R1107">
        <f>IF(COUNTIF($E1107, _xlfn.CONCAT("*",Table13[[#Headers],[History]],"*")),1,0)</f>
        <v>0</v>
      </c>
      <c r="S1107">
        <f>IF(COUNTIF($E1107, _xlfn.CONCAT("*",Table13[[#Headers],[Horror]],"*")),1,0)</f>
        <v>0</v>
      </c>
      <c r="T1107">
        <f>IF(COUNTIF($E1107, _xlfn.CONCAT("*",Table13[[#Headers],[Music]],"*")),1,0)</f>
        <v>0</v>
      </c>
      <c r="U1107">
        <f>IF(COUNTIF($E1107, _xlfn.CONCAT("*",Table13[[#Headers],[Mystery]],"*")),1,0)</f>
        <v>0</v>
      </c>
      <c r="V1107">
        <f>IF(COUNTIF($E1107, _xlfn.CONCAT("*",Table13[[#Headers],[Romance]],"*")),1,0)</f>
        <v>0</v>
      </c>
      <c r="W1107">
        <f>IF(COUNTIF($E1107, _xlfn.CONCAT("*",Table13[[#Headers],[Science Fiction]],"*")),1,0)</f>
        <v>0</v>
      </c>
      <c r="X1107">
        <f>IF(COUNTIF($E1107, _xlfn.CONCAT("*",Table13[[#Headers],[TV Movie]],"*")),1,0)</f>
        <v>0</v>
      </c>
      <c r="Y1107">
        <f>IF(COUNTIF($E1107, _xlfn.CONCAT("*",Table13[[#Headers],[Thriller]],"*")),1,0)</f>
        <v>0</v>
      </c>
      <c r="Z1107">
        <f>IF(COUNTIF($E1107, _xlfn.CONCAT("*",Table13[[#Headers],[War]],"*")),1,0)</f>
        <v>0</v>
      </c>
      <c r="AA1107">
        <f>IF(COUNTIF($E1107, _xlfn.CONCAT("*",Table13[[#Headers],[Western]],"*")),1,0)</f>
        <v>1</v>
      </c>
    </row>
    <row r="1108" spans="1:27">
      <c r="A1108" t="s">
        <v>75</v>
      </c>
      <c r="B1108">
        <v>28</v>
      </c>
      <c r="C1108">
        <f>MAX(Table13[Rank])-Table13[[#This Row],[Rank]]</f>
        <v>236</v>
      </c>
      <c r="D1108" t="s">
        <v>994</v>
      </c>
      <c r="E1108" t="s">
        <v>21</v>
      </c>
      <c r="F1108" s="1">
        <v>18576</v>
      </c>
      <c r="G1108">
        <f>YEAR(Table13[[#This Row],[Date]])</f>
        <v>1950</v>
      </c>
      <c r="H1108" t="s">
        <v>75</v>
      </c>
      <c r="I1108">
        <f>IF(COUNTIF($E1108, _xlfn.CONCAT("*",Table13[[#Headers],[Action]],"*")),1,0)</f>
        <v>0</v>
      </c>
      <c r="J1108">
        <f>IF(COUNTIF($E1108, _xlfn.CONCAT("*",Table13[[#Headers],[Adventure]],"*")),1,0)</f>
        <v>0</v>
      </c>
      <c r="K1108">
        <f>IF(COUNTIF($E1108, _xlfn.CONCAT("*",Table13[[#Headers],[Animation]],"*")),1,0)</f>
        <v>0</v>
      </c>
      <c r="L1108">
        <f>IF(COUNTIF($E1108, _xlfn.CONCAT("*",Table13[[#Headers],[Comedy]],"*")),1,0)</f>
        <v>0</v>
      </c>
      <c r="M1108">
        <f>IF(COUNTIF($E1108, _xlfn.CONCAT("*",Table13[[#Headers],[Crime]],"*")),1,0)</f>
        <v>0</v>
      </c>
      <c r="N1108">
        <f>IF(COUNTIF($E1108, _xlfn.CONCAT("*",Table13[[#Headers],[Documentary]],"*")),1,0)</f>
        <v>0</v>
      </c>
      <c r="O1108">
        <f>IF(COUNTIF($E1108, _xlfn.CONCAT("*",Table13[[#Headers],[Drama]],"*")),1,0)</f>
        <v>1</v>
      </c>
      <c r="P1108">
        <f>IF(COUNTIF($E1108, _xlfn.CONCAT("*",Table13[[#Headers],[Family]],"*")),1,0)</f>
        <v>0</v>
      </c>
      <c r="Q1108">
        <f>IF(COUNTIF($E1108, _xlfn.CONCAT("*",Table13[[#Headers],[Fantasy]],"*")),1,0)</f>
        <v>0</v>
      </c>
      <c r="R1108">
        <f>IF(COUNTIF($E1108, _xlfn.CONCAT("*",Table13[[#Headers],[History]],"*")),1,0)</f>
        <v>0</v>
      </c>
      <c r="S1108">
        <f>IF(COUNTIF($E1108, _xlfn.CONCAT("*",Table13[[#Headers],[Horror]],"*")),1,0)</f>
        <v>0</v>
      </c>
      <c r="T1108">
        <f>IF(COUNTIF($E1108, _xlfn.CONCAT("*",Table13[[#Headers],[Music]],"*")),1,0)</f>
        <v>0</v>
      </c>
      <c r="U1108">
        <f>IF(COUNTIF($E1108, _xlfn.CONCAT("*",Table13[[#Headers],[Mystery]],"*")),1,0)</f>
        <v>0</v>
      </c>
      <c r="V1108">
        <f>IF(COUNTIF($E1108, _xlfn.CONCAT("*",Table13[[#Headers],[Romance]],"*")),1,0)</f>
        <v>0</v>
      </c>
      <c r="W1108">
        <f>IF(COUNTIF($E1108, _xlfn.CONCAT("*",Table13[[#Headers],[Science Fiction]],"*")),1,0)</f>
        <v>0</v>
      </c>
      <c r="X1108">
        <f>IF(COUNTIF($E1108, _xlfn.CONCAT("*",Table13[[#Headers],[TV Movie]],"*")),1,0)</f>
        <v>0</v>
      </c>
      <c r="Y1108">
        <f>IF(COUNTIF($E1108, _xlfn.CONCAT("*",Table13[[#Headers],[Thriller]],"*")),1,0)</f>
        <v>0</v>
      </c>
      <c r="Z1108">
        <f>IF(COUNTIF($E1108, _xlfn.CONCAT("*",Table13[[#Headers],[War]],"*")),1,0)</f>
        <v>0</v>
      </c>
      <c r="AA1108">
        <f>IF(COUNTIF($E1108, _xlfn.CONCAT("*",Table13[[#Headers],[Western]],"*")),1,0)</f>
        <v>0</v>
      </c>
    </row>
    <row r="1109" spans="1:27">
      <c r="A1109" t="s">
        <v>344</v>
      </c>
      <c r="B1109">
        <v>27</v>
      </c>
      <c r="C1109">
        <f>MAX(Table13[Rank])-Table13[[#This Row],[Rank]]</f>
        <v>237</v>
      </c>
      <c r="D1109" t="s">
        <v>994</v>
      </c>
      <c r="E1109" t="s">
        <v>345</v>
      </c>
      <c r="F1109" s="1">
        <v>18501</v>
      </c>
      <c r="G1109">
        <f>YEAR(Table13[[#This Row],[Date]])</f>
        <v>1950</v>
      </c>
      <c r="H1109" t="s">
        <v>344</v>
      </c>
      <c r="I1109">
        <f>IF(COUNTIF($E1109, _xlfn.CONCAT("*",Table13[[#Headers],[Action]],"*")),1,0)</f>
        <v>0</v>
      </c>
      <c r="J1109">
        <f>IF(COUNTIF($E1109, _xlfn.CONCAT("*",Table13[[#Headers],[Adventure]],"*")),1,0)</f>
        <v>0</v>
      </c>
      <c r="K1109">
        <f>IF(COUNTIF($E1109, _xlfn.CONCAT("*",Table13[[#Headers],[Animation]],"*")),1,0)</f>
        <v>0</v>
      </c>
      <c r="L1109">
        <f>IF(COUNTIF($E1109, _xlfn.CONCAT("*",Table13[[#Headers],[Comedy]],"*")),1,0)</f>
        <v>0</v>
      </c>
      <c r="M1109">
        <f>IF(COUNTIF($E1109, _xlfn.CONCAT("*",Table13[[#Headers],[Crime]],"*")),1,0)</f>
        <v>1</v>
      </c>
      <c r="N1109">
        <f>IF(COUNTIF($E1109, _xlfn.CONCAT("*",Table13[[#Headers],[Documentary]],"*")),1,0)</f>
        <v>0</v>
      </c>
      <c r="O1109">
        <f>IF(COUNTIF($E1109, _xlfn.CONCAT("*",Table13[[#Headers],[Drama]],"*")),1,0)</f>
        <v>1</v>
      </c>
      <c r="P1109">
        <f>IF(COUNTIF($E1109, _xlfn.CONCAT("*",Table13[[#Headers],[Family]],"*")),1,0)</f>
        <v>0</v>
      </c>
      <c r="Q1109">
        <f>IF(COUNTIF($E1109, _xlfn.CONCAT("*",Table13[[#Headers],[Fantasy]],"*")),1,0)</f>
        <v>0</v>
      </c>
      <c r="R1109">
        <f>IF(COUNTIF($E1109, _xlfn.CONCAT("*",Table13[[#Headers],[History]],"*")),1,0)</f>
        <v>0</v>
      </c>
      <c r="S1109">
        <f>IF(COUNTIF($E1109, _xlfn.CONCAT("*",Table13[[#Headers],[Horror]],"*")),1,0)</f>
        <v>0</v>
      </c>
      <c r="T1109">
        <f>IF(COUNTIF($E1109, _xlfn.CONCAT("*",Table13[[#Headers],[Music]],"*")),1,0)</f>
        <v>0</v>
      </c>
      <c r="U1109">
        <f>IF(COUNTIF($E1109, _xlfn.CONCAT("*",Table13[[#Headers],[Mystery]],"*")),1,0)</f>
        <v>1</v>
      </c>
      <c r="V1109">
        <f>IF(COUNTIF($E1109, _xlfn.CONCAT("*",Table13[[#Headers],[Romance]],"*")),1,0)</f>
        <v>0</v>
      </c>
      <c r="W1109">
        <f>IF(COUNTIF($E1109, _xlfn.CONCAT("*",Table13[[#Headers],[Science Fiction]],"*")),1,0)</f>
        <v>0</v>
      </c>
      <c r="X1109">
        <f>IF(COUNTIF($E1109, _xlfn.CONCAT("*",Table13[[#Headers],[TV Movie]],"*")),1,0)</f>
        <v>0</v>
      </c>
      <c r="Y1109">
        <f>IF(COUNTIF($E1109, _xlfn.CONCAT("*",Table13[[#Headers],[Thriller]],"*")),1,0)</f>
        <v>0</v>
      </c>
      <c r="Z1109">
        <f>IF(COUNTIF($E1109, _xlfn.CONCAT("*",Table13[[#Headers],[War]],"*")),1,0)</f>
        <v>0</v>
      </c>
      <c r="AA1109">
        <f>IF(COUNTIF($E1109, _xlfn.CONCAT("*",Table13[[#Headers],[Western]],"*")),1,0)</f>
        <v>0</v>
      </c>
    </row>
    <row r="1110" spans="1:27">
      <c r="A1110" t="s">
        <v>349</v>
      </c>
      <c r="B1110">
        <v>26</v>
      </c>
      <c r="C1110">
        <f>MAX(Table13[Rank])-Table13[[#This Row],[Rank]]</f>
        <v>238</v>
      </c>
      <c r="D1110" t="s">
        <v>994</v>
      </c>
      <c r="E1110" t="s">
        <v>350</v>
      </c>
      <c r="F1110" s="1">
        <v>21628</v>
      </c>
      <c r="G1110">
        <f>YEAR(Table13[[#This Row],[Date]])</f>
        <v>1959</v>
      </c>
      <c r="H1110" t="s">
        <v>349</v>
      </c>
      <c r="I1110">
        <f>IF(COUNTIF($E1110, _xlfn.CONCAT("*",Table13[[#Headers],[Action]],"*")),1,0)</f>
        <v>0</v>
      </c>
      <c r="J1110">
        <f>IF(COUNTIF($E1110, _xlfn.CONCAT("*",Table13[[#Headers],[Adventure]],"*")),1,0)</f>
        <v>0</v>
      </c>
      <c r="K1110">
        <f>IF(COUNTIF($E1110, _xlfn.CONCAT("*",Table13[[#Headers],[Animation]],"*")),1,0)</f>
        <v>0</v>
      </c>
      <c r="L1110">
        <f>IF(COUNTIF($E1110, _xlfn.CONCAT("*",Table13[[#Headers],[Comedy]],"*")),1,0)</f>
        <v>1</v>
      </c>
      <c r="M1110">
        <f>IF(COUNTIF($E1110, _xlfn.CONCAT("*",Table13[[#Headers],[Crime]],"*")),1,0)</f>
        <v>1</v>
      </c>
      <c r="N1110">
        <f>IF(COUNTIF($E1110, _xlfn.CONCAT("*",Table13[[#Headers],[Documentary]],"*")),1,0)</f>
        <v>0</v>
      </c>
      <c r="O1110">
        <f>IF(COUNTIF($E1110, _xlfn.CONCAT("*",Table13[[#Headers],[Drama]],"*")),1,0)</f>
        <v>0</v>
      </c>
      <c r="P1110">
        <f>IF(COUNTIF($E1110, _xlfn.CONCAT("*",Table13[[#Headers],[Family]],"*")),1,0)</f>
        <v>0</v>
      </c>
      <c r="Q1110">
        <f>IF(COUNTIF($E1110, _xlfn.CONCAT("*",Table13[[#Headers],[Fantasy]],"*")),1,0)</f>
        <v>0</v>
      </c>
      <c r="R1110">
        <f>IF(COUNTIF($E1110, _xlfn.CONCAT("*",Table13[[#Headers],[History]],"*")),1,0)</f>
        <v>0</v>
      </c>
      <c r="S1110">
        <f>IF(COUNTIF($E1110, _xlfn.CONCAT("*",Table13[[#Headers],[Horror]],"*")),1,0)</f>
        <v>0</v>
      </c>
      <c r="T1110">
        <f>IF(COUNTIF($E1110, _xlfn.CONCAT("*",Table13[[#Headers],[Music]],"*")),1,0)</f>
        <v>0</v>
      </c>
      <c r="U1110">
        <f>IF(COUNTIF($E1110, _xlfn.CONCAT("*",Table13[[#Headers],[Mystery]],"*")),1,0)</f>
        <v>0</v>
      </c>
      <c r="V1110">
        <f>IF(COUNTIF($E1110, _xlfn.CONCAT("*",Table13[[#Headers],[Romance]],"*")),1,0)</f>
        <v>1</v>
      </c>
      <c r="W1110">
        <f>IF(COUNTIF($E1110, _xlfn.CONCAT("*",Table13[[#Headers],[Science Fiction]],"*")),1,0)</f>
        <v>0</v>
      </c>
      <c r="X1110">
        <f>IF(COUNTIF($E1110, _xlfn.CONCAT("*",Table13[[#Headers],[TV Movie]],"*")),1,0)</f>
        <v>0</v>
      </c>
      <c r="Y1110">
        <f>IF(COUNTIF($E1110, _xlfn.CONCAT("*",Table13[[#Headers],[Thriller]],"*")),1,0)</f>
        <v>0</v>
      </c>
      <c r="Z1110">
        <f>IF(COUNTIF($E1110, _xlfn.CONCAT("*",Table13[[#Headers],[War]],"*")),1,0)</f>
        <v>0</v>
      </c>
      <c r="AA1110">
        <f>IF(COUNTIF($E1110, _xlfn.CONCAT("*",Table13[[#Headers],[Western]],"*")),1,0)</f>
        <v>0</v>
      </c>
    </row>
    <row r="1111" spans="1:27">
      <c r="A1111" t="s">
        <v>748</v>
      </c>
      <c r="B1111">
        <v>25</v>
      </c>
      <c r="C1111">
        <f>MAX(Table13[Rank])-Table13[[#This Row],[Rank]]</f>
        <v>239</v>
      </c>
      <c r="D1111" t="s">
        <v>994</v>
      </c>
      <c r="E1111" t="s">
        <v>438</v>
      </c>
      <c r="F1111" s="1">
        <v>39000</v>
      </c>
      <c r="G1111">
        <f>YEAR(Table13[[#This Row],[Date]])</f>
        <v>2006</v>
      </c>
      <c r="H1111" t="s">
        <v>748</v>
      </c>
      <c r="I1111">
        <f>IF(COUNTIF($E1111, _xlfn.CONCAT("*",Table13[[#Headers],[Action]],"*")),1,0)</f>
        <v>0</v>
      </c>
      <c r="J1111">
        <f>IF(COUNTIF($E1111, _xlfn.CONCAT("*",Table13[[#Headers],[Adventure]],"*")),1,0)</f>
        <v>0</v>
      </c>
      <c r="K1111">
        <f>IF(COUNTIF($E1111, _xlfn.CONCAT("*",Table13[[#Headers],[Animation]],"*")),1,0)</f>
        <v>0</v>
      </c>
      <c r="L1111">
        <f>IF(COUNTIF($E1111, _xlfn.CONCAT("*",Table13[[#Headers],[Comedy]],"*")),1,0)</f>
        <v>0</v>
      </c>
      <c r="M1111">
        <f>IF(COUNTIF($E1111, _xlfn.CONCAT("*",Table13[[#Headers],[Crime]],"*")),1,0)</f>
        <v>0</v>
      </c>
      <c r="N1111">
        <f>IF(COUNTIF($E1111, _xlfn.CONCAT("*",Table13[[#Headers],[Documentary]],"*")),1,0)</f>
        <v>0</v>
      </c>
      <c r="O1111">
        <f>IF(COUNTIF($E1111, _xlfn.CONCAT("*",Table13[[#Headers],[Drama]],"*")),1,0)</f>
        <v>1</v>
      </c>
      <c r="P1111">
        <f>IF(COUNTIF($E1111, _xlfn.CONCAT("*",Table13[[#Headers],[Family]],"*")),1,0)</f>
        <v>0</v>
      </c>
      <c r="Q1111">
        <f>IF(COUNTIF($E1111, _xlfn.CONCAT("*",Table13[[#Headers],[Fantasy]],"*")),1,0)</f>
        <v>1</v>
      </c>
      <c r="R1111">
        <f>IF(COUNTIF($E1111, _xlfn.CONCAT("*",Table13[[#Headers],[History]],"*")),1,0)</f>
        <v>0</v>
      </c>
      <c r="S1111">
        <f>IF(COUNTIF($E1111, _xlfn.CONCAT("*",Table13[[#Headers],[Horror]],"*")),1,0)</f>
        <v>0</v>
      </c>
      <c r="T1111">
        <f>IF(COUNTIF($E1111, _xlfn.CONCAT("*",Table13[[#Headers],[Music]],"*")),1,0)</f>
        <v>0</v>
      </c>
      <c r="U1111">
        <f>IF(COUNTIF($E1111, _xlfn.CONCAT("*",Table13[[#Headers],[Mystery]],"*")),1,0)</f>
        <v>0</v>
      </c>
      <c r="V1111">
        <f>IF(COUNTIF($E1111, _xlfn.CONCAT("*",Table13[[#Headers],[Romance]],"*")),1,0)</f>
        <v>0</v>
      </c>
      <c r="W1111">
        <f>IF(COUNTIF($E1111, _xlfn.CONCAT("*",Table13[[#Headers],[Science Fiction]],"*")),1,0)</f>
        <v>0</v>
      </c>
      <c r="X1111">
        <f>IF(COUNTIF($E1111, _xlfn.CONCAT("*",Table13[[#Headers],[TV Movie]],"*")),1,0)</f>
        <v>0</v>
      </c>
      <c r="Y1111">
        <f>IF(COUNTIF($E1111, _xlfn.CONCAT("*",Table13[[#Headers],[Thriller]],"*")),1,0)</f>
        <v>0</v>
      </c>
      <c r="Z1111">
        <f>IF(COUNTIF($E1111, _xlfn.CONCAT("*",Table13[[#Headers],[War]],"*")),1,0)</f>
        <v>1</v>
      </c>
      <c r="AA1111">
        <f>IF(COUNTIF($E1111, _xlfn.CONCAT("*",Table13[[#Headers],[Western]],"*")),1,0)</f>
        <v>0</v>
      </c>
    </row>
    <row r="1112" spans="1:27">
      <c r="A1112" t="s">
        <v>678</v>
      </c>
      <c r="B1112">
        <v>24</v>
      </c>
      <c r="C1112">
        <f>MAX(Table13[Rank])-Table13[[#This Row],[Rank]]</f>
        <v>240</v>
      </c>
      <c r="D1112" t="s">
        <v>994</v>
      </c>
      <c r="E1112" t="s">
        <v>166</v>
      </c>
      <c r="F1112" s="1">
        <v>27383</v>
      </c>
      <c r="G1112">
        <f>YEAR(Table13[[#This Row],[Date]])</f>
        <v>1974</v>
      </c>
      <c r="H1112" t="s">
        <v>257</v>
      </c>
      <c r="I1112">
        <f>IF(COUNTIF($E1112, _xlfn.CONCAT("*",Table13[[#Headers],[Action]],"*")),1,0)</f>
        <v>0</v>
      </c>
      <c r="J1112">
        <f>IF(COUNTIF($E1112, _xlfn.CONCAT("*",Table13[[#Headers],[Adventure]],"*")),1,0)</f>
        <v>0</v>
      </c>
      <c r="K1112">
        <f>IF(COUNTIF($E1112, _xlfn.CONCAT("*",Table13[[#Headers],[Animation]],"*")),1,0)</f>
        <v>0</v>
      </c>
      <c r="L1112">
        <f>IF(COUNTIF($E1112, _xlfn.CONCAT("*",Table13[[#Headers],[Comedy]],"*")),1,0)</f>
        <v>0</v>
      </c>
      <c r="M1112">
        <f>IF(COUNTIF($E1112, _xlfn.CONCAT("*",Table13[[#Headers],[Crime]],"*")),1,0)</f>
        <v>1</v>
      </c>
      <c r="N1112">
        <f>IF(COUNTIF($E1112, _xlfn.CONCAT("*",Table13[[#Headers],[Documentary]],"*")),1,0)</f>
        <v>0</v>
      </c>
      <c r="O1112">
        <f>IF(COUNTIF($E1112, _xlfn.CONCAT("*",Table13[[#Headers],[Drama]],"*")),1,0)</f>
        <v>1</v>
      </c>
      <c r="P1112">
        <f>IF(COUNTIF($E1112, _xlfn.CONCAT("*",Table13[[#Headers],[Family]],"*")),1,0)</f>
        <v>0</v>
      </c>
      <c r="Q1112">
        <f>IF(COUNTIF($E1112, _xlfn.CONCAT("*",Table13[[#Headers],[Fantasy]],"*")),1,0)</f>
        <v>0</v>
      </c>
      <c r="R1112">
        <f>IF(COUNTIF($E1112, _xlfn.CONCAT("*",Table13[[#Headers],[History]],"*")),1,0)</f>
        <v>0</v>
      </c>
      <c r="S1112">
        <f>IF(COUNTIF($E1112, _xlfn.CONCAT("*",Table13[[#Headers],[Horror]],"*")),1,0)</f>
        <v>0</v>
      </c>
      <c r="T1112">
        <f>IF(COUNTIF($E1112, _xlfn.CONCAT("*",Table13[[#Headers],[Music]],"*")),1,0)</f>
        <v>0</v>
      </c>
      <c r="U1112">
        <f>IF(COUNTIF($E1112, _xlfn.CONCAT("*",Table13[[#Headers],[Mystery]],"*")),1,0)</f>
        <v>0</v>
      </c>
      <c r="V1112">
        <f>IF(COUNTIF($E1112, _xlfn.CONCAT("*",Table13[[#Headers],[Romance]],"*")),1,0)</f>
        <v>0</v>
      </c>
      <c r="W1112">
        <f>IF(COUNTIF($E1112, _xlfn.CONCAT("*",Table13[[#Headers],[Science Fiction]],"*")),1,0)</f>
        <v>0</v>
      </c>
      <c r="X1112">
        <f>IF(COUNTIF($E1112, _xlfn.CONCAT("*",Table13[[#Headers],[TV Movie]],"*")),1,0)</f>
        <v>0</v>
      </c>
      <c r="Y1112">
        <f>IF(COUNTIF($E1112, _xlfn.CONCAT("*",Table13[[#Headers],[Thriller]],"*")),1,0)</f>
        <v>0</v>
      </c>
      <c r="Z1112">
        <f>IF(COUNTIF($E1112, _xlfn.CONCAT("*",Table13[[#Headers],[War]],"*")),1,0)</f>
        <v>0</v>
      </c>
      <c r="AA1112">
        <f>IF(COUNTIF($E1112, _xlfn.CONCAT("*",Table13[[#Headers],[Western]],"*")),1,0)</f>
        <v>0</v>
      </c>
    </row>
    <row r="1113" spans="1:27">
      <c r="A1113" t="s">
        <v>673</v>
      </c>
      <c r="B1113">
        <v>23</v>
      </c>
      <c r="C1113">
        <f>MAX(Table13[Rank])-Table13[[#This Row],[Rank]]</f>
        <v>241</v>
      </c>
      <c r="D1113" t="s">
        <v>994</v>
      </c>
      <c r="E1113" t="s">
        <v>618</v>
      </c>
      <c r="F1113" s="1">
        <v>37243</v>
      </c>
      <c r="G1113">
        <f>YEAR(Table13[[#This Row],[Date]])</f>
        <v>2001</v>
      </c>
      <c r="H1113" t="s">
        <v>673</v>
      </c>
      <c r="I1113">
        <f>IF(COUNTIF($E1113, _xlfn.CONCAT("*",Table13[[#Headers],[Action]],"*")),1,0)</f>
        <v>1</v>
      </c>
      <c r="J1113">
        <f>IF(COUNTIF($E1113, _xlfn.CONCAT("*",Table13[[#Headers],[Adventure]],"*")),1,0)</f>
        <v>1</v>
      </c>
      <c r="K1113">
        <f>IF(COUNTIF($E1113, _xlfn.CONCAT("*",Table13[[#Headers],[Animation]],"*")),1,0)</f>
        <v>0</v>
      </c>
      <c r="L1113">
        <f>IF(COUNTIF($E1113, _xlfn.CONCAT("*",Table13[[#Headers],[Comedy]],"*")),1,0)</f>
        <v>0</v>
      </c>
      <c r="M1113">
        <f>IF(COUNTIF($E1113, _xlfn.CONCAT("*",Table13[[#Headers],[Crime]],"*")),1,0)</f>
        <v>0</v>
      </c>
      <c r="N1113">
        <f>IF(COUNTIF($E1113, _xlfn.CONCAT("*",Table13[[#Headers],[Documentary]],"*")),1,0)</f>
        <v>0</v>
      </c>
      <c r="O1113">
        <f>IF(COUNTIF($E1113, _xlfn.CONCAT("*",Table13[[#Headers],[Drama]],"*")),1,0)</f>
        <v>0</v>
      </c>
      <c r="P1113">
        <f>IF(COUNTIF($E1113, _xlfn.CONCAT("*",Table13[[#Headers],[Family]],"*")),1,0)</f>
        <v>0</v>
      </c>
      <c r="Q1113">
        <f>IF(COUNTIF($E1113, _xlfn.CONCAT("*",Table13[[#Headers],[Fantasy]],"*")),1,0)</f>
        <v>1</v>
      </c>
      <c r="R1113">
        <f>IF(COUNTIF($E1113, _xlfn.CONCAT("*",Table13[[#Headers],[History]],"*")),1,0)</f>
        <v>0</v>
      </c>
      <c r="S1113">
        <f>IF(COUNTIF($E1113, _xlfn.CONCAT("*",Table13[[#Headers],[Horror]],"*")),1,0)</f>
        <v>0</v>
      </c>
      <c r="T1113">
        <f>IF(COUNTIF($E1113, _xlfn.CONCAT("*",Table13[[#Headers],[Music]],"*")),1,0)</f>
        <v>0</v>
      </c>
      <c r="U1113">
        <f>IF(COUNTIF($E1113, _xlfn.CONCAT("*",Table13[[#Headers],[Mystery]],"*")),1,0)</f>
        <v>0</v>
      </c>
      <c r="V1113">
        <f>IF(COUNTIF($E1113, _xlfn.CONCAT("*",Table13[[#Headers],[Romance]],"*")),1,0)</f>
        <v>0</v>
      </c>
      <c r="W1113">
        <f>IF(COUNTIF($E1113, _xlfn.CONCAT("*",Table13[[#Headers],[Science Fiction]],"*")),1,0)</f>
        <v>0</v>
      </c>
      <c r="X1113">
        <f>IF(COUNTIF($E1113, _xlfn.CONCAT("*",Table13[[#Headers],[TV Movie]],"*")),1,0)</f>
        <v>0</v>
      </c>
      <c r="Y1113">
        <f>IF(COUNTIF($E1113, _xlfn.CONCAT("*",Table13[[#Headers],[Thriller]],"*")),1,0)</f>
        <v>0</v>
      </c>
      <c r="Z1113">
        <f>IF(COUNTIF($E1113, _xlfn.CONCAT("*",Table13[[#Headers],[War]],"*")),1,0)</f>
        <v>0</v>
      </c>
      <c r="AA1113">
        <f>IF(COUNTIF($E1113, _xlfn.CONCAT("*",Table13[[#Headers],[Western]],"*")),1,0)</f>
        <v>0</v>
      </c>
    </row>
    <row r="1114" spans="1:27">
      <c r="A1114" t="s">
        <v>221</v>
      </c>
      <c r="B1114">
        <v>22</v>
      </c>
      <c r="C1114">
        <f>MAX(Table13[Rank])-Table13[[#This Row],[Rank]]</f>
        <v>242</v>
      </c>
      <c r="D1114" t="s">
        <v>994</v>
      </c>
      <c r="E1114" t="s">
        <v>222</v>
      </c>
      <c r="F1114" s="1">
        <v>30302</v>
      </c>
      <c r="G1114">
        <f>YEAR(Table13[[#This Row],[Date]])</f>
        <v>1982</v>
      </c>
      <c r="H1114" t="s">
        <v>221</v>
      </c>
      <c r="I1114">
        <f>IF(COUNTIF($E1114, _xlfn.CONCAT("*",Table13[[#Headers],[Action]],"*")),1,0)</f>
        <v>0</v>
      </c>
      <c r="J1114">
        <f>IF(COUNTIF($E1114, _xlfn.CONCAT("*",Table13[[#Headers],[Adventure]],"*")),1,0)</f>
        <v>0</v>
      </c>
      <c r="K1114">
        <f>IF(COUNTIF($E1114, _xlfn.CONCAT("*",Table13[[#Headers],[Animation]],"*")),1,0)</f>
        <v>0</v>
      </c>
      <c r="L1114">
        <f>IF(COUNTIF($E1114, _xlfn.CONCAT("*",Table13[[#Headers],[Comedy]],"*")),1,0)</f>
        <v>0</v>
      </c>
      <c r="M1114">
        <f>IF(COUNTIF($E1114, _xlfn.CONCAT("*",Table13[[#Headers],[Crime]],"*")),1,0)</f>
        <v>0</v>
      </c>
      <c r="N1114">
        <f>IF(COUNTIF($E1114, _xlfn.CONCAT("*",Table13[[#Headers],[Documentary]],"*")),1,0)</f>
        <v>0</v>
      </c>
      <c r="O1114">
        <f>IF(COUNTIF($E1114, _xlfn.CONCAT("*",Table13[[#Headers],[Drama]],"*")),1,0)</f>
        <v>1</v>
      </c>
      <c r="P1114">
        <f>IF(COUNTIF($E1114, _xlfn.CONCAT("*",Table13[[#Headers],[Family]],"*")),1,0)</f>
        <v>0</v>
      </c>
      <c r="Q1114">
        <f>IF(COUNTIF($E1114, _xlfn.CONCAT("*",Table13[[#Headers],[Fantasy]],"*")),1,0)</f>
        <v>1</v>
      </c>
      <c r="R1114">
        <f>IF(COUNTIF($E1114, _xlfn.CONCAT("*",Table13[[#Headers],[History]],"*")),1,0)</f>
        <v>0</v>
      </c>
      <c r="S1114">
        <f>IF(COUNTIF($E1114, _xlfn.CONCAT("*",Table13[[#Headers],[Horror]],"*")),1,0)</f>
        <v>0</v>
      </c>
      <c r="T1114">
        <f>IF(COUNTIF($E1114, _xlfn.CONCAT("*",Table13[[#Headers],[Music]],"*")),1,0)</f>
        <v>0</v>
      </c>
      <c r="U1114">
        <f>IF(COUNTIF($E1114, _xlfn.CONCAT("*",Table13[[#Headers],[Mystery]],"*")),1,0)</f>
        <v>1</v>
      </c>
      <c r="V1114">
        <f>IF(COUNTIF($E1114, _xlfn.CONCAT("*",Table13[[#Headers],[Romance]],"*")),1,0)</f>
        <v>0</v>
      </c>
      <c r="W1114">
        <f>IF(COUNTIF($E1114, _xlfn.CONCAT("*",Table13[[#Headers],[Science Fiction]],"*")),1,0)</f>
        <v>0</v>
      </c>
      <c r="X1114">
        <f>IF(COUNTIF($E1114, _xlfn.CONCAT("*",Table13[[#Headers],[TV Movie]],"*")),1,0)</f>
        <v>0</v>
      </c>
      <c r="Y1114">
        <f>IF(COUNTIF($E1114, _xlfn.CONCAT("*",Table13[[#Headers],[Thriller]],"*")),1,0)</f>
        <v>0</v>
      </c>
      <c r="Z1114">
        <f>IF(COUNTIF($E1114, _xlfn.CONCAT("*",Table13[[#Headers],[War]],"*")),1,0)</f>
        <v>0</v>
      </c>
      <c r="AA1114">
        <f>IF(COUNTIF($E1114, _xlfn.CONCAT("*",Table13[[#Headers],[Western]],"*")),1,0)</f>
        <v>0</v>
      </c>
    </row>
    <row r="1115" spans="1:27">
      <c r="A1115" t="s">
        <v>1020</v>
      </c>
      <c r="B1115">
        <v>21</v>
      </c>
      <c r="C1115">
        <f>MAX(Table13[Rank])-Table13[[#This Row],[Rank]]</f>
        <v>243</v>
      </c>
      <c r="D1115" t="s">
        <v>994</v>
      </c>
      <c r="E1115" t="s">
        <v>823</v>
      </c>
      <c r="F1115" s="1">
        <v>34466</v>
      </c>
      <c r="G1115">
        <f>YEAR(Table13[[#This Row],[Date]])</f>
        <v>1994</v>
      </c>
      <c r="H1115" t="s">
        <v>1020</v>
      </c>
      <c r="I1115">
        <f>IF(COUNTIF($E1115, _xlfn.CONCAT("*",Table13[[#Headers],[Action]],"*")),1,0)</f>
        <v>0</v>
      </c>
      <c r="J1115">
        <f>IF(COUNTIF($E1115, _xlfn.CONCAT("*",Table13[[#Headers],[Adventure]],"*")),1,0)</f>
        <v>0</v>
      </c>
      <c r="K1115">
        <f>IF(COUNTIF($E1115, _xlfn.CONCAT("*",Table13[[#Headers],[Animation]],"*")),1,0)</f>
        <v>0</v>
      </c>
      <c r="L1115">
        <f>IF(COUNTIF($E1115, _xlfn.CONCAT("*",Table13[[#Headers],[Comedy]],"*")),1,0)</f>
        <v>0</v>
      </c>
      <c r="M1115">
        <f>IF(COUNTIF($E1115, _xlfn.CONCAT("*",Table13[[#Headers],[Crime]],"*")),1,0)</f>
        <v>0</v>
      </c>
      <c r="N1115">
        <f>IF(COUNTIF($E1115, _xlfn.CONCAT("*",Table13[[#Headers],[Documentary]],"*")),1,0)</f>
        <v>0</v>
      </c>
      <c r="O1115">
        <f>IF(COUNTIF($E1115, _xlfn.CONCAT("*",Table13[[#Headers],[Drama]],"*")),1,0)</f>
        <v>1</v>
      </c>
      <c r="P1115">
        <f>IF(COUNTIF($E1115, _xlfn.CONCAT("*",Table13[[#Headers],[Family]],"*")),1,0)</f>
        <v>0</v>
      </c>
      <c r="Q1115">
        <f>IF(COUNTIF($E1115, _xlfn.CONCAT("*",Table13[[#Headers],[Fantasy]],"*")),1,0)</f>
        <v>0</v>
      </c>
      <c r="R1115">
        <f>IF(COUNTIF($E1115, _xlfn.CONCAT("*",Table13[[#Headers],[History]],"*")),1,0)</f>
        <v>0</v>
      </c>
      <c r="S1115">
        <f>IF(COUNTIF($E1115, _xlfn.CONCAT("*",Table13[[#Headers],[Horror]],"*")),1,0)</f>
        <v>0</v>
      </c>
      <c r="T1115">
        <f>IF(COUNTIF($E1115, _xlfn.CONCAT("*",Table13[[#Headers],[Music]],"*")),1,0)</f>
        <v>0</v>
      </c>
      <c r="U1115">
        <f>IF(COUNTIF($E1115, _xlfn.CONCAT("*",Table13[[#Headers],[Mystery]],"*")),1,0)</f>
        <v>1</v>
      </c>
      <c r="V1115">
        <f>IF(COUNTIF($E1115, _xlfn.CONCAT("*",Table13[[#Headers],[Romance]],"*")),1,0)</f>
        <v>1</v>
      </c>
      <c r="W1115">
        <f>IF(COUNTIF($E1115, _xlfn.CONCAT("*",Table13[[#Headers],[Science Fiction]],"*")),1,0)</f>
        <v>0</v>
      </c>
      <c r="X1115">
        <f>IF(COUNTIF($E1115, _xlfn.CONCAT("*",Table13[[#Headers],[TV Movie]],"*")),1,0)</f>
        <v>0</v>
      </c>
      <c r="Y1115">
        <f>IF(COUNTIF($E1115, _xlfn.CONCAT("*",Table13[[#Headers],[Thriller]],"*")),1,0)</f>
        <v>0</v>
      </c>
      <c r="Z1115">
        <f>IF(COUNTIF($E1115, _xlfn.CONCAT("*",Table13[[#Headers],[War]],"*")),1,0)</f>
        <v>0</v>
      </c>
      <c r="AA1115">
        <f>IF(COUNTIF($E1115, _xlfn.CONCAT("*",Table13[[#Headers],[Western]],"*")),1,0)</f>
        <v>0</v>
      </c>
    </row>
    <row r="1116" spans="1:27">
      <c r="A1116" t="s">
        <v>308</v>
      </c>
      <c r="B1116">
        <v>20</v>
      </c>
      <c r="C1116">
        <f>MAX(Table13[Rank])-Table13[[#This Row],[Rank]]</f>
        <v>244</v>
      </c>
      <c r="D1116" t="s">
        <v>994</v>
      </c>
      <c r="E1116" t="s">
        <v>8</v>
      </c>
      <c r="F1116" s="1">
        <v>9899</v>
      </c>
      <c r="G1116">
        <f>YEAR(Table13[[#This Row],[Date]])</f>
        <v>1927</v>
      </c>
      <c r="H1116" t="s">
        <v>308</v>
      </c>
      <c r="I1116">
        <f>IF(COUNTIF($E1116, _xlfn.CONCAT("*",Table13[[#Headers],[Action]],"*")),1,0)</f>
        <v>0</v>
      </c>
      <c r="J1116">
        <f>IF(COUNTIF($E1116, _xlfn.CONCAT("*",Table13[[#Headers],[Adventure]],"*")),1,0)</f>
        <v>0</v>
      </c>
      <c r="K1116">
        <f>IF(COUNTIF($E1116, _xlfn.CONCAT("*",Table13[[#Headers],[Animation]],"*")),1,0)</f>
        <v>0</v>
      </c>
      <c r="L1116">
        <f>IF(COUNTIF($E1116, _xlfn.CONCAT("*",Table13[[#Headers],[Comedy]],"*")),1,0)</f>
        <v>0</v>
      </c>
      <c r="M1116">
        <f>IF(COUNTIF($E1116, _xlfn.CONCAT("*",Table13[[#Headers],[Crime]],"*")),1,0)</f>
        <v>0</v>
      </c>
      <c r="N1116">
        <f>IF(COUNTIF($E1116, _xlfn.CONCAT("*",Table13[[#Headers],[Documentary]],"*")),1,0)</f>
        <v>0</v>
      </c>
      <c r="O1116">
        <f>IF(COUNTIF($E1116, _xlfn.CONCAT("*",Table13[[#Headers],[Drama]],"*")),1,0)</f>
        <v>1</v>
      </c>
      <c r="P1116">
        <f>IF(COUNTIF($E1116, _xlfn.CONCAT("*",Table13[[#Headers],[Family]],"*")),1,0)</f>
        <v>0</v>
      </c>
      <c r="Q1116">
        <f>IF(COUNTIF($E1116, _xlfn.CONCAT("*",Table13[[#Headers],[Fantasy]],"*")),1,0)</f>
        <v>0</v>
      </c>
      <c r="R1116">
        <f>IF(COUNTIF($E1116, _xlfn.CONCAT("*",Table13[[#Headers],[History]],"*")),1,0)</f>
        <v>0</v>
      </c>
      <c r="S1116">
        <f>IF(COUNTIF($E1116, _xlfn.CONCAT("*",Table13[[#Headers],[Horror]],"*")),1,0)</f>
        <v>0</v>
      </c>
      <c r="T1116">
        <f>IF(COUNTIF($E1116, _xlfn.CONCAT("*",Table13[[#Headers],[Music]],"*")),1,0)</f>
        <v>0</v>
      </c>
      <c r="U1116">
        <f>IF(COUNTIF($E1116, _xlfn.CONCAT("*",Table13[[#Headers],[Mystery]],"*")),1,0)</f>
        <v>0</v>
      </c>
      <c r="V1116">
        <f>IF(COUNTIF($E1116, _xlfn.CONCAT("*",Table13[[#Headers],[Romance]],"*")),1,0)</f>
        <v>0</v>
      </c>
      <c r="W1116">
        <f>IF(COUNTIF($E1116, _xlfn.CONCAT("*",Table13[[#Headers],[Science Fiction]],"*")),1,0)</f>
        <v>1</v>
      </c>
      <c r="X1116">
        <f>IF(COUNTIF($E1116, _xlfn.CONCAT("*",Table13[[#Headers],[TV Movie]],"*")),1,0)</f>
        <v>0</v>
      </c>
      <c r="Y1116">
        <f>IF(COUNTIF($E1116, _xlfn.CONCAT("*",Table13[[#Headers],[Thriller]],"*")),1,0)</f>
        <v>0</v>
      </c>
      <c r="Z1116">
        <f>IF(COUNTIF($E1116, _xlfn.CONCAT("*",Table13[[#Headers],[War]],"*")),1,0)</f>
        <v>0</v>
      </c>
      <c r="AA1116">
        <f>IF(COUNTIF($E1116, _xlfn.CONCAT("*",Table13[[#Headers],[Western]],"*")),1,0)</f>
        <v>0</v>
      </c>
    </row>
    <row r="1117" spans="1:27">
      <c r="A1117" t="s">
        <v>290</v>
      </c>
      <c r="B1117">
        <v>19</v>
      </c>
      <c r="C1117">
        <f>MAX(Table13[Rank])-Table13[[#This Row],[Rank]]</f>
        <v>245</v>
      </c>
      <c r="D1117" t="s">
        <v>994</v>
      </c>
      <c r="E1117" t="s">
        <v>164</v>
      </c>
      <c r="F1117" s="1">
        <v>13185</v>
      </c>
      <c r="G1117">
        <f>YEAR(Table13[[#This Row],[Date]])</f>
        <v>1936</v>
      </c>
      <c r="H1117" t="s">
        <v>290</v>
      </c>
      <c r="I1117">
        <f>IF(COUNTIF($E1117, _xlfn.CONCAT("*",Table13[[#Headers],[Action]],"*")),1,0)</f>
        <v>0</v>
      </c>
      <c r="J1117">
        <f>IF(COUNTIF($E1117, _xlfn.CONCAT("*",Table13[[#Headers],[Adventure]],"*")),1,0)</f>
        <v>0</v>
      </c>
      <c r="K1117">
        <f>IF(COUNTIF($E1117, _xlfn.CONCAT("*",Table13[[#Headers],[Animation]],"*")),1,0)</f>
        <v>0</v>
      </c>
      <c r="L1117">
        <f>IF(COUNTIF($E1117, _xlfn.CONCAT("*",Table13[[#Headers],[Comedy]],"*")),1,0)</f>
        <v>1</v>
      </c>
      <c r="M1117">
        <f>IF(COUNTIF($E1117, _xlfn.CONCAT("*",Table13[[#Headers],[Crime]],"*")),1,0)</f>
        <v>0</v>
      </c>
      <c r="N1117">
        <f>IF(COUNTIF($E1117, _xlfn.CONCAT("*",Table13[[#Headers],[Documentary]],"*")),1,0)</f>
        <v>0</v>
      </c>
      <c r="O1117">
        <f>IF(COUNTIF($E1117, _xlfn.CONCAT("*",Table13[[#Headers],[Drama]],"*")),1,0)</f>
        <v>1</v>
      </c>
      <c r="P1117">
        <f>IF(COUNTIF($E1117, _xlfn.CONCAT("*",Table13[[#Headers],[Family]],"*")),1,0)</f>
        <v>0</v>
      </c>
      <c r="Q1117">
        <f>IF(COUNTIF($E1117, _xlfn.CONCAT("*",Table13[[#Headers],[Fantasy]],"*")),1,0)</f>
        <v>0</v>
      </c>
      <c r="R1117">
        <f>IF(COUNTIF($E1117, _xlfn.CONCAT("*",Table13[[#Headers],[History]],"*")),1,0)</f>
        <v>0</v>
      </c>
      <c r="S1117">
        <f>IF(COUNTIF($E1117, _xlfn.CONCAT("*",Table13[[#Headers],[Horror]],"*")),1,0)</f>
        <v>0</v>
      </c>
      <c r="T1117">
        <f>IF(COUNTIF($E1117, _xlfn.CONCAT("*",Table13[[#Headers],[Music]],"*")),1,0)</f>
        <v>0</v>
      </c>
      <c r="U1117">
        <f>IF(COUNTIF($E1117, _xlfn.CONCAT("*",Table13[[#Headers],[Mystery]],"*")),1,0)</f>
        <v>0</v>
      </c>
      <c r="V1117">
        <f>IF(COUNTIF($E1117, _xlfn.CONCAT("*",Table13[[#Headers],[Romance]],"*")),1,0)</f>
        <v>0</v>
      </c>
      <c r="W1117">
        <f>IF(COUNTIF($E1117, _xlfn.CONCAT("*",Table13[[#Headers],[Science Fiction]],"*")),1,0)</f>
        <v>0</v>
      </c>
      <c r="X1117">
        <f>IF(COUNTIF($E1117, _xlfn.CONCAT("*",Table13[[#Headers],[TV Movie]],"*")),1,0)</f>
        <v>0</v>
      </c>
      <c r="Y1117">
        <f>IF(COUNTIF($E1117, _xlfn.CONCAT("*",Table13[[#Headers],[Thriller]],"*")),1,0)</f>
        <v>0</v>
      </c>
      <c r="Z1117">
        <f>IF(COUNTIF($E1117, _xlfn.CONCAT("*",Table13[[#Headers],[War]],"*")),1,0)</f>
        <v>0</v>
      </c>
      <c r="AA1117">
        <f>IF(COUNTIF($E1117, _xlfn.CONCAT("*",Table13[[#Headers],[Western]],"*")),1,0)</f>
        <v>0</v>
      </c>
    </row>
    <row r="1118" spans="1:27">
      <c r="A1118" t="s">
        <v>337</v>
      </c>
      <c r="B1118">
        <v>18</v>
      </c>
      <c r="C1118">
        <f>MAX(Table13[Rank])-Table13[[#This Row],[Rank]]</f>
        <v>246</v>
      </c>
      <c r="D1118" t="s">
        <v>994</v>
      </c>
      <c r="E1118" t="s">
        <v>338</v>
      </c>
      <c r="F1118" s="1">
        <v>21739</v>
      </c>
      <c r="G1118">
        <f>YEAR(Table13[[#This Row],[Date]])</f>
        <v>1959</v>
      </c>
      <c r="H1118" t="s">
        <v>337</v>
      </c>
      <c r="I1118">
        <f>IF(COUNTIF($E1118, _xlfn.CONCAT("*",Table13[[#Headers],[Action]],"*")),1,0)</f>
        <v>0</v>
      </c>
      <c r="J1118">
        <f>IF(COUNTIF($E1118, _xlfn.CONCAT("*",Table13[[#Headers],[Adventure]],"*")),1,0)</f>
        <v>1</v>
      </c>
      <c r="K1118">
        <f>IF(COUNTIF($E1118, _xlfn.CONCAT("*",Table13[[#Headers],[Animation]],"*")),1,0)</f>
        <v>0</v>
      </c>
      <c r="L1118">
        <f>IF(COUNTIF($E1118, _xlfn.CONCAT("*",Table13[[#Headers],[Comedy]],"*")),1,0)</f>
        <v>0</v>
      </c>
      <c r="M1118">
        <f>IF(COUNTIF($E1118, _xlfn.CONCAT("*",Table13[[#Headers],[Crime]],"*")),1,0)</f>
        <v>0</v>
      </c>
      <c r="N1118">
        <f>IF(COUNTIF($E1118, _xlfn.CONCAT("*",Table13[[#Headers],[Documentary]],"*")),1,0)</f>
        <v>0</v>
      </c>
      <c r="O1118">
        <f>IF(COUNTIF($E1118, _xlfn.CONCAT("*",Table13[[#Headers],[Drama]],"*")),1,0)</f>
        <v>0</v>
      </c>
      <c r="P1118">
        <f>IF(COUNTIF($E1118, _xlfn.CONCAT("*",Table13[[#Headers],[Family]],"*")),1,0)</f>
        <v>0</v>
      </c>
      <c r="Q1118">
        <f>IF(COUNTIF($E1118, _xlfn.CONCAT("*",Table13[[#Headers],[Fantasy]],"*")),1,0)</f>
        <v>0</v>
      </c>
      <c r="R1118">
        <f>IF(COUNTIF($E1118, _xlfn.CONCAT("*",Table13[[#Headers],[History]],"*")),1,0)</f>
        <v>0</v>
      </c>
      <c r="S1118">
        <f>IF(COUNTIF($E1118, _xlfn.CONCAT("*",Table13[[#Headers],[Horror]],"*")),1,0)</f>
        <v>0</v>
      </c>
      <c r="T1118">
        <f>IF(COUNTIF($E1118, _xlfn.CONCAT("*",Table13[[#Headers],[Music]],"*")),1,0)</f>
        <v>0</v>
      </c>
      <c r="U1118">
        <f>IF(COUNTIF($E1118, _xlfn.CONCAT("*",Table13[[#Headers],[Mystery]],"*")),1,0)</f>
        <v>1</v>
      </c>
      <c r="V1118">
        <f>IF(COUNTIF($E1118, _xlfn.CONCAT("*",Table13[[#Headers],[Romance]],"*")),1,0)</f>
        <v>0</v>
      </c>
      <c r="W1118">
        <f>IF(COUNTIF($E1118, _xlfn.CONCAT("*",Table13[[#Headers],[Science Fiction]],"*")),1,0)</f>
        <v>0</v>
      </c>
      <c r="X1118">
        <f>IF(COUNTIF($E1118, _xlfn.CONCAT("*",Table13[[#Headers],[TV Movie]],"*")),1,0)</f>
        <v>0</v>
      </c>
      <c r="Y1118">
        <f>IF(COUNTIF($E1118, _xlfn.CONCAT("*",Table13[[#Headers],[Thriller]],"*")),1,0)</f>
        <v>1</v>
      </c>
      <c r="Z1118">
        <f>IF(COUNTIF($E1118, _xlfn.CONCAT("*",Table13[[#Headers],[War]],"*")),1,0)</f>
        <v>0</v>
      </c>
      <c r="AA1118">
        <f>IF(COUNTIF($E1118, _xlfn.CONCAT("*",Table13[[#Headers],[Western]],"*")),1,0)</f>
        <v>0</v>
      </c>
    </row>
    <row r="1119" spans="1:27">
      <c r="A1119" t="s">
        <v>103</v>
      </c>
      <c r="B1119">
        <v>17</v>
      </c>
      <c r="C1119">
        <f>MAX(Table13[Rank])-Table13[[#This Row],[Rank]]</f>
        <v>247</v>
      </c>
      <c r="D1119" t="s">
        <v>994</v>
      </c>
      <c r="E1119" t="s">
        <v>73</v>
      </c>
      <c r="F1119" s="1">
        <v>23405</v>
      </c>
      <c r="G1119">
        <f>YEAR(Table13[[#This Row],[Date]])</f>
        <v>1964</v>
      </c>
      <c r="H1119" t="s">
        <v>103</v>
      </c>
      <c r="I1119">
        <f>IF(COUNTIF($E1119, _xlfn.CONCAT("*",Table13[[#Headers],[Action]],"*")),1,0)</f>
        <v>0</v>
      </c>
      <c r="J1119">
        <f>IF(COUNTIF($E1119, _xlfn.CONCAT("*",Table13[[#Headers],[Adventure]],"*")),1,0)</f>
        <v>0</v>
      </c>
      <c r="K1119">
        <f>IF(COUNTIF($E1119, _xlfn.CONCAT("*",Table13[[#Headers],[Animation]],"*")),1,0)</f>
        <v>0</v>
      </c>
      <c r="L1119">
        <f>IF(COUNTIF($E1119, _xlfn.CONCAT("*",Table13[[#Headers],[Comedy]],"*")),1,0)</f>
        <v>1</v>
      </c>
      <c r="M1119">
        <f>IF(COUNTIF($E1119, _xlfn.CONCAT("*",Table13[[#Headers],[Crime]],"*")),1,0)</f>
        <v>0</v>
      </c>
      <c r="N1119">
        <f>IF(COUNTIF($E1119, _xlfn.CONCAT("*",Table13[[#Headers],[Documentary]],"*")),1,0)</f>
        <v>0</v>
      </c>
      <c r="O1119">
        <f>IF(COUNTIF($E1119, _xlfn.CONCAT("*",Table13[[#Headers],[Drama]],"*")),1,0)</f>
        <v>0</v>
      </c>
      <c r="P1119">
        <f>IF(COUNTIF($E1119, _xlfn.CONCAT("*",Table13[[#Headers],[Family]],"*")),1,0)</f>
        <v>0</v>
      </c>
      <c r="Q1119">
        <f>IF(COUNTIF($E1119, _xlfn.CONCAT("*",Table13[[#Headers],[Fantasy]],"*")),1,0)</f>
        <v>0</v>
      </c>
      <c r="R1119">
        <f>IF(COUNTIF($E1119, _xlfn.CONCAT("*",Table13[[#Headers],[History]],"*")),1,0)</f>
        <v>0</v>
      </c>
      <c r="S1119">
        <f>IF(COUNTIF($E1119, _xlfn.CONCAT("*",Table13[[#Headers],[Horror]],"*")),1,0)</f>
        <v>0</v>
      </c>
      <c r="T1119">
        <f>IF(COUNTIF($E1119, _xlfn.CONCAT("*",Table13[[#Headers],[Music]],"*")),1,0)</f>
        <v>0</v>
      </c>
      <c r="U1119">
        <f>IF(COUNTIF($E1119, _xlfn.CONCAT("*",Table13[[#Headers],[Mystery]],"*")),1,0)</f>
        <v>0</v>
      </c>
      <c r="V1119">
        <f>IF(COUNTIF($E1119, _xlfn.CONCAT("*",Table13[[#Headers],[Romance]],"*")),1,0)</f>
        <v>0</v>
      </c>
      <c r="W1119">
        <f>IF(COUNTIF($E1119, _xlfn.CONCAT("*",Table13[[#Headers],[Science Fiction]],"*")),1,0)</f>
        <v>0</v>
      </c>
      <c r="X1119">
        <f>IF(COUNTIF($E1119, _xlfn.CONCAT("*",Table13[[#Headers],[TV Movie]],"*")),1,0)</f>
        <v>0</v>
      </c>
      <c r="Y1119">
        <f>IF(COUNTIF($E1119, _xlfn.CONCAT("*",Table13[[#Headers],[Thriller]],"*")),1,0)</f>
        <v>0</v>
      </c>
      <c r="Z1119">
        <f>IF(COUNTIF($E1119, _xlfn.CONCAT("*",Table13[[#Headers],[War]],"*")),1,0)</f>
        <v>1</v>
      </c>
      <c r="AA1119">
        <f>IF(COUNTIF($E1119, _xlfn.CONCAT("*",Table13[[#Headers],[Western]],"*")),1,0)</f>
        <v>0</v>
      </c>
    </row>
    <row r="1120" spans="1:27">
      <c r="A1120" t="s">
        <v>275</v>
      </c>
      <c r="B1120">
        <v>16</v>
      </c>
      <c r="C1120">
        <f>MAX(Table13[Rank])-Table13[[#This Row],[Rank]]</f>
        <v>248</v>
      </c>
      <c r="D1120" t="s">
        <v>994</v>
      </c>
      <c r="E1120" t="s">
        <v>189</v>
      </c>
      <c r="F1120" s="1">
        <v>30022</v>
      </c>
      <c r="G1120">
        <f>YEAR(Table13[[#This Row],[Date]])</f>
        <v>1982</v>
      </c>
      <c r="H1120" t="s">
        <v>275</v>
      </c>
      <c r="I1120">
        <f>IF(COUNTIF($E1120, _xlfn.CONCAT("*",Table13[[#Headers],[Action]],"*")),1,0)</f>
        <v>0</v>
      </c>
      <c r="J1120">
        <f>IF(COUNTIF($E1120, _xlfn.CONCAT("*",Table13[[#Headers],[Adventure]],"*")),1,0)</f>
        <v>0</v>
      </c>
      <c r="K1120">
        <f>IF(COUNTIF($E1120, _xlfn.CONCAT("*",Table13[[#Headers],[Animation]],"*")),1,0)</f>
        <v>0</v>
      </c>
      <c r="L1120">
        <f>IF(COUNTIF($E1120, _xlfn.CONCAT("*",Table13[[#Headers],[Comedy]],"*")),1,0)</f>
        <v>0</v>
      </c>
      <c r="M1120">
        <f>IF(COUNTIF($E1120, _xlfn.CONCAT("*",Table13[[#Headers],[Crime]],"*")),1,0)</f>
        <v>0</v>
      </c>
      <c r="N1120">
        <f>IF(COUNTIF($E1120, _xlfn.CONCAT("*",Table13[[#Headers],[Documentary]],"*")),1,0)</f>
        <v>0</v>
      </c>
      <c r="O1120">
        <f>IF(COUNTIF($E1120, _xlfn.CONCAT("*",Table13[[#Headers],[Drama]],"*")),1,0)</f>
        <v>0</v>
      </c>
      <c r="P1120">
        <f>IF(COUNTIF($E1120, _xlfn.CONCAT("*",Table13[[#Headers],[Family]],"*")),1,0)</f>
        <v>0</v>
      </c>
      <c r="Q1120">
        <f>IF(COUNTIF($E1120, _xlfn.CONCAT("*",Table13[[#Headers],[Fantasy]],"*")),1,0)</f>
        <v>0</v>
      </c>
      <c r="R1120">
        <f>IF(COUNTIF($E1120, _xlfn.CONCAT("*",Table13[[#Headers],[History]],"*")),1,0)</f>
        <v>0</v>
      </c>
      <c r="S1120">
        <f>IF(COUNTIF($E1120, _xlfn.CONCAT("*",Table13[[#Headers],[Horror]],"*")),1,0)</f>
        <v>1</v>
      </c>
      <c r="T1120">
        <f>IF(COUNTIF($E1120, _xlfn.CONCAT("*",Table13[[#Headers],[Music]],"*")),1,0)</f>
        <v>0</v>
      </c>
      <c r="U1120">
        <f>IF(COUNTIF($E1120, _xlfn.CONCAT("*",Table13[[#Headers],[Mystery]],"*")),1,0)</f>
        <v>0</v>
      </c>
      <c r="V1120">
        <f>IF(COUNTIF($E1120, _xlfn.CONCAT("*",Table13[[#Headers],[Romance]],"*")),1,0)</f>
        <v>0</v>
      </c>
      <c r="W1120">
        <f>IF(COUNTIF($E1120, _xlfn.CONCAT("*",Table13[[#Headers],[Science Fiction]],"*")),1,0)</f>
        <v>1</v>
      </c>
      <c r="X1120">
        <f>IF(COUNTIF($E1120, _xlfn.CONCAT("*",Table13[[#Headers],[TV Movie]],"*")),1,0)</f>
        <v>0</v>
      </c>
      <c r="Y1120">
        <f>IF(COUNTIF($E1120, _xlfn.CONCAT("*",Table13[[#Headers],[Thriller]],"*")),1,0)</f>
        <v>0</v>
      </c>
      <c r="Z1120">
        <f>IF(COUNTIF($E1120, _xlfn.CONCAT("*",Table13[[#Headers],[War]],"*")),1,0)</f>
        <v>0</v>
      </c>
      <c r="AA1120">
        <f>IF(COUNTIF($E1120, _xlfn.CONCAT("*",Table13[[#Headers],[Western]],"*")),1,0)</f>
        <v>0</v>
      </c>
    </row>
    <row r="1121" spans="1:27">
      <c r="A1121" t="s">
        <v>386</v>
      </c>
      <c r="B1121">
        <v>15</v>
      </c>
      <c r="C1121">
        <f>MAX(Table13[Rank])-Table13[[#This Row],[Rank]]</f>
        <v>249</v>
      </c>
      <c r="D1121" t="s">
        <v>994</v>
      </c>
      <c r="E1121" t="s">
        <v>220</v>
      </c>
      <c r="F1121" s="1">
        <v>19093</v>
      </c>
      <c r="G1121">
        <f>YEAR(Table13[[#This Row],[Date]])</f>
        <v>1952</v>
      </c>
      <c r="H1121" t="s">
        <v>386</v>
      </c>
      <c r="I1121">
        <f>IF(COUNTIF($E1121, _xlfn.CONCAT("*",Table13[[#Headers],[Action]],"*")),1,0)</f>
        <v>0</v>
      </c>
      <c r="J1121">
        <f>IF(COUNTIF($E1121, _xlfn.CONCAT("*",Table13[[#Headers],[Adventure]],"*")),1,0)</f>
        <v>0</v>
      </c>
      <c r="K1121">
        <f>IF(COUNTIF($E1121, _xlfn.CONCAT("*",Table13[[#Headers],[Animation]],"*")),1,0)</f>
        <v>0</v>
      </c>
      <c r="L1121">
        <f>IF(COUNTIF($E1121, _xlfn.CONCAT("*",Table13[[#Headers],[Comedy]],"*")),1,0)</f>
        <v>1</v>
      </c>
      <c r="M1121">
        <f>IF(COUNTIF($E1121, _xlfn.CONCAT("*",Table13[[#Headers],[Crime]],"*")),1,0)</f>
        <v>0</v>
      </c>
      <c r="N1121">
        <f>IF(COUNTIF($E1121, _xlfn.CONCAT("*",Table13[[#Headers],[Documentary]],"*")),1,0)</f>
        <v>0</v>
      </c>
      <c r="O1121">
        <f>IF(COUNTIF($E1121, _xlfn.CONCAT("*",Table13[[#Headers],[Drama]],"*")),1,0)</f>
        <v>0</v>
      </c>
      <c r="P1121">
        <f>IF(COUNTIF($E1121, _xlfn.CONCAT("*",Table13[[#Headers],[Family]],"*")),1,0)</f>
        <v>0</v>
      </c>
      <c r="Q1121">
        <f>IF(COUNTIF($E1121, _xlfn.CONCAT("*",Table13[[#Headers],[Fantasy]],"*")),1,0)</f>
        <v>0</v>
      </c>
      <c r="R1121">
        <f>IF(COUNTIF($E1121, _xlfn.CONCAT("*",Table13[[#Headers],[History]],"*")),1,0)</f>
        <v>0</v>
      </c>
      <c r="S1121">
        <f>IF(COUNTIF($E1121, _xlfn.CONCAT("*",Table13[[#Headers],[Horror]],"*")),1,0)</f>
        <v>0</v>
      </c>
      <c r="T1121">
        <f>IF(COUNTIF($E1121, _xlfn.CONCAT("*",Table13[[#Headers],[Music]],"*")),1,0)</f>
        <v>0</v>
      </c>
      <c r="U1121">
        <f>IF(COUNTIF($E1121, _xlfn.CONCAT("*",Table13[[#Headers],[Mystery]],"*")),1,0)</f>
        <v>0</v>
      </c>
      <c r="V1121">
        <f>IF(COUNTIF($E1121, _xlfn.CONCAT("*",Table13[[#Headers],[Romance]],"*")),1,0)</f>
        <v>1</v>
      </c>
      <c r="W1121">
        <f>IF(COUNTIF($E1121, _xlfn.CONCAT("*",Table13[[#Headers],[Science Fiction]],"*")),1,0)</f>
        <v>0</v>
      </c>
      <c r="X1121">
        <f>IF(COUNTIF($E1121, _xlfn.CONCAT("*",Table13[[#Headers],[TV Movie]],"*")),1,0)</f>
        <v>0</v>
      </c>
      <c r="Y1121">
        <f>IF(COUNTIF($E1121, _xlfn.CONCAT("*",Table13[[#Headers],[Thriller]],"*")),1,0)</f>
        <v>0</v>
      </c>
      <c r="Z1121">
        <f>IF(COUNTIF($E1121, _xlfn.CONCAT("*",Table13[[#Headers],[War]],"*")),1,0)</f>
        <v>0</v>
      </c>
      <c r="AA1121">
        <f>IF(COUNTIF($E1121, _xlfn.CONCAT("*",Table13[[#Headers],[Western]],"*")),1,0)</f>
        <v>0</v>
      </c>
    </row>
    <row r="1122" spans="1:27">
      <c r="A1122" t="s">
        <v>357</v>
      </c>
      <c r="B1122">
        <v>14</v>
      </c>
      <c r="C1122">
        <f>MAX(Table13[Rank])-Table13[[#This Row],[Rank]]</f>
        <v>250</v>
      </c>
      <c r="D1122" t="s">
        <v>994</v>
      </c>
      <c r="E1122" t="s">
        <v>358</v>
      </c>
      <c r="F1122" s="1">
        <v>22089</v>
      </c>
      <c r="G1122">
        <f>YEAR(Table13[[#This Row],[Date]])</f>
        <v>1960</v>
      </c>
      <c r="H1122" t="s">
        <v>357</v>
      </c>
      <c r="I1122">
        <f>IF(COUNTIF($E1122, _xlfn.CONCAT("*",Table13[[#Headers],[Action]],"*")),1,0)</f>
        <v>0</v>
      </c>
      <c r="J1122">
        <f>IF(COUNTIF($E1122, _xlfn.CONCAT("*",Table13[[#Headers],[Adventure]],"*")),1,0)</f>
        <v>0</v>
      </c>
      <c r="K1122">
        <f>IF(COUNTIF($E1122, _xlfn.CONCAT("*",Table13[[#Headers],[Animation]],"*")),1,0)</f>
        <v>0</v>
      </c>
      <c r="L1122">
        <f>IF(COUNTIF($E1122, _xlfn.CONCAT("*",Table13[[#Headers],[Comedy]],"*")),1,0)</f>
        <v>0</v>
      </c>
      <c r="M1122">
        <f>IF(COUNTIF($E1122, _xlfn.CONCAT("*",Table13[[#Headers],[Crime]],"*")),1,0)</f>
        <v>0</v>
      </c>
      <c r="N1122">
        <f>IF(COUNTIF($E1122, _xlfn.CONCAT("*",Table13[[#Headers],[Documentary]],"*")),1,0)</f>
        <v>0</v>
      </c>
      <c r="O1122">
        <f>IF(COUNTIF($E1122, _xlfn.CONCAT("*",Table13[[#Headers],[Drama]],"*")),1,0)</f>
        <v>1</v>
      </c>
      <c r="P1122">
        <f>IF(COUNTIF($E1122, _xlfn.CONCAT("*",Table13[[#Headers],[Family]],"*")),1,0)</f>
        <v>0</v>
      </c>
      <c r="Q1122">
        <f>IF(COUNTIF($E1122, _xlfn.CONCAT("*",Table13[[#Headers],[Fantasy]],"*")),1,0)</f>
        <v>0</v>
      </c>
      <c r="R1122">
        <f>IF(COUNTIF($E1122, _xlfn.CONCAT("*",Table13[[#Headers],[History]],"*")),1,0)</f>
        <v>0</v>
      </c>
      <c r="S1122">
        <f>IF(COUNTIF($E1122, _xlfn.CONCAT("*",Table13[[#Headers],[Horror]],"*")),1,0)</f>
        <v>1</v>
      </c>
      <c r="T1122">
        <f>IF(COUNTIF($E1122, _xlfn.CONCAT("*",Table13[[#Headers],[Music]],"*")),1,0)</f>
        <v>0</v>
      </c>
      <c r="U1122">
        <f>IF(COUNTIF($E1122, _xlfn.CONCAT("*",Table13[[#Headers],[Mystery]],"*")),1,0)</f>
        <v>0</v>
      </c>
      <c r="V1122">
        <f>IF(COUNTIF($E1122, _xlfn.CONCAT("*",Table13[[#Headers],[Romance]],"*")),1,0)</f>
        <v>0</v>
      </c>
      <c r="W1122">
        <f>IF(COUNTIF($E1122, _xlfn.CONCAT("*",Table13[[#Headers],[Science Fiction]],"*")),1,0)</f>
        <v>0</v>
      </c>
      <c r="X1122">
        <f>IF(COUNTIF($E1122, _xlfn.CONCAT("*",Table13[[#Headers],[TV Movie]],"*")),1,0)</f>
        <v>0</v>
      </c>
      <c r="Y1122">
        <f>IF(COUNTIF($E1122, _xlfn.CONCAT("*",Table13[[#Headers],[Thriller]],"*")),1,0)</f>
        <v>1</v>
      </c>
      <c r="Z1122">
        <f>IF(COUNTIF($E1122, _xlfn.CONCAT("*",Table13[[#Headers],[War]],"*")),1,0)</f>
        <v>0</v>
      </c>
      <c r="AA1122">
        <f>IF(COUNTIF($E1122, _xlfn.CONCAT("*",Table13[[#Headers],[Western]],"*")),1,0)</f>
        <v>0</v>
      </c>
    </row>
    <row r="1123" spans="1:27">
      <c r="A1123" t="s">
        <v>298</v>
      </c>
      <c r="B1123">
        <v>13</v>
      </c>
      <c r="C1123">
        <f>MAX(Table13[Rank])-Table13[[#This Row],[Rank]]</f>
        <v>251</v>
      </c>
      <c r="D1123" t="s">
        <v>994</v>
      </c>
      <c r="E1123" t="s">
        <v>299</v>
      </c>
      <c r="F1123" s="1">
        <v>37092</v>
      </c>
      <c r="G1123">
        <f>YEAR(Table13[[#This Row],[Date]])</f>
        <v>2001</v>
      </c>
      <c r="H1123" t="s">
        <v>298</v>
      </c>
      <c r="I1123">
        <f>IF(COUNTIF($E1123, _xlfn.CONCAT("*",Table13[[#Headers],[Action]],"*")),1,0)</f>
        <v>0</v>
      </c>
      <c r="J1123">
        <f>IF(COUNTIF($E1123, _xlfn.CONCAT("*",Table13[[#Headers],[Adventure]],"*")),1,0)</f>
        <v>0</v>
      </c>
      <c r="K1123">
        <f>IF(COUNTIF($E1123, _xlfn.CONCAT("*",Table13[[#Headers],[Animation]],"*")),1,0)</f>
        <v>1</v>
      </c>
      <c r="L1123">
        <f>IF(COUNTIF($E1123, _xlfn.CONCAT("*",Table13[[#Headers],[Comedy]],"*")),1,0)</f>
        <v>0</v>
      </c>
      <c r="M1123">
        <f>IF(COUNTIF($E1123, _xlfn.CONCAT("*",Table13[[#Headers],[Crime]],"*")),1,0)</f>
        <v>0</v>
      </c>
      <c r="N1123">
        <f>IF(COUNTIF($E1123, _xlfn.CONCAT("*",Table13[[#Headers],[Documentary]],"*")),1,0)</f>
        <v>0</v>
      </c>
      <c r="O1123">
        <f>IF(COUNTIF($E1123, _xlfn.CONCAT("*",Table13[[#Headers],[Drama]],"*")),1,0)</f>
        <v>0</v>
      </c>
      <c r="P1123">
        <f>IF(COUNTIF($E1123, _xlfn.CONCAT("*",Table13[[#Headers],[Family]],"*")),1,0)</f>
        <v>1</v>
      </c>
      <c r="Q1123">
        <f>IF(COUNTIF($E1123, _xlfn.CONCAT("*",Table13[[#Headers],[Fantasy]],"*")),1,0)</f>
        <v>1</v>
      </c>
      <c r="R1123">
        <f>IF(COUNTIF($E1123, _xlfn.CONCAT("*",Table13[[#Headers],[History]],"*")),1,0)</f>
        <v>0</v>
      </c>
      <c r="S1123">
        <f>IF(COUNTIF($E1123, _xlfn.CONCAT("*",Table13[[#Headers],[Horror]],"*")),1,0)</f>
        <v>0</v>
      </c>
      <c r="T1123">
        <f>IF(COUNTIF($E1123, _xlfn.CONCAT("*",Table13[[#Headers],[Music]],"*")),1,0)</f>
        <v>0</v>
      </c>
      <c r="U1123">
        <f>IF(COUNTIF($E1123, _xlfn.CONCAT("*",Table13[[#Headers],[Mystery]],"*")),1,0)</f>
        <v>0</v>
      </c>
      <c r="V1123">
        <f>IF(COUNTIF($E1123, _xlfn.CONCAT("*",Table13[[#Headers],[Romance]],"*")),1,0)</f>
        <v>0</v>
      </c>
      <c r="W1123">
        <f>IF(COUNTIF($E1123, _xlfn.CONCAT("*",Table13[[#Headers],[Science Fiction]],"*")),1,0)</f>
        <v>0</v>
      </c>
      <c r="X1123">
        <f>IF(COUNTIF($E1123, _xlfn.CONCAT("*",Table13[[#Headers],[TV Movie]],"*")),1,0)</f>
        <v>0</v>
      </c>
      <c r="Y1123">
        <f>IF(COUNTIF($E1123, _xlfn.CONCAT("*",Table13[[#Headers],[Thriller]],"*")),1,0)</f>
        <v>0</v>
      </c>
      <c r="Z1123">
        <f>IF(COUNTIF($E1123, _xlfn.CONCAT("*",Table13[[#Headers],[War]],"*")),1,0)</f>
        <v>0</v>
      </c>
      <c r="AA1123">
        <f>IF(COUNTIF($E1123, _xlfn.CONCAT("*",Table13[[#Headers],[Western]],"*")),1,0)</f>
        <v>0</v>
      </c>
    </row>
    <row r="1124" spans="1:27">
      <c r="A1124" t="s">
        <v>214</v>
      </c>
      <c r="B1124">
        <v>12</v>
      </c>
      <c r="C1124">
        <f>MAX(Table13[Rank])-Table13[[#This Row],[Rank]]</f>
        <v>252</v>
      </c>
      <c r="D1124" t="s">
        <v>994</v>
      </c>
      <c r="E1124" t="s">
        <v>215</v>
      </c>
      <c r="F1124" s="1">
        <v>22991</v>
      </c>
      <c r="G1124">
        <f>YEAR(Table13[[#This Row],[Date]])</f>
        <v>1962</v>
      </c>
      <c r="H1124" t="s">
        <v>214</v>
      </c>
      <c r="I1124">
        <f>IF(COUNTIF($E1124, _xlfn.CONCAT("*",Table13[[#Headers],[Action]],"*")),1,0)</f>
        <v>0</v>
      </c>
      <c r="J1124">
        <f>IF(COUNTIF($E1124, _xlfn.CONCAT("*",Table13[[#Headers],[Adventure]],"*")),1,0)</f>
        <v>1</v>
      </c>
      <c r="K1124">
        <f>IF(COUNTIF($E1124, _xlfn.CONCAT("*",Table13[[#Headers],[Animation]],"*")),1,0)</f>
        <v>0</v>
      </c>
      <c r="L1124">
        <f>IF(COUNTIF($E1124, _xlfn.CONCAT("*",Table13[[#Headers],[Comedy]],"*")),1,0)</f>
        <v>0</v>
      </c>
      <c r="M1124">
        <f>IF(COUNTIF($E1124, _xlfn.CONCAT("*",Table13[[#Headers],[Crime]],"*")),1,0)</f>
        <v>0</v>
      </c>
      <c r="N1124">
        <f>IF(COUNTIF($E1124, _xlfn.CONCAT("*",Table13[[#Headers],[Documentary]],"*")),1,0)</f>
        <v>0</v>
      </c>
      <c r="O1124">
        <f>IF(COUNTIF($E1124, _xlfn.CONCAT("*",Table13[[#Headers],[Drama]],"*")),1,0)</f>
        <v>1</v>
      </c>
      <c r="P1124">
        <f>IF(COUNTIF($E1124, _xlfn.CONCAT("*",Table13[[#Headers],[Family]],"*")),1,0)</f>
        <v>0</v>
      </c>
      <c r="Q1124">
        <f>IF(COUNTIF($E1124, _xlfn.CONCAT("*",Table13[[#Headers],[Fantasy]],"*")),1,0)</f>
        <v>0</v>
      </c>
      <c r="R1124">
        <f>IF(COUNTIF($E1124, _xlfn.CONCAT("*",Table13[[#Headers],[History]],"*")),1,0)</f>
        <v>1</v>
      </c>
      <c r="S1124">
        <f>IF(COUNTIF($E1124, _xlfn.CONCAT("*",Table13[[#Headers],[Horror]],"*")),1,0)</f>
        <v>0</v>
      </c>
      <c r="T1124">
        <f>IF(COUNTIF($E1124, _xlfn.CONCAT("*",Table13[[#Headers],[Music]],"*")),1,0)</f>
        <v>0</v>
      </c>
      <c r="U1124">
        <f>IF(COUNTIF($E1124, _xlfn.CONCAT("*",Table13[[#Headers],[Mystery]],"*")),1,0)</f>
        <v>0</v>
      </c>
      <c r="V1124">
        <f>IF(COUNTIF($E1124, _xlfn.CONCAT("*",Table13[[#Headers],[Romance]],"*")),1,0)</f>
        <v>0</v>
      </c>
      <c r="W1124">
        <f>IF(COUNTIF($E1124, _xlfn.CONCAT("*",Table13[[#Headers],[Science Fiction]],"*")),1,0)</f>
        <v>0</v>
      </c>
      <c r="X1124">
        <f>IF(COUNTIF($E1124, _xlfn.CONCAT("*",Table13[[#Headers],[TV Movie]],"*")),1,0)</f>
        <v>0</v>
      </c>
      <c r="Y1124">
        <f>IF(COUNTIF($E1124, _xlfn.CONCAT("*",Table13[[#Headers],[Thriller]],"*")),1,0)</f>
        <v>0</v>
      </c>
      <c r="Z1124">
        <f>IF(COUNTIF($E1124, _xlfn.CONCAT("*",Table13[[#Headers],[War]],"*")),1,0)</f>
        <v>1</v>
      </c>
      <c r="AA1124">
        <f>IF(COUNTIF($E1124, _xlfn.CONCAT("*",Table13[[#Headers],[Western]],"*")),1,0)</f>
        <v>0</v>
      </c>
    </row>
    <row r="1125" spans="1:27">
      <c r="A1125" t="s">
        <v>396</v>
      </c>
      <c r="B1125">
        <v>11</v>
      </c>
      <c r="C1125">
        <f>MAX(Table13[Rank])-Table13[[#This Row],[Rank]]</f>
        <v>253</v>
      </c>
      <c r="D1125" t="s">
        <v>994</v>
      </c>
      <c r="E1125" t="s">
        <v>397</v>
      </c>
      <c r="F1125" s="1">
        <v>21333</v>
      </c>
      <c r="G1125">
        <f>YEAR(Table13[[#This Row],[Date]])</f>
        <v>1958</v>
      </c>
      <c r="H1125" t="s">
        <v>396</v>
      </c>
      <c r="I1125">
        <f>IF(COUNTIF($E1125, _xlfn.CONCAT("*",Table13[[#Headers],[Action]],"*")),1,0)</f>
        <v>0</v>
      </c>
      <c r="J1125">
        <f>IF(COUNTIF($E1125, _xlfn.CONCAT("*",Table13[[#Headers],[Adventure]],"*")),1,0)</f>
        <v>0</v>
      </c>
      <c r="K1125">
        <f>IF(COUNTIF($E1125, _xlfn.CONCAT("*",Table13[[#Headers],[Animation]],"*")),1,0)</f>
        <v>0</v>
      </c>
      <c r="L1125">
        <f>IF(COUNTIF($E1125, _xlfn.CONCAT("*",Table13[[#Headers],[Comedy]],"*")),1,0)</f>
        <v>0</v>
      </c>
      <c r="M1125">
        <f>IF(COUNTIF($E1125, _xlfn.CONCAT("*",Table13[[#Headers],[Crime]],"*")),1,0)</f>
        <v>0</v>
      </c>
      <c r="N1125">
        <f>IF(COUNTIF($E1125, _xlfn.CONCAT("*",Table13[[#Headers],[Documentary]],"*")),1,0)</f>
        <v>0</v>
      </c>
      <c r="O1125">
        <f>IF(COUNTIF($E1125, _xlfn.CONCAT("*",Table13[[#Headers],[Drama]],"*")),1,0)</f>
        <v>0</v>
      </c>
      <c r="P1125">
        <f>IF(COUNTIF($E1125, _xlfn.CONCAT("*",Table13[[#Headers],[Family]],"*")),1,0)</f>
        <v>0</v>
      </c>
      <c r="Q1125">
        <f>IF(COUNTIF($E1125, _xlfn.CONCAT("*",Table13[[#Headers],[Fantasy]],"*")),1,0)</f>
        <v>0</v>
      </c>
      <c r="R1125">
        <f>IF(COUNTIF($E1125, _xlfn.CONCAT("*",Table13[[#Headers],[History]],"*")),1,0)</f>
        <v>0</v>
      </c>
      <c r="S1125">
        <f>IF(COUNTIF($E1125, _xlfn.CONCAT("*",Table13[[#Headers],[Horror]],"*")),1,0)</f>
        <v>0</v>
      </c>
      <c r="T1125">
        <f>IF(COUNTIF($E1125, _xlfn.CONCAT("*",Table13[[#Headers],[Music]],"*")),1,0)</f>
        <v>0</v>
      </c>
      <c r="U1125">
        <f>IF(COUNTIF($E1125, _xlfn.CONCAT("*",Table13[[#Headers],[Mystery]],"*")),1,0)</f>
        <v>1</v>
      </c>
      <c r="V1125">
        <f>IF(COUNTIF($E1125, _xlfn.CONCAT("*",Table13[[#Headers],[Romance]],"*")),1,0)</f>
        <v>1</v>
      </c>
      <c r="W1125">
        <f>IF(COUNTIF($E1125, _xlfn.CONCAT("*",Table13[[#Headers],[Science Fiction]],"*")),1,0)</f>
        <v>0</v>
      </c>
      <c r="X1125">
        <f>IF(COUNTIF($E1125, _xlfn.CONCAT("*",Table13[[#Headers],[TV Movie]],"*")),1,0)</f>
        <v>0</v>
      </c>
      <c r="Y1125">
        <f>IF(COUNTIF($E1125, _xlfn.CONCAT("*",Table13[[#Headers],[Thriller]],"*")),1,0)</f>
        <v>1</v>
      </c>
      <c r="Z1125">
        <f>IF(COUNTIF($E1125, _xlfn.CONCAT("*",Table13[[#Headers],[War]],"*")),1,0)</f>
        <v>0</v>
      </c>
      <c r="AA1125">
        <f>IF(COUNTIF($E1125, _xlfn.CONCAT("*",Table13[[#Headers],[Western]],"*")),1,0)</f>
        <v>0</v>
      </c>
    </row>
    <row r="1126" spans="1:27">
      <c r="A1126" t="s">
        <v>395</v>
      </c>
      <c r="B1126">
        <v>10</v>
      </c>
      <c r="C1126">
        <f>MAX(Table13[Rank])-Table13[[#This Row],[Rank]]</f>
        <v>254</v>
      </c>
      <c r="D1126" t="s">
        <v>994</v>
      </c>
      <c r="E1126" t="s">
        <v>152</v>
      </c>
      <c r="F1126" s="1">
        <v>15083</v>
      </c>
      <c r="G1126">
        <f>YEAR(Table13[[#This Row],[Date]])</f>
        <v>1941</v>
      </c>
      <c r="H1126" t="s">
        <v>395</v>
      </c>
      <c r="I1126">
        <f>IF(COUNTIF($E1126, _xlfn.CONCAT("*",Table13[[#Headers],[Action]],"*")),1,0)</f>
        <v>0</v>
      </c>
      <c r="J1126">
        <f>IF(COUNTIF($E1126, _xlfn.CONCAT("*",Table13[[#Headers],[Adventure]],"*")),1,0)</f>
        <v>0</v>
      </c>
      <c r="K1126">
        <f>IF(COUNTIF($E1126, _xlfn.CONCAT("*",Table13[[#Headers],[Animation]],"*")),1,0)</f>
        <v>0</v>
      </c>
      <c r="L1126">
        <f>IF(COUNTIF($E1126, _xlfn.CONCAT("*",Table13[[#Headers],[Comedy]],"*")),1,0)</f>
        <v>0</v>
      </c>
      <c r="M1126">
        <f>IF(COUNTIF($E1126, _xlfn.CONCAT("*",Table13[[#Headers],[Crime]],"*")),1,0)</f>
        <v>0</v>
      </c>
      <c r="N1126">
        <f>IF(COUNTIF($E1126, _xlfn.CONCAT("*",Table13[[#Headers],[Documentary]],"*")),1,0)</f>
        <v>0</v>
      </c>
      <c r="O1126">
        <f>IF(COUNTIF($E1126, _xlfn.CONCAT("*",Table13[[#Headers],[Drama]],"*")),1,0)</f>
        <v>1</v>
      </c>
      <c r="P1126">
        <f>IF(COUNTIF($E1126, _xlfn.CONCAT("*",Table13[[#Headers],[Family]],"*")),1,0)</f>
        <v>0</v>
      </c>
      <c r="Q1126">
        <f>IF(COUNTIF($E1126, _xlfn.CONCAT("*",Table13[[#Headers],[Fantasy]],"*")),1,0)</f>
        <v>0</v>
      </c>
      <c r="R1126">
        <f>IF(COUNTIF($E1126, _xlfn.CONCAT("*",Table13[[#Headers],[History]],"*")),1,0)</f>
        <v>0</v>
      </c>
      <c r="S1126">
        <f>IF(COUNTIF($E1126, _xlfn.CONCAT("*",Table13[[#Headers],[Horror]],"*")),1,0)</f>
        <v>0</v>
      </c>
      <c r="T1126">
        <f>IF(COUNTIF($E1126, _xlfn.CONCAT("*",Table13[[#Headers],[Music]],"*")),1,0)</f>
        <v>0</v>
      </c>
      <c r="U1126">
        <f>IF(COUNTIF($E1126, _xlfn.CONCAT("*",Table13[[#Headers],[Mystery]],"*")),1,0)</f>
        <v>1</v>
      </c>
      <c r="V1126">
        <f>IF(COUNTIF($E1126, _xlfn.CONCAT("*",Table13[[#Headers],[Romance]],"*")),1,0)</f>
        <v>0</v>
      </c>
      <c r="W1126">
        <f>IF(COUNTIF($E1126, _xlfn.CONCAT("*",Table13[[#Headers],[Science Fiction]],"*")),1,0)</f>
        <v>0</v>
      </c>
      <c r="X1126">
        <f>IF(COUNTIF($E1126, _xlfn.CONCAT("*",Table13[[#Headers],[TV Movie]],"*")),1,0)</f>
        <v>0</v>
      </c>
      <c r="Y1126">
        <f>IF(COUNTIF($E1126, _xlfn.CONCAT("*",Table13[[#Headers],[Thriller]],"*")),1,0)</f>
        <v>0</v>
      </c>
      <c r="Z1126">
        <f>IF(COUNTIF($E1126, _xlfn.CONCAT("*",Table13[[#Headers],[War]],"*")),1,0)</f>
        <v>0</v>
      </c>
      <c r="AA1126">
        <f>IF(COUNTIF($E1126, _xlfn.CONCAT("*",Table13[[#Headers],[Western]],"*")),1,0)</f>
        <v>0</v>
      </c>
    </row>
    <row r="1127" spans="1:27">
      <c r="A1127" t="s">
        <v>216</v>
      </c>
      <c r="B1127">
        <v>9</v>
      </c>
      <c r="C1127">
        <f>MAX(Table13[Rank])-Table13[[#This Row],[Rank]]</f>
        <v>255</v>
      </c>
      <c r="D1127" t="s">
        <v>994</v>
      </c>
      <c r="E1127" t="s">
        <v>217</v>
      </c>
      <c r="F1127" s="1">
        <v>34587</v>
      </c>
      <c r="G1127">
        <f>YEAR(Table13[[#This Row],[Date]])</f>
        <v>1994</v>
      </c>
      <c r="H1127" t="s">
        <v>216</v>
      </c>
      <c r="I1127">
        <f>IF(COUNTIF($E1127, _xlfn.CONCAT("*",Table13[[#Headers],[Action]],"*")),1,0)</f>
        <v>0</v>
      </c>
      <c r="J1127">
        <f>IF(COUNTIF($E1127, _xlfn.CONCAT("*",Table13[[#Headers],[Adventure]],"*")),1,0)</f>
        <v>0</v>
      </c>
      <c r="K1127">
        <f>IF(COUNTIF($E1127, _xlfn.CONCAT("*",Table13[[#Headers],[Animation]],"*")),1,0)</f>
        <v>0</v>
      </c>
      <c r="L1127">
        <f>IF(COUNTIF($E1127, _xlfn.CONCAT("*",Table13[[#Headers],[Comedy]],"*")),1,0)</f>
        <v>0</v>
      </c>
      <c r="M1127">
        <f>IF(COUNTIF($E1127, _xlfn.CONCAT("*",Table13[[#Headers],[Crime]],"*")),1,0)</f>
        <v>1</v>
      </c>
      <c r="N1127">
        <f>IF(COUNTIF($E1127, _xlfn.CONCAT("*",Table13[[#Headers],[Documentary]],"*")),1,0)</f>
        <v>0</v>
      </c>
      <c r="O1127">
        <f>IF(COUNTIF($E1127, _xlfn.CONCAT("*",Table13[[#Headers],[Drama]],"*")),1,0)</f>
        <v>0</v>
      </c>
      <c r="P1127">
        <f>IF(COUNTIF($E1127, _xlfn.CONCAT("*",Table13[[#Headers],[Family]],"*")),1,0)</f>
        <v>0</v>
      </c>
      <c r="Q1127">
        <f>IF(COUNTIF($E1127, _xlfn.CONCAT("*",Table13[[#Headers],[Fantasy]],"*")),1,0)</f>
        <v>0</v>
      </c>
      <c r="R1127">
        <f>IF(COUNTIF($E1127, _xlfn.CONCAT("*",Table13[[#Headers],[History]],"*")),1,0)</f>
        <v>0</v>
      </c>
      <c r="S1127">
        <f>IF(COUNTIF($E1127, _xlfn.CONCAT("*",Table13[[#Headers],[Horror]],"*")),1,0)</f>
        <v>0</v>
      </c>
      <c r="T1127">
        <f>IF(COUNTIF($E1127, _xlfn.CONCAT("*",Table13[[#Headers],[Music]],"*")),1,0)</f>
        <v>0</v>
      </c>
      <c r="U1127">
        <f>IF(COUNTIF($E1127, _xlfn.CONCAT("*",Table13[[#Headers],[Mystery]],"*")),1,0)</f>
        <v>0</v>
      </c>
      <c r="V1127">
        <f>IF(COUNTIF($E1127, _xlfn.CONCAT("*",Table13[[#Headers],[Romance]],"*")),1,0)</f>
        <v>0</v>
      </c>
      <c r="W1127">
        <f>IF(COUNTIF($E1127, _xlfn.CONCAT("*",Table13[[#Headers],[Science Fiction]],"*")),1,0)</f>
        <v>0</v>
      </c>
      <c r="X1127">
        <f>IF(COUNTIF($E1127, _xlfn.CONCAT("*",Table13[[#Headers],[TV Movie]],"*")),1,0)</f>
        <v>0</v>
      </c>
      <c r="Y1127">
        <f>IF(COUNTIF($E1127, _xlfn.CONCAT("*",Table13[[#Headers],[Thriller]],"*")),1,0)</f>
        <v>1</v>
      </c>
      <c r="Z1127">
        <f>IF(COUNTIF($E1127, _xlfn.CONCAT("*",Table13[[#Headers],[War]],"*")),1,0)</f>
        <v>0</v>
      </c>
      <c r="AA1127">
        <f>IF(COUNTIF($E1127, _xlfn.CONCAT("*",Table13[[#Headers],[Western]],"*")),1,0)</f>
        <v>0</v>
      </c>
    </row>
    <row r="1128" spans="1:27">
      <c r="A1128" t="s">
        <v>352</v>
      </c>
      <c r="B1128">
        <v>8</v>
      </c>
      <c r="C1128">
        <f>MAX(Table13[Rank])-Table13[[#This Row],[Rank]]</f>
        <v>256</v>
      </c>
      <c r="D1128" t="s">
        <v>994</v>
      </c>
      <c r="E1128" t="s">
        <v>353</v>
      </c>
      <c r="F1128" s="1">
        <v>11355</v>
      </c>
      <c r="G1128">
        <f>YEAR(Table13[[#This Row],[Date]])</f>
        <v>1931</v>
      </c>
      <c r="H1128" t="s">
        <v>352</v>
      </c>
      <c r="I1128">
        <f>IF(COUNTIF($E1128, _xlfn.CONCAT("*",Table13[[#Headers],[Action]],"*")),1,0)</f>
        <v>0</v>
      </c>
      <c r="J1128">
        <f>IF(COUNTIF($E1128, _xlfn.CONCAT("*",Table13[[#Headers],[Adventure]],"*")),1,0)</f>
        <v>0</v>
      </c>
      <c r="K1128">
        <f>IF(COUNTIF($E1128, _xlfn.CONCAT("*",Table13[[#Headers],[Animation]],"*")),1,0)</f>
        <v>0</v>
      </c>
      <c r="L1128">
        <f>IF(COUNTIF($E1128, _xlfn.CONCAT("*",Table13[[#Headers],[Comedy]],"*")),1,0)</f>
        <v>1</v>
      </c>
      <c r="M1128">
        <f>IF(COUNTIF($E1128, _xlfn.CONCAT("*",Table13[[#Headers],[Crime]],"*")),1,0)</f>
        <v>0</v>
      </c>
      <c r="N1128">
        <f>IF(COUNTIF($E1128, _xlfn.CONCAT("*",Table13[[#Headers],[Documentary]],"*")),1,0)</f>
        <v>0</v>
      </c>
      <c r="O1128">
        <f>IF(COUNTIF($E1128, _xlfn.CONCAT("*",Table13[[#Headers],[Drama]],"*")),1,0)</f>
        <v>1</v>
      </c>
      <c r="P1128">
        <f>IF(COUNTIF($E1128, _xlfn.CONCAT("*",Table13[[#Headers],[Family]],"*")),1,0)</f>
        <v>0</v>
      </c>
      <c r="Q1128">
        <f>IF(COUNTIF($E1128, _xlfn.CONCAT("*",Table13[[#Headers],[Fantasy]],"*")),1,0)</f>
        <v>0</v>
      </c>
      <c r="R1128">
        <f>IF(COUNTIF($E1128, _xlfn.CONCAT("*",Table13[[#Headers],[History]],"*")),1,0)</f>
        <v>0</v>
      </c>
      <c r="S1128">
        <f>IF(COUNTIF($E1128, _xlfn.CONCAT("*",Table13[[#Headers],[Horror]],"*")),1,0)</f>
        <v>0</v>
      </c>
      <c r="T1128">
        <f>IF(COUNTIF($E1128, _xlfn.CONCAT("*",Table13[[#Headers],[Music]],"*")),1,0)</f>
        <v>0</v>
      </c>
      <c r="U1128">
        <f>IF(COUNTIF($E1128, _xlfn.CONCAT("*",Table13[[#Headers],[Mystery]],"*")),1,0)</f>
        <v>0</v>
      </c>
      <c r="V1128">
        <f>IF(COUNTIF($E1128, _xlfn.CONCAT("*",Table13[[#Headers],[Romance]],"*")),1,0)</f>
        <v>1</v>
      </c>
      <c r="W1128">
        <f>IF(COUNTIF($E1128, _xlfn.CONCAT("*",Table13[[#Headers],[Science Fiction]],"*")),1,0)</f>
        <v>0</v>
      </c>
      <c r="X1128">
        <f>IF(COUNTIF($E1128, _xlfn.CONCAT("*",Table13[[#Headers],[TV Movie]],"*")),1,0)</f>
        <v>0</v>
      </c>
      <c r="Y1128">
        <f>IF(COUNTIF($E1128, _xlfn.CONCAT("*",Table13[[#Headers],[Thriller]],"*")),1,0)</f>
        <v>0</v>
      </c>
      <c r="Z1128">
        <f>IF(COUNTIF($E1128, _xlfn.CONCAT("*",Table13[[#Headers],[War]],"*")),1,0)</f>
        <v>0</v>
      </c>
      <c r="AA1128">
        <f>IF(COUNTIF($E1128, _xlfn.CONCAT("*",Table13[[#Headers],[Western]],"*")),1,0)</f>
        <v>0</v>
      </c>
    </row>
    <row r="1129" spans="1:27">
      <c r="A1129" t="s">
        <v>374</v>
      </c>
      <c r="B1129">
        <v>7</v>
      </c>
      <c r="C1129">
        <f>MAX(Table13[Rank])-Table13[[#This Row],[Rank]]</f>
        <v>257</v>
      </c>
      <c r="D1129" t="s">
        <v>994</v>
      </c>
      <c r="E1129" t="s">
        <v>375</v>
      </c>
      <c r="F1129" s="1">
        <v>19840</v>
      </c>
      <c r="G1129">
        <f>YEAR(Table13[[#This Row],[Date]])</f>
        <v>1954</v>
      </c>
      <c r="H1129" t="s">
        <v>374</v>
      </c>
      <c r="I1129">
        <f>IF(COUNTIF($E1129, _xlfn.CONCAT("*",Table13[[#Headers],[Action]],"*")),1,0)</f>
        <v>1</v>
      </c>
      <c r="J1129">
        <f>IF(COUNTIF($E1129, _xlfn.CONCAT("*",Table13[[#Headers],[Adventure]],"*")),1,0)</f>
        <v>0</v>
      </c>
      <c r="K1129">
        <f>IF(COUNTIF($E1129, _xlfn.CONCAT("*",Table13[[#Headers],[Animation]],"*")),1,0)</f>
        <v>0</v>
      </c>
      <c r="L1129">
        <f>IF(COUNTIF($E1129, _xlfn.CONCAT("*",Table13[[#Headers],[Comedy]],"*")),1,0)</f>
        <v>0</v>
      </c>
      <c r="M1129">
        <f>IF(COUNTIF($E1129, _xlfn.CONCAT("*",Table13[[#Headers],[Crime]],"*")),1,0)</f>
        <v>0</v>
      </c>
      <c r="N1129">
        <f>IF(COUNTIF($E1129, _xlfn.CONCAT("*",Table13[[#Headers],[Documentary]],"*")),1,0)</f>
        <v>0</v>
      </c>
      <c r="O1129">
        <f>IF(COUNTIF($E1129, _xlfn.CONCAT("*",Table13[[#Headers],[Drama]],"*")),1,0)</f>
        <v>1</v>
      </c>
      <c r="P1129">
        <f>IF(COUNTIF($E1129, _xlfn.CONCAT("*",Table13[[#Headers],[Family]],"*")),1,0)</f>
        <v>0</v>
      </c>
      <c r="Q1129">
        <f>IF(COUNTIF($E1129, _xlfn.CONCAT("*",Table13[[#Headers],[Fantasy]],"*")),1,0)</f>
        <v>0</v>
      </c>
      <c r="R1129">
        <f>IF(COUNTIF($E1129, _xlfn.CONCAT("*",Table13[[#Headers],[History]],"*")),1,0)</f>
        <v>0</v>
      </c>
      <c r="S1129">
        <f>IF(COUNTIF($E1129, _xlfn.CONCAT("*",Table13[[#Headers],[Horror]],"*")),1,0)</f>
        <v>0</v>
      </c>
      <c r="T1129">
        <f>IF(COUNTIF($E1129, _xlfn.CONCAT("*",Table13[[#Headers],[Music]],"*")),1,0)</f>
        <v>0</v>
      </c>
      <c r="U1129">
        <f>IF(COUNTIF($E1129, _xlfn.CONCAT("*",Table13[[#Headers],[Mystery]],"*")),1,0)</f>
        <v>0</v>
      </c>
      <c r="V1129">
        <f>IF(COUNTIF($E1129, _xlfn.CONCAT("*",Table13[[#Headers],[Romance]],"*")),1,0)</f>
        <v>0</v>
      </c>
      <c r="W1129">
        <f>IF(COUNTIF($E1129, _xlfn.CONCAT("*",Table13[[#Headers],[Science Fiction]],"*")),1,0)</f>
        <v>0</v>
      </c>
      <c r="X1129">
        <f>IF(COUNTIF($E1129, _xlfn.CONCAT("*",Table13[[#Headers],[TV Movie]],"*")),1,0)</f>
        <v>0</v>
      </c>
      <c r="Y1129">
        <f>IF(COUNTIF($E1129, _xlfn.CONCAT("*",Table13[[#Headers],[Thriller]],"*")),1,0)</f>
        <v>0</v>
      </c>
      <c r="Z1129">
        <f>IF(COUNTIF($E1129, _xlfn.CONCAT("*",Table13[[#Headers],[War]],"*")),1,0)</f>
        <v>0</v>
      </c>
      <c r="AA1129">
        <f>IF(COUNTIF($E1129, _xlfn.CONCAT("*",Table13[[#Headers],[Western]],"*")),1,0)</f>
        <v>0</v>
      </c>
    </row>
    <row r="1130" spans="1:27">
      <c r="A1130" t="s">
        <v>600</v>
      </c>
      <c r="B1130">
        <v>6</v>
      </c>
      <c r="C1130">
        <f>MAX(Table13[Rank])-Table13[[#This Row],[Rank]]</f>
        <v>258</v>
      </c>
      <c r="D1130" t="s">
        <v>994</v>
      </c>
      <c r="E1130" t="s">
        <v>186</v>
      </c>
      <c r="F1130" s="1">
        <v>34318</v>
      </c>
      <c r="G1130">
        <f>YEAR(Table13[[#This Row],[Date]])</f>
        <v>1993</v>
      </c>
      <c r="H1130" t="s">
        <v>600</v>
      </c>
      <c r="I1130">
        <f>IF(COUNTIF($E1130, _xlfn.CONCAT("*",Table13[[#Headers],[Action]],"*")),1,0)</f>
        <v>0</v>
      </c>
      <c r="J1130">
        <f>IF(COUNTIF($E1130, _xlfn.CONCAT("*",Table13[[#Headers],[Adventure]],"*")),1,0)</f>
        <v>0</v>
      </c>
      <c r="K1130">
        <f>IF(COUNTIF($E1130, _xlfn.CONCAT("*",Table13[[#Headers],[Animation]],"*")),1,0)</f>
        <v>0</v>
      </c>
      <c r="L1130">
        <f>IF(COUNTIF($E1130, _xlfn.CONCAT("*",Table13[[#Headers],[Comedy]],"*")),1,0)</f>
        <v>0</v>
      </c>
      <c r="M1130">
        <f>IF(COUNTIF($E1130, _xlfn.CONCAT("*",Table13[[#Headers],[Crime]],"*")),1,0)</f>
        <v>0</v>
      </c>
      <c r="N1130">
        <f>IF(COUNTIF($E1130, _xlfn.CONCAT("*",Table13[[#Headers],[Documentary]],"*")),1,0)</f>
        <v>0</v>
      </c>
      <c r="O1130">
        <f>IF(COUNTIF($E1130, _xlfn.CONCAT("*",Table13[[#Headers],[Drama]],"*")),1,0)</f>
        <v>1</v>
      </c>
      <c r="P1130">
        <f>IF(COUNTIF($E1130, _xlfn.CONCAT("*",Table13[[#Headers],[Family]],"*")),1,0)</f>
        <v>0</v>
      </c>
      <c r="Q1130">
        <f>IF(COUNTIF($E1130, _xlfn.CONCAT("*",Table13[[#Headers],[Fantasy]],"*")),1,0)</f>
        <v>0</v>
      </c>
      <c r="R1130">
        <f>IF(COUNTIF($E1130, _xlfn.CONCAT("*",Table13[[#Headers],[History]],"*")),1,0)</f>
        <v>1</v>
      </c>
      <c r="S1130">
        <f>IF(COUNTIF($E1130, _xlfn.CONCAT("*",Table13[[#Headers],[Horror]],"*")),1,0)</f>
        <v>0</v>
      </c>
      <c r="T1130">
        <f>IF(COUNTIF($E1130, _xlfn.CONCAT("*",Table13[[#Headers],[Music]],"*")),1,0)</f>
        <v>0</v>
      </c>
      <c r="U1130">
        <f>IF(COUNTIF($E1130, _xlfn.CONCAT("*",Table13[[#Headers],[Mystery]],"*")),1,0)</f>
        <v>0</v>
      </c>
      <c r="V1130">
        <f>IF(COUNTIF($E1130, _xlfn.CONCAT("*",Table13[[#Headers],[Romance]],"*")),1,0)</f>
        <v>0</v>
      </c>
      <c r="W1130">
        <f>IF(COUNTIF($E1130, _xlfn.CONCAT("*",Table13[[#Headers],[Science Fiction]],"*")),1,0)</f>
        <v>0</v>
      </c>
      <c r="X1130">
        <f>IF(COUNTIF($E1130, _xlfn.CONCAT("*",Table13[[#Headers],[TV Movie]],"*")),1,0)</f>
        <v>0</v>
      </c>
      <c r="Y1130">
        <f>IF(COUNTIF($E1130, _xlfn.CONCAT("*",Table13[[#Headers],[Thriller]],"*")),1,0)</f>
        <v>0</v>
      </c>
      <c r="Z1130">
        <f>IF(COUNTIF($E1130, _xlfn.CONCAT("*",Table13[[#Headers],[War]],"*")),1,0)</f>
        <v>1</v>
      </c>
      <c r="AA1130">
        <f>IF(COUNTIF($E1130, _xlfn.CONCAT("*",Table13[[#Headers],[Western]],"*")),1,0)</f>
        <v>0</v>
      </c>
    </row>
    <row r="1131" spans="1:27">
      <c r="A1131" t="s">
        <v>629</v>
      </c>
      <c r="B1131">
        <v>5</v>
      </c>
      <c r="C1131">
        <f>MAX(Table13[Rank])-Table13[[#This Row],[Rank]]</f>
        <v>259</v>
      </c>
      <c r="D1131" t="s">
        <v>994</v>
      </c>
      <c r="E1131" t="s">
        <v>618</v>
      </c>
      <c r="F1131" s="1">
        <v>37956</v>
      </c>
      <c r="G1131">
        <f>YEAR(Table13[[#This Row],[Date]])</f>
        <v>2003</v>
      </c>
      <c r="H1131" t="s">
        <v>629</v>
      </c>
      <c r="I1131">
        <f>IF(COUNTIF($E1131, _xlfn.CONCAT("*",Table13[[#Headers],[Action]],"*")),1,0)</f>
        <v>1</v>
      </c>
      <c r="J1131">
        <f>IF(COUNTIF($E1131, _xlfn.CONCAT("*",Table13[[#Headers],[Adventure]],"*")),1,0)</f>
        <v>1</v>
      </c>
      <c r="K1131">
        <f>IF(COUNTIF($E1131, _xlfn.CONCAT("*",Table13[[#Headers],[Animation]],"*")),1,0)</f>
        <v>0</v>
      </c>
      <c r="L1131">
        <f>IF(COUNTIF($E1131, _xlfn.CONCAT("*",Table13[[#Headers],[Comedy]],"*")),1,0)</f>
        <v>0</v>
      </c>
      <c r="M1131">
        <f>IF(COUNTIF($E1131, _xlfn.CONCAT("*",Table13[[#Headers],[Crime]],"*")),1,0)</f>
        <v>0</v>
      </c>
      <c r="N1131">
        <f>IF(COUNTIF($E1131, _xlfn.CONCAT("*",Table13[[#Headers],[Documentary]],"*")),1,0)</f>
        <v>0</v>
      </c>
      <c r="O1131">
        <f>IF(COUNTIF($E1131, _xlfn.CONCAT("*",Table13[[#Headers],[Drama]],"*")),1,0)</f>
        <v>0</v>
      </c>
      <c r="P1131">
        <f>IF(COUNTIF($E1131, _xlfn.CONCAT("*",Table13[[#Headers],[Family]],"*")),1,0)</f>
        <v>0</v>
      </c>
      <c r="Q1131">
        <f>IF(COUNTIF($E1131, _xlfn.CONCAT("*",Table13[[#Headers],[Fantasy]],"*")),1,0)</f>
        <v>1</v>
      </c>
      <c r="R1131">
        <f>IF(COUNTIF($E1131, _xlfn.CONCAT("*",Table13[[#Headers],[History]],"*")),1,0)</f>
        <v>0</v>
      </c>
      <c r="S1131">
        <f>IF(COUNTIF($E1131, _xlfn.CONCAT("*",Table13[[#Headers],[Horror]],"*")),1,0)</f>
        <v>0</v>
      </c>
      <c r="T1131">
        <f>IF(COUNTIF($E1131, _xlfn.CONCAT("*",Table13[[#Headers],[Music]],"*")),1,0)</f>
        <v>0</v>
      </c>
      <c r="U1131">
        <f>IF(COUNTIF($E1131, _xlfn.CONCAT("*",Table13[[#Headers],[Mystery]],"*")),1,0)</f>
        <v>0</v>
      </c>
      <c r="V1131">
        <f>IF(COUNTIF($E1131, _xlfn.CONCAT("*",Table13[[#Headers],[Romance]],"*")),1,0)</f>
        <v>0</v>
      </c>
      <c r="W1131">
        <f>IF(COUNTIF($E1131, _xlfn.CONCAT("*",Table13[[#Headers],[Science Fiction]],"*")),1,0)</f>
        <v>0</v>
      </c>
      <c r="X1131">
        <f>IF(COUNTIF($E1131, _xlfn.CONCAT("*",Table13[[#Headers],[TV Movie]],"*")),1,0)</f>
        <v>0</v>
      </c>
      <c r="Y1131">
        <f>IF(COUNTIF($E1131, _xlfn.CONCAT("*",Table13[[#Headers],[Thriller]],"*")),1,0)</f>
        <v>0</v>
      </c>
      <c r="Z1131">
        <f>IF(COUNTIF($E1131, _xlfn.CONCAT("*",Table13[[#Headers],[War]],"*")),1,0)</f>
        <v>0</v>
      </c>
      <c r="AA1131">
        <f>IF(COUNTIF($E1131, _xlfn.CONCAT("*",Table13[[#Headers],[Western]],"*")),1,0)</f>
        <v>0</v>
      </c>
    </row>
    <row r="1132" spans="1:27">
      <c r="A1132" t="s">
        <v>347</v>
      </c>
      <c r="B1132">
        <v>4</v>
      </c>
      <c r="C1132">
        <f>MAX(Table13[Rank])-Table13[[#This Row],[Rank]]</f>
        <v>260</v>
      </c>
      <c r="D1132" t="s">
        <v>994</v>
      </c>
      <c r="E1132" t="s">
        <v>315</v>
      </c>
      <c r="F1132" s="1">
        <v>19937</v>
      </c>
      <c r="G1132">
        <f>YEAR(Table13[[#This Row],[Date]])</f>
        <v>1954</v>
      </c>
      <c r="H1132" t="s">
        <v>347</v>
      </c>
      <c r="I1132">
        <f>IF(COUNTIF($E1132, _xlfn.CONCAT("*",Table13[[#Headers],[Action]],"*")),1,0)</f>
        <v>0</v>
      </c>
      <c r="J1132">
        <f>IF(COUNTIF($E1132, _xlfn.CONCAT("*",Table13[[#Headers],[Adventure]],"*")),1,0)</f>
        <v>0</v>
      </c>
      <c r="K1132">
        <f>IF(COUNTIF($E1132, _xlfn.CONCAT("*",Table13[[#Headers],[Animation]],"*")),1,0)</f>
        <v>0</v>
      </c>
      <c r="L1132">
        <f>IF(COUNTIF($E1132, _xlfn.CONCAT("*",Table13[[#Headers],[Comedy]],"*")),1,0)</f>
        <v>0</v>
      </c>
      <c r="M1132">
        <f>IF(COUNTIF($E1132, _xlfn.CONCAT("*",Table13[[#Headers],[Crime]],"*")),1,0)</f>
        <v>0</v>
      </c>
      <c r="N1132">
        <f>IF(COUNTIF($E1132, _xlfn.CONCAT("*",Table13[[#Headers],[Documentary]],"*")),1,0)</f>
        <v>0</v>
      </c>
      <c r="O1132">
        <f>IF(COUNTIF($E1132, _xlfn.CONCAT("*",Table13[[#Headers],[Drama]],"*")),1,0)</f>
        <v>0</v>
      </c>
      <c r="P1132">
        <f>IF(COUNTIF($E1132, _xlfn.CONCAT("*",Table13[[#Headers],[Family]],"*")),1,0)</f>
        <v>0</v>
      </c>
      <c r="Q1132">
        <f>IF(COUNTIF($E1132, _xlfn.CONCAT("*",Table13[[#Headers],[Fantasy]],"*")),1,0)</f>
        <v>0</v>
      </c>
      <c r="R1132">
        <f>IF(COUNTIF($E1132, _xlfn.CONCAT("*",Table13[[#Headers],[History]],"*")),1,0)</f>
        <v>0</v>
      </c>
      <c r="S1132">
        <f>IF(COUNTIF($E1132, _xlfn.CONCAT("*",Table13[[#Headers],[Horror]],"*")),1,0)</f>
        <v>0</v>
      </c>
      <c r="T1132">
        <f>IF(COUNTIF($E1132, _xlfn.CONCAT("*",Table13[[#Headers],[Music]],"*")),1,0)</f>
        <v>0</v>
      </c>
      <c r="U1132">
        <f>IF(COUNTIF($E1132, _xlfn.CONCAT("*",Table13[[#Headers],[Mystery]],"*")),1,0)</f>
        <v>1</v>
      </c>
      <c r="V1132">
        <f>IF(COUNTIF($E1132, _xlfn.CONCAT("*",Table13[[#Headers],[Romance]],"*")),1,0)</f>
        <v>0</v>
      </c>
      <c r="W1132">
        <f>IF(COUNTIF($E1132, _xlfn.CONCAT("*",Table13[[#Headers],[Science Fiction]],"*")),1,0)</f>
        <v>0</v>
      </c>
      <c r="X1132">
        <f>IF(COUNTIF($E1132, _xlfn.CONCAT("*",Table13[[#Headers],[TV Movie]],"*")),1,0)</f>
        <v>0</v>
      </c>
      <c r="Y1132">
        <f>IF(COUNTIF($E1132, _xlfn.CONCAT("*",Table13[[#Headers],[Thriller]],"*")),1,0)</f>
        <v>1</v>
      </c>
      <c r="Z1132">
        <f>IF(COUNTIF($E1132, _xlfn.CONCAT("*",Table13[[#Headers],[War]],"*")),1,0)</f>
        <v>0</v>
      </c>
      <c r="AA1132">
        <f>IF(COUNTIF($E1132, _xlfn.CONCAT("*",Table13[[#Headers],[Western]],"*")),1,0)</f>
        <v>0</v>
      </c>
    </row>
    <row r="1133" spans="1:27">
      <c r="A1133" t="s">
        <v>317</v>
      </c>
      <c r="B1133">
        <v>3</v>
      </c>
      <c r="C1133">
        <f>MAX(Table13[Rank])-Table13[[#This Row],[Rank]]</f>
        <v>261</v>
      </c>
      <c r="D1133" t="s">
        <v>994</v>
      </c>
      <c r="E1133" t="s">
        <v>35</v>
      </c>
      <c r="F1133" s="1">
        <v>15721</v>
      </c>
      <c r="G1133">
        <f>YEAR(Table13[[#This Row],[Date]])</f>
        <v>1943</v>
      </c>
      <c r="H1133" t="s">
        <v>317</v>
      </c>
      <c r="I1133">
        <f>IF(COUNTIF($E1133, _xlfn.CONCAT("*",Table13[[#Headers],[Action]],"*")),1,0)</f>
        <v>0</v>
      </c>
      <c r="J1133">
        <f>IF(COUNTIF($E1133, _xlfn.CONCAT("*",Table13[[#Headers],[Adventure]],"*")),1,0)</f>
        <v>0</v>
      </c>
      <c r="K1133">
        <f>IF(COUNTIF($E1133, _xlfn.CONCAT("*",Table13[[#Headers],[Animation]],"*")),1,0)</f>
        <v>0</v>
      </c>
      <c r="L1133">
        <f>IF(COUNTIF($E1133, _xlfn.CONCAT("*",Table13[[#Headers],[Comedy]],"*")),1,0)</f>
        <v>0</v>
      </c>
      <c r="M1133">
        <f>IF(COUNTIF($E1133, _xlfn.CONCAT("*",Table13[[#Headers],[Crime]],"*")),1,0)</f>
        <v>0</v>
      </c>
      <c r="N1133">
        <f>IF(COUNTIF($E1133, _xlfn.CONCAT("*",Table13[[#Headers],[Documentary]],"*")),1,0)</f>
        <v>0</v>
      </c>
      <c r="O1133">
        <f>IF(COUNTIF($E1133, _xlfn.CONCAT("*",Table13[[#Headers],[Drama]],"*")),1,0)</f>
        <v>1</v>
      </c>
      <c r="P1133">
        <f>IF(COUNTIF($E1133, _xlfn.CONCAT("*",Table13[[#Headers],[Family]],"*")),1,0)</f>
        <v>0</v>
      </c>
      <c r="Q1133">
        <f>IF(COUNTIF($E1133, _xlfn.CONCAT("*",Table13[[#Headers],[Fantasy]],"*")),1,0)</f>
        <v>0</v>
      </c>
      <c r="R1133">
        <f>IF(COUNTIF($E1133, _xlfn.CONCAT("*",Table13[[#Headers],[History]],"*")),1,0)</f>
        <v>0</v>
      </c>
      <c r="S1133">
        <f>IF(COUNTIF($E1133, _xlfn.CONCAT("*",Table13[[#Headers],[Horror]],"*")),1,0)</f>
        <v>0</v>
      </c>
      <c r="T1133">
        <f>IF(COUNTIF($E1133, _xlfn.CONCAT("*",Table13[[#Headers],[Music]],"*")),1,0)</f>
        <v>0</v>
      </c>
      <c r="U1133">
        <f>IF(COUNTIF($E1133, _xlfn.CONCAT("*",Table13[[#Headers],[Mystery]],"*")),1,0)</f>
        <v>0</v>
      </c>
      <c r="V1133">
        <f>IF(COUNTIF($E1133, _xlfn.CONCAT("*",Table13[[#Headers],[Romance]],"*")),1,0)</f>
        <v>1</v>
      </c>
      <c r="W1133">
        <f>IF(COUNTIF($E1133, _xlfn.CONCAT("*",Table13[[#Headers],[Science Fiction]],"*")),1,0)</f>
        <v>0</v>
      </c>
      <c r="X1133">
        <f>IF(COUNTIF($E1133, _xlfn.CONCAT("*",Table13[[#Headers],[TV Movie]],"*")),1,0)</f>
        <v>0</v>
      </c>
      <c r="Y1133">
        <f>IF(COUNTIF($E1133, _xlfn.CONCAT("*",Table13[[#Headers],[Thriller]],"*")),1,0)</f>
        <v>0</v>
      </c>
      <c r="Z1133">
        <f>IF(COUNTIF($E1133, _xlfn.CONCAT("*",Table13[[#Headers],[War]],"*")),1,0)</f>
        <v>0</v>
      </c>
      <c r="AA1133">
        <f>IF(COUNTIF($E1133, _xlfn.CONCAT("*",Table13[[#Headers],[Western]],"*")),1,0)</f>
        <v>0</v>
      </c>
    </row>
    <row r="1134" spans="1:27">
      <c r="A1134" t="s">
        <v>420</v>
      </c>
      <c r="B1134">
        <v>2</v>
      </c>
      <c r="C1134">
        <f>MAX(Table13[Rank])-Table13[[#This Row],[Rank]]</f>
        <v>262</v>
      </c>
      <c r="D1134" t="s">
        <v>994</v>
      </c>
      <c r="E1134" t="s">
        <v>21</v>
      </c>
      <c r="F1134" s="1">
        <v>20920</v>
      </c>
      <c r="G1134">
        <f>YEAR(Table13[[#This Row],[Date]])</f>
        <v>1957</v>
      </c>
      <c r="H1134" t="s">
        <v>420</v>
      </c>
      <c r="I1134">
        <f>IF(COUNTIF($E1134, _xlfn.CONCAT("*",Table13[[#Headers],[Action]],"*")),1,0)</f>
        <v>0</v>
      </c>
      <c r="J1134">
        <f>IF(COUNTIF($E1134, _xlfn.CONCAT("*",Table13[[#Headers],[Adventure]],"*")),1,0)</f>
        <v>0</v>
      </c>
      <c r="K1134">
        <f>IF(COUNTIF($E1134, _xlfn.CONCAT("*",Table13[[#Headers],[Animation]],"*")),1,0)</f>
        <v>0</v>
      </c>
      <c r="L1134">
        <f>IF(COUNTIF($E1134, _xlfn.CONCAT("*",Table13[[#Headers],[Comedy]],"*")),1,0)</f>
        <v>0</v>
      </c>
      <c r="M1134">
        <f>IF(COUNTIF($E1134, _xlfn.CONCAT("*",Table13[[#Headers],[Crime]],"*")),1,0)</f>
        <v>0</v>
      </c>
      <c r="N1134">
        <f>IF(COUNTIF($E1134, _xlfn.CONCAT("*",Table13[[#Headers],[Documentary]],"*")),1,0)</f>
        <v>0</v>
      </c>
      <c r="O1134">
        <f>IF(COUNTIF($E1134, _xlfn.CONCAT("*",Table13[[#Headers],[Drama]],"*")),1,0)</f>
        <v>1</v>
      </c>
      <c r="P1134">
        <f>IF(COUNTIF($E1134, _xlfn.CONCAT("*",Table13[[#Headers],[Family]],"*")),1,0)</f>
        <v>0</v>
      </c>
      <c r="Q1134">
        <f>IF(COUNTIF($E1134, _xlfn.CONCAT("*",Table13[[#Headers],[Fantasy]],"*")),1,0)</f>
        <v>0</v>
      </c>
      <c r="R1134">
        <f>IF(COUNTIF($E1134, _xlfn.CONCAT("*",Table13[[#Headers],[History]],"*")),1,0)</f>
        <v>0</v>
      </c>
      <c r="S1134">
        <f>IF(COUNTIF($E1134, _xlfn.CONCAT("*",Table13[[#Headers],[Horror]],"*")),1,0)</f>
        <v>0</v>
      </c>
      <c r="T1134">
        <f>IF(COUNTIF($E1134, _xlfn.CONCAT("*",Table13[[#Headers],[Music]],"*")),1,0)</f>
        <v>0</v>
      </c>
      <c r="U1134">
        <f>IF(COUNTIF($E1134, _xlfn.CONCAT("*",Table13[[#Headers],[Mystery]],"*")),1,0)</f>
        <v>0</v>
      </c>
      <c r="V1134">
        <f>IF(COUNTIF($E1134, _xlfn.CONCAT("*",Table13[[#Headers],[Romance]],"*")),1,0)</f>
        <v>0</v>
      </c>
      <c r="W1134">
        <f>IF(COUNTIF($E1134, _xlfn.CONCAT("*",Table13[[#Headers],[Science Fiction]],"*")),1,0)</f>
        <v>0</v>
      </c>
      <c r="X1134">
        <f>IF(COUNTIF($E1134, _xlfn.CONCAT("*",Table13[[#Headers],[TV Movie]],"*")),1,0)</f>
        <v>0</v>
      </c>
      <c r="Y1134">
        <f>IF(COUNTIF($E1134, _xlfn.CONCAT("*",Table13[[#Headers],[Thriller]],"*")),1,0)</f>
        <v>0</v>
      </c>
      <c r="Z1134">
        <f>IF(COUNTIF($E1134, _xlfn.CONCAT("*",Table13[[#Headers],[War]],"*")),1,0)</f>
        <v>0</v>
      </c>
      <c r="AA1134">
        <f>IF(COUNTIF($E1134, _xlfn.CONCAT("*",Table13[[#Headers],[Western]],"*")),1,0)</f>
        <v>0</v>
      </c>
    </row>
    <row r="1135" spans="1:27">
      <c r="A1135" t="s">
        <v>384</v>
      </c>
      <c r="B1135">
        <v>1</v>
      </c>
      <c r="C1135">
        <f>MAX(Table13[Rank])-Table13[[#This Row],[Rank]]</f>
        <v>263</v>
      </c>
      <c r="D1135" t="s">
        <v>994</v>
      </c>
      <c r="E1135" t="s">
        <v>166</v>
      </c>
      <c r="F1135" s="1">
        <v>26372</v>
      </c>
      <c r="G1135">
        <f>YEAR(Table13[[#This Row],[Date]])</f>
        <v>1972</v>
      </c>
      <c r="H1135" t="s">
        <v>384</v>
      </c>
      <c r="I1135">
        <f>IF(COUNTIF($E1135, _xlfn.CONCAT("*",Table13[[#Headers],[Action]],"*")),1,0)</f>
        <v>0</v>
      </c>
      <c r="J1135">
        <f>IF(COUNTIF($E1135, _xlfn.CONCAT("*",Table13[[#Headers],[Adventure]],"*")),1,0)</f>
        <v>0</v>
      </c>
      <c r="K1135">
        <f>IF(COUNTIF($E1135, _xlfn.CONCAT("*",Table13[[#Headers],[Animation]],"*")),1,0)</f>
        <v>0</v>
      </c>
      <c r="L1135">
        <f>IF(COUNTIF($E1135, _xlfn.CONCAT("*",Table13[[#Headers],[Comedy]],"*")),1,0)</f>
        <v>0</v>
      </c>
      <c r="M1135">
        <f>IF(COUNTIF($E1135, _xlfn.CONCAT("*",Table13[[#Headers],[Crime]],"*")),1,0)</f>
        <v>1</v>
      </c>
      <c r="N1135">
        <f>IF(COUNTIF($E1135, _xlfn.CONCAT("*",Table13[[#Headers],[Documentary]],"*")),1,0)</f>
        <v>0</v>
      </c>
      <c r="O1135">
        <f>IF(COUNTIF($E1135, _xlfn.CONCAT("*",Table13[[#Headers],[Drama]],"*")),1,0)</f>
        <v>1</v>
      </c>
      <c r="P1135">
        <f>IF(COUNTIF($E1135, _xlfn.CONCAT("*",Table13[[#Headers],[Family]],"*")),1,0)</f>
        <v>0</v>
      </c>
      <c r="Q1135">
        <f>IF(COUNTIF($E1135, _xlfn.CONCAT("*",Table13[[#Headers],[Fantasy]],"*")),1,0)</f>
        <v>0</v>
      </c>
      <c r="R1135">
        <f>IF(COUNTIF($E1135, _xlfn.CONCAT("*",Table13[[#Headers],[History]],"*")),1,0)</f>
        <v>0</v>
      </c>
      <c r="S1135">
        <f>IF(COUNTIF($E1135, _xlfn.CONCAT("*",Table13[[#Headers],[Horror]],"*")),1,0)</f>
        <v>0</v>
      </c>
      <c r="T1135">
        <f>IF(COUNTIF($E1135, _xlfn.CONCAT("*",Table13[[#Headers],[Music]],"*")),1,0)</f>
        <v>0</v>
      </c>
      <c r="U1135">
        <f>IF(COUNTIF($E1135, _xlfn.CONCAT("*",Table13[[#Headers],[Mystery]],"*")),1,0)</f>
        <v>0</v>
      </c>
      <c r="V1135">
        <f>IF(COUNTIF($E1135, _xlfn.CONCAT("*",Table13[[#Headers],[Romance]],"*")),1,0)</f>
        <v>0</v>
      </c>
      <c r="W1135">
        <f>IF(COUNTIF($E1135, _xlfn.CONCAT("*",Table13[[#Headers],[Science Fiction]],"*")),1,0)</f>
        <v>0</v>
      </c>
      <c r="X1135">
        <f>IF(COUNTIF($E1135, _xlfn.CONCAT("*",Table13[[#Headers],[TV Movie]],"*")),1,0)</f>
        <v>0</v>
      </c>
      <c r="Y1135">
        <f>IF(COUNTIF($E1135, _xlfn.CONCAT("*",Table13[[#Headers],[Thriller]],"*")),1,0)</f>
        <v>0</v>
      </c>
      <c r="Z1135">
        <f>IF(COUNTIF($E1135, _xlfn.CONCAT("*",Table13[[#Headers],[War]],"*")),1,0)</f>
        <v>0</v>
      </c>
      <c r="AA1135">
        <f>IF(COUNTIF($E1135, _xlfn.CONCAT("*",Table13[[#Headers],[Western]],"*")),1,0)</f>
        <v>0</v>
      </c>
    </row>
    <row r="1136" spans="1:27">
      <c r="A1136" t="s">
        <v>1021</v>
      </c>
      <c r="B1136">
        <v>1</v>
      </c>
      <c r="C1136">
        <f>MAX(Table13[Rank])-Table13[[#This Row],[Rank]]</f>
        <v>263</v>
      </c>
      <c r="D1136" t="s">
        <v>1022</v>
      </c>
      <c r="E1136" t="s">
        <v>392</v>
      </c>
      <c r="F1136" s="1">
        <v>24930</v>
      </c>
      <c r="G1136">
        <f>YEAR(Table13[[#This Row],[Date]])</f>
        <v>1968</v>
      </c>
      <c r="H1136" t="s">
        <v>391</v>
      </c>
      <c r="I1136">
        <f>IF(COUNTIF($E1136, _xlfn.CONCAT("*",Table13[[#Headers],[Action]],"*")),1,0)</f>
        <v>0</v>
      </c>
      <c r="J1136">
        <f>IF(COUNTIF($E1136, _xlfn.CONCAT("*",Table13[[#Headers],[Adventure]],"*")),1,0)</f>
        <v>1</v>
      </c>
      <c r="K1136">
        <f>IF(COUNTIF($E1136, _xlfn.CONCAT("*",Table13[[#Headers],[Animation]],"*")),1,0)</f>
        <v>0</v>
      </c>
      <c r="L1136">
        <f>IF(COUNTIF($E1136, _xlfn.CONCAT("*",Table13[[#Headers],[Comedy]],"*")),1,0)</f>
        <v>0</v>
      </c>
      <c r="M1136">
        <f>IF(COUNTIF($E1136, _xlfn.CONCAT("*",Table13[[#Headers],[Crime]],"*")),1,0)</f>
        <v>0</v>
      </c>
      <c r="N1136">
        <f>IF(COUNTIF($E1136, _xlfn.CONCAT("*",Table13[[#Headers],[Documentary]],"*")),1,0)</f>
        <v>0</v>
      </c>
      <c r="O1136">
        <f>IF(COUNTIF($E1136, _xlfn.CONCAT("*",Table13[[#Headers],[Drama]],"*")),1,0)</f>
        <v>0</v>
      </c>
      <c r="P1136">
        <f>IF(COUNTIF($E1136, _xlfn.CONCAT("*",Table13[[#Headers],[Family]],"*")),1,0)</f>
        <v>0</v>
      </c>
      <c r="Q1136">
        <f>IF(COUNTIF($E1136, _xlfn.CONCAT("*",Table13[[#Headers],[Fantasy]],"*")),1,0)</f>
        <v>0</v>
      </c>
      <c r="R1136">
        <f>IF(COUNTIF($E1136, _xlfn.CONCAT("*",Table13[[#Headers],[History]],"*")),1,0)</f>
        <v>0</v>
      </c>
      <c r="S1136">
        <f>IF(COUNTIF($E1136, _xlfn.CONCAT("*",Table13[[#Headers],[Horror]],"*")),1,0)</f>
        <v>0</v>
      </c>
      <c r="T1136">
        <f>IF(COUNTIF($E1136, _xlfn.CONCAT("*",Table13[[#Headers],[Music]],"*")),1,0)</f>
        <v>0</v>
      </c>
      <c r="U1136">
        <f>IF(COUNTIF($E1136, _xlfn.CONCAT("*",Table13[[#Headers],[Mystery]],"*")),1,0)</f>
        <v>1</v>
      </c>
      <c r="V1136">
        <f>IF(COUNTIF($E1136, _xlfn.CONCAT("*",Table13[[#Headers],[Romance]],"*")),1,0)</f>
        <v>0</v>
      </c>
      <c r="W1136">
        <f>IF(COUNTIF($E1136, _xlfn.CONCAT("*",Table13[[#Headers],[Science Fiction]],"*")),1,0)</f>
        <v>1</v>
      </c>
      <c r="X1136">
        <f>IF(COUNTIF($E1136, _xlfn.CONCAT("*",Table13[[#Headers],[TV Movie]],"*")),1,0)</f>
        <v>0</v>
      </c>
      <c r="Y1136">
        <f>IF(COUNTIF($E1136, _xlfn.CONCAT("*",Table13[[#Headers],[Thriller]],"*")),1,0)</f>
        <v>0</v>
      </c>
      <c r="Z1136">
        <f>IF(COUNTIF($E1136, _xlfn.CONCAT("*",Table13[[#Headers],[War]],"*")),1,0)</f>
        <v>0</v>
      </c>
      <c r="AA1136">
        <f>IF(COUNTIF($E1136, _xlfn.CONCAT("*",Table13[[#Headers],[Western]],"*")),1,0)</f>
        <v>0</v>
      </c>
    </row>
    <row r="1137" spans="1:27">
      <c r="A1137" t="s">
        <v>1023</v>
      </c>
      <c r="B1137">
        <v>2</v>
      </c>
      <c r="C1137">
        <f>MAX(Table13[Rank])-Table13[[#This Row],[Rank]]</f>
        <v>262</v>
      </c>
      <c r="D1137" t="s">
        <v>1022</v>
      </c>
      <c r="E1137" t="s">
        <v>166</v>
      </c>
      <c r="F1137" s="1">
        <v>26372</v>
      </c>
      <c r="G1137">
        <f>YEAR(Table13[[#This Row],[Date]])</f>
        <v>1972</v>
      </c>
      <c r="H1137" t="s">
        <v>384</v>
      </c>
      <c r="I1137">
        <f>IF(COUNTIF($E1137, _xlfn.CONCAT("*",Table13[[#Headers],[Action]],"*")),1,0)</f>
        <v>0</v>
      </c>
      <c r="J1137">
        <f>IF(COUNTIF($E1137, _xlfn.CONCAT("*",Table13[[#Headers],[Adventure]],"*")),1,0)</f>
        <v>0</v>
      </c>
      <c r="K1137">
        <f>IF(COUNTIF($E1137, _xlfn.CONCAT("*",Table13[[#Headers],[Animation]],"*")),1,0)</f>
        <v>0</v>
      </c>
      <c r="L1137">
        <f>IF(COUNTIF($E1137, _xlfn.CONCAT("*",Table13[[#Headers],[Comedy]],"*")),1,0)</f>
        <v>0</v>
      </c>
      <c r="M1137">
        <f>IF(COUNTIF($E1137, _xlfn.CONCAT("*",Table13[[#Headers],[Crime]],"*")),1,0)</f>
        <v>1</v>
      </c>
      <c r="N1137">
        <f>IF(COUNTIF($E1137, _xlfn.CONCAT("*",Table13[[#Headers],[Documentary]],"*")),1,0)</f>
        <v>0</v>
      </c>
      <c r="O1137">
        <f>IF(COUNTIF($E1137, _xlfn.CONCAT("*",Table13[[#Headers],[Drama]],"*")),1,0)</f>
        <v>1</v>
      </c>
      <c r="P1137">
        <f>IF(COUNTIF($E1137, _xlfn.CONCAT("*",Table13[[#Headers],[Family]],"*")),1,0)</f>
        <v>0</v>
      </c>
      <c r="Q1137">
        <f>IF(COUNTIF($E1137, _xlfn.CONCAT("*",Table13[[#Headers],[Fantasy]],"*")),1,0)</f>
        <v>0</v>
      </c>
      <c r="R1137">
        <f>IF(COUNTIF($E1137, _xlfn.CONCAT("*",Table13[[#Headers],[History]],"*")),1,0)</f>
        <v>0</v>
      </c>
      <c r="S1137">
        <f>IF(COUNTIF($E1137, _xlfn.CONCAT("*",Table13[[#Headers],[Horror]],"*")),1,0)</f>
        <v>0</v>
      </c>
      <c r="T1137">
        <f>IF(COUNTIF($E1137, _xlfn.CONCAT("*",Table13[[#Headers],[Music]],"*")),1,0)</f>
        <v>0</v>
      </c>
      <c r="U1137">
        <f>IF(COUNTIF($E1137, _xlfn.CONCAT("*",Table13[[#Headers],[Mystery]],"*")),1,0)</f>
        <v>0</v>
      </c>
      <c r="V1137">
        <f>IF(COUNTIF($E1137, _xlfn.CONCAT("*",Table13[[#Headers],[Romance]],"*")),1,0)</f>
        <v>0</v>
      </c>
      <c r="W1137">
        <f>IF(COUNTIF($E1137, _xlfn.CONCAT("*",Table13[[#Headers],[Science Fiction]],"*")),1,0)</f>
        <v>0</v>
      </c>
      <c r="X1137">
        <f>IF(COUNTIF($E1137, _xlfn.CONCAT("*",Table13[[#Headers],[TV Movie]],"*")),1,0)</f>
        <v>0</v>
      </c>
      <c r="Y1137">
        <f>IF(COUNTIF($E1137, _xlfn.CONCAT("*",Table13[[#Headers],[Thriller]],"*")),1,0)</f>
        <v>0</v>
      </c>
      <c r="Z1137">
        <f>IF(COUNTIF($E1137, _xlfn.CONCAT("*",Table13[[#Headers],[War]],"*")),1,0)</f>
        <v>0</v>
      </c>
      <c r="AA1137">
        <f>IF(COUNTIF($E1137, _xlfn.CONCAT("*",Table13[[#Headers],[Western]],"*")),1,0)</f>
        <v>0</v>
      </c>
    </row>
    <row r="1138" spans="1:27">
      <c r="A1138" t="s">
        <v>1024</v>
      </c>
      <c r="B1138">
        <v>3</v>
      </c>
      <c r="C1138">
        <f>MAX(Table13[Rank])-Table13[[#This Row],[Rank]]</f>
        <v>261</v>
      </c>
      <c r="D1138" t="s">
        <v>1022</v>
      </c>
      <c r="E1138" t="s">
        <v>152</v>
      </c>
      <c r="F1138" s="1">
        <v>15083</v>
      </c>
      <c r="G1138">
        <f>YEAR(Table13[[#This Row],[Date]])</f>
        <v>1941</v>
      </c>
      <c r="H1138" t="s">
        <v>395</v>
      </c>
      <c r="I1138">
        <f>IF(COUNTIF($E1138, _xlfn.CONCAT("*",Table13[[#Headers],[Action]],"*")),1,0)</f>
        <v>0</v>
      </c>
      <c r="J1138">
        <f>IF(COUNTIF($E1138, _xlfn.CONCAT("*",Table13[[#Headers],[Adventure]],"*")),1,0)</f>
        <v>0</v>
      </c>
      <c r="K1138">
        <f>IF(COUNTIF($E1138, _xlfn.CONCAT("*",Table13[[#Headers],[Animation]],"*")),1,0)</f>
        <v>0</v>
      </c>
      <c r="L1138">
        <f>IF(COUNTIF($E1138, _xlfn.CONCAT("*",Table13[[#Headers],[Comedy]],"*")),1,0)</f>
        <v>0</v>
      </c>
      <c r="M1138">
        <f>IF(COUNTIF($E1138, _xlfn.CONCAT("*",Table13[[#Headers],[Crime]],"*")),1,0)</f>
        <v>0</v>
      </c>
      <c r="N1138">
        <f>IF(COUNTIF($E1138, _xlfn.CONCAT("*",Table13[[#Headers],[Documentary]],"*")),1,0)</f>
        <v>0</v>
      </c>
      <c r="O1138">
        <f>IF(COUNTIF($E1138, _xlfn.CONCAT("*",Table13[[#Headers],[Drama]],"*")),1,0)</f>
        <v>1</v>
      </c>
      <c r="P1138">
        <f>IF(COUNTIF($E1138, _xlfn.CONCAT("*",Table13[[#Headers],[Family]],"*")),1,0)</f>
        <v>0</v>
      </c>
      <c r="Q1138">
        <f>IF(COUNTIF($E1138, _xlfn.CONCAT("*",Table13[[#Headers],[Fantasy]],"*")),1,0)</f>
        <v>0</v>
      </c>
      <c r="R1138">
        <f>IF(COUNTIF($E1138, _xlfn.CONCAT("*",Table13[[#Headers],[History]],"*")),1,0)</f>
        <v>0</v>
      </c>
      <c r="S1138">
        <f>IF(COUNTIF($E1138, _xlfn.CONCAT("*",Table13[[#Headers],[Horror]],"*")),1,0)</f>
        <v>0</v>
      </c>
      <c r="T1138">
        <f>IF(COUNTIF($E1138, _xlfn.CONCAT("*",Table13[[#Headers],[Music]],"*")),1,0)</f>
        <v>0</v>
      </c>
      <c r="U1138">
        <f>IF(COUNTIF($E1138, _xlfn.CONCAT("*",Table13[[#Headers],[Mystery]],"*")),1,0)</f>
        <v>1</v>
      </c>
      <c r="V1138">
        <f>IF(COUNTIF($E1138, _xlfn.CONCAT("*",Table13[[#Headers],[Romance]],"*")),1,0)</f>
        <v>0</v>
      </c>
      <c r="W1138">
        <f>IF(COUNTIF($E1138, _xlfn.CONCAT("*",Table13[[#Headers],[Science Fiction]],"*")),1,0)</f>
        <v>0</v>
      </c>
      <c r="X1138">
        <f>IF(COUNTIF($E1138, _xlfn.CONCAT("*",Table13[[#Headers],[TV Movie]],"*")),1,0)</f>
        <v>0</v>
      </c>
      <c r="Y1138">
        <f>IF(COUNTIF($E1138, _xlfn.CONCAT("*",Table13[[#Headers],[Thriller]],"*")),1,0)</f>
        <v>0</v>
      </c>
      <c r="Z1138">
        <f>IF(COUNTIF($E1138, _xlfn.CONCAT("*",Table13[[#Headers],[War]],"*")),1,0)</f>
        <v>0</v>
      </c>
      <c r="AA1138">
        <f>IF(COUNTIF($E1138, _xlfn.CONCAT("*",Table13[[#Headers],[Western]],"*")),1,0)</f>
        <v>0</v>
      </c>
    </row>
    <row r="1139" spans="1:27">
      <c r="A1139" t="s">
        <v>1025</v>
      </c>
      <c r="B1139">
        <v>4</v>
      </c>
      <c r="C1139">
        <f>MAX(Table13[Rank])-Table13[[#This Row],[Rank]]</f>
        <v>260</v>
      </c>
      <c r="D1139" t="s">
        <v>1022</v>
      </c>
      <c r="E1139" t="s">
        <v>21</v>
      </c>
      <c r="F1139" s="1">
        <v>27780</v>
      </c>
      <c r="G1139">
        <f>YEAR(Table13[[#This Row],[Date]])</f>
        <v>1976</v>
      </c>
      <c r="H1139" t="s">
        <v>399</v>
      </c>
      <c r="I1139">
        <f>IF(COUNTIF($E1139, _xlfn.CONCAT("*",Table13[[#Headers],[Action]],"*")),1,0)</f>
        <v>0</v>
      </c>
      <c r="J1139">
        <f>IF(COUNTIF($E1139, _xlfn.CONCAT("*",Table13[[#Headers],[Adventure]],"*")),1,0)</f>
        <v>0</v>
      </c>
      <c r="K1139">
        <f>IF(COUNTIF($E1139, _xlfn.CONCAT("*",Table13[[#Headers],[Animation]],"*")),1,0)</f>
        <v>0</v>
      </c>
      <c r="L1139">
        <f>IF(COUNTIF($E1139, _xlfn.CONCAT("*",Table13[[#Headers],[Comedy]],"*")),1,0)</f>
        <v>0</v>
      </c>
      <c r="M1139">
        <f>IF(COUNTIF($E1139, _xlfn.CONCAT("*",Table13[[#Headers],[Crime]],"*")),1,0)</f>
        <v>0</v>
      </c>
      <c r="N1139">
        <f>IF(COUNTIF($E1139, _xlfn.CONCAT("*",Table13[[#Headers],[Documentary]],"*")),1,0)</f>
        <v>0</v>
      </c>
      <c r="O1139">
        <f>IF(COUNTIF($E1139, _xlfn.CONCAT("*",Table13[[#Headers],[Drama]],"*")),1,0)</f>
        <v>1</v>
      </c>
      <c r="P1139">
        <f>IF(COUNTIF($E1139, _xlfn.CONCAT("*",Table13[[#Headers],[Family]],"*")),1,0)</f>
        <v>0</v>
      </c>
      <c r="Q1139">
        <f>IF(COUNTIF($E1139, _xlfn.CONCAT("*",Table13[[#Headers],[Fantasy]],"*")),1,0)</f>
        <v>0</v>
      </c>
      <c r="R1139">
        <f>IF(COUNTIF($E1139, _xlfn.CONCAT("*",Table13[[#Headers],[History]],"*")),1,0)</f>
        <v>0</v>
      </c>
      <c r="S1139">
        <f>IF(COUNTIF($E1139, _xlfn.CONCAT("*",Table13[[#Headers],[Horror]],"*")),1,0)</f>
        <v>0</v>
      </c>
      <c r="T1139">
        <f>IF(COUNTIF($E1139, _xlfn.CONCAT("*",Table13[[#Headers],[Music]],"*")),1,0)</f>
        <v>0</v>
      </c>
      <c r="U1139">
        <f>IF(COUNTIF($E1139, _xlfn.CONCAT("*",Table13[[#Headers],[Mystery]],"*")),1,0)</f>
        <v>0</v>
      </c>
      <c r="V1139">
        <f>IF(COUNTIF($E1139, _xlfn.CONCAT("*",Table13[[#Headers],[Romance]],"*")),1,0)</f>
        <v>0</v>
      </c>
      <c r="W1139">
        <f>IF(COUNTIF($E1139, _xlfn.CONCAT("*",Table13[[#Headers],[Science Fiction]],"*")),1,0)</f>
        <v>0</v>
      </c>
      <c r="X1139">
        <f>IF(COUNTIF($E1139, _xlfn.CONCAT("*",Table13[[#Headers],[TV Movie]],"*")),1,0)</f>
        <v>0</v>
      </c>
      <c r="Y1139">
        <f>IF(COUNTIF($E1139, _xlfn.CONCAT("*",Table13[[#Headers],[Thriller]],"*")),1,0)</f>
        <v>0</v>
      </c>
      <c r="Z1139">
        <f>IF(COUNTIF($E1139, _xlfn.CONCAT("*",Table13[[#Headers],[War]],"*")),1,0)</f>
        <v>0</v>
      </c>
      <c r="AA1139">
        <f>IF(COUNTIF($E1139, _xlfn.CONCAT("*",Table13[[#Headers],[Western]],"*")),1,0)</f>
        <v>0</v>
      </c>
    </row>
    <row r="1140" spans="1:27">
      <c r="A1140" t="s">
        <v>1026</v>
      </c>
      <c r="B1140">
        <v>5</v>
      </c>
      <c r="C1140">
        <f>MAX(Table13[Rank])-Table13[[#This Row],[Rank]]</f>
        <v>259</v>
      </c>
      <c r="D1140" t="s">
        <v>1022</v>
      </c>
      <c r="E1140" t="s">
        <v>91</v>
      </c>
      <c r="F1140" s="1">
        <v>29749</v>
      </c>
      <c r="G1140">
        <f>YEAR(Table13[[#This Row],[Date]])</f>
        <v>1981</v>
      </c>
      <c r="H1140" t="s">
        <v>90</v>
      </c>
      <c r="I1140">
        <f>IF(COUNTIF($E1140, _xlfn.CONCAT("*",Table13[[#Headers],[Action]],"*")),1,0)</f>
        <v>1</v>
      </c>
      <c r="J1140">
        <f>IF(COUNTIF($E1140, _xlfn.CONCAT("*",Table13[[#Headers],[Adventure]],"*")),1,0)</f>
        <v>1</v>
      </c>
      <c r="K1140">
        <f>IF(COUNTIF($E1140, _xlfn.CONCAT("*",Table13[[#Headers],[Animation]],"*")),1,0)</f>
        <v>0</v>
      </c>
      <c r="L1140">
        <f>IF(COUNTIF($E1140, _xlfn.CONCAT("*",Table13[[#Headers],[Comedy]],"*")),1,0)</f>
        <v>0</v>
      </c>
      <c r="M1140">
        <f>IF(COUNTIF($E1140, _xlfn.CONCAT("*",Table13[[#Headers],[Crime]],"*")),1,0)</f>
        <v>0</v>
      </c>
      <c r="N1140">
        <f>IF(COUNTIF($E1140, _xlfn.CONCAT("*",Table13[[#Headers],[Documentary]],"*")),1,0)</f>
        <v>0</v>
      </c>
      <c r="O1140">
        <f>IF(COUNTIF($E1140, _xlfn.CONCAT("*",Table13[[#Headers],[Drama]],"*")),1,0)</f>
        <v>0</v>
      </c>
      <c r="P1140">
        <f>IF(COUNTIF($E1140, _xlfn.CONCAT("*",Table13[[#Headers],[Family]],"*")),1,0)</f>
        <v>0</v>
      </c>
      <c r="Q1140">
        <f>IF(COUNTIF($E1140, _xlfn.CONCAT("*",Table13[[#Headers],[Fantasy]],"*")),1,0)</f>
        <v>0</v>
      </c>
      <c r="R1140">
        <f>IF(COUNTIF($E1140, _xlfn.CONCAT("*",Table13[[#Headers],[History]],"*")),1,0)</f>
        <v>0</v>
      </c>
      <c r="S1140">
        <f>IF(COUNTIF($E1140, _xlfn.CONCAT("*",Table13[[#Headers],[Horror]],"*")),1,0)</f>
        <v>0</v>
      </c>
      <c r="T1140">
        <f>IF(COUNTIF($E1140, _xlfn.CONCAT("*",Table13[[#Headers],[Music]],"*")),1,0)</f>
        <v>0</v>
      </c>
      <c r="U1140">
        <f>IF(COUNTIF($E1140, _xlfn.CONCAT("*",Table13[[#Headers],[Mystery]],"*")),1,0)</f>
        <v>0</v>
      </c>
      <c r="V1140">
        <f>IF(COUNTIF($E1140, _xlfn.CONCAT("*",Table13[[#Headers],[Romance]],"*")),1,0)</f>
        <v>0</v>
      </c>
      <c r="W1140">
        <f>IF(COUNTIF($E1140, _xlfn.CONCAT("*",Table13[[#Headers],[Science Fiction]],"*")),1,0)</f>
        <v>0</v>
      </c>
      <c r="X1140">
        <f>IF(COUNTIF($E1140, _xlfn.CONCAT("*",Table13[[#Headers],[TV Movie]],"*")),1,0)</f>
        <v>0</v>
      </c>
      <c r="Y1140">
        <f>IF(COUNTIF($E1140, _xlfn.CONCAT("*",Table13[[#Headers],[Thriller]],"*")),1,0)</f>
        <v>0</v>
      </c>
      <c r="Z1140">
        <f>IF(COUNTIF($E1140, _xlfn.CONCAT("*",Table13[[#Headers],[War]],"*")),1,0)</f>
        <v>0</v>
      </c>
      <c r="AA1140">
        <f>IF(COUNTIF($E1140, _xlfn.CONCAT("*",Table13[[#Headers],[Western]],"*")),1,0)</f>
        <v>0</v>
      </c>
    </row>
    <row r="1141" spans="1:27">
      <c r="A1141" t="s">
        <v>1027</v>
      </c>
      <c r="B1141">
        <v>6</v>
      </c>
      <c r="C1141">
        <f>MAX(Table13[Rank])-Table13[[#This Row],[Rank]]</f>
        <v>258</v>
      </c>
      <c r="D1141" t="s">
        <v>1022</v>
      </c>
      <c r="E1141" t="s">
        <v>164</v>
      </c>
      <c r="F1141" s="1">
        <v>21951</v>
      </c>
      <c r="G1141">
        <f>YEAR(Table13[[#This Row],[Date]])</f>
        <v>1960</v>
      </c>
      <c r="H1141" t="s">
        <v>864</v>
      </c>
      <c r="I1141">
        <f>IF(COUNTIF($E1141, _xlfn.CONCAT("*",Table13[[#Headers],[Action]],"*")),1,0)</f>
        <v>0</v>
      </c>
      <c r="J1141">
        <f>IF(COUNTIF($E1141, _xlfn.CONCAT("*",Table13[[#Headers],[Adventure]],"*")),1,0)</f>
        <v>0</v>
      </c>
      <c r="K1141">
        <f>IF(COUNTIF($E1141, _xlfn.CONCAT("*",Table13[[#Headers],[Animation]],"*")),1,0)</f>
        <v>0</v>
      </c>
      <c r="L1141">
        <f>IF(COUNTIF($E1141, _xlfn.CONCAT("*",Table13[[#Headers],[Comedy]],"*")),1,0)</f>
        <v>1</v>
      </c>
      <c r="M1141">
        <f>IF(COUNTIF($E1141, _xlfn.CONCAT("*",Table13[[#Headers],[Crime]],"*")),1,0)</f>
        <v>0</v>
      </c>
      <c r="N1141">
        <f>IF(COUNTIF($E1141, _xlfn.CONCAT("*",Table13[[#Headers],[Documentary]],"*")),1,0)</f>
        <v>0</v>
      </c>
      <c r="O1141">
        <f>IF(COUNTIF($E1141, _xlfn.CONCAT("*",Table13[[#Headers],[Drama]],"*")),1,0)</f>
        <v>1</v>
      </c>
      <c r="P1141">
        <f>IF(COUNTIF($E1141, _xlfn.CONCAT("*",Table13[[#Headers],[Family]],"*")),1,0)</f>
        <v>0</v>
      </c>
      <c r="Q1141">
        <f>IF(COUNTIF($E1141, _xlfn.CONCAT("*",Table13[[#Headers],[Fantasy]],"*")),1,0)</f>
        <v>0</v>
      </c>
      <c r="R1141">
        <f>IF(COUNTIF($E1141, _xlfn.CONCAT("*",Table13[[#Headers],[History]],"*")),1,0)</f>
        <v>0</v>
      </c>
      <c r="S1141">
        <f>IF(COUNTIF($E1141, _xlfn.CONCAT("*",Table13[[#Headers],[Horror]],"*")),1,0)</f>
        <v>0</v>
      </c>
      <c r="T1141">
        <f>IF(COUNTIF($E1141, _xlfn.CONCAT("*",Table13[[#Headers],[Music]],"*")),1,0)</f>
        <v>0</v>
      </c>
      <c r="U1141">
        <f>IF(COUNTIF($E1141, _xlfn.CONCAT("*",Table13[[#Headers],[Mystery]],"*")),1,0)</f>
        <v>0</v>
      </c>
      <c r="V1141">
        <f>IF(COUNTIF($E1141, _xlfn.CONCAT("*",Table13[[#Headers],[Romance]],"*")),1,0)</f>
        <v>0</v>
      </c>
      <c r="W1141">
        <f>IF(COUNTIF($E1141, _xlfn.CONCAT("*",Table13[[#Headers],[Science Fiction]],"*")),1,0)</f>
        <v>0</v>
      </c>
      <c r="X1141">
        <f>IF(COUNTIF($E1141, _xlfn.CONCAT("*",Table13[[#Headers],[TV Movie]],"*")),1,0)</f>
        <v>0</v>
      </c>
      <c r="Y1141">
        <f>IF(COUNTIF($E1141, _xlfn.CONCAT("*",Table13[[#Headers],[Thriller]],"*")),1,0)</f>
        <v>0</v>
      </c>
      <c r="Z1141">
        <f>IF(COUNTIF($E1141, _xlfn.CONCAT("*",Table13[[#Headers],[War]],"*")),1,0)</f>
        <v>0</v>
      </c>
      <c r="AA1141">
        <f>IF(COUNTIF($E1141, _xlfn.CONCAT("*",Table13[[#Headers],[Western]],"*")),1,0)</f>
        <v>0</v>
      </c>
    </row>
    <row r="1142" spans="1:27">
      <c r="A1142" t="s">
        <v>1028</v>
      </c>
      <c r="B1142">
        <v>7</v>
      </c>
      <c r="C1142">
        <f>MAX(Table13[Rank])-Table13[[#This Row],[Rank]]</f>
        <v>257</v>
      </c>
      <c r="D1142" t="s">
        <v>1022</v>
      </c>
      <c r="E1142" t="s">
        <v>375</v>
      </c>
      <c r="F1142" s="1">
        <v>19840</v>
      </c>
      <c r="G1142">
        <f>YEAR(Table13[[#This Row],[Date]])</f>
        <v>1954</v>
      </c>
      <c r="H1142" t="s">
        <v>374</v>
      </c>
      <c r="I1142">
        <f>IF(COUNTIF($E1142, _xlfn.CONCAT("*",Table13[[#Headers],[Action]],"*")),1,0)</f>
        <v>1</v>
      </c>
      <c r="J1142">
        <f>IF(COUNTIF($E1142, _xlfn.CONCAT("*",Table13[[#Headers],[Adventure]],"*")),1,0)</f>
        <v>0</v>
      </c>
      <c r="K1142">
        <f>IF(COUNTIF($E1142, _xlfn.CONCAT("*",Table13[[#Headers],[Animation]],"*")),1,0)</f>
        <v>0</v>
      </c>
      <c r="L1142">
        <f>IF(COUNTIF($E1142, _xlfn.CONCAT("*",Table13[[#Headers],[Comedy]],"*")),1,0)</f>
        <v>0</v>
      </c>
      <c r="M1142">
        <f>IF(COUNTIF($E1142, _xlfn.CONCAT("*",Table13[[#Headers],[Crime]],"*")),1,0)</f>
        <v>0</v>
      </c>
      <c r="N1142">
        <f>IF(COUNTIF($E1142, _xlfn.CONCAT("*",Table13[[#Headers],[Documentary]],"*")),1,0)</f>
        <v>0</v>
      </c>
      <c r="O1142">
        <f>IF(COUNTIF($E1142, _xlfn.CONCAT("*",Table13[[#Headers],[Drama]],"*")),1,0)</f>
        <v>1</v>
      </c>
      <c r="P1142">
        <f>IF(COUNTIF($E1142, _xlfn.CONCAT("*",Table13[[#Headers],[Family]],"*")),1,0)</f>
        <v>0</v>
      </c>
      <c r="Q1142">
        <f>IF(COUNTIF($E1142, _xlfn.CONCAT("*",Table13[[#Headers],[Fantasy]],"*")),1,0)</f>
        <v>0</v>
      </c>
      <c r="R1142">
        <f>IF(COUNTIF($E1142, _xlfn.CONCAT("*",Table13[[#Headers],[History]],"*")),1,0)</f>
        <v>0</v>
      </c>
      <c r="S1142">
        <f>IF(COUNTIF($E1142, _xlfn.CONCAT("*",Table13[[#Headers],[Horror]],"*")),1,0)</f>
        <v>0</v>
      </c>
      <c r="T1142">
        <f>IF(COUNTIF($E1142, _xlfn.CONCAT("*",Table13[[#Headers],[Music]],"*")),1,0)</f>
        <v>0</v>
      </c>
      <c r="U1142">
        <f>IF(COUNTIF($E1142, _xlfn.CONCAT("*",Table13[[#Headers],[Mystery]],"*")),1,0)</f>
        <v>0</v>
      </c>
      <c r="V1142">
        <f>IF(COUNTIF($E1142, _xlfn.CONCAT("*",Table13[[#Headers],[Romance]],"*")),1,0)</f>
        <v>0</v>
      </c>
      <c r="W1142">
        <f>IF(COUNTIF($E1142, _xlfn.CONCAT("*",Table13[[#Headers],[Science Fiction]],"*")),1,0)</f>
        <v>0</v>
      </c>
      <c r="X1142">
        <f>IF(COUNTIF($E1142, _xlfn.CONCAT("*",Table13[[#Headers],[TV Movie]],"*")),1,0)</f>
        <v>0</v>
      </c>
      <c r="Y1142">
        <f>IF(COUNTIF($E1142, _xlfn.CONCAT("*",Table13[[#Headers],[Thriller]],"*")),1,0)</f>
        <v>0</v>
      </c>
      <c r="Z1142">
        <f>IF(COUNTIF($E1142, _xlfn.CONCAT("*",Table13[[#Headers],[War]],"*")),1,0)</f>
        <v>0</v>
      </c>
      <c r="AA1142">
        <f>IF(COUNTIF($E1142, _xlfn.CONCAT("*",Table13[[#Headers],[Western]],"*")),1,0)</f>
        <v>0</v>
      </c>
    </row>
    <row r="1143" spans="1:27">
      <c r="A1143" t="s">
        <v>1029</v>
      </c>
      <c r="B1143">
        <v>8</v>
      </c>
      <c r="C1143">
        <f>MAX(Table13[Rank])-Table13[[#This Row],[Rank]]</f>
        <v>256</v>
      </c>
      <c r="D1143" t="s">
        <v>1022</v>
      </c>
      <c r="E1143" t="s">
        <v>35</v>
      </c>
      <c r="F1143" s="1">
        <v>36798</v>
      </c>
      <c r="G1143">
        <f>YEAR(Table13[[#This Row],[Date]])</f>
        <v>2000</v>
      </c>
      <c r="H1143" t="s">
        <v>393</v>
      </c>
      <c r="I1143">
        <f>IF(COUNTIF($E1143, _xlfn.CONCAT("*",Table13[[#Headers],[Action]],"*")),1,0)</f>
        <v>0</v>
      </c>
      <c r="J1143">
        <f>IF(COUNTIF($E1143, _xlfn.CONCAT("*",Table13[[#Headers],[Adventure]],"*")),1,0)</f>
        <v>0</v>
      </c>
      <c r="K1143">
        <f>IF(COUNTIF($E1143, _xlfn.CONCAT("*",Table13[[#Headers],[Animation]],"*")),1,0)</f>
        <v>0</v>
      </c>
      <c r="L1143">
        <f>IF(COUNTIF($E1143, _xlfn.CONCAT("*",Table13[[#Headers],[Comedy]],"*")),1,0)</f>
        <v>0</v>
      </c>
      <c r="M1143">
        <f>IF(COUNTIF($E1143, _xlfn.CONCAT("*",Table13[[#Headers],[Crime]],"*")),1,0)</f>
        <v>0</v>
      </c>
      <c r="N1143">
        <f>IF(COUNTIF($E1143, _xlfn.CONCAT("*",Table13[[#Headers],[Documentary]],"*")),1,0)</f>
        <v>0</v>
      </c>
      <c r="O1143">
        <f>IF(COUNTIF($E1143, _xlfn.CONCAT("*",Table13[[#Headers],[Drama]],"*")),1,0)</f>
        <v>1</v>
      </c>
      <c r="P1143">
        <f>IF(COUNTIF($E1143, _xlfn.CONCAT("*",Table13[[#Headers],[Family]],"*")),1,0)</f>
        <v>0</v>
      </c>
      <c r="Q1143">
        <f>IF(COUNTIF($E1143, _xlfn.CONCAT("*",Table13[[#Headers],[Fantasy]],"*")),1,0)</f>
        <v>0</v>
      </c>
      <c r="R1143">
        <f>IF(COUNTIF($E1143, _xlfn.CONCAT("*",Table13[[#Headers],[History]],"*")),1,0)</f>
        <v>0</v>
      </c>
      <c r="S1143">
        <f>IF(COUNTIF($E1143, _xlfn.CONCAT("*",Table13[[#Headers],[Horror]],"*")),1,0)</f>
        <v>0</v>
      </c>
      <c r="T1143">
        <f>IF(COUNTIF($E1143, _xlfn.CONCAT("*",Table13[[#Headers],[Music]],"*")),1,0)</f>
        <v>0</v>
      </c>
      <c r="U1143">
        <f>IF(COUNTIF($E1143, _xlfn.CONCAT("*",Table13[[#Headers],[Mystery]],"*")),1,0)</f>
        <v>0</v>
      </c>
      <c r="V1143">
        <f>IF(COUNTIF($E1143, _xlfn.CONCAT("*",Table13[[#Headers],[Romance]],"*")),1,0)</f>
        <v>1</v>
      </c>
      <c r="W1143">
        <f>IF(COUNTIF($E1143, _xlfn.CONCAT("*",Table13[[#Headers],[Science Fiction]],"*")),1,0)</f>
        <v>0</v>
      </c>
      <c r="X1143">
        <f>IF(COUNTIF($E1143, _xlfn.CONCAT("*",Table13[[#Headers],[TV Movie]],"*")),1,0)</f>
        <v>0</v>
      </c>
      <c r="Y1143">
        <f>IF(COUNTIF($E1143, _xlfn.CONCAT("*",Table13[[#Headers],[Thriller]],"*")),1,0)</f>
        <v>0</v>
      </c>
      <c r="Z1143">
        <f>IF(COUNTIF($E1143, _xlfn.CONCAT("*",Table13[[#Headers],[War]],"*")),1,0)</f>
        <v>0</v>
      </c>
      <c r="AA1143">
        <f>IF(COUNTIF($E1143, _xlfn.CONCAT("*",Table13[[#Headers],[Western]],"*")),1,0)</f>
        <v>0</v>
      </c>
    </row>
    <row r="1144" spans="1:27">
      <c r="A1144" t="s">
        <v>1030</v>
      </c>
      <c r="B1144">
        <v>9</v>
      </c>
      <c r="C1144">
        <f>MAX(Table13[Rank])-Table13[[#This Row],[Rank]]</f>
        <v>255</v>
      </c>
      <c r="D1144" t="s">
        <v>1022</v>
      </c>
      <c r="E1144" t="s">
        <v>21</v>
      </c>
      <c r="F1144" s="1">
        <v>39442</v>
      </c>
      <c r="G1144">
        <f>YEAR(Table13[[#This Row],[Date]])</f>
        <v>2007</v>
      </c>
      <c r="H1144" t="s">
        <v>234</v>
      </c>
      <c r="I1144">
        <f>IF(COUNTIF($E1144, _xlfn.CONCAT("*",Table13[[#Headers],[Action]],"*")),1,0)</f>
        <v>0</v>
      </c>
      <c r="J1144">
        <f>IF(COUNTIF($E1144, _xlfn.CONCAT("*",Table13[[#Headers],[Adventure]],"*")),1,0)</f>
        <v>0</v>
      </c>
      <c r="K1144">
        <f>IF(COUNTIF($E1144, _xlfn.CONCAT("*",Table13[[#Headers],[Animation]],"*")),1,0)</f>
        <v>0</v>
      </c>
      <c r="L1144">
        <f>IF(COUNTIF($E1144, _xlfn.CONCAT("*",Table13[[#Headers],[Comedy]],"*")),1,0)</f>
        <v>0</v>
      </c>
      <c r="M1144">
        <f>IF(COUNTIF($E1144, _xlfn.CONCAT("*",Table13[[#Headers],[Crime]],"*")),1,0)</f>
        <v>0</v>
      </c>
      <c r="N1144">
        <f>IF(COUNTIF($E1144, _xlfn.CONCAT("*",Table13[[#Headers],[Documentary]],"*")),1,0)</f>
        <v>0</v>
      </c>
      <c r="O1144">
        <f>IF(COUNTIF($E1144, _xlfn.CONCAT("*",Table13[[#Headers],[Drama]],"*")),1,0)</f>
        <v>1</v>
      </c>
      <c r="P1144">
        <f>IF(COUNTIF($E1144, _xlfn.CONCAT("*",Table13[[#Headers],[Family]],"*")),1,0)</f>
        <v>0</v>
      </c>
      <c r="Q1144">
        <f>IF(COUNTIF($E1144, _xlfn.CONCAT("*",Table13[[#Headers],[Fantasy]],"*")),1,0)</f>
        <v>0</v>
      </c>
      <c r="R1144">
        <f>IF(COUNTIF($E1144, _xlfn.CONCAT("*",Table13[[#Headers],[History]],"*")),1,0)</f>
        <v>0</v>
      </c>
      <c r="S1144">
        <f>IF(COUNTIF($E1144, _xlfn.CONCAT("*",Table13[[#Headers],[Horror]],"*")),1,0)</f>
        <v>0</v>
      </c>
      <c r="T1144">
        <f>IF(COUNTIF($E1144, _xlfn.CONCAT("*",Table13[[#Headers],[Music]],"*")),1,0)</f>
        <v>0</v>
      </c>
      <c r="U1144">
        <f>IF(COUNTIF($E1144, _xlfn.CONCAT("*",Table13[[#Headers],[Mystery]],"*")),1,0)</f>
        <v>0</v>
      </c>
      <c r="V1144">
        <f>IF(COUNTIF($E1144, _xlfn.CONCAT("*",Table13[[#Headers],[Romance]],"*")),1,0)</f>
        <v>0</v>
      </c>
      <c r="W1144">
        <f>IF(COUNTIF($E1144, _xlfn.CONCAT("*",Table13[[#Headers],[Science Fiction]],"*")),1,0)</f>
        <v>0</v>
      </c>
      <c r="X1144">
        <f>IF(COUNTIF($E1144, _xlfn.CONCAT("*",Table13[[#Headers],[TV Movie]],"*")),1,0)</f>
        <v>0</v>
      </c>
      <c r="Y1144">
        <f>IF(COUNTIF($E1144, _xlfn.CONCAT("*",Table13[[#Headers],[Thriller]],"*")),1,0)</f>
        <v>0</v>
      </c>
      <c r="Z1144">
        <f>IF(COUNTIF($E1144, _xlfn.CONCAT("*",Table13[[#Headers],[War]],"*")),1,0)</f>
        <v>0</v>
      </c>
      <c r="AA1144">
        <f>IF(COUNTIF($E1144, _xlfn.CONCAT("*",Table13[[#Headers],[Western]],"*")),1,0)</f>
        <v>0</v>
      </c>
    </row>
    <row r="1145" spans="1:27">
      <c r="A1145" t="s">
        <v>1031</v>
      </c>
      <c r="B1145">
        <v>10</v>
      </c>
      <c r="C1145">
        <f>MAX(Table13[Rank])-Table13[[#This Row],[Rank]]</f>
        <v>254</v>
      </c>
      <c r="D1145" t="s">
        <v>1022</v>
      </c>
      <c r="E1145" t="s">
        <v>220</v>
      </c>
      <c r="F1145" s="1">
        <v>19093</v>
      </c>
      <c r="G1145">
        <f>YEAR(Table13[[#This Row],[Date]])</f>
        <v>1952</v>
      </c>
      <c r="H1145" t="s">
        <v>386</v>
      </c>
      <c r="I1145">
        <f>IF(COUNTIF($E1145, _xlfn.CONCAT("*",Table13[[#Headers],[Action]],"*")),1,0)</f>
        <v>0</v>
      </c>
      <c r="J1145">
        <f>IF(COUNTIF($E1145, _xlfn.CONCAT("*",Table13[[#Headers],[Adventure]],"*")),1,0)</f>
        <v>0</v>
      </c>
      <c r="K1145">
        <f>IF(COUNTIF($E1145, _xlfn.CONCAT("*",Table13[[#Headers],[Animation]],"*")),1,0)</f>
        <v>0</v>
      </c>
      <c r="L1145">
        <f>IF(COUNTIF($E1145, _xlfn.CONCAT("*",Table13[[#Headers],[Comedy]],"*")),1,0)</f>
        <v>1</v>
      </c>
      <c r="M1145">
        <f>IF(COUNTIF($E1145, _xlfn.CONCAT("*",Table13[[#Headers],[Crime]],"*")),1,0)</f>
        <v>0</v>
      </c>
      <c r="N1145">
        <f>IF(COUNTIF($E1145, _xlfn.CONCAT("*",Table13[[#Headers],[Documentary]],"*")),1,0)</f>
        <v>0</v>
      </c>
      <c r="O1145">
        <f>IF(COUNTIF($E1145, _xlfn.CONCAT("*",Table13[[#Headers],[Drama]],"*")),1,0)</f>
        <v>0</v>
      </c>
      <c r="P1145">
        <f>IF(COUNTIF($E1145, _xlfn.CONCAT("*",Table13[[#Headers],[Family]],"*")),1,0)</f>
        <v>0</v>
      </c>
      <c r="Q1145">
        <f>IF(COUNTIF($E1145, _xlfn.CONCAT("*",Table13[[#Headers],[Fantasy]],"*")),1,0)</f>
        <v>0</v>
      </c>
      <c r="R1145">
        <f>IF(COUNTIF($E1145, _xlfn.CONCAT("*",Table13[[#Headers],[History]],"*")),1,0)</f>
        <v>0</v>
      </c>
      <c r="S1145">
        <f>IF(COUNTIF($E1145, _xlfn.CONCAT("*",Table13[[#Headers],[Horror]],"*")),1,0)</f>
        <v>0</v>
      </c>
      <c r="T1145">
        <f>IF(COUNTIF($E1145, _xlfn.CONCAT("*",Table13[[#Headers],[Music]],"*")),1,0)</f>
        <v>0</v>
      </c>
      <c r="U1145">
        <f>IF(COUNTIF($E1145, _xlfn.CONCAT("*",Table13[[#Headers],[Mystery]],"*")),1,0)</f>
        <v>0</v>
      </c>
      <c r="V1145">
        <f>IF(COUNTIF($E1145, _xlfn.CONCAT("*",Table13[[#Headers],[Romance]],"*")),1,0)</f>
        <v>1</v>
      </c>
      <c r="W1145">
        <f>IF(COUNTIF($E1145, _xlfn.CONCAT("*",Table13[[#Headers],[Science Fiction]],"*")),1,0)</f>
        <v>0</v>
      </c>
      <c r="X1145">
        <f>IF(COUNTIF($E1145, _xlfn.CONCAT("*",Table13[[#Headers],[TV Movie]],"*")),1,0)</f>
        <v>0</v>
      </c>
      <c r="Y1145">
        <f>IF(COUNTIF($E1145, _xlfn.CONCAT("*",Table13[[#Headers],[Thriller]],"*")),1,0)</f>
        <v>0</v>
      </c>
      <c r="Z1145">
        <f>IF(COUNTIF($E1145, _xlfn.CONCAT("*",Table13[[#Headers],[War]],"*")),1,0)</f>
        <v>0</v>
      </c>
      <c r="AA1145">
        <f>IF(COUNTIF($E1145, _xlfn.CONCAT("*",Table13[[#Headers],[Western]],"*")),1,0)</f>
        <v>0</v>
      </c>
    </row>
    <row r="1146" spans="1:27">
      <c r="A1146" t="s">
        <v>1032</v>
      </c>
      <c r="B1146">
        <v>11</v>
      </c>
      <c r="C1146">
        <f>MAX(Table13[Rank])-Table13[[#This Row],[Rank]]</f>
        <v>253</v>
      </c>
      <c r="D1146" t="s">
        <v>1022</v>
      </c>
      <c r="E1146" t="s">
        <v>166</v>
      </c>
      <c r="F1146" s="1">
        <v>33128</v>
      </c>
      <c r="G1146">
        <f>YEAR(Table13[[#This Row],[Date]])</f>
        <v>1990</v>
      </c>
      <c r="H1146" t="s">
        <v>316</v>
      </c>
      <c r="I1146">
        <f>IF(COUNTIF($E1146, _xlfn.CONCAT("*",Table13[[#Headers],[Action]],"*")),1,0)</f>
        <v>0</v>
      </c>
      <c r="J1146">
        <f>IF(COUNTIF($E1146, _xlfn.CONCAT("*",Table13[[#Headers],[Adventure]],"*")),1,0)</f>
        <v>0</v>
      </c>
      <c r="K1146">
        <f>IF(COUNTIF($E1146, _xlfn.CONCAT("*",Table13[[#Headers],[Animation]],"*")),1,0)</f>
        <v>0</v>
      </c>
      <c r="L1146">
        <f>IF(COUNTIF($E1146, _xlfn.CONCAT("*",Table13[[#Headers],[Comedy]],"*")),1,0)</f>
        <v>0</v>
      </c>
      <c r="M1146">
        <f>IF(COUNTIF($E1146, _xlfn.CONCAT("*",Table13[[#Headers],[Crime]],"*")),1,0)</f>
        <v>1</v>
      </c>
      <c r="N1146">
        <f>IF(COUNTIF($E1146, _xlfn.CONCAT("*",Table13[[#Headers],[Documentary]],"*")),1,0)</f>
        <v>0</v>
      </c>
      <c r="O1146">
        <f>IF(COUNTIF($E1146, _xlfn.CONCAT("*",Table13[[#Headers],[Drama]],"*")),1,0)</f>
        <v>1</v>
      </c>
      <c r="P1146">
        <f>IF(COUNTIF($E1146, _xlfn.CONCAT("*",Table13[[#Headers],[Family]],"*")),1,0)</f>
        <v>0</v>
      </c>
      <c r="Q1146">
        <f>IF(COUNTIF($E1146, _xlfn.CONCAT("*",Table13[[#Headers],[Fantasy]],"*")),1,0)</f>
        <v>0</v>
      </c>
      <c r="R1146">
        <f>IF(COUNTIF($E1146, _xlfn.CONCAT("*",Table13[[#Headers],[History]],"*")),1,0)</f>
        <v>0</v>
      </c>
      <c r="S1146">
        <f>IF(COUNTIF($E1146, _xlfn.CONCAT("*",Table13[[#Headers],[Horror]],"*")),1,0)</f>
        <v>0</v>
      </c>
      <c r="T1146">
        <f>IF(COUNTIF($E1146, _xlfn.CONCAT("*",Table13[[#Headers],[Music]],"*")),1,0)</f>
        <v>0</v>
      </c>
      <c r="U1146">
        <f>IF(COUNTIF($E1146, _xlfn.CONCAT("*",Table13[[#Headers],[Mystery]],"*")),1,0)</f>
        <v>0</v>
      </c>
      <c r="V1146">
        <f>IF(COUNTIF($E1146, _xlfn.CONCAT("*",Table13[[#Headers],[Romance]],"*")),1,0)</f>
        <v>0</v>
      </c>
      <c r="W1146">
        <f>IF(COUNTIF($E1146, _xlfn.CONCAT("*",Table13[[#Headers],[Science Fiction]],"*")),1,0)</f>
        <v>0</v>
      </c>
      <c r="X1146">
        <f>IF(COUNTIF($E1146, _xlfn.CONCAT("*",Table13[[#Headers],[TV Movie]],"*")),1,0)</f>
        <v>0</v>
      </c>
      <c r="Y1146">
        <f>IF(COUNTIF($E1146, _xlfn.CONCAT("*",Table13[[#Headers],[Thriller]],"*")),1,0)</f>
        <v>0</v>
      </c>
      <c r="Z1146">
        <f>IF(COUNTIF($E1146, _xlfn.CONCAT("*",Table13[[#Headers],[War]],"*")),1,0)</f>
        <v>0</v>
      </c>
      <c r="AA1146">
        <f>IF(COUNTIF($E1146, _xlfn.CONCAT("*",Table13[[#Headers],[Western]],"*")),1,0)</f>
        <v>0</v>
      </c>
    </row>
    <row r="1147" spans="1:27">
      <c r="A1147" t="s">
        <v>1033</v>
      </c>
      <c r="B1147">
        <v>12</v>
      </c>
      <c r="C1147">
        <f>MAX(Table13[Rank])-Table13[[#This Row],[Rank]]</f>
        <v>252</v>
      </c>
      <c r="D1147" t="s">
        <v>1022</v>
      </c>
      <c r="E1147" t="s">
        <v>338</v>
      </c>
      <c r="F1147" s="1">
        <v>21739</v>
      </c>
      <c r="G1147">
        <f>YEAR(Table13[[#This Row],[Date]])</f>
        <v>1959</v>
      </c>
      <c r="H1147" t="s">
        <v>337</v>
      </c>
      <c r="I1147">
        <f>IF(COUNTIF($E1147, _xlfn.CONCAT("*",Table13[[#Headers],[Action]],"*")),1,0)</f>
        <v>0</v>
      </c>
      <c r="J1147">
        <f>IF(COUNTIF($E1147, _xlfn.CONCAT("*",Table13[[#Headers],[Adventure]],"*")),1,0)</f>
        <v>1</v>
      </c>
      <c r="K1147">
        <f>IF(COUNTIF($E1147, _xlfn.CONCAT("*",Table13[[#Headers],[Animation]],"*")),1,0)</f>
        <v>0</v>
      </c>
      <c r="L1147">
        <f>IF(COUNTIF($E1147, _xlfn.CONCAT("*",Table13[[#Headers],[Comedy]],"*")),1,0)</f>
        <v>0</v>
      </c>
      <c r="M1147">
        <f>IF(COUNTIF($E1147, _xlfn.CONCAT("*",Table13[[#Headers],[Crime]],"*")),1,0)</f>
        <v>0</v>
      </c>
      <c r="N1147">
        <f>IF(COUNTIF($E1147, _xlfn.CONCAT("*",Table13[[#Headers],[Documentary]],"*")),1,0)</f>
        <v>0</v>
      </c>
      <c r="O1147">
        <f>IF(COUNTIF($E1147, _xlfn.CONCAT("*",Table13[[#Headers],[Drama]],"*")),1,0)</f>
        <v>0</v>
      </c>
      <c r="P1147">
        <f>IF(COUNTIF($E1147, _xlfn.CONCAT("*",Table13[[#Headers],[Family]],"*")),1,0)</f>
        <v>0</v>
      </c>
      <c r="Q1147">
        <f>IF(COUNTIF($E1147, _xlfn.CONCAT("*",Table13[[#Headers],[Fantasy]],"*")),1,0)</f>
        <v>0</v>
      </c>
      <c r="R1147">
        <f>IF(COUNTIF($E1147, _xlfn.CONCAT("*",Table13[[#Headers],[History]],"*")),1,0)</f>
        <v>0</v>
      </c>
      <c r="S1147">
        <f>IF(COUNTIF($E1147, _xlfn.CONCAT("*",Table13[[#Headers],[Horror]],"*")),1,0)</f>
        <v>0</v>
      </c>
      <c r="T1147">
        <f>IF(COUNTIF($E1147, _xlfn.CONCAT("*",Table13[[#Headers],[Music]],"*")),1,0)</f>
        <v>0</v>
      </c>
      <c r="U1147">
        <f>IF(COUNTIF($E1147, _xlfn.CONCAT("*",Table13[[#Headers],[Mystery]],"*")),1,0)</f>
        <v>1</v>
      </c>
      <c r="V1147">
        <f>IF(COUNTIF($E1147, _xlfn.CONCAT("*",Table13[[#Headers],[Romance]],"*")),1,0)</f>
        <v>0</v>
      </c>
      <c r="W1147">
        <f>IF(COUNTIF($E1147, _xlfn.CONCAT("*",Table13[[#Headers],[Science Fiction]],"*")),1,0)</f>
        <v>0</v>
      </c>
      <c r="X1147">
        <f>IF(COUNTIF($E1147, _xlfn.CONCAT("*",Table13[[#Headers],[TV Movie]],"*")),1,0)</f>
        <v>0</v>
      </c>
      <c r="Y1147">
        <f>IF(COUNTIF($E1147, _xlfn.CONCAT("*",Table13[[#Headers],[Thriller]],"*")),1,0)</f>
        <v>1</v>
      </c>
      <c r="Z1147">
        <f>IF(COUNTIF($E1147, _xlfn.CONCAT("*",Table13[[#Headers],[War]],"*")),1,0)</f>
        <v>0</v>
      </c>
      <c r="AA1147">
        <f>IF(COUNTIF($E1147, _xlfn.CONCAT("*",Table13[[#Headers],[Western]],"*")),1,0)</f>
        <v>0</v>
      </c>
    </row>
    <row r="1148" spans="1:27">
      <c r="A1148" t="s">
        <v>1034</v>
      </c>
      <c r="B1148">
        <v>13</v>
      </c>
      <c r="C1148">
        <f>MAX(Table13[Rank])-Table13[[#This Row],[Rank]]</f>
        <v>251</v>
      </c>
      <c r="D1148" t="s">
        <v>1022</v>
      </c>
      <c r="E1148" t="s">
        <v>548</v>
      </c>
      <c r="F1148" s="1">
        <v>37048</v>
      </c>
      <c r="G1148">
        <f>YEAR(Table13[[#This Row],[Date]])</f>
        <v>2001</v>
      </c>
      <c r="H1148" t="s">
        <v>549</v>
      </c>
      <c r="I1148">
        <f>IF(COUNTIF($E1148, _xlfn.CONCAT("*",Table13[[#Headers],[Action]],"*")),1,0)</f>
        <v>0</v>
      </c>
      <c r="J1148">
        <f>IF(COUNTIF($E1148, _xlfn.CONCAT("*",Table13[[#Headers],[Adventure]],"*")),1,0)</f>
        <v>0</v>
      </c>
      <c r="K1148">
        <f>IF(COUNTIF($E1148, _xlfn.CONCAT("*",Table13[[#Headers],[Animation]],"*")),1,0)</f>
        <v>0</v>
      </c>
      <c r="L1148">
        <f>IF(COUNTIF($E1148, _xlfn.CONCAT("*",Table13[[#Headers],[Comedy]],"*")),1,0)</f>
        <v>0</v>
      </c>
      <c r="M1148">
        <f>IF(COUNTIF($E1148, _xlfn.CONCAT("*",Table13[[#Headers],[Crime]],"*")),1,0)</f>
        <v>0</v>
      </c>
      <c r="N1148">
        <f>IF(COUNTIF($E1148, _xlfn.CONCAT("*",Table13[[#Headers],[Documentary]],"*")),1,0)</f>
        <v>0</v>
      </c>
      <c r="O1148">
        <f>IF(COUNTIF($E1148, _xlfn.CONCAT("*",Table13[[#Headers],[Drama]],"*")),1,0)</f>
        <v>1</v>
      </c>
      <c r="P1148">
        <f>IF(COUNTIF($E1148, _xlfn.CONCAT("*",Table13[[#Headers],[Family]],"*")),1,0)</f>
        <v>0</v>
      </c>
      <c r="Q1148">
        <f>IF(COUNTIF($E1148, _xlfn.CONCAT("*",Table13[[#Headers],[Fantasy]],"*")),1,0)</f>
        <v>0</v>
      </c>
      <c r="R1148">
        <f>IF(COUNTIF($E1148, _xlfn.CONCAT("*",Table13[[#Headers],[History]],"*")),1,0)</f>
        <v>0</v>
      </c>
      <c r="S1148">
        <f>IF(COUNTIF($E1148, _xlfn.CONCAT("*",Table13[[#Headers],[Horror]],"*")),1,0)</f>
        <v>0</v>
      </c>
      <c r="T1148">
        <f>IF(COUNTIF($E1148, _xlfn.CONCAT("*",Table13[[#Headers],[Music]],"*")),1,0)</f>
        <v>0</v>
      </c>
      <c r="U1148">
        <f>IF(COUNTIF($E1148, _xlfn.CONCAT("*",Table13[[#Headers],[Mystery]],"*")),1,0)</f>
        <v>1</v>
      </c>
      <c r="V1148">
        <f>IF(COUNTIF($E1148, _xlfn.CONCAT("*",Table13[[#Headers],[Romance]],"*")),1,0)</f>
        <v>0</v>
      </c>
      <c r="W1148">
        <f>IF(COUNTIF($E1148, _xlfn.CONCAT("*",Table13[[#Headers],[Science Fiction]],"*")),1,0)</f>
        <v>0</v>
      </c>
      <c r="X1148">
        <f>IF(COUNTIF($E1148, _xlfn.CONCAT("*",Table13[[#Headers],[TV Movie]],"*")),1,0)</f>
        <v>0</v>
      </c>
      <c r="Y1148">
        <f>IF(COUNTIF($E1148, _xlfn.CONCAT("*",Table13[[#Headers],[Thriller]],"*")),1,0)</f>
        <v>1</v>
      </c>
      <c r="Z1148">
        <f>IF(COUNTIF($E1148, _xlfn.CONCAT("*",Table13[[#Headers],[War]],"*")),1,0)</f>
        <v>0</v>
      </c>
      <c r="AA1148">
        <f>IF(COUNTIF($E1148, _xlfn.CONCAT("*",Table13[[#Headers],[Western]],"*")),1,0)</f>
        <v>0</v>
      </c>
    </row>
    <row r="1149" spans="1:27">
      <c r="A1149" t="s">
        <v>1035</v>
      </c>
      <c r="B1149">
        <v>14</v>
      </c>
      <c r="C1149">
        <f>MAX(Table13[Rank])-Table13[[#This Row],[Rank]]</f>
        <v>250</v>
      </c>
      <c r="D1149" t="s">
        <v>1022</v>
      </c>
      <c r="E1149" t="s">
        <v>21</v>
      </c>
      <c r="F1149" s="1">
        <v>17861</v>
      </c>
      <c r="G1149">
        <f>YEAR(Table13[[#This Row],[Date]])</f>
        <v>1948</v>
      </c>
      <c r="H1149" t="s">
        <v>346</v>
      </c>
      <c r="I1149">
        <f>IF(COUNTIF($E1149, _xlfn.CONCAT("*",Table13[[#Headers],[Action]],"*")),1,0)</f>
        <v>0</v>
      </c>
      <c r="J1149">
        <f>IF(COUNTIF($E1149, _xlfn.CONCAT("*",Table13[[#Headers],[Adventure]],"*")),1,0)</f>
        <v>0</v>
      </c>
      <c r="K1149">
        <f>IF(COUNTIF($E1149, _xlfn.CONCAT("*",Table13[[#Headers],[Animation]],"*")),1,0)</f>
        <v>0</v>
      </c>
      <c r="L1149">
        <f>IF(COUNTIF($E1149, _xlfn.CONCAT("*",Table13[[#Headers],[Comedy]],"*")),1,0)</f>
        <v>0</v>
      </c>
      <c r="M1149">
        <f>IF(COUNTIF($E1149, _xlfn.CONCAT("*",Table13[[#Headers],[Crime]],"*")),1,0)</f>
        <v>0</v>
      </c>
      <c r="N1149">
        <f>IF(COUNTIF($E1149, _xlfn.CONCAT("*",Table13[[#Headers],[Documentary]],"*")),1,0)</f>
        <v>0</v>
      </c>
      <c r="O1149">
        <f>IF(COUNTIF($E1149, _xlfn.CONCAT("*",Table13[[#Headers],[Drama]],"*")),1,0)</f>
        <v>1</v>
      </c>
      <c r="P1149">
        <f>IF(COUNTIF($E1149, _xlfn.CONCAT("*",Table13[[#Headers],[Family]],"*")),1,0)</f>
        <v>0</v>
      </c>
      <c r="Q1149">
        <f>IF(COUNTIF($E1149, _xlfn.CONCAT("*",Table13[[#Headers],[Fantasy]],"*")),1,0)</f>
        <v>0</v>
      </c>
      <c r="R1149">
        <f>IF(COUNTIF($E1149, _xlfn.CONCAT("*",Table13[[#Headers],[History]],"*")),1,0)</f>
        <v>0</v>
      </c>
      <c r="S1149">
        <f>IF(COUNTIF($E1149, _xlfn.CONCAT("*",Table13[[#Headers],[Horror]],"*")),1,0)</f>
        <v>0</v>
      </c>
      <c r="T1149">
        <f>IF(COUNTIF($E1149, _xlfn.CONCAT("*",Table13[[#Headers],[Music]],"*")),1,0)</f>
        <v>0</v>
      </c>
      <c r="U1149">
        <f>IF(COUNTIF($E1149, _xlfn.CONCAT("*",Table13[[#Headers],[Mystery]],"*")),1,0)</f>
        <v>0</v>
      </c>
      <c r="V1149">
        <f>IF(COUNTIF($E1149, _xlfn.CONCAT("*",Table13[[#Headers],[Romance]],"*")),1,0)</f>
        <v>0</v>
      </c>
      <c r="W1149">
        <f>IF(COUNTIF($E1149, _xlfn.CONCAT("*",Table13[[#Headers],[Science Fiction]],"*")),1,0)</f>
        <v>0</v>
      </c>
      <c r="X1149">
        <f>IF(COUNTIF($E1149, _xlfn.CONCAT("*",Table13[[#Headers],[TV Movie]],"*")),1,0)</f>
        <v>0</v>
      </c>
      <c r="Y1149">
        <f>IF(COUNTIF($E1149, _xlfn.CONCAT("*",Table13[[#Headers],[Thriller]],"*")),1,0)</f>
        <v>0</v>
      </c>
      <c r="Z1149">
        <f>IF(COUNTIF($E1149, _xlfn.CONCAT("*",Table13[[#Headers],[War]],"*")),1,0)</f>
        <v>0</v>
      </c>
      <c r="AA1149">
        <f>IF(COUNTIF($E1149, _xlfn.CONCAT("*",Table13[[#Headers],[Western]],"*")),1,0)</f>
        <v>0</v>
      </c>
    </row>
    <row r="1150" spans="1:27">
      <c r="A1150" t="s">
        <v>1036</v>
      </c>
      <c r="B1150">
        <v>15</v>
      </c>
      <c r="C1150">
        <f>MAX(Table13[Rank])-Table13[[#This Row],[Rank]]</f>
        <v>249</v>
      </c>
      <c r="D1150" t="s">
        <v>1022</v>
      </c>
      <c r="E1150" t="s">
        <v>441</v>
      </c>
      <c r="F1150" s="1">
        <v>39645</v>
      </c>
      <c r="G1150">
        <f>YEAR(Table13[[#This Row],[Date]])</f>
        <v>2008</v>
      </c>
      <c r="H1150" t="s">
        <v>440</v>
      </c>
      <c r="I1150">
        <f>IF(COUNTIF($E1150, _xlfn.CONCAT("*",Table13[[#Headers],[Action]],"*")),1,0)</f>
        <v>1</v>
      </c>
      <c r="J1150">
        <f>IF(COUNTIF($E1150, _xlfn.CONCAT("*",Table13[[#Headers],[Adventure]],"*")),1,0)</f>
        <v>0</v>
      </c>
      <c r="K1150">
        <f>IF(COUNTIF($E1150, _xlfn.CONCAT("*",Table13[[#Headers],[Animation]],"*")),1,0)</f>
        <v>0</v>
      </c>
      <c r="L1150">
        <f>IF(COUNTIF($E1150, _xlfn.CONCAT("*",Table13[[#Headers],[Comedy]],"*")),1,0)</f>
        <v>0</v>
      </c>
      <c r="M1150">
        <f>IF(COUNTIF($E1150, _xlfn.CONCAT("*",Table13[[#Headers],[Crime]],"*")),1,0)</f>
        <v>1</v>
      </c>
      <c r="N1150">
        <f>IF(COUNTIF($E1150, _xlfn.CONCAT("*",Table13[[#Headers],[Documentary]],"*")),1,0)</f>
        <v>0</v>
      </c>
      <c r="O1150">
        <f>IF(COUNTIF($E1150, _xlfn.CONCAT("*",Table13[[#Headers],[Drama]],"*")),1,0)</f>
        <v>1</v>
      </c>
      <c r="P1150">
        <f>IF(COUNTIF($E1150, _xlfn.CONCAT("*",Table13[[#Headers],[Family]],"*")),1,0)</f>
        <v>0</v>
      </c>
      <c r="Q1150">
        <f>IF(COUNTIF($E1150, _xlfn.CONCAT("*",Table13[[#Headers],[Fantasy]],"*")),1,0)</f>
        <v>0</v>
      </c>
      <c r="R1150">
        <f>IF(COUNTIF($E1150, _xlfn.CONCAT("*",Table13[[#Headers],[History]],"*")),1,0)</f>
        <v>0</v>
      </c>
      <c r="S1150">
        <f>IF(COUNTIF($E1150, _xlfn.CONCAT("*",Table13[[#Headers],[Horror]],"*")),1,0)</f>
        <v>0</v>
      </c>
      <c r="T1150">
        <f>IF(COUNTIF($E1150, _xlfn.CONCAT("*",Table13[[#Headers],[Music]],"*")),1,0)</f>
        <v>0</v>
      </c>
      <c r="U1150">
        <f>IF(COUNTIF($E1150, _xlfn.CONCAT("*",Table13[[#Headers],[Mystery]],"*")),1,0)</f>
        <v>0</v>
      </c>
      <c r="V1150">
        <f>IF(COUNTIF($E1150, _xlfn.CONCAT("*",Table13[[#Headers],[Romance]],"*")),1,0)</f>
        <v>0</v>
      </c>
      <c r="W1150">
        <f>IF(COUNTIF($E1150, _xlfn.CONCAT("*",Table13[[#Headers],[Science Fiction]],"*")),1,0)</f>
        <v>0</v>
      </c>
      <c r="X1150">
        <f>IF(COUNTIF($E1150, _xlfn.CONCAT("*",Table13[[#Headers],[TV Movie]],"*")),1,0)</f>
        <v>0</v>
      </c>
      <c r="Y1150">
        <f>IF(COUNTIF($E1150, _xlfn.CONCAT("*",Table13[[#Headers],[Thriller]],"*")),1,0)</f>
        <v>1</v>
      </c>
      <c r="Z1150">
        <f>IF(COUNTIF($E1150, _xlfn.CONCAT("*",Table13[[#Headers],[War]],"*")),1,0)</f>
        <v>0</v>
      </c>
      <c r="AA1150">
        <f>IF(COUNTIF($E1150, _xlfn.CONCAT("*",Table13[[#Headers],[Western]],"*")),1,0)</f>
        <v>0</v>
      </c>
    </row>
    <row r="1151" spans="1:27">
      <c r="A1151" t="s">
        <v>1037</v>
      </c>
      <c r="B1151">
        <v>16</v>
      </c>
      <c r="C1151">
        <f>MAX(Table13[Rank])-Table13[[#This Row],[Rank]]</f>
        <v>248</v>
      </c>
      <c r="D1151" t="s">
        <v>1022</v>
      </c>
      <c r="E1151" t="s">
        <v>353</v>
      </c>
      <c r="F1151" s="1">
        <v>11355</v>
      </c>
      <c r="G1151">
        <f>YEAR(Table13[[#This Row],[Date]])</f>
        <v>1931</v>
      </c>
      <c r="H1151" t="s">
        <v>352</v>
      </c>
      <c r="I1151">
        <f>IF(COUNTIF($E1151, _xlfn.CONCAT("*",Table13[[#Headers],[Action]],"*")),1,0)</f>
        <v>0</v>
      </c>
      <c r="J1151">
        <f>IF(COUNTIF($E1151, _xlfn.CONCAT("*",Table13[[#Headers],[Adventure]],"*")),1,0)</f>
        <v>0</v>
      </c>
      <c r="K1151">
        <f>IF(COUNTIF($E1151, _xlfn.CONCAT("*",Table13[[#Headers],[Animation]],"*")),1,0)</f>
        <v>0</v>
      </c>
      <c r="L1151">
        <f>IF(COUNTIF($E1151, _xlfn.CONCAT("*",Table13[[#Headers],[Comedy]],"*")),1,0)</f>
        <v>1</v>
      </c>
      <c r="M1151">
        <f>IF(COUNTIF($E1151, _xlfn.CONCAT("*",Table13[[#Headers],[Crime]],"*")),1,0)</f>
        <v>0</v>
      </c>
      <c r="N1151">
        <f>IF(COUNTIF($E1151, _xlfn.CONCAT("*",Table13[[#Headers],[Documentary]],"*")),1,0)</f>
        <v>0</v>
      </c>
      <c r="O1151">
        <f>IF(COUNTIF($E1151, _xlfn.CONCAT("*",Table13[[#Headers],[Drama]],"*")),1,0)</f>
        <v>1</v>
      </c>
      <c r="P1151">
        <f>IF(COUNTIF($E1151, _xlfn.CONCAT("*",Table13[[#Headers],[Family]],"*")),1,0)</f>
        <v>0</v>
      </c>
      <c r="Q1151">
        <f>IF(COUNTIF($E1151, _xlfn.CONCAT("*",Table13[[#Headers],[Fantasy]],"*")),1,0)</f>
        <v>0</v>
      </c>
      <c r="R1151">
        <f>IF(COUNTIF($E1151, _xlfn.CONCAT("*",Table13[[#Headers],[History]],"*")),1,0)</f>
        <v>0</v>
      </c>
      <c r="S1151">
        <f>IF(COUNTIF($E1151, _xlfn.CONCAT("*",Table13[[#Headers],[Horror]],"*")),1,0)</f>
        <v>0</v>
      </c>
      <c r="T1151">
        <f>IF(COUNTIF($E1151, _xlfn.CONCAT("*",Table13[[#Headers],[Music]],"*")),1,0)</f>
        <v>0</v>
      </c>
      <c r="U1151">
        <f>IF(COUNTIF($E1151, _xlfn.CONCAT("*",Table13[[#Headers],[Mystery]],"*")),1,0)</f>
        <v>0</v>
      </c>
      <c r="V1151">
        <f>IF(COUNTIF($E1151, _xlfn.CONCAT("*",Table13[[#Headers],[Romance]],"*")),1,0)</f>
        <v>1</v>
      </c>
      <c r="W1151">
        <f>IF(COUNTIF($E1151, _xlfn.CONCAT("*",Table13[[#Headers],[Science Fiction]],"*")),1,0)</f>
        <v>0</v>
      </c>
      <c r="X1151">
        <f>IF(COUNTIF($E1151, _xlfn.CONCAT("*",Table13[[#Headers],[TV Movie]],"*")),1,0)</f>
        <v>0</v>
      </c>
      <c r="Y1151">
        <f>IF(COUNTIF($E1151, _xlfn.CONCAT("*",Table13[[#Headers],[Thriller]],"*")),1,0)</f>
        <v>0</v>
      </c>
      <c r="Z1151">
        <f>IF(COUNTIF($E1151, _xlfn.CONCAT("*",Table13[[#Headers],[War]],"*")),1,0)</f>
        <v>0</v>
      </c>
      <c r="AA1151">
        <f>IF(COUNTIF($E1151, _xlfn.CONCAT("*",Table13[[#Headers],[Western]],"*")),1,0)</f>
        <v>0</v>
      </c>
    </row>
    <row r="1152" spans="1:27">
      <c r="A1152" t="s">
        <v>1038</v>
      </c>
      <c r="B1152">
        <v>17</v>
      </c>
      <c r="C1152">
        <f>MAX(Table13[Rank])-Table13[[#This Row],[Rank]]</f>
        <v>247</v>
      </c>
      <c r="D1152" t="s">
        <v>1022</v>
      </c>
      <c r="E1152" t="s">
        <v>186</v>
      </c>
      <c r="F1152" s="1">
        <v>13670</v>
      </c>
      <c r="G1152">
        <f>YEAR(Table13[[#This Row],[Date]])</f>
        <v>1937</v>
      </c>
      <c r="H1152" t="s">
        <v>1281</v>
      </c>
      <c r="I1152">
        <f>IF(COUNTIF($E1152, _xlfn.CONCAT("*",Table13[[#Headers],[Action]],"*")),1,0)</f>
        <v>0</v>
      </c>
      <c r="J1152">
        <f>IF(COUNTIF($E1152, _xlfn.CONCAT("*",Table13[[#Headers],[Adventure]],"*")),1,0)</f>
        <v>0</v>
      </c>
      <c r="K1152">
        <f>IF(COUNTIF($E1152, _xlfn.CONCAT("*",Table13[[#Headers],[Animation]],"*")),1,0)</f>
        <v>0</v>
      </c>
      <c r="L1152">
        <f>IF(COUNTIF($E1152, _xlfn.CONCAT("*",Table13[[#Headers],[Comedy]],"*")),1,0)</f>
        <v>0</v>
      </c>
      <c r="M1152">
        <f>IF(COUNTIF($E1152, _xlfn.CONCAT("*",Table13[[#Headers],[Crime]],"*")),1,0)</f>
        <v>0</v>
      </c>
      <c r="N1152">
        <f>IF(COUNTIF($E1152, _xlfn.CONCAT("*",Table13[[#Headers],[Documentary]],"*")),1,0)</f>
        <v>0</v>
      </c>
      <c r="O1152">
        <f>IF(COUNTIF($E1152, _xlfn.CONCAT("*",Table13[[#Headers],[Drama]],"*")),1,0)</f>
        <v>1</v>
      </c>
      <c r="P1152">
        <f>IF(COUNTIF($E1152, _xlfn.CONCAT("*",Table13[[#Headers],[Family]],"*")),1,0)</f>
        <v>0</v>
      </c>
      <c r="Q1152">
        <f>IF(COUNTIF($E1152, _xlfn.CONCAT("*",Table13[[#Headers],[Fantasy]],"*")),1,0)</f>
        <v>0</v>
      </c>
      <c r="R1152">
        <f>IF(COUNTIF($E1152, _xlfn.CONCAT("*",Table13[[#Headers],[History]],"*")),1,0)</f>
        <v>1</v>
      </c>
      <c r="S1152">
        <f>IF(COUNTIF($E1152, _xlfn.CONCAT("*",Table13[[#Headers],[Horror]],"*")),1,0)</f>
        <v>0</v>
      </c>
      <c r="T1152">
        <f>IF(COUNTIF($E1152, _xlfn.CONCAT("*",Table13[[#Headers],[Music]],"*")),1,0)</f>
        <v>0</v>
      </c>
      <c r="U1152">
        <f>IF(COUNTIF($E1152, _xlfn.CONCAT("*",Table13[[#Headers],[Mystery]],"*")),1,0)</f>
        <v>0</v>
      </c>
      <c r="V1152">
        <f>IF(COUNTIF($E1152, _xlfn.CONCAT("*",Table13[[#Headers],[Romance]],"*")),1,0)</f>
        <v>0</v>
      </c>
      <c r="W1152">
        <f>IF(COUNTIF($E1152, _xlfn.CONCAT("*",Table13[[#Headers],[Science Fiction]],"*")),1,0)</f>
        <v>0</v>
      </c>
      <c r="X1152">
        <f>IF(COUNTIF($E1152, _xlfn.CONCAT("*",Table13[[#Headers],[TV Movie]],"*")),1,0)</f>
        <v>0</v>
      </c>
      <c r="Y1152">
        <f>IF(COUNTIF($E1152, _xlfn.CONCAT("*",Table13[[#Headers],[Thriller]],"*")),1,0)</f>
        <v>0</v>
      </c>
      <c r="Z1152">
        <f>IF(COUNTIF($E1152, _xlfn.CONCAT("*",Table13[[#Headers],[War]],"*")),1,0)</f>
        <v>1</v>
      </c>
      <c r="AA1152">
        <f>IF(COUNTIF($E1152, _xlfn.CONCAT("*",Table13[[#Headers],[Western]],"*")),1,0)</f>
        <v>0</v>
      </c>
    </row>
    <row r="1153" spans="1:27">
      <c r="A1153" t="s">
        <v>1039</v>
      </c>
      <c r="B1153">
        <v>18</v>
      </c>
      <c r="C1153">
        <f>MAX(Table13[Rank])-Table13[[#This Row],[Rank]]</f>
        <v>246</v>
      </c>
      <c r="D1153" t="s">
        <v>1022</v>
      </c>
      <c r="E1153" t="s">
        <v>220</v>
      </c>
      <c r="F1153" s="1">
        <v>14628</v>
      </c>
      <c r="G1153">
        <f>YEAR(Table13[[#This Row],[Date]])</f>
        <v>1940</v>
      </c>
      <c r="H1153" t="s">
        <v>219</v>
      </c>
      <c r="I1153">
        <f>IF(COUNTIF($E1153, _xlfn.CONCAT("*",Table13[[#Headers],[Action]],"*")),1,0)</f>
        <v>0</v>
      </c>
      <c r="J1153">
        <f>IF(COUNTIF($E1153, _xlfn.CONCAT("*",Table13[[#Headers],[Adventure]],"*")),1,0)</f>
        <v>0</v>
      </c>
      <c r="K1153">
        <f>IF(COUNTIF($E1153, _xlfn.CONCAT("*",Table13[[#Headers],[Animation]],"*")),1,0)</f>
        <v>0</v>
      </c>
      <c r="L1153">
        <f>IF(COUNTIF($E1153, _xlfn.CONCAT("*",Table13[[#Headers],[Comedy]],"*")),1,0)</f>
        <v>1</v>
      </c>
      <c r="M1153">
        <f>IF(COUNTIF($E1153, _xlfn.CONCAT("*",Table13[[#Headers],[Crime]],"*")),1,0)</f>
        <v>0</v>
      </c>
      <c r="N1153">
        <f>IF(COUNTIF($E1153, _xlfn.CONCAT("*",Table13[[#Headers],[Documentary]],"*")),1,0)</f>
        <v>0</v>
      </c>
      <c r="O1153">
        <f>IF(COUNTIF($E1153, _xlfn.CONCAT("*",Table13[[#Headers],[Drama]],"*")),1,0)</f>
        <v>0</v>
      </c>
      <c r="P1153">
        <f>IF(COUNTIF($E1153, _xlfn.CONCAT("*",Table13[[#Headers],[Family]],"*")),1,0)</f>
        <v>0</v>
      </c>
      <c r="Q1153">
        <f>IF(COUNTIF($E1153, _xlfn.CONCAT("*",Table13[[#Headers],[Fantasy]],"*")),1,0)</f>
        <v>0</v>
      </c>
      <c r="R1153">
        <f>IF(COUNTIF($E1153, _xlfn.CONCAT("*",Table13[[#Headers],[History]],"*")),1,0)</f>
        <v>0</v>
      </c>
      <c r="S1153">
        <f>IF(COUNTIF($E1153, _xlfn.CONCAT("*",Table13[[#Headers],[Horror]],"*")),1,0)</f>
        <v>0</v>
      </c>
      <c r="T1153">
        <f>IF(COUNTIF($E1153, _xlfn.CONCAT("*",Table13[[#Headers],[Music]],"*")),1,0)</f>
        <v>0</v>
      </c>
      <c r="U1153">
        <f>IF(COUNTIF($E1153, _xlfn.CONCAT("*",Table13[[#Headers],[Mystery]],"*")),1,0)</f>
        <v>0</v>
      </c>
      <c r="V1153">
        <f>IF(COUNTIF($E1153, _xlfn.CONCAT("*",Table13[[#Headers],[Romance]],"*")),1,0)</f>
        <v>1</v>
      </c>
      <c r="W1153">
        <f>IF(COUNTIF($E1153, _xlfn.CONCAT("*",Table13[[#Headers],[Science Fiction]],"*")),1,0)</f>
        <v>0</v>
      </c>
      <c r="X1153">
        <f>IF(COUNTIF($E1153, _xlfn.CONCAT("*",Table13[[#Headers],[TV Movie]],"*")),1,0)</f>
        <v>0</v>
      </c>
      <c r="Y1153">
        <f>IF(COUNTIF($E1153, _xlfn.CONCAT("*",Table13[[#Headers],[Thriller]],"*")),1,0)</f>
        <v>0</v>
      </c>
      <c r="Z1153">
        <f>IF(COUNTIF($E1153, _xlfn.CONCAT("*",Table13[[#Headers],[War]],"*")),1,0)</f>
        <v>0</v>
      </c>
      <c r="AA1153">
        <f>IF(COUNTIF($E1153, _xlfn.CONCAT("*",Table13[[#Headers],[Western]],"*")),1,0)</f>
        <v>0</v>
      </c>
    </row>
    <row r="1154" spans="1:27">
      <c r="A1154" t="s">
        <v>1040</v>
      </c>
      <c r="B1154">
        <v>19</v>
      </c>
      <c r="C1154">
        <f>MAX(Table13[Rank])-Table13[[#This Row],[Rank]]</f>
        <v>245</v>
      </c>
      <c r="D1154" t="s">
        <v>1022</v>
      </c>
      <c r="E1154" t="s">
        <v>1041</v>
      </c>
      <c r="F1154" s="1">
        <v>43671</v>
      </c>
      <c r="G1154">
        <f>YEAR(Table13[[#This Row],[Date]])</f>
        <v>2019</v>
      </c>
      <c r="H1154" t="s">
        <v>1304</v>
      </c>
      <c r="I1154">
        <f>IF(COUNTIF($E1154, _xlfn.CONCAT("*",Table13[[#Headers],[Action]],"*")),1,0)</f>
        <v>0</v>
      </c>
      <c r="J1154">
        <f>IF(COUNTIF($E1154, _xlfn.CONCAT("*",Table13[[#Headers],[Adventure]],"*")),1,0)</f>
        <v>0</v>
      </c>
      <c r="K1154">
        <f>IF(COUNTIF($E1154, _xlfn.CONCAT("*",Table13[[#Headers],[Animation]],"*")),1,0)</f>
        <v>1</v>
      </c>
      <c r="L1154">
        <f>IF(COUNTIF($E1154, _xlfn.CONCAT("*",Table13[[#Headers],[Comedy]],"*")),1,0)</f>
        <v>1</v>
      </c>
      <c r="M1154">
        <f>IF(COUNTIF($E1154, _xlfn.CONCAT("*",Table13[[#Headers],[Crime]],"*")),1,0)</f>
        <v>0</v>
      </c>
      <c r="N1154">
        <f>IF(COUNTIF($E1154, _xlfn.CONCAT("*",Table13[[#Headers],[Documentary]],"*")),1,0)</f>
        <v>0</v>
      </c>
      <c r="O1154">
        <f>IF(COUNTIF($E1154, _xlfn.CONCAT("*",Table13[[#Headers],[Drama]],"*")),1,0)</f>
        <v>0</v>
      </c>
      <c r="P1154">
        <f>IF(COUNTIF($E1154, _xlfn.CONCAT("*",Table13[[#Headers],[Family]],"*")),1,0)</f>
        <v>1</v>
      </c>
      <c r="Q1154">
        <f>IF(COUNTIF($E1154, _xlfn.CONCAT("*",Table13[[#Headers],[Fantasy]],"*")),1,0)</f>
        <v>1</v>
      </c>
      <c r="R1154">
        <f>IF(COUNTIF($E1154, _xlfn.CONCAT("*",Table13[[#Headers],[History]],"*")),1,0)</f>
        <v>0</v>
      </c>
      <c r="S1154">
        <f>IF(COUNTIF($E1154, _xlfn.CONCAT("*",Table13[[#Headers],[Horror]],"*")),1,0)</f>
        <v>0</v>
      </c>
      <c r="T1154">
        <f>IF(COUNTIF($E1154, _xlfn.CONCAT("*",Table13[[#Headers],[Music]],"*")),1,0)</f>
        <v>0</v>
      </c>
      <c r="U1154">
        <f>IF(COUNTIF($E1154, _xlfn.CONCAT("*",Table13[[#Headers],[Mystery]],"*")),1,0)</f>
        <v>0</v>
      </c>
      <c r="V1154">
        <f>IF(COUNTIF($E1154, _xlfn.CONCAT("*",Table13[[#Headers],[Romance]],"*")),1,0)</f>
        <v>1</v>
      </c>
      <c r="W1154">
        <f>IF(COUNTIF($E1154, _xlfn.CONCAT("*",Table13[[#Headers],[Science Fiction]],"*")),1,0)</f>
        <v>0</v>
      </c>
      <c r="X1154">
        <f>IF(COUNTIF($E1154, _xlfn.CONCAT("*",Table13[[#Headers],[TV Movie]],"*")),1,0)</f>
        <v>0</v>
      </c>
      <c r="Y1154">
        <f>IF(COUNTIF($E1154, _xlfn.CONCAT("*",Table13[[#Headers],[Thriller]],"*")),1,0)</f>
        <v>0</v>
      </c>
      <c r="Z1154">
        <f>IF(COUNTIF($E1154, _xlfn.CONCAT("*",Table13[[#Headers],[War]],"*")),1,0)</f>
        <v>0</v>
      </c>
      <c r="AA1154">
        <f>IF(COUNTIF($E1154, _xlfn.CONCAT("*",Table13[[#Headers],[Western]],"*")),1,0)</f>
        <v>0</v>
      </c>
    </row>
    <row r="1155" spans="1:27">
      <c r="A1155" t="s">
        <v>1042</v>
      </c>
      <c r="B1155">
        <v>20</v>
      </c>
      <c r="C1155">
        <f>MAX(Table13[Rank])-Table13[[#This Row],[Rank]]</f>
        <v>244</v>
      </c>
      <c r="D1155" t="s">
        <v>1022</v>
      </c>
      <c r="E1155" t="s">
        <v>17</v>
      </c>
      <c r="F1155" s="1">
        <v>44448</v>
      </c>
      <c r="G1155">
        <f>YEAR(Table13[[#This Row],[Date]])</f>
        <v>2021</v>
      </c>
      <c r="H1155" t="s">
        <v>396</v>
      </c>
      <c r="I1155">
        <f>IF(COUNTIF($E1155, _xlfn.CONCAT("*",Table13[[#Headers],[Action]],"*")),1,0)</f>
        <v>0</v>
      </c>
      <c r="J1155">
        <f>IF(COUNTIF($E1155, _xlfn.CONCAT("*",Table13[[#Headers],[Adventure]],"*")),1,0)</f>
        <v>0</v>
      </c>
      <c r="K1155">
        <f>IF(COUNTIF($E1155, _xlfn.CONCAT("*",Table13[[#Headers],[Animation]],"*")),1,0)</f>
        <v>0</v>
      </c>
      <c r="L1155">
        <f>IF(COUNTIF($E1155, _xlfn.CONCAT("*",Table13[[#Headers],[Comedy]],"*")),1,0)</f>
        <v>0</v>
      </c>
      <c r="M1155">
        <f>IF(COUNTIF($E1155, _xlfn.CONCAT("*",Table13[[#Headers],[Crime]],"*")),1,0)</f>
        <v>0</v>
      </c>
      <c r="N1155">
        <f>IF(COUNTIF($E1155, _xlfn.CONCAT("*",Table13[[#Headers],[Documentary]],"*")),1,0)</f>
        <v>1</v>
      </c>
      <c r="O1155">
        <f>IF(COUNTIF($E1155, _xlfn.CONCAT("*",Table13[[#Headers],[Drama]],"*")),1,0)</f>
        <v>0</v>
      </c>
      <c r="P1155">
        <f>IF(COUNTIF($E1155, _xlfn.CONCAT("*",Table13[[#Headers],[Family]],"*")),1,0)</f>
        <v>0</v>
      </c>
      <c r="Q1155">
        <f>IF(COUNTIF($E1155, _xlfn.CONCAT("*",Table13[[#Headers],[Fantasy]],"*")),1,0)</f>
        <v>0</v>
      </c>
      <c r="R1155">
        <f>IF(COUNTIF($E1155, _xlfn.CONCAT("*",Table13[[#Headers],[History]],"*")),1,0)</f>
        <v>0</v>
      </c>
      <c r="S1155">
        <f>IF(COUNTIF($E1155, _xlfn.CONCAT("*",Table13[[#Headers],[Horror]],"*")),1,0)</f>
        <v>0</v>
      </c>
      <c r="T1155">
        <f>IF(COUNTIF($E1155, _xlfn.CONCAT("*",Table13[[#Headers],[Music]],"*")),1,0)</f>
        <v>0</v>
      </c>
      <c r="U1155">
        <f>IF(COUNTIF($E1155, _xlfn.CONCAT("*",Table13[[#Headers],[Mystery]],"*")),1,0)</f>
        <v>0</v>
      </c>
      <c r="V1155">
        <f>IF(COUNTIF($E1155, _xlfn.CONCAT("*",Table13[[#Headers],[Romance]],"*")),1,0)</f>
        <v>0</v>
      </c>
      <c r="W1155">
        <f>IF(COUNTIF($E1155, _xlfn.CONCAT("*",Table13[[#Headers],[Science Fiction]],"*")),1,0)</f>
        <v>0</v>
      </c>
      <c r="X1155">
        <f>IF(COUNTIF($E1155, _xlfn.CONCAT("*",Table13[[#Headers],[TV Movie]],"*")),1,0)</f>
        <v>0</v>
      </c>
      <c r="Y1155">
        <f>IF(COUNTIF($E1155, _xlfn.CONCAT("*",Table13[[#Headers],[Thriller]],"*")),1,0)</f>
        <v>0</v>
      </c>
      <c r="Z1155">
        <f>IF(COUNTIF($E1155, _xlfn.CONCAT("*",Table13[[#Headers],[War]],"*")),1,0)</f>
        <v>0</v>
      </c>
      <c r="AA1155">
        <f>IF(COUNTIF($E1155, _xlfn.CONCAT("*",Table13[[#Headers],[Western]],"*")),1,0)</f>
        <v>0</v>
      </c>
    </row>
    <row r="1156" spans="1:27">
      <c r="A1156" t="s">
        <v>1043</v>
      </c>
      <c r="B1156">
        <v>21</v>
      </c>
      <c r="C1156">
        <f>MAX(Table13[Rank])-Table13[[#This Row],[Rank]]</f>
        <v>243</v>
      </c>
      <c r="D1156" t="s">
        <v>1022</v>
      </c>
      <c r="E1156" t="s">
        <v>21</v>
      </c>
      <c r="F1156" s="1">
        <v>36649</v>
      </c>
      <c r="G1156">
        <f>YEAR(Table13[[#This Row],[Date]])</f>
        <v>2000</v>
      </c>
      <c r="H1156" t="s">
        <v>453</v>
      </c>
      <c r="I1156">
        <f>IF(COUNTIF($E1156, _xlfn.CONCAT("*",Table13[[#Headers],[Action]],"*")),1,0)</f>
        <v>0</v>
      </c>
      <c r="J1156">
        <f>IF(COUNTIF($E1156, _xlfn.CONCAT("*",Table13[[#Headers],[Adventure]],"*")),1,0)</f>
        <v>0</v>
      </c>
      <c r="K1156">
        <f>IF(COUNTIF($E1156, _xlfn.CONCAT("*",Table13[[#Headers],[Animation]],"*")),1,0)</f>
        <v>0</v>
      </c>
      <c r="L1156">
        <f>IF(COUNTIF($E1156, _xlfn.CONCAT("*",Table13[[#Headers],[Comedy]],"*")),1,0)</f>
        <v>0</v>
      </c>
      <c r="M1156">
        <f>IF(COUNTIF($E1156, _xlfn.CONCAT("*",Table13[[#Headers],[Crime]],"*")),1,0)</f>
        <v>0</v>
      </c>
      <c r="N1156">
        <f>IF(COUNTIF($E1156, _xlfn.CONCAT("*",Table13[[#Headers],[Documentary]],"*")),1,0)</f>
        <v>0</v>
      </c>
      <c r="O1156">
        <f>IF(COUNTIF($E1156, _xlfn.CONCAT("*",Table13[[#Headers],[Drama]],"*")),1,0)</f>
        <v>1</v>
      </c>
      <c r="P1156">
        <f>IF(COUNTIF($E1156, _xlfn.CONCAT("*",Table13[[#Headers],[Family]],"*")),1,0)</f>
        <v>0</v>
      </c>
      <c r="Q1156">
        <f>IF(COUNTIF($E1156, _xlfn.CONCAT("*",Table13[[#Headers],[Fantasy]],"*")),1,0)</f>
        <v>0</v>
      </c>
      <c r="R1156">
        <f>IF(COUNTIF($E1156, _xlfn.CONCAT("*",Table13[[#Headers],[History]],"*")),1,0)</f>
        <v>0</v>
      </c>
      <c r="S1156">
        <f>IF(COUNTIF($E1156, _xlfn.CONCAT("*",Table13[[#Headers],[Horror]],"*")),1,0)</f>
        <v>0</v>
      </c>
      <c r="T1156">
        <f>IF(COUNTIF($E1156, _xlfn.CONCAT("*",Table13[[#Headers],[Music]],"*")),1,0)</f>
        <v>0</v>
      </c>
      <c r="U1156">
        <f>IF(COUNTIF($E1156, _xlfn.CONCAT("*",Table13[[#Headers],[Mystery]],"*")),1,0)</f>
        <v>0</v>
      </c>
      <c r="V1156">
        <f>IF(COUNTIF($E1156, _xlfn.CONCAT("*",Table13[[#Headers],[Romance]],"*")),1,0)</f>
        <v>0</v>
      </c>
      <c r="W1156">
        <f>IF(COUNTIF($E1156, _xlfn.CONCAT("*",Table13[[#Headers],[Science Fiction]],"*")),1,0)</f>
        <v>0</v>
      </c>
      <c r="X1156">
        <f>IF(COUNTIF($E1156, _xlfn.CONCAT("*",Table13[[#Headers],[TV Movie]],"*")),1,0)</f>
        <v>0</v>
      </c>
      <c r="Y1156">
        <f>IF(COUNTIF($E1156, _xlfn.CONCAT("*",Table13[[#Headers],[Thriller]],"*")),1,0)</f>
        <v>0</v>
      </c>
      <c r="Z1156">
        <f>IF(COUNTIF($E1156, _xlfn.CONCAT("*",Table13[[#Headers],[War]],"*")),1,0)</f>
        <v>0</v>
      </c>
      <c r="AA1156">
        <f>IF(COUNTIF($E1156, _xlfn.CONCAT("*",Table13[[#Headers],[Western]],"*")),1,0)</f>
        <v>0</v>
      </c>
    </row>
    <row r="1157" spans="1:27">
      <c r="A1157" t="s">
        <v>1044</v>
      </c>
      <c r="B1157">
        <v>22</v>
      </c>
      <c r="C1157">
        <f>MAX(Table13[Rank])-Table13[[#This Row],[Rank]]</f>
        <v>242</v>
      </c>
      <c r="D1157" t="s">
        <v>1022</v>
      </c>
      <c r="E1157" t="s">
        <v>141</v>
      </c>
      <c r="F1157" s="1">
        <v>20591</v>
      </c>
      <c r="G1157">
        <f>YEAR(Table13[[#This Row],[Date]])</f>
        <v>1956</v>
      </c>
      <c r="H1157" t="s">
        <v>381</v>
      </c>
      <c r="I1157">
        <f>IF(COUNTIF($E1157, _xlfn.CONCAT("*",Table13[[#Headers],[Action]],"*")),1,0)</f>
        <v>0</v>
      </c>
      <c r="J1157">
        <f>IF(COUNTIF($E1157, _xlfn.CONCAT("*",Table13[[#Headers],[Adventure]],"*")),1,0)</f>
        <v>0</v>
      </c>
      <c r="K1157">
        <f>IF(COUNTIF($E1157, _xlfn.CONCAT("*",Table13[[#Headers],[Animation]],"*")),1,0)</f>
        <v>0</v>
      </c>
      <c r="L1157">
        <f>IF(COUNTIF($E1157, _xlfn.CONCAT("*",Table13[[#Headers],[Comedy]],"*")),1,0)</f>
        <v>0</v>
      </c>
      <c r="M1157">
        <f>IF(COUNTIF($E1157, _xlfn.CONCAT("*",Table13[[#Headers],[Crime]],"*")),1,0)</f>
        <v>0</v>
      </c>
      <c r="N1157">
        <f>IF(COUNTIF($E1157, _xlfn.CONCAT("*",Table13[[#Headers],[Documentary]],"*")),1,0)</f>
        <v>0</v>
      </c>
      <c r="O1157">
        <f>IF(COUNTIF($E1157, _xlfn.CONCAT("*",Table13[[#Headers],[Drama]],"*")),1,0)</f>
        <v>0</v>
      </c>
      <c r="P1157">
        <f>IF(COUNTIF($E1157, _xlfn.CONCAT("*",Table13[[#Headers],[Family]],"*")),1,0)</f>
        <v>0</v>
      </c>
      <c r="Q1157">
        <f>IF(COUNTIF($E1157, _xlfn.CONCAT("*",Table13[[#Headers],[Fantasy]],"*")),1,0)</f>
        <v>0</v>
      </c>
      <c r="R1157">
        <f>IF(COUNTIF($E1157, _xlfn.CONCAT("*",Table13[[#Headers],[History]],"*")),1,0)</f>
        <v>0</v>
      </c>
      <c r="S1157">
        <f>IF(COUNTIF($E1157, _xlfn.CONCAT("*",Table13[[#Headers],[Horror]],"*")),1,0)</f>
        <v>0</v>
      </c>
      <c r="T1157">
        <f>IF(COUNTIF($E1157, _xlfn.CONCAT("*",Table13[[#Headers],[Music]],"*")),1,0)</f>
        <v>0</v>
      </c>
      <c r="U1157">
        <f>IF(COUNTIF($E1157, _xlfn.CONCAT("*",Table13[[#Headers],[Mystery]],"*")),1,0)</f>
        <v>0</v>
      </c>
      <c r="V1157">
        <f>IF(COUNTIF($E1157, _xlfn.CONCAT("*",Table13[[#Headers],[Romance]],"*")),1,0)</f>
        <v>0</v>
      </c>
      <c r="W1157">
        <f>IF(COUNTIF($E1157, _xlfn.CONCAT("*",Table13[[#Headers],[Science Fiction]],"*")),1,0)</f>
        <v>0</v>
      </c>
      <c r="X1157">
        <f>IF(COUNTIF($E1157, _xlfn.CONCAT("*",Table13[[#Headers],[TV Movie]],"*")),1,0)</f>
        <v>0</v>
      </c>
      <c r="Y1157">
        <f>IF(COUNTIF($E1157, _xlfn.CONCAT("*",Table13[[#Headers],[Thriller]],"*")),1,0)</f>
        <v>0</v>
      </c>
      <c r="Z1157">
        <f>IF(COUNTIF($E1157, _xlfn.CONCAT("*",Table13[[#Headers],[War]],"*")),1,0)</f>
        <v>0</v>
      </c>
      <c r="AA1157">
        <f>IF(COUNTIF($E1157, _xlfn.CONCAT("*",Table13[[#Headers],[Western]],"*")),1,0)</f>
        <v>1</v>
      </c>
    </row>
    <row r="1158" spans="1:27">
      <c r="A1158" t="s">
        <v>1045</v>
      </c>
      <c r="B1158">
        <v>23</v>
      </c>
      <c r="C1158">
        <f>MAX(Table13[Rank])-Table13[[#This Row],[Rank]]</f>
        <v>241</v>
      </c>
      <c r="D1158" t="s">
        <v>1022</v>
      </c>
      <c r="E1158" t="s">
        <v>21</v>
      </c>
      <c r="F1158" s="1">
        <v>24398</v>
      </c>
      <c r="G1158">
        <f>YEAR(Table13[[#This Row],[Date]])</f>
        <v>1966</v>
      </c>
      <c r="H1158" t="s">
        <v>377</v>
      </c>
      <c r="I1158">
        <f>IF(COUNTIF($E1158, _xlfn.CONCAT("*",Table13[[#Headers],[Action]],"*")),1,0)</f>
        <v>0</v>
      </c>
      <c r="J1158">
        <f>IF(COUNTIF($E1158, _xlfn.CONCAT("*",Table13[[#Headers],[Adventure]],"*")),1,0)</f>
        <v>0</v>
      </c>
      <c r="K1158">
        <f>IF(COUNTIF($E1158, _xlfn.CONCAT("*",Table13[[#Headers],[Animation]],"*")),1,0)</f>
        <v>0</v>
      </c>
      <c r="L1158">
        <f>IF(COUNTIF($E1158, _xlfn.CONCAT("*",Table13[[#Headers],[Comedy]],"*")),1,0)</f>
        <v>0</v>
      </c>
      <c r="M1158">
        <f>IF(COUNTIF($E1158, _xlfn.CONCAT("*",Table13[[#Headers],[Crime]],"*")),1,0)</f>
        <v>0</v>
      </c>
      <c r="N1158">
        <f>IF(COUNTIF($E1158, _xlfn.CONCAT("*",Table13[[#Headers],[Documentary]],"*")),1,0)</f>
        <v>0</v>
      </c>
      <c r="O1158">
        <f>IF(COUNTIF($E1158, _xlfn.CONCAT("*",Table13[[#Headers],[Drama]],"*")),1,0)</f>
        <v>1</v>
      </c>
      <c r="P1158">
        <f>IF(COUNTIF($E1158, _xlfn.CONCAT("*",Table13[[#Headers],[Family]],"*")),1,0)</f>
        <v>0</v>
      </c>
      <c r="Q1158">
        <f>IF(COUNTIF($E1158, _xlfn.CONCAT("*",Table13[[#Headers],[Fantasy]],"*")),1,0)</f>
        <v>0</v>
      </c>
      <c r="R1158">
        <f>IF(COUNTIF($E1158, _xlfn.CONCAT("*",Table13[[#Headers],[History]],"*")),1,0)</f>
        <v>0</v>
      </c>
      <c r="S1158">
        <f>IF(COUNTIF($E1158, _xlfn.CONCAT("*",Table13[[#Headers],[Horror]],"*")),1,0)</f>
        <v>0</v>
      </c>
      <c r="T1158">
        <f>IF(COUNTIF($E1158, _xlfn.CONCAT("*",Table13[[#Headers],[Music]],"*")),1,0)</f>
        <v>0</v>
      </c>
      <c r="U1158">
        <f>IF(COUNTIF($E1158, _xlfn.CONCAT("*",Table13[[#Headers],[Mystery]],"*")),1,0)</f>
        <v>0</v>
      </c>
      <c r="V1158">
        <f>IF(COUNTIF($E1158, _xlfn.CONCAT("*",Table13[[#Headers],[Romance]],"*")),1,0)</f>
        <v>0</v>
      </c>
      <c r="W1158">
        <f>IF(COUNTIF($E1158, _xlfn.CONCAT("*",Table13[[#Headers],[Science Fiction]],"*")),1,0)</f>
        <v>0</v>
      </c>
      <c r="X1158">
        <f>IF(COUNTIF($E1158, _xlfn.CONCAT("*",Table13[[#Headers],[TV Movie]],"*")),1,0)</f>
        <v>0</v>
      </c>
      <c r="Y1158">
        <f>IF(COUNTIF($E1158, _xlfn.CONCAT("*",Table13[[#Headers],[Thriller]],"*")),1,0)</f>
        <v>0</v>
      </c>
      <c r="Z1158">
        <f>IF(COUNTIF($E1158, _xlfn.CONCAT("*",Table13[[#Headers],[War]],"*")),1,0)</f>
        <v>0</v>
      </c>
      <c r="AA1158">
        <f>IF(COUNTIF($E1158, _xlfn.CONCAT("*",Table13[[#Headers],[Western]],"*")),1,0)</f>
        <v>0</v>
      </c>
    </row>
    <row r="1159" spans="1:27">
      <c r="A1159" t="s">
        <v>1046</v>
      </c>
      <c r="B1159">
        <v>24</v>
      </c>
      <c r="C1159">
        <f>MAX(Table13[Rank])-Table13[[#This Row],[Rank]]</f>
        <v>240</v>
      </c>
      <c r="D1159" t="s">
        <v>1022</v>
      </c>
      <c r="E1159" t="s">
        <v>21</v>
      </c>
      <c r="F1159" s="1">
        <v>32673</v>
      </c>
      <c r="G1159">
        <f>YEAR(Table13[[#This Row],[Date]])</f>
        <v>1989</v>
      </c>
      <c r="H1159" t="s">
        <v>369</v>
      </c>
      <c r="I1159">
        <f>IF(COUNTIF($E1159, _xlfn.CONCAT("*",Table13[[#Headers],[Action]],"*")),1,0)</f>
        <v>0</v>
      </c>
      <c r="J1159">
        <f>IF(COUNTIF($E1159, _xlfn.CONCAT("*",Table13[[#Headers],[Adventure]],"*")),1,0)</f>
        <v>0</v>
      </c>
      <c r="K1159">
        <f>IF(COUNTIF($E1159, _xlfn.CONCAT("*",Table13[[#Headers],[Animation]],"*")),1,0)</f>
        <v>0</v>
      </c>
      <c r="L1159">
        <f>IF(COUNTIF($E1159, _xlfn.CONCAT("*",Table13[[#Headers],[Comedy]],"*")),1,0)</f>
        <v>0</v>
      </c>
      <c r="M1159">
        <f>IF(COUNTIF($E1159, _xlfn.CONCAT("*",Table13[[#Headers],[Crime]],"*")),1,0)</f>
        <v>0</v>
      </c>
      <c r="N1159">
        <f>IF(COUNTIF($E1159, _xlfn.CONCAT("*",Table13[[#Headers],[Documentary]],"*")),1,0)</f>
        <v>0</v>
      </c>
      <c r="O1159">
        <f>IF(COUNTIF($E1159, _xlfn.CONCAT("*",Table13[[#Headers],[Drama]],"*")),1,0)</f>
        <v>1</v>
      </c>
      <c r="P1159">
        <f>IF(COUNTIF($E1159, _xlfn.CONCAT("*",Table13[[#Headers],[Family]],"*")),1,0)</f>
        <v>0</v>
      </c>
      <c r="Q1159">
        <f>IF(COUNTIF($E1159, _xlfn.CONCAT("*",Table13[[#Headers],[Fantasy]],"*")),1,0)</f>
        <v>0</v>
      </c>
      <c r="R1159">
        <f>IF(COUNTIF($E1159, _xlfn.CONCAT("*",Table13[[#Headers],[History]],"*")),1,0)</f>
        <v>0</v>
      </c>
      <c r="S1159">
        <f>IF(COUNTIF($E1159, _xlfn.CONCAT("*",Table13[[#Headers],[Horror]],"*")),1,0)</f>
        <v>0</v>
      </c>
      <c r="T1159">
        <f>IF(COUNTIF($E1159, _xlfn.CONCAT("*",Table13[[#Headers],[Music]],"*")),1,0)</f>
        <v>0</v>
      </c>
      <c r="U1159">
        <f>IF(COUNTIF($E1159, _xlfn.CONCAT("*",Table13[[#Headers],[Mystery]],"*")),1,0)</f>
        <v>0</v>
      </c>
      <c r="V1159">
        <f>IF(COUNTIF($E1159, _xlfn.CONCAT("*",Table13[[#Headers],[Romance]],"*")),1,0)</f>
        <v>0</v>
      </c>
      <c r="W1159">
        <f>IF(COUNTIF($E1159, _xlfn.CONCAT("*",Table13[[#Headers],[Science Fiction]],"*")),1,0)</f>
        <v>0</v>
      </c>
      <c r="X1159">
        <f>IF(COUNTIF($E1159, _xlfn.CONCAT("*",Table13[[#Headers],[TV Movie]],"*")),1,0)</f>
        <v>0</v>
      </c>
      <c r="Y1159">
        <f>IF(COUNTIF($E1159, _xlfn.CONCAT("*",Table13[[#Headers],[Thriller]],"*")),1,0)</f>
        <v>0</v>
      </c>
      <c r="Z1159">
        <f>IF(COUNTIF($E1159, _xlfn.CONCAT("*",Table13[[#Headers],[War]],"*")),1,0)</f>
        <v>0</v>
      </c>
      <c r="AA1159">
        <f>IF(COUNTIF($E1159, _xlfn.CONCAT("*",Table13[[#Headers],[Western]],"*")),1,0)</f>
        <v>0</v>
      </c>
    </row>
    <row r="1160" spans="1:27">
      <c r="A1160" t="s">
        <v>1047</v>
      </c>
      <c r="B1160">
        <v>25</v>
      </c>
      <c r="C1160">
        <f>MAX(Table13[Rank])-Table13[[#This Row],[Rank]]</f>
        <v>239</v>
      </c>
      <c r="D1160" t="s">
        <v>1022</v>
      </c>
      <c r="E1160" t="s">
        <v>345</v>
      </c>
      <c r="F1160" s="1">
        <v>18501</v>
      </c>
      <c r="G1160">
        <f>YEAR(Table13[[#This Row],[Date]])</f>
        <v>1950</v>
      </c>
      <c r="H1160" t="s">
        <v>344</v>
      </c>
      <c r="I1160">
        <f>IF(COUNTIF($E1160, _xlfn.CONCAT("*",Table13[[#Headers],[Action]],"*")),1,0)</f>
        <v>0</v>
      </c>
      <c r="J1160">
        <f>IF(COUNTIF($E1160, _xlfn.CONCAT("*",Table13[[#Headers],[Adventure]],"*")),1,0)</f>
        <v>0</v>
      </c>
      <c r="K1160">
        <f>IF(COUNTIF($E1160, _xlfn.CONCAT("*",Table13[[#Headers],[Animation]],"*")),1,0)</f>
        <v>0</v>
      </c>
      <c r="L1160">
        <f>IF(COUNTIF($E1160, _xlfn.CONCAT("*",Table13[[#Headers],[Comedy]],"*")),1,0)</f>
        <v>0</v>
      </c>
      <c r="M1160">
        <f>IF(COUNTIF($E1160, _xlfn.CONCAT("*",Table13[[#Headers],[Crime]],"*")),1,0)</f>
        <v>1</v>
      </c>
      <c r="N1160">
        <f>IF(COUNTIF($E1160, _xlfn.CONCAT("*",Table13[[#Headers],[Documentary]],"*")),1,0)</f>
        <v>0</v>
      </c>
      <c r="O1160">
        <f>IF(COUNTIF($E1160, _xlfn.CONCAT("*",Table13[[#Headers],[Drama]],"*")),1,0)</f>
        <v>1</v>
      </c>
      <c r="P1160">
        <f>IF(COUNTIF($E1160, _xlfn.CONCAT("*",Table13[[#Headers],[Family]],"*")),1,0)</f>
        <v>0</v>
      </c>
      <c r="Q1160">
        <f>IF(COUNTIF($E1160, _xlfn.CONCAT("*",Table13[[#Headers],[Fantasy]],"*")),1,0)</f>
        <v>0</v>
      </c>
      <c r="R1160">
        <f>IF(COUNTIF($E1160, _xlfn.CONCAT("*",Table13[[#Headers],[History]],"*")),1,0)</f>
        <v>0</v>
      </c>
      <c r="S1160">
        <f>IF(COUNTIF($E1160, _xlfn.CONCAT("*",Table13[[#Headers],[Horror]],"*")),1,0)</f>
        <v>0</v>
      </c>
      <c r="T1160">
        <f>IF(COUNTIF($E1160, _xlfn.CONCAT("*",Table13[[#Headers],[Music]],"*")),1,0)</f>
        <v>0</v>
      </c>
      <c r="U1160">
        <f>IF(COUNTIF($E1160, _xlfn.CONCAT("*",Table13[[#Headers],[Mystery]],"*")),1,0)</f>
        <v>1</v>
      </c>
      <c r="V1160">
        <f>IF(COUNTIF($E1160, _xlfn.CONCAT("*",Table13[[#Headers],[Romance]],"*")),1,0)</f>
        <v>0</v>
      </c>
      <c r="W1160">
        <f>IF(COUNTIF($E1160, _xlfn.CONCAT("*",Table13[[#Headers],[Science Fiction]],"*")),1,0)</f>
        <v>0</v>
      </c>
      <c r="X1160">
        <f>IF(COUNTIF($E1160, _xlfn.CONCAT("*",Table13[[#Headers],[TV Movie]],"*")),1,0)</f>
        <v>0</v>
      </c>
      <c r="Y1160">
        <f>IF(COUNTIF($E1160, _xlfn.CONCAT("*",Table13[[#Headers],[Thriller]],"*")),1,0)</f>
        <v>0</v>
      </c>
      <c r="Z1160">
        <f>IF(COUNTIF($E1160, _xlfn.CONCAT("*",Table13[[#Headers],[War]],"*")),1,0)</f>
        <v>0</v>
      </c>
      <c r="AA1160">
        <f>IF(COUNTIF($E1160, _xlfn.CONCAT("*",Table13[[#Headers],[Western]],"*")),1,0)</f>
        <v>0</v>
      </c>
    </row>
    <row r="1161" spans="1:27">
      <c r="A1161" t="s">
        <v>1048</v>
      </c>
      <c r="B1161">
        <v>26</v>
      </c>
      <c r="C1161">
        <f>MAX(Table13[Rank])-Table13[[#This Row],[Rank]]</f>
        <v>238</v>
      </c>
      <c r="D1161" t="s">
        <v>1022</v>
      </c>
      <c r="E1161" t="s">
        <v>194</v>
      </c>
      <c r="F1161" s="1">
        <v>14435</v>
      </c>
      <c r="G1161">
        <f>YEAR(Table13[[#This Row],[Date]])</f>
        <v>1939</v>
      </c>
      <c r="H1161" t="s">
        <v>483</v>
      </c>
      <c r="I1161">
        <f>IF(COUNTIF($E1161, _xlfn.CONCAT("*",Table13[[#Headers],[Action]],"*")),1,0)</f>
        <v>0</v>
      </c>
      <c r="J1161">
        <f>IF(COUNTIF($E1161, _xlfn.CONCAT("*",Table13[[#Headers],[Adventure]],"*")),1,0)</f>
        <v>0</v>
      </c>
      <c r="K1161">
        <f>IF(COUNTIF($E1161, _xlfn.CONCAT("*",Table13[[#Headers],[Animation]],"*")),1,0)</f>
        <v>0</v>
      </c>
      <c r="L1161">
        <f>IF(COUNTIF($E1161, _xlfn.CONCAT("*",Table13[[#Headers],[Comedy]],"*")),1,0)</f>
        <v>1</v>
      </c>
      <c r="M1161">
        <f>IF(COUNTIF($E1161, _xlfn.CONCAT("*",Table13[[#Headers],[Crime]],"*")),1,0)</f>
        <v>0</v>
      </c>
      <c r="N1161">
        <f>IF(COUNTIF($E1161, _xlfn.CONCAT("*",Table13[[#Headers],[Documentary]],"*")),1,0)</f>
        <v>0</v>
      </c>
      <c r="O1161">
        <f>IF(COUNTIF($E1161, _xlfn.CONCAT("*",Table13[[#Headers],[Drama]],"*")),1,0)</f>
        <v>1</v>
      </c>
      <c r="P1161">
        <f>IF(COUNTIF($E1161, _xlfn.CONCAT("*",Table13[[#Headers],[Family]],"*")),1,0)</f>
        <v>0</v>
      </c>
      <c r="Q1161">
        <f>IF(COUNTIF($E1161, _xlfn.CONCAT("*",Table13[[#Headers],[Fantasy]],"*")),1,0)</f>
        <v>0</v>
      </c>
      <c r="R1161">
        <f>IF(COUNTIF($E1161, _xlfn.CONCAT("*",Table13[[#Headers],[History]],"*")),1,0)</f>
        <v>0</v>
      </c>
      <c r="S1161">
        <f>IF(COUNTIF($E1161, _xlfn.CONCAT("*",Table13[[#Headers],[Horror]],"*")),1,0)</f>
        <v>0</v>
      </c>
      <c r="T1161">
        <f>IF(COUNTIF($E1161, _xlfn.CONCAT("*",Table13[[#Headers],[Music]],"*")),1,0)</f>
        <v>0</v>
      </c>
      <c r="U1161">
        <f>IF(COUNTIF($E1161, _xlfn.CONCAT("*",Table13[[#Headers],[Mystery]],"*")),1,0)</f>
        <v>0</v>
      </c>
      <c r="V1161">
        <f>IF(COUNTIF($E1161, _xlfn.CONCAT("*",Table13[[#Headers],[Romance]],"*")),1,0)</f>
        <v>1</v>
      </c>
      <c r="W1161">
        <f>IF(COUNTIF($E1161, _xlfn.CONCAT("*",Table13[[#Headers],[Science Fiction]],"*")),1,0)</f>
        <v>0</v>
      </c>
      <c r="X1161">
        <f>IF(COUNTIF($E1161, _xlfn.CONCAT("*",Table13[[#Headers],[TV Movie]],"*")),1,0)</f>
        <v>0</v>
      </c>
      <c r="Y1161">
        <f>IF(COUNTIF($E1161, _xlfn.CONCAT("*",Table13[[#Headers],[Thriller]],"*")),1,0)</f>
        <v>0</v>
      </c>
      <c r="Z1161">
        <f>IF(COUNTIF($E1161, _xlfn.CONCAT("*",Table13[[#Headers],[War]],"*")),1,0)</f>
        <v>0</v>
      </c>
      <c r="AA1161">
        <f>IF(COUNTIF($E1161, _xlfn.CONCAT("*",Table13[[#Headers],[Western]],"*")),1,0)</f>
        <v>0</v>
      </c>
    </row>
    <row r="1162" spans="1:27">
      <c r="A1162" t="s">
        <v>1049</v>
      </c>
      <c r="B1162">
        <v>27</v>
      </c>
      <c r="C1162">
        <f>MAX(Table13[Rank])-Table13[[#This Row],[Rank]]</f>
        <v>237</v>
      </c>
      <c r="D1162" t="s">
        <v>1022</v>
      </c>
      <c r="E1162" t="s">
        <v>259</v>
      </c>
      <c r="F1162" s="1">
        <v>27565</v>
      </c>
      <c r="G1162">
        <f>YEAR(Table13[[#This Row],[Date]])</f>
        <v>1975</v>
      </c>
      <c r="H1162" t="s">
        <v>258</v>
      </c>
      <c r="I1162">
        <f>IF(COUNTIF($E1162, _xlfn.CONCAT("*",Table13[[#Headers],[Action]],"*")),1,0)</f>
        <v>0</v>
      </c>
      <c r="J1162">
        <f>IF(COUNTIF($E1162, _xlfn.CONCAT("*",Table13[[#Headers],[Adventure]],"*")),1,0)</f>
        <v>1</v>
      </c>
      <c r="K1162">
        <f>IF(COUNTIF($E1162, _xlfn.CONCAT("*",Table13[[#Headers],[Animation]],"*")),1,0)</f>
        <v>0</v>
      </c>
      <c r="L1162">
        <f>IF(COUNTIF($E1162, _xlfn.CONCAT("*",Table13[[#Headers],[Comedy]],"*")),1,0)</f>
        <v>0</v>
      </c>
      <c r="M1162">
        <f>IF(COUNTIF($E1162, _xlfn.CONCAT("*",Table13[[#Headers],[Crime]],"*")),1,0)</f>
        <v>0</v>
      </c>
      <c r="N1162">
        <f>IF(COUNTIF($E1162, _xlfn.CONCAT("*",Table13[[#Headers],[Documentary]],"*")),1,0)</f>
        <v>0</v>
      </c>
      <c r="O1162">
        <f>IF(COUNTIF($E1162, _xlfn.CONCAT("*",Table13[[#Headers],[Drama]],"*")),1,0)</f>
        <v>0</v>
      </c>
      <c r="P1162">
        <f>IF(COUNTIF($E1162, _xlfn.CONCAT("*",Table13[[#Headers],[Family]],"*")),1,0)</f>
        <v>0</v>
      </c>
      <c r="Q1162">
        <f>IF(COUNTIF($E1162, _xlfn.CONCAT("*",Table13[[#Headers],[Fantasy]],"*")),1,0)</f>
        <v>0</v>
      </c>
      <c r="R1162">
        <f>IF(COUNTIF($E1162, _xlfn.CONCAT("*",Table13[[#Headers],[History]],"*")),1,0)</f>
        <v>0</v>
      </c>
      <c r="S1162">
        <f>IF(COUNTIF($E1162, _xlfn.CONCAT("*",Table13[[#Headers],[Horror]],"*")),1,0)</f>
        <v>1</v>
      </c>
      <c r="T1162">
        <f>IF(COUNTIF($E1162, _xlfn.CONCAT("*",Table13[[#Headers],[Music]],"*")),1,0)</f>
        <v>0</v>
      </c>
      <c r="U1162">
        <f>IF(COUNTIF($E1162, _xlfn.CONCAT("*",Table13[[#Headers],[Mystery]],"*")),1,0)</f>
        <v>0</v>
      </c>
      <c r="V1162">
        <f>IF(COUNTIF($E1162, _xlfn.CONCAT("*",Table13[[#Headers],[Romance]],"*")),1,0)</f>
        <v>0</v>
      </c>
      <c r="W1162">
        <f>IF(COUNTIF($E1162, _xlfn.CONCAT("*",Table13[[#Headers],[Science Fiction]],"*")),1,0)</f>
        <v>0</v>
      </c>
      <c r="X1162">
        <f>IF(COUNTIF($E1162, _xlfn.CONCAT("*",Table13[[#Headers],[TV Movie]],"*")),1,0)</f>
        <v>0</v>
      </c>
      <c r="Y1162">
        <f>IF(COUNTIF($E1162, _xlfn.CONCAT("*",Table13[[#Headers],[Thriller]],"*")),1,0)</f>
        <v>1</v>
      </c>
      <c r="Z1162">
        <f>IF(COUNTIF($E1162, _xlfn.CONCAT("*",Table13[[#Headers],[War]],"*")),1,0)</f>
        <v>0</v>
      </c>
      <c r="AA1162">
        <f>IF(COUNTIF($E1162, _xlfn.CONCAT("*",Table13[[#Headers],[Western]],"*")),1,0)</f>
        <v>0</v>
      </c>
    </row>
    <row r="1163" spans="1:27">
      <c r="A1163" t="s">
        <v>1050</v>
      </c>
      <c r="B1163">
        <v>28</v>
      </c>
      <c r="C1163">
        <f>MAX(Table13[Rank])-Table13[[#This Row],[Rank]]</f>
        <v>236</v>
      </c>
      <c r="D1163" t="s">
        <v>1022</v>
      </c>
      <c r="E1163" t="s">
        <v>102</v>
      </c>
      <c r="F1163" s="1">
        <v>16237</v>
      </c>
      <c r="G1163">
        <f>YEAR(Table13[[#This Row],[Date]])</f>
        <v>1944</v>
      </c>
      <c r="H1163" t="s">
        <v>101</v>
      </c>
      <c r="I1163">
        <f>IF(COUNTIF($E1163, _xlfn.CONCAT("*",Table13[[#Headers],[Action]],"*")),1,0)</f>
        <v>0</v>
      </c>
      <c r="J1163">
        <f>IF(COUNTIF($E1163, _xlfn.CONCAT("*",Table13[[#Headers],[Adventure]],"*")),1,0)</f>
        <v>0</v>
      </c>
      <c r="K1163">
        <f>IF(COUNTIF($E1163, _xlfn.CONCAT("*",Table13[[#Headers],[Animation]],"*")),1,0)</f>
        <v>0</v>
      </c>
      <c r="L1163">
        <f>IF(COUNTIF($E1163, _xlfn.CONCAT("*",Table13[[#Headers],[Comedy]],"*")),1,0)</f>
        <v>0</v>
      </c>
      <c r="M1163">
        <f>IF(COUNTIF($E1163, _xlfn.CONCAT("*",Table13[[#Headers],[Crime]],"*")),1,0)</f>
        <v>1</v>
      </c>
      <c r="N1163">
        <f>IF(COUNTIF($E1163, _xlfn.CONCAT("*",Table13[[#Headers],[Documentary]],"*")),1,0)</f>
        <v>0</v>
      </c>
      <c r="O1163">
        <f>IF(COUNTIF($E1163, _xlfn.CONCAT("*",Table13[[#Headers],[Drama]],"*")),1,0)</f>
        <v>0</v>
      </c>
      <c r="P1163">
        <f>IF(COUNTIF($E1163, _xlfn.CONCAT("*",Table13[[#Headers],[Family]],"*")),1,0)</f>
        <v>0</v>
      </c>
      <c r="Q1163">
        <f>IF(COUNTIF($E1163, _xlfn.CONCAT("*",Table13[[#Headers],[Fantasy]],"*")),1,0)</f>
        <v>0</v>
      </c>
      <c r="R1163">
        <f>IF(COUNTIF($E1163, _xlfn.CONCAT("*",Table13[[#Headers],[History]],"*")),1,0)</f>
        <v>0</v>
      </c>
      <c r="S1163">
        <f>IF(COUNTIF($E1163, _xlfn.CONCAT("*",Table13[[#Headers],[Horror]],"*")),1,0)</f>
        <v>0</v>
      </c>
      <c r="T1163">
        <f>IF(COUNTIF($E1163, _xlfn.CONCAT("*",Table13[[#Headers],[Music]],"*")),1,0)</f>
        <v>0</v>
      </c>
      <c r="U1163">
        <f>IF(COUNTIF($E1163, _xlfn.CONCAT("*",Table13[[#Headers],[Mystery]],"*")),1,0)</f>
        <v>0</v>
      </c>
      <c r="V1163">
        <f>IF(COUNTIF($E1163, _xlfn.CONCAT("*",Table13[[#Headers],[Romance]],"*")),1,0)</f>
        <v>0</v>
      </c>
      <c r="W1163">
        <f>IF(COUNTIF($E1163, _xlfn.CONCAT("*",Table13[[#Headers],[Science Fiction]],"*")),1,0)</f>
        <v>0</v>
      </c>
      <c r="X1163">
        <f>IF(COUNTIF($E1163, _xlfn.CONCAT("*",Table13[[#Headers],[TV Movie]],"*")),1,0)</f>
        <v>0</v>
      </c>
      <c r="Y1163">
        <f>IF(COUNTIF($E1163, _xlfn.CONCAT("*",Table13[[#Headers],[Thriller]],"*")),1,0)</f>
        <v>1</v>
      </c>
      <c r="Z1163">
        <f>IF(COUNTIF($E1163, _xlfn.CONCAT("*",Table13[[#Headers],[War]],"*")),1,0)</f>
        <v>0</v>
      </c>
      <c r="AA1163">
        <f>IF(COUNTIF($E1163, _xlfn.CONCAT("*",Table13[[#Headers],[Western]],"*")),1,0)</f>
        <v>0</v>
      </c>
    </row>
    <row r="1164" spans="1:27">
      <c r="A1164" t="s">
        <v>1051</v>
      </c>
      <c r="B1164">
        <v>29</v>
      </c>
      <c r="C1164">
        <f>MAX(Table13[Rank])-Table13[[#This Row],[Rank]]</f>
        <v>235</v>
      </c>
      <c r="D1164" t="s">
        <v>1022</v>
      </c>
      <c r="E1164" t="s">
        <v>21</v>
      </c>
      <c r="F1164" s="1">
        <v>21704</v>
      </c>
      <c r="G1164">
        <f>YEAR(Table13[[#This Row],[Date]])</f>
        <v>1959</v>
      </c>
      <c r="H1164" t="s">
        <v>332</v>
      </c>
      <c r="I1164">
        <f>IF(COUNTIF($E1164, _xlfn.CONCAT("*",Table13[[#Headers],[Action]],"*")),1,0)</f>
        <v>0</v>
      </c>
      <c r="J1164">
        <f>IF(COUNTIF($E1164, _xlfn.CONCAT("*",Table13[[#Headers],[Adventure]],"*")),1,0)</f>
        <v>0</v>
      </c>
      <c r="K1164">
        <f>IF(COUNTIF($E1164, _xlfn.CONCAT("*",Table13[[#Headers],[Animation]],"*")),1,0)</f>
        <v>0</v>
      </c>
      <c r="L1164">
        <f>IF(COUNTIF($E1164, _xlfn.CONCAT("*",Table13[[#Headers],[Comedy]],"*")),1,0)</f>
        <v>0</v>
      </c>
      <c r="M1164">
        <f>IF(COUNTIF($E1164, _xlfn.CONCAT("*",Table13[[#Headers],[Crime]],"*")),1,0)</f>
        <v>0</v>
      </c>
      <c r="N1164">
        <f>IF(COUNTIF($E1164, _xlfn.CONCAT("*",Table13[[#Headers],[Documentary]],"*")),1,0)</f>
        <v>0</v>
      </c>
      <c r="O1164">
        <f>IF(COUNTIF($E1164, _xlfn.CONCAT("*",Table13[[#Headers],[Drama]],"*")),1,0)</f>
        <v>1</v>
      </c>
      <c r="P1164">
        <f>IF(COUNTIF($E1164, _xlfn.CONCAT("*",Table13[[#Headers],[Family]],"*")),1,0)</f>
        <v>0</v>
      </c>
      <c r="Q1164">
        <f>IF(COUNTIF($E1164, _xlfn.CONCAT("*",Table13[[#Headers],[Fantasy]],"*")),1,0)</f>
        <v>0</v>
      </c>
      <c r="R1164">
        <f>IF(COUNTIF($E1164, _xlfn.CONCAT("*",Table13[[#Headers],[History]],"*")),1,0)</f>
        <v>0</v>
      </c>
      <c r="S1164">
        <f>IF(COUNTIF($E1164, _xlfn.CONCAT("*",Table13[[#Headers],[Horror]],"*")),1,0)</f>
        <v>0</v>
      </c>
      <c r="T1164">
        <f>IF(COUNTIF($E1164, _xlfn.CONCAT("*",Table13[[#Headers],[Music]],"*")),1,0)</f>
        <v>0</v>
      </c>
      <c r="U1164">
        <f>IF(COUNTIF($E1164, _xlfn.CONCAT("*",Table13[[#Headers],[Mystery]],"*")),1,0)</f>
        <v>0</v>
      </c>
      <c r="V1164">
        <f>IF(COUNTIF($E1164, _xlfn.CONCAT("*",Table13[[#Headers],[Romance]],"*")),1,0)</f>
        <v>0</v>
      </c>
      <c r="W1164">
        <f>IF(COUNTIF($E1164, _xlfn.CONCAT("*",Table13[[#Headers],[Science Fiction]],"*")),1,0)</f>
        <v>0</v>
      </c>
      <c r="X1164">
        <f>IF(COUNTIF($E1164, _xlfn.CONCAT("*",Table13[[#Headers],[TV Movie]],"*")),1,0)</f>
        <v>0</v>
      </c>
      <c r="Y1164">
        <f>IF(COUNTIF($E1164, _xlfn.CONCAT("*",Table13[[#Headers],[Thriller]],"*")),1,0)</f>
        <v>0</v>
      </c>
      <c r="Z1164">
        <f>IF(COUNTIF($E1164, _xlfn.CONCAT("*",Table13[[#Headers],[War]],"*")),1,0)</f>
        <v>0</v>
      </c>
      <c r="AA1164">
        <f>IF(COUNTIF($E1164, _xlfn.CONCAT("*",Table13[[#Headers],[Western]],"*")),1,0)</f>
        <v>0</v>
      </c>
    </row>
    <row r="1165" spans="1:27">
      <c r="A1165" t="s">
        <v>1052</v>
      </c>
      <c r="B1165">
        <v>30</v>
      </c>
      <c r="C1165">
        <f>MAX(Table13[Rank])-Table13[[#This Row],[Rank]]</f>
        <v>234</v>
      </c>
      <c r="D1165" t="s">
        <v>1022</v>
      </c>
      <c r="E1165" t="s">
        <v>49</v>
      </c>
      <c r="F1165" s="1">
        <v>28270</v>
      </c>
      <c r="G1165">
        <f>YEAR(Table13[[#This Row],[Date]])</f>
        <v>1977</v>
      </c>
      <c r="H1165" t="s">
        <v>48</v>
      </c>
      <c r="I1165">
        <f>IF(COUNTIF($E1165, _xlfn.CONCAT("*",Table13[[#Headers],[Action]],"*")),1,0)</f>
        <v>1</v>
      </c>
      <c r="J1165">
        <f>IF(COUNTIF($E1165, _xlfn.CONCAT("*",Table13[[#Headers],[Adventure]],"*")),1,0)</f>
        <v>1</v>
      </c>
      <c r="K1165">
        <f>IF(COUNTIF($E1165, _xlfn.CONCAT("*",Table13[[#Headers],[Animation]],"*")),1,0)</f>
        <v>0</v>
      </c>
      <c r="L1165">
        <f>IF(COUNTIF($E1165, _xlfn.CONCAT("*",Table13[[#Headers],[Comedy]],"*")),1,0)</f>
        <v>0</v>
      </c>
      <c r="M1165">
        <f>IF(COUNTIF($E1165, _xlfn.CONCAT("*",Table13[[#Headers],[Crime]],"*")),1,0)</f>
        <v>0</v>
      </c>
      <c r="N1165">
        <f>IF(COUNTIF($E1165, _xlfn.CONCAT("*",Table13[[#Headers],[Documentary]],"*")),1,0)</f>
        <v>0</v>
      </c>
      <c r="O1165">
        <f>IF(COUNTIF($E1165, _xlfn.CONCAT("*",Table13[[#Headers],[Drama]],"*")),1,0)</f>
        <v>0</v>
      </c>
      <c r="P1165">
        <f>IF(COUNTIF($E1165, _xlfn.CONCAT("*",Table13[[#Headers],[Family]],"*")),1,0)</f>
        <v>0</v>
      </c>
      <c r="Q1165">
        <f>IF(COUNTIF($E1165, _xlfn.CONCAT("*",Table13[[#Headers],[Fantasy]],"*")),1,0)</f>
        <v>0</v>
      </c>
      <c r="R1165">
        <f>IF(COUNTIF($E1165, _xlfn.CONCAT("*",Table13[[#Headers],[History]],"*")),1,0)</f>
        <v>0</v>
      </c>
      <c r="S1165">
        <f>IF(COUNTIF($E1165, _xlfn.CONCAT("*",Table13[[#Headers],[Horror]],"*")),1,0)</f>
        <v>0</v>
      </c>
      <c r="T1165">
        <f>IF(COUNTIF($E1165, _xlfn.CONCAT("*",Table13[[#Headers],[Music]],"*")),1,0)</f>
        <v>0</v>
      </c>
      <c r="U1165">
        <f>IF(COUNTIF($E1165, _xlfn.CONCAT("*",Table13[[#Headers],[Mystery]],"*")),1,0)</f>
        <v>0</v>
      </c>
      <c r="V1165">
        <f>IF(COUNTIF($E1165, _xlfn.CONCAT("*",Table13[[#Headers],[Romance]],"*")),1,0)</f>
        <v>0</v>
      </c>
      <c r="W1165">
        <f>IF(COUNTIF($E1165, _xlfn.CONCAT("*",Table13[[#Headers],[Science Fiction]],"*")),1,0)</f>
        <v>1</v>
      </c>
      <c r="X1165">
        <f>IF(COUNTIF($E1165, _xlfn.CONCAT("*",Table13[[#Headers],[TV Movie]],"*")),1,0)</f>
        <v>0</v>
      </c>
      <c r="Y1165">
        <f>IF(COUNTIF($E1165, _xlfn.CONCAT("*",Table13[[#Headers],[Thriller]],"*")),1,0)</f>
        <v>0</v>
      </c>
      <c r="Z1165">
        <f>IF(COUNTIF($E1165, _xlfn.CONCAT("*",Table13[[#Headers],[War]],"*")),1,0)</f>
        <v>0</v>
      </c>
      <c r="AA1165">
        <f>IF(COUNTIF($E1165, _xlfn.CONCAT("*",Table13[[#Headers],[Western]],"*")),1,0)</f>
        <v>0</v>
      </c>
    </row>
    <row r="1166" spans="1:27">
      <c r="A1166" t="s">
        <v>1053</v>
      </c>
      <c r="B1166">
        <v>31</v>
      </c>
      <c r="C1166">
        <f>MAX(Table13[Rank])-Table13[[#This Row],[Rank]]</f>
        <v>233</v>
      </c>
      <c r="D1166" t="s">
        <v>1022</v>
      </c>
      <c r="E1166" t="s">
        <v>109</v>
      </c>
      <c r="F1166" s="1">
        <v>10339</v>
      </c>
      <c r="G1166">
        <f>YEAR(Table13[[#This Row],[Date]])</f>
        <v>1928</v>
      </c>
      <c r="H1166" t="s">
        <v>373</v>
      </c>
      <c r="I1166">
        <f>IF(COUNTIF($E1166, _xlfn.CONCAT("*",Table13[[#Headers],[Action]],"*")),1,0)</f>
        <v>0</v>
      </c>
      <c r="J1166">
        <f>IF(COUNTIF($E1166, _xlfn.CONCAT("*",Table13[[#Headers],[Adventure]],"*")),1,0)</f>
        <v>0</v>
      </c>
      <c r="K1166">
        <f>IF(COUNTIF($E1166, _xlfn.CONCAT("*",Table13[[#Headers],[Animation]],"*")),1,0)</f>
        <v>0</v>
      </c>
      <c r="L1166">
        <f>IF(COUNTIF($E1166, _xlfn.CONCAT("*",Table13[[#Headers],[Comedy]],"*")),1,0)</f>
        <v>0</v>
      </c>
      <c r="M1166">
        <f>IF(COUNTIF($E1166, _xlfn.CONCAT("*",Table13[[#Headers],[Crime]],"*")),1,0)</f>
        <v>0</v>
      </c>
      <c r="N1166">
        <f>IF(COUNTIF($E1166, _xlfn.CONCAT("*",Table13[[#Headers],[Documentary]],"*")),1,0)</f>
        <v>0</v>
      </c>
      <c r="O1166">
        <f>IF(COUNTIF($E1166, _xlfn.CONCAT("*",Table13[[#Headers],[Drama]],"*")),1,0)</f>
        <v>1</v>
      </c>
      <c r="P1166">
        <f>IF(COUNTIF($E1166, _xlfn.CONCAT("*",Table13[[#Headers],[Family]],"*")),1,0)</f>
        <v>0</v>
      </c>
      <c r="Q1166">
        <f>IF(COUNTIF($E1166, _xlfn.CONCAT("*",Table13[[#Headers],[Fantasy]],"*")),1,0)</f>
        <v>0</v>
      </c>
      <c r="R1166">
        <f>IF(COUNTIF($E1166, _xlfn.CONCAT("*",Table13[[#Headers],[History]],"*")),1,0)</f>
        <v>1</v>
      </c>
      <c r="S1166">
        <f>IF(COUNTIF($E1166, _xlfn.CONCAT("*",Table13[[#Headers],[Horror]],"*")),1,0)</f>
        <v>0</v>
      </c>
      <c r="T1166">
        <f>IF(COUNTIF($E1166, _xlfn.CONCAT("*",Table13[[#Headers],[Music]],"*")),1,0)</f>
        <v>0</v>
      </c>
      <c r="U1166">
        <f>IF(COUNTIF($E1166, _xlfn.CONCAT("*",Table13[[#Headers],[Mystery]],"*")),1,0)</f>
        <v>0</v>
      </c>
      <c r="V1166">
        <f>IF(COUNTIF($E1166, _xlfn.CONCAT("*",Table13[[#Headers],[Romance]],"*")),1,0)</f>
        <v>0</v>
      </c>
      <c r="W1166">
        <f>IF(COUNTIF($E1166, _xlfn.CONCAT("*",Table13[[#Headers],[Science Fiction]],"*")),1,0)</f>
        <v>0</v>
      </c>
      <c r="X1166">
        <f>IF(COUNTIF($E1166, _xlfn.CONCAT("*",Table13[[#Headers],[TV Movie]],"*")),1,0)</f>
        <v>0</v>
      </c>
      <c r="Y1166">
        <f>IF(COUNTIF($E1166, _xlfn.CONCAT("*",Table13[[#Headers],[Thriller]],"*")),1,0)</f>
        <v>0</v>
      </c>
      <c r="Z1166">
        <f>IF(COUNTIF($E1166, _xlfn.CONCAT("*",Table13[[#Headers],[War]],"*")),1,0)</f>
        <v>0</v>
      </c>
      <c r="AA1166">
        <f>IF(COUNTIF($E1166, _xlfn.CONCAT("*",Table13[[#Headers],[Western]],"*")),1,0)</f>
        <v>0</v>
      </c>
    </row>
    <row r="1167" spans="1:27">
      <c r="A1167" t="s">
        <v>1054</v>
      </c>
      <c r="B1167">
        <v>32</v>
      </c>
      <c r="C1167">
        <f>MAX(Table13[Rank])-Table13[[#This Row],[Rank]]</f>
        <v>232</v>
      </c>
      <c r="D1167" t="s">
        <v>1022</v>
      </c>
      <c r="E1167" t="s">
        <v>266</v>
      </c>
      <c r="F1167" s="1">
        <v>25193</v>
      </c>
      <c r="G1167">
        <f>YEAR(Table13[[#This Row],[Date]])</f>
        <v>1968</v>
      </c>
      <c r="H1167" t="s">
        <v>807</v>
      </c>
      <c r="I1167">
        <f>IF(COUNTIF($E1167, _xlfn.CONCAT("*",Table13[[#Headers],[Action]],"*")),1,0)</f>
        <v>0</v>
      </c>
      <c r="J1167">
        <f>IF(COUNTIF($E1167, _xlfn.CONCAT("*",Table13[[#Headers],[Adventure]],"*")),1,0)</f>
        <v>0</v>
      </c>
      <c r="K1167">
        <f>IF(COUNTIF($E1167, _xlfn.CONCAT("*",Table13[[#Headers],[Animation]],"*")),1,0)</f>
        <v>0</v>
      </c>
      <c r="L1167">
        <f>IF(COUNTIF($E1167, _xlfn.CONCAT("*",Table13[[#Headers],[Comedy]],"*")),1,0)</f>
        <v>0</v>
      </c>
      <c r="M1167">
        <f>IF(COUNTIF($E1167, _xlfn.CONCAT("*",Table13[[#Headers],[Crime]],"*")),1,0)</f>
        <v>0</v>
      </c>
      <c r="N1167">
        <f>IF(COUNTIF($E1167, _xlfn.CONCAT("*",Table13[[#Headers],[Documentary]],"*")),1,0)</f>
        <v>0</v>
      </c>
      <c r="O1167">
        <f>IF(COUNTIF($E1167, _xlfn.CONCAT("*",Table13[[#Headers],[Drama]],"*")),1,0)</f>
        <v>1</v>
      </c>
      <c r="P1167">
        <f>IF(COUNTIF($E1167, _xlfn.CONCAT("*",Table13[[#Headers],[Family]],"*")),1,0)</f>
        <v>0</v>
      </c>
      <c r="Q1167">
        <f>IF(COUNTIF($E1167, _xlfn.CONCAT("*",Table13[[#Headers],[Fantasy]],"*")),1,0)</f>
        <v>0</v>
      </c>
      <c r="R1167">
        <f>IF(COUNTIF($E1167, _xlfn.CONCAT("*",Table13[[#Headers],[History]],"*")),1,0)</f>
        <v>0</v>
      </c>
      <c r="S1167">
        <f>IF(COUNTIF($E1167, _xlfn.CONCAT("*",Table13[[#Headers],[Horror]],"*")),1,0)</f>
        <v>0</v>
      </c>
      <c r="T1167">
        <f>IF(COUNTIF($E1167, _xlfn.CONCAT("*",Table13[[#Headers],[Music]],"*")),1,0)</f>
        <v>0</v>
      </c>
      <c r="U1167">
        <f>IF(COUNTIF($E1167, _xlfn.CONCAT("*",Table13[[#Headers],[Mystery]],"*")),1,0)</f>
        <v>0</v>
      </c>
      <c r="V1167">
        <f>IF(COUNTIF($E1167, _xlfn.CONCAT("*",Table13[[#Headers],[Romance]],"*")),1,0)</f>
        <v>0</v>
      </c>
      <c r="W1167">
        <f>IF(COUNTIF($E1167, _xlfn.CONCAT("*",Table13[[#Headers],[Science Fiction]],"*")),1,0)</f>
        <v>0</v>
      </c>
      <c r="X1167">
        <f>IF(COUNTIF($E1167, _xlfn.CONCAT("*",Table13[[#Headers],[TV Movie]],"*")),1,0)</f>
        <v>0</v>
      </c>
      <c r="Y1167">
        <f>IF(COUNTIF($E1167, _xlfn.CONCAT("*",Table13[[#Headers],[Thriller]],"*")),1,0)</f>
        <v>0</v>
      </c>
      <c r="Z1167">
        <f>IF(COUNTIF($E1167, _xlfn.CONCAT("*",Table13[[#Headers],[War]],"*")),1,0)</f>
        <v>0</v>
      </c>
      <c r="AA1167">
        <f>IF(COUNTIF($E1167, _xlfn.CONCAT("*",Table13[[#Headers],[Western]],"*")),1,0)</f>
        <v>1</v>
      </c>
    </row>
    <row r="1168" spans="1:27">
      <c r="A1168" t="s">
        <v>1055</v>
      </c>
      <c r="B1168">
        <v>33</v>
      </c>
      <c r="C1168">
        <f>MAX(Table13[Rank])-Table13[[#This Row],[Rank]]</f>
        <v>231</v>
      </c>
      <c r="D1168" t="s">
        <v>1022</v>
      </c>
      <c r="E1168" t="s">
        <v>189</v>
      </c>
      <c r="F1168" s="1">
        <v>29000</v>
      </c>
      <c r="G1168">
        <f>YEAR(Table13[[#This Row],[Date]])</f>
        <v>1979</v>
      </c>
      <c r="H1168" t="s">
        <v>188</v>
      </c>
      <c r="I1168">
        <f>IF(COUNTIF($E1168, _xlfn.CONCAT("*",Table13[[#Headers],[Action]],"*")),1,0)</f>
        <v>0</v>
      </c>
      <c r="J1168">
        <f>IF(COUNTIF($E1168, _xlfn.CONCAT("*",Table13[[#Headers],[Adventure]],"*")),1,0)</f>
        <v>0</v>
      </c>
      <c r="K1168">
        <f>IF(COUNTIF($E1168, _xlfn.CONCAT("*",Table13[[#Headers],[Animation]],"*")),1,0)</f>
        <v>0</v>
      </c>
      <c r="L1168">
        <f>IF(COUNTIF($E1168, _xlfn.CONCAT("*",Table13[[#Headers],[Comedy]],"*")),1,0)</f>
        <v>0</v>
      </c>
      <c r="M1168">
        <f>IF(COUNTIF($E1168, _xlfn.CONCAT("*",Table13[[#Headers],[Crime]],"*")),1,0)</f>
        <v>0</v>
      </c>
      <c r="N1168">
        <f>IF(COUNTIF($E1168, _xlfn.CONCAT("*",Table13[[#Headers],[Documentary]],"*")),1,0)</f>
        <v>0</v>
      </c>
      <c r="O1168">
        <f>IF(COUNTIF($E1168, _xlfn.CONCAT("*",Table13[[#Headers],[Drama]],"*")),1,0)</f>
        <v>0</v>
      </c>
      <c r="P1168">
        <f>IF(COUNTIF($E1168, _xlfn.CONCAT("*",Table13[[#Headers],[Family]],"*")),1,0)</f>
        <v>0</v>
      </c>
      <c r="Q1168">
        <f>IF(COUNTIF($E1168, _xlfn.CONCAT("*",Table13[[#Headers],[Fantasy]],"*")),1,0)</f>
        <v>0</v>
      </c>
      <c r="R1168">
        <f>IF(COUNTIF($E1168, _xlfn.CONCAT("*",Table13[[#Headers],[History]],"*")),1,0)</f>
        <v>0</v>
      </c>
      <c r="S1168">
        <f>IF(COUNTIF($E1168, _xlfn.CONCAT("*",Table13[[#Headers],[Horror]],"*")),1,0)</f>
        <v>1</v>
      </c>
      <c r="T1168">
        <f>IF(COUNTIF($E1168, _xlfn.CONCAT("*",Table13[[#Headers],[Music]],"*")),1,0)</f>
        <v>0</v>
      </c>
      <c r="U1168">
        <f>IF(COUNTIF($E1168, _xlfn.CONCAT("*",Table13[[#Headers],[Mystery]],"*")),1,0)</f>
        <v>0</v>
      </c>
      <c r="V1168">
        <f>IF(COUNTIF($E1168, _xlfn.CONCAT("*",Table13[[#Headers],[Romance]],"*")),1,0)</f>
        <v>0</v>
      </c>
      <c r="W1168">
        <f>IF(COUNTIF($E1168, _xlfn.CONCAT("*",Table13[[#Headers],[Science Fiction]],"*")),1,0)</f>
        <v>1</v>
      </c>
      <c r="X1168">
        <f>IF(COUNTIF($E1168, _xlfn.CONCAT("*",Table13[[#Headers],[TV Movie]],"*")),1,0)</f>
        <v>0</v>
      </c>
      <c r="Y1168">
        <f>IF(COUNTIF($E1168, _xlfn.CONCAT("*",Table13[[#Headers],[Thriller]],"*")),1,0)</f>
        <v>0</v>
      </c>
      <c r="Z1168">
        <f>IF(COUNTIF($E1168, _xlfn.CONCAT("*",Table13[[#Headers],[War]],"*")),1,0)</f>
        <v>0</v>
      </c>
      <c r="AA1168">
        <f>IF(COUNTIF($E1168, _xlfn.CONCAT("*",Table13[[#Headers],[Western]],"*")),1,0)</f>
        <v>0</v>
      </c>
    </row>
    <row r="1169" spans="1:27">
      <c r="A1169" t="s">
        <v>1056</v>
      </c>
      <c r="B1169">
        <v>34</v>
      </c>
      <c r="C1169">
        <f>MAX(Table13[Rank])-Table13[[#This Row],[Rank]]</f>
        <v>230</v>
      </c>
      <c r="D1169" t="s">
        <v>1022</v>
      </c>
      <c r="E1169" t="s">
        <v>21</v>
      </c>
      <c r="F1169" s="1">
        <v>19666</v>
      </c>
      <c r="G1169">
        <f>YEAR(Table13[[#This Row],[Date]])</f>
        <v>1953</v>
      </c>
      <c r="H1169" t="s">
        <v>394</v>
      </c>
      <c r="I1169">
        <f>IF(COUNTIF($E1169, _xlfn.CONCAT("*",Table13[[#Headers],[Action]],"*")),1,0)</f>
        <v>0</v>
      </c>
      <c r="J1169">
        <f>IF(COUNTIF($E1169, _xlfn.CONCAT("*",Table13[[#Headers],[Adventure]],"*")),1,0)</f>
        <v>0</v>
      </c>
      <c r="K1169">
        <f>IF(COUNTIF($E1169, _xlfn.CONCAT("*",Table13[[#Headers],[Animation]],"*")),1,0)</f>
        <v>0</v>
      </c>
      <c r="L1169">
        <f>IF(COUNTIF($E1169, _xlfn.CONCAT("*",Table13[[#Headers],[Comedy]],"*")),1,0)</f>
        <v>0</v>
      </c>
      <c r="M1169">
        <f>IF(COUNTIF($E1169, _xlfn.CONCAT("*",Table13[[#Headers],[Crime]],"*")),1,0)</f>
        <v>0</v>
      </c>
      <c r="N1169">
        <f>IF(COUNTIF($E1169, _xlfn.CONCAT("*",Table13[[#Headers],[Documentary]],"*")),1,0)</f>
        <v>0</v>
      </c>
      <c r="O1169">
        <f>IF(COUNTIF($E1169, _xlfn.CONCAT("*",Table13[[#Headers],[Drama]],"*")),1,0)</f>
        <v>1</v>
      </c>
      <c r="P1169">
        <f>IF(COUNTIF($E1169, _xlfn.CONCAT("*",Table13[[#Headers],[Family]],"*")),1,0)</f>
        <v>0</v>
      </c>
      <c r="Q1169">
        <f>IF(COUNTIF($E1169, _xlfn.CONCAT("*",Table13[[#Headers],[Fantasy]],"*")),1,0)</f>
        <v>0</v>
      </c>
      <c r="R1169">
        <f>IF(COUNTIF($E1169, _xlfn.CONCAT("*",Table13[[#Headers],[History]],"*")),1,0)</f>
        <v>0</v>
      </c>
      <c r="S1169">
        <f>IF(COUNTIF($E1169, _xlfn.CONCAT("*",Table13[[#Headers],[Horror]],"*")),1,0)</f>
        <v>0</v>
      </c>
      <c r="T1169">
        <f>IF(COUNTIF($E1169, _xlfn.CONCAT("*",Table13[[#Headers],[Music]],"*")),1,0)</f>
        <v>0</v>
      </c>
      <c r="U1169">
        <f>IF(COUNTIF($E1169, _xlfn.CONCAT("*",Table13[[#Headers],[Mystery]],"*")),1,0)</f>
        <v>0</v>
      </c>
      <c r="V1169">
        <f>IF(COUNTIF($E1169, _xlfn.CONCAT("*",Table13[[#Headers],[Romance]],"*")),1,0)</f>
        <v>0</v>
      </c>
      <c r="W1169">
        <f>IF(COUNTIF($E1169, _xlfn.CONCAT("*",Table13[[#Headers],[Science Fiction]],"*")),1,0)</f>
        <v>0</v>
      </c>
      <c r="X1169">
        <f>IF(COUNTIF($E1169, _xlfn.CONCAT("*",Table13[[#Headers],[TV Movie]],"*")),1,0)</f>
        <v>0</v>
      </c>
      <c r="Y1169">
        <f>IF(COUNTIF($E1169, _xlfn.CONCAT("*",Table13[[#Headers],[Thriller]],"*")),1,0)</f>
        <v>0</v>
      </c>
      <c r="Z1169">
        <f>IF(COUNTIF($E1169, _xlfn.CONCAT("*",Table13[[#Headers],[War]],"*")),1,0)</f>
        <v>0</v>
      </c>
      <c r="AA1169">
        <f>IF(COUNTIF($E1169, _xlfn.CONCAT("*",Table13[[#Headers],[Western]],"*")),1,0)</f>
        <v>0</v>
      </c>
    </row>
    <row r="1170" spans="1:27">
      <c r="A1170" t="s">
        <v>1057</v>
      </c>
      <c r="B1170">
        <v>35</v>
      </c>
      <c r="C1170">
        <f>MAX(Table13[Rank])-Table13[[#This Row],[Rank]]</f>
        <v>229</v>
      </c>
      <c r="D1170" t="s">
        <v>1022</v>
      </c>
      <c r="E1170" t="s">
        <v>217</v>
      </c>
      <c r="F1170" s="1">
        <v>34587</v>
      </c>
      <c r="G1170">
        <f>YEAR(Table13[[#This Row],[Date]])</f>
        <v>1994</v>
      </c>
      <c r="H1170" t="s">
        <v>216</v>
      </c>
      <c r="I1170">
        <f>IF(COUNTIF($E1170, _xlfn.CONCAT("*",Table13[[#Headers],[Action]],"*")),1,0)</f>
        <v>0</v>
      </c>
      <c r="J1170">
        <f>IF(COUNTIF($E1170, _xlfn.CONCAT("*",Table13[[#Headers],[Adventure]],"*")),1,0)</f>
        <v>0</v>
      </c>
      <c r="K1170">
        <f>IF(COUNTIF($E1170, _xlfn.CONCAT("*",Table13[[#Headers],[Animation]],"*")),1,0)</f>
        <v>0</v>
      </c>
      <c r="L1170">
        <f>IF(COUNTIF($E1170, _xlfn.CONCAT("*",Table13[[#Headers],[Comedy]],"*")),1,0)</f>
        <v>0</v>
      </c>
      <c r="M1170">
        <f>IF(COUNTIF($E1170, _xlfn.CONCAT("*",Table13[[#Headers],[Crime]],"*")),1,0)</f>
        <v>1</v>
      </c>
      <c r="N1170">
        <f>IF(COUNTIF($E1170, _xlfn.CONCAT("*",Table13[[#Headers],[Documentary]],"*")),1,0)</f>
        <v>0</v>
      </c>
      <c r="O1170">
        <f>IF(COUNTIF($E1170, _xlfn.CONCAT("*",Table13[[#Headers],[Drama]],"*")),1,0)</f>
        <v>0</v>
      </c>
      <c r="P1170">
        <f>IF(COUNTIF($E1170, _xlfn.CONCAT("*",Table13[[#Headers],[Family]],"*")),1,0)</f>
        <v>0</v>
      </c>
      <c r="Q1170">
        <f>IF(COUNTIF($E1170, _xlfn.CONCAT("*",Table13[[#Headers],[Fantasy]],"*")),1,0)</f>
        <v>0</v>
      </c>
      <c r="R1170">
        <f>IF(COUNTIF($E1170, _xlfn.CONCAT("*",Table13[[#Headers],[History]],"*")),1,0)</f>
        <v>0</v>
      </c>
      <c r="S1170">
        <f>IF(COUNTIF($E1170, _xlfn.CONCAT("*",Table13[[#Headers],[Horror]],"*")),1,0)</f>
        <v>0</v>
      </c>
      <c r="T1170">
        <f>IF(COUNTIF($E1170, _xlfn.CONCAT("*",Table13[[#Headers],[Music]],"*")),1,0)</f>
        <v>0</v>
      </c>
      <c r="U1170">
        <f>IF(COUNTIF($E1170, _xlfn.CONCAT("*",Table13[[#Headers],[Mystery]],"*")),1,0)</f>
        <v>0</v>
      </c>
      <c r="V1170">
        <f>IF(COUNTIF($E1170, _xlfn.CONCAT("*",Table13[[#Headers],[Romance]],"*")),1,0)</f>
        <v>0</v>
      </c>
      <c r="W1170">
        <f>IF(COUNTIF($E1170, _xlfn.CONCAT("*",Table13[[#Headers],[Science Fiction]],"*")),1,0)</f>
        <v>0</v>
      </c>
      <c r="X1170">
        <f>IF(COUNTIF($E1170, _xlfn.CONCAT("*",Table13[[#Headers],[TV Movie]],"*")),1,0)</f>
        <v>0</v>
      </c>
      <c r="Y1170">
        <f>IF(COUNTIF($E1170, _xlfn.CONCAT("*",Table13[[#Headers],[Thriller]],"*")),1,0)</f>
        <v>1</v>
      </c>
      <c r="Z1170">
        <f>IF(COUNTIF($E1170, _xlfn.CONCAT("*",Table13[[#Headers],[War]],"*")),1,0)</f>
        <v>0</v>
      </c>
      <c r="AA1170">
        <f>IF(COUNTIF($E1170, _xlfn.CONCAT("*",Table13[[#Headers],[Western]],"*")),1,0)</f>
        <v>0</v>
      </c>
    </row>
    <row r="1171" spans="1:27">
      <c r="A1171" t="s">
        <v>1058</v>
      </c>
      <c r="B1171">
        <v>36</v>
      </c>
      <c r="C1171">
        <f>MAX(Table13[Rank])-Table13[[#This Row],[Rank]]</f>
        <v>228</v>
      </c>
      <c r="D1171" t="s">
        <v>1022</v>
      </c>
      <c r="E1171" t="s">
        <v>164</v>
      </c>
      <c r="F1171" s="1">
        <v>35950</v>
      </c>
      <c r="G1171">
        <f>YEAR(Table13[[#This Row],[Date]])</f>
        <v>1998</v>
      </c>
      <c r="H1171" t="s">
        <v>940</v>
      </c>
      <c r="I1171">
        <f>IF(COUNTIF($E1171, _xlfn.CONCAT("*",Table13[[#Headers],[Action]],"*")),1,0)</f>
        <v>0</v>
      </c>
      <c r="J1171">
        <f>IF(COUNTIF($E1171, _xlfn.CONCAT("*",Table13[[#Headers],[Adventure]],"*")),1,0)</f>
        <v>0</v>
      </c>
      <c r="K1171">
        <f>IF(COUNTIF($E1171, _xlfn.CONCAT("*",Table13[[#Headers],[Animation]],"*")),1,0)</f>
        <v>0</v>
      </c>
      <c r="L1171">
        <f>IF(COUNTIF($E1171, _xlfn.CONCAT("*",Table13[[#Headers],[Comedy]],"*")),1,0)</f>
        <v>1</v>
      </c>
      <c r="M1171">
        <f>IF(COUNTIF($E1171, _xlfn.CONCAT("*",Table13[[#Headers],[Crime]],"*")),1,0)</f>
        <v>0</v>
      </c>
      <c r="N1171">
        <f>IF(COUNTIF($E1171, _xlfn.CONCAT("*",Table13[[#Headers],[Documentary]],"*")),1,0)</f>
        <v>0</v>
      </c>
      <c r="O1171">
        <f>IF(COUNTIF($E1171, _xlfn.CONCAT("*",Table13[[#Headers],[Drama]],"*")),1,0)</f>
        <v>1</v>
      </c>
      <c r="P1171">
        <f>IF(COUNTIF($E1171, _xlfn.CONCAT("*",Table13[[#Headers],[Family]],"*")),1,0)</f>
        <v>0</v>
      </c>
      <c r="Q1171">
        <f>IF(COUNTIF($E1171, _xlfn.CONCAT("*",Table13[[#Headers],[Fantasy]],"*")),1,0)</f>
        <v>0</v>
      </c>
      <c r="R1171">
        <f>IF(COUNTIF($E1171, _xlfn.CONCAT("*",Table13[[#Headers],[History]],"*")),1,0)</f>
        <v>0</v>
      </c>
      <c r="S1171">
        <f>IF(COUNTIF($E1171, _xlfn.CONCAT("*",Table13[[#Headers],[Horror]],"*")),1,0)</f>
        <v>0</v>
      </c>
      <c r="T1171">
        <f>IF(COUNTIF($E1171, _xlfn.CONCAT("*",Table13[[#Headers],[Music]],"*")),1,0)</f>
        <v>0</v>
      </c>
      <c r="U1171">
        <f>IF(COUNTIF($E1171, _xlfn.CONCAT("*",Table13[[#Headers],[Mystery]],"*")),1,0)</f>
        <v>0</v>
      </c>
      <c r="V1171">
        <f>IF(COUNTIF($E1171, _xlfn.CONCAT("*",Table13[[#Headers],[Romance]],"*")),1,0)</f>
        <v>0</v>
      </c>
      <c r="W1171">
        <f>IF(COUNTIF($E1171, _xlfn.CONCAT("*",Table13[[#Headers],[Science Fiction]],"*")),1,0)</f>
        <v>0</v>
      </c>
      <c r="X1171">
        <f>IF(COUNTIF($E1171, _xlfn.CONCAT("*",Table13[[#Headers],[TV Movie]],"*")),1,0)</f>
        <v>0</v>
      </c>
      <c r="Y1171">
        <f>IF(COUNTIF($E1171, _xlfn.CONCAT("*",Table13[[#Headers],[Thriller]],"*")),1,0)</f>
        <v>0</v>
      </c>
      <c r="Z1171">
        <f>IF(COUNTIF($E1171, _xlfn.CONCAT("*",Table13[[#Headers],[War]],"*")),1,0)</f>
        <v>0</v>
      </c>
      <c r="AA1171">
        <f>IF(COUNTIF($E1171, _xlfn.CONCAT("*",Table13[[#Headers],[Western]],"*")),1,0)</f>
        <v>0</v>
      </c>
    </row>
    <row r="1172" spans="1:27">
      <c r="A1172" t="s">
        <v>1059</v>
      </c>
      <c r="B1172">
        <v>37</v>
      </c>
      <c r="C1172">
        <f>MAX(Table13[Rank])-Table13[[#This Row],[Rank]]</f>
        <v>227</v>
      </c>
      <c r="D1172" t="s">
        <v>1022</v>
      </c>
      <c r="E1172" t="s">
        <v>215</v>
      </c>
      <c r="F1172" s="1">
        <v>22991</v>
      </c>
      <c r="G1172">
        <f>YEAR(Table13[[#This Row],[Date]])</f>
        <v>1962</v>
      </c>
      <c r="H1172" t="s">
        <v>214</v>
      </c>
      <c r="I1172">
        <f>IF(COUNTIF($E1172, _xlfn.CONCAT("*",Table13[[#Headers],[Action]],"*")),1,0)</f>
        <v>0</v>
      </c>
      <c r="J1172">
        <f>IF(COUNTIF($E1172, _xlfn.CONCAT("*",Table13[[#Headers],[Adventure]],"*")),1,0)</f>
        <v>1</v>
      </c>
      <c r="K1172">
        <f>IF(COUNTIF($E1172, _xlfn.CONCAT("*",Table13[[#Headers],[Animation]],"*")),1,0)</f>
        <v>0</v>
      </c>
      <c r="L1172">
        <f>IF(COUNTIF($E1172, _xlfn.CONCAT("*",Table13[[#Headers],[Comedy]],"*")),1,0)</f>
        <v>0</v>
      </c>
      <c r="M1172">
        <f>IF(COUNTIF($E1172, _xlfn.CONCAT("*",Table13[[#Headers],[Crime]],"*")),1,0)</f>
        <v>0</v>
      </c>
      <c r="N1172">
        <f>IF(COUNTIF($E1172, _xlfn.CONCAT("*",Table13[[#Headers],[Documentary]],"*")),1,0)</f>
        <v>0</v>
      </c>
      <c r="O1172">
        <f>IF(COUNTIF($E1172, _xlfn.CONCAT("*",Table13[[#Headers],[Drama]],"*")),1,0)</f>
        <v>1</v>
      </c>
      <c r="P1172">
        <f>IF(COUNTIF($E1172, _xlfn.CONCAT("*",Table13[[#Headers],[Family]],"*")),1,0)</f>
        <v>0</v>
      </c>
      <c r="Q1172">
        <f>IF(COUNTIF($E1172, _xlfn.CONCAT("*",Table13[[#Headers],[Fantasy]],"*")),1,0)</f>
        <v>0</v>
      </c>
      <c r="R1172">
        <f>IF(COUNTIF($E1172, _xlfn.CONCAT("*",Table13[[#Headers],[History]],"*")),1,0)</f>
        <v>1</v>
      </c>
      <c r="S1172">
        <f>IF(COUNTIF($E1172, _xlfn.CONCAT("*",Table13[[#Headers],[Horror]],"*")),1,0)</f>
        <v>0</v>
      </c>
      <c r="T1172">
        <f>IF(COUNTIF($E1172, _xlfn.CONCAT("*",Table13[[#Headers],[Music]],"*")),1,0)</f>
        <v>0</v>
      </c>
      <c r="U1172">
        <f>IF(COUNTIF($E1172, _xlfn.CONCAT("*",Table13[[#Headers],[Mystery]],"*")),1,0)</f>
        <v>0</v>
      </c>
      <c r="V1172">
        <f>IF(COUNTIF($E1172, _xlfn.CONCAT("*",Table13[[#Headers],[Romance]],"*")),1,0)</f>
        <v>0</v>
      </c>
      <c r="W1172">
        <f>IF(COUNTIF($E1172, _xlfn.CONCAT("*",Table13[[#Headers],[Science Fiction]],"*")),1,0)</f>
        <v>0</v>
      </c>
      <c r="X1172">
        <f>IF(COUNTIF($E1172, _xlfn.CONCAT("*",Table13[[#Headers],[TV Movie]],"*")),1,0)</f>
        <v>0</v>
      </c>
      <c r="Y1172">
        <f>IF(COUNTIF($E1172, _xlfn.CONCAT("*",Table13[[#Headers],[Thriller]],"*")),1,0)</f>
        <v>0</v>
      </c>
      <c r="Z1172">
        <f>IF(COUNTIF($E1172, _xlfn.CONCAT("*",Table13[[#Headers],[War]],"*")),1,0)</f>
        <v>1</v>
      </c>
      <c r="AA1172">
        <f>IF(COUNTIF($E1172, _xlfn.CONCAT("*",Table13[[#Headers],[Western]],"*")),1,0)</f>
        <v>0</v>
      </c>
    </row>
    <row r="1173" spans="1:27">
      <c r="A1173" t="s">
        <v>1060</v>
      </c>
      <c r="B1173">
        <v>38</v>
      </c>
      <c r="C1173">
        <f>MAX(Table13[Rank])-Table13[[#This Row],[Rank]]</f>
        <v>226</v>
      </c>
      <c r="D1173" t="s">
        <v>1022</v>
      </c>
      <c r="E1173" t="s">
        <v>358</v>
      </c>
      <c r="F1173" s="1">
        <v>22089</v>
      </c>
      <c r="G1173">
        <f>YEAR(Table13[[#This Row],[Date]])</f>
        <v>1960</v>
      </c>
      <c r="H1173" t="s">
        <v>357</v>
      </c>
      <c r="I1173">
        <f>IF(COUNTIF($E1173, _xlfn.CONCAT("*",Table13[[#Headers],[Action]],"*")),1,0)</f>
        <v>0</v>
      </c>
      <c r="J1173">
        <f>IF(COUNTIF($E1173, _xlfn.CONCAT("*",Table13[[#Headers],[Adventure]],"*")),1,0)</f>
        <v>0</v>
      </c>
      <c r="K1173">
        <f>IF(COUNTIF($E1173, _xlfn.CONCAT("*",Table13[[#Headers],[Animation]],"*")),1,0)</f>
        <v>0</v>
      </c>
      <c r="L1173">
        <f>IF(COUNTIF($E1173, _xlfn.CONCAT("*",Table13[[#Headers],[Comedy]],"*")),1,0)</f>
        <v>0</v>
      </c>
      <c r="M1173">
        <f>IF(COUNTIF($E1173, _xlfn.CONCAT("*",Table13[[#Headers],[Crime]],"*")),1,0)</f>
        <v>0</v>
      </c>
      <c r="N1173">
        <f>IF(COUNTIF($E1173, _xlfn.CONCAT("*",Table13[[#Headers],[Documentary]],"*")),1,0)</f>
        <v>0</v>
      </c>
      <c r="O1173">
        <f>IF(COUNTIF($E1173, _xlfn.CONCAT("*",Table13[[#Headers],[Drama]],"*")),1,0)</f>
        <v>1</v>
      </c>
      <c r="P1173">
        <f>IF(COUNTIF($E1173, _xlfn.CONCAT("*",Table13[[#Headers],[Family]],"*")),1,0)</f>
        <v>0</v>
      </c>
      <c r="Q1173">
        <f>IF(COUNTIF($E1173, _xlfn.CONCAT("*",Table13[[#Headers],[Fantasy]],"*")),1,0)</f>
        <v>0</v>
      </c>
      <c r="R1173">
        <f>IF(COUNTIF($E1173, _xlfn.CONCAT("*",Table13[[#Headers],[History]],"*")),1,0)</f>
        <v>0</v>
      </c>
      <c r="S1173">
        <f>IF(COUNTIF($E1173, _xlfn.CONCAT("*",Table13[[#Headers],[Horror]],"*")),1,0)</f>
        <v>1</v>
      </c>
      <c r="T1173">
        <f>IF(COUNTIF($E1173, _xlfn.CONCAT("*",Table13[[#Headers],[Music]],"*")),1,0)</f>
        <v>0</v>
      </c>
      <c r="U1173">
        <f>IF(COUNTIF($E1173, _xlfn.CONCAT("*",Table13[[#Headers],[Mystery]],"*")),1,0)</f>
        <v>0</v>
      </c>
      <c r="V1173">
        <f>IF(COUNTIF($E1173, _xlfn.CONCAT("*",Table13[[#Headers],[Romance]],"*")),1,0)</f>
        <v>0</v>
      </c>
      <c r="W1173">
        <f>IF(COUNTIF($E1173, _xlfn.CONCAT("*",Table13[[#Headers],[Science Fiction]],"*")),1,0)</f>
        <v>0</v>
      </c>
      <c r="X1173">
        <f>IF(COUNTIF($E1173, _xlfn.CONCAT("*",Table13[[#Headers],[TV Movie]],"*")),1,0)</f>
        <v>0</v>
      </c>
      <c r="Y1173">
        <f>IF(COUNTIF($E1173, _xlfn.CONCAT("*",Table13[[#Headers],[Thriller]],"*")),1,0)</f>
        <v>1</v>
      </c>
      <c r="Z1173">
        <f>IF(COUNTIF($E1173, _xlfn.CONCAT("*",Table13[[#Headers],[War]],"*")),1,0)</f>
        <v>0</v>
      </c>
      <c r="AA1173">
        <f>IF(COUNTIF($E1173, _xlfn.CONCAT("*",Table13[[#Headers],[Western]],"*")),1,0)</f>
        <v>0</v>
      </c>
    </row>
    <row r="1174" spans="1:27">
      <c r="A1174" t="s">
        <v>1061</v>
      </c>
      <c r="B1174">
        <v>39</v>
      </c>
      <c r="C1174">
        <f>MAX(Table13[Rank])-Table13[[#This Row],[Rank]]</f>
        <v>225</v>
      </c>
      <c r="D1174" t="s">
        <v>1022</v>
      </c>
      <c r="E1174" t="s">
        <v>21</v>
      </c>
      <c r="F1174" s="1">
        <v>19814</v>
      </c>
      <c r="G1174">
        <f>YEAR(Table13[[#This Row],[Date]])</f>
        <v>1954</v>
      </c>
      <c r="H1174" t="s">
        <v>300</v>
      </c>
      <c r="I1174">
        <f>IF(COUNTIF($E1174, _xlfn.CONCAT("*",Table13[[#Headers],[Action]],"*")),1,0)</f>
        <v>0</v>
      </c>
      <c r="J1174">
        <f>IF(COUNTIF($E1174, _xlfn.CONCAT("*",Table13[[#Headers],[Adventure]],"*")),1,0)</f>
        <v>0</v>
      </c>
      <c r="K1174">
        <f>IF(COUNTIF($E1174, _xlfn.CONCAT("*",Table13[[#Headers],[Animation]],"*")),1,0)</f>
        <v>0</v>
      </c>
      <c r="L1174">
        <f>IF(COUNTIF($E1174, _xlfn.CONCAT("*",Table13[[#Headers],[Comedy]],"*")),1,0)</f>
        <v>0</v>
      </c>
      <c r="M1174">
        <f>IF(COUNTIF($E1174, _xlfn.CONCAT("*",Table13[[#Headers],[Crime]],"*")),1,0)</f>
        <v>0</v>
      </c>
      <c r="N1174">
        <f>IF(COUNTIF($E1174, _xlfn.CONCAT("*",Table13[[#Headers],[Documentary]],"*")),1,0)</f>
        <v>0</v>
      </c>
      <c r="O1174">
        <f>IF(COUNTIF($E1174, _xlfn.CONCAT("*",Table13[[#Headers],[Drama]],"*")),1,0)</f>
        <v>1</v>
      </c>
      <c r="P1174">
        <f>IF(COUNTIF($E1174, _xlfn.CONCAT("*",Table13[[#Headers],[Family]],"*")),1,0)</f>
        <v>0</v>
      </c>
      <c r="Q1174">
        <f>IF(COUNTIF($E1174, _xlfn.CONCAT("*",Table13[[#Headers],[Fantasy]],"*")),1,0)</f>
        <v>0</v>
      </c>
      <c r="R1174">
        <f>IF(COUNTIF($E1174, _xlfn.CONCAT("*",Table13[[#Headers],[History]],"*")),1,0)</f>
        <v>0</v>
      </c>
      <c r="S1174">
        <f>IF(COUNTIF($E1174, _xlfn.CONCAT("*",Table13[[#Headers],[Horror]],"*")),1,0)</f>
        <v>0</v>
      </c>
      <c r="T1174">
        <f>IF(COUNTIF($E1174, _xlfn.CONCAT("*",Table13[[#Headers],[Music]],"*")),1,0)</f>
        <v>0</v>
      </c>
      <c r="U1174">
        <f>IF(COUNTIF($E1174, _xlfn.CONCAT("*",Table13[[#Headers],[Mystery]],"*")),1,0)</f>
        <v>0</v>
      </c>
      <c r="V1174">
        <f>IF(COUNTIF($E1174, _xlfn.CONCAT("*",Table13[[#Headers],[Romance]],"*")),1,0)</f>
        <v>0</v>
      </c>
      <c r="W1174">
        <f>IF(COUNTIF($E1174, _xlfn.CONCAT("*",Table13[[#Headers],[Science Fiction]],"*")),1,0)</f>
        <v>0</v>
      </c>
      <c r="X1174">
        <f>IF(COUNTIF($E1174, _xlfn.CONCAT("*",Table13[[#Headers],[TV Movie]],"*")),1,0)</f>
        <v>0</v>
      </c>
      <c r="Y1174">
        <f>IF(COUNTIF($E1174, _xlfn.CONCAT("*",Table13[[#Headers],[Thriller]],"*")),1,0)</f>
        <v>0</v>
      </c>
      <c r="Z1174">
        <f>IF(COUNTIF($E1174, _xlfn.CONCAT("*",Table13[[#Headers],[War]],"*")),1,0)</f>
        <v>0</v>
      </c>
      <c r="AA1174">
        <f>IF(COUNTIF($E1174, _xlfn.CONCAT("*",Table13[[#Headers],[Western]],"*")),1,0)</f>
        <v>0</v>
      </c>
    </row>
    <row r="1175" spans="1:27">
      <c r="A1175" t="s">
        <v>1062</v>
      </c>
      <c r="B1175">
        <v>40</v>
      </c>
      <c r="C1175">
        <f>MAX(Table13[Rank])-Table13[[#This Row],[Rank]]</f>
        <v>224</v>
      </c>
      <c r="D1175" t="s">
        <v>1022</v>
      </c>
      <c r="E1175" t="s">
        <v>109</v>
      </c>
      <c r="F1175" s="1">
        <v>24457</v>
      </c>
      <c r="G1175">
        <f>YEAR(Table13[[#This Row],[Date]])</f>
        <v>1966</v>
      </c>
      <c r="H1175" t="s">
        <v>309</v>
      </c>
      <c r="I1175">
        <f>IF(COUNTIF($E1175, _xlfn.CONCAT("*",Table13[[#Headers],[Action]],"*")),1,0)</f>
        <v>0</v>
      </c>
      <c r="J1175">
        <f>IF(COUNTIF($E1175, _xlfn.CONCAT("*",Table13[[#Headers],[Adventure]],"*")),1,0)</f>
        <v>0</v>
      </c>
      <c r="K1175">
        <f>IF(COUNTIF($E1175, _xlfn.CONCAT("*",Table13[[#Headers],[Animation]],"*")),1,0)</f>
        <v>0</v>
      </c>
      <c r="L1175">
        <f>IF(COUNTIF($E1175, _xlfn.CONCAT("*",Table13[[#Headers],[Comedy]],"*")),1,0)</f>
        <v>0</v>
      </c>
      <c r="M1175">
        <f>IF(COUNTIF($E1175, _xlfn.CONCAT("*",Table13[[#Headers],[Crime]],"*")),1,0)</f>
        <v>0</v>
      </c>
      <c r="N1175">
        <f>IF(COUNTIF($E1175, _xlfn.CONCAT("*",Table13[[#Headers],[Documentary]],"*")),1,0)</f>
        <v>0</v>
      </c>
      <c r="O1175">
        <f>IF(COUNTIF($E1175, _xlfn.CONCAT("*",Table13[[#Headers],[Drama]],"*")),1,0)</f>
        <v>1</v>
      </c>
      <c r="P1175">
        <f>IF(COUNTIF($E1175, _xlfn.CONCAT("*",Table13[[#Headers],[Family]],"*")),1,0)</f>
        <v>0</v>
      </c>
      <c r="Q1175">
        <f>IF(COUNTIF($E1175, _xlfn.CONCAT("*",Table13[[#Headers],[Fantasy]],"*")),1,0)</f>
        <v>0</v>
      </c>
      <c r="R1175">
        <f>IF(COUNTIF($E1175, _xlfn.CONCAT("*",Table13[[#Headers],[History]],"*")),1,0)</f>
        <v>1</v>
      </c>
      <c r="S1175">
        <f>IF(COUNTIF($E1175, _xlfn.CONCAT("*",Table13[[#Headers],[Horror]],"*")),1,0)</f>
        <v>0</v>
      </c>
      <c r="T1175">
        <f>IF(COUNTIF($E1175, _xlfn.CONCAT("*",Table13[[#Headers],[Music]],"*")),1,0)</f>
        <v>0</v>
      </c>
      <c r="U1175">
        <f>IF(COUNTIF($E1175, _xlfn.CONCAT("*",Table13[[#Headers],[Mystery]],"*")),1,0)</f>
        <v>0</v>
      </c>
      <c r="V1175">
        <f>IF(COUNTIF($E1175, _xlfn.CONCAT("*",Table13[[#Headers],[Romance]],"*")),1,0)</f>
        <v>0</v>
      </c>
      <c r="W1175">
        <f>IF(COUNTIF($E1175, _xlfn.CONCAT("*",Table13[[#Headers],[Science Fiction]],"*")),1,0)</f>
        <v>0</v>
      </c>
      <c r="X1175">
        <f>IF(COUNTIF($E1175, _xlfn.CONCAT("*",Table13[[#Headers],[TV Movie]],"*")),1,0)</f>
        <v>0</v>
      </c>
      <c r="Y1175">
        <f>IF(COUNTIF($E1175, _xlfn.CONCAT("*",Table13[[#Headers],[Thriller]],"*")),1,0)</f>
        <v>0</v>
      </c>
      <c r="Z1175">
        <f>IF(COUNTIF($E1175, _xlfn.CONCAT("*",Table13[[#Headers],[War]],"*")),1,0)</f>
        <v>0</v>
      </c>
      <c r="AA1175">
        <f>IF(COUNTIF($E1175, _xlfn.CONCAT("*",Table13[[#Headers],[Western]],"*")),1,0)</f>
        <v>0</v>
      </c>
    </row>
    <row r="1176" spans="1:27">
      <c r="A1176" t="s">
        <v>1063</v>
      </c>
      <c r="B1176">
        <v>41</v>
      </c>
      <c r="C1176">
        <f>MAX(Table13[Rank])-Table13[[#This Row],[Rank]]</f>
        <v>223</v>
      </c>
      <c r="D1176" t="s">
        <v>1022</v>
      </c>
      <c r="E1176" t="s">
        <v>35</v>
      </c>
      <c r="F1176" s="1">
        <v>23426</v>
      </c>
      <c r="G1176">
        <f>YEAR(Table13[[#This Row],[Date]])</f>
        <v>1964</v>
      </c>
      <c r="H1176" t="s">
        <v>227</v>
      </c>
      <c r="I1176">
        <f>IF(COUNTIF($E1176, _xlfn.CONCAT("*",Table13[[#Headers],[Action]],"*")),1,0)</f>
        <v>0</v>
      </c>
      <c r="J1176">
        <f>IF(COUNTIF($E1176, _xlfn.CONCAT("*",Table13[[#Headers],[Adventure]],"*")),1,0)</f>
        <v>0</v>
      </c>
      <c r="K1176">
        <f>IF(COUNTIF($E1176, _xlfn.CONCAT("*",Table13[[#Headers],[Animation]],"*")),1,0)</f>
        <v>0</v>
      </c>
      <c r="L1176">
        <f>IF(COUNTIF($E1176, _xlfn.CONCAT("*",Table13[[#Headers],[Comedy]],"*")),1,0)</f>
        <v>0</v>
      </c>
      <c r="M1176">
        <f>IF(COUNTIF($E1176, _xlfn.CONCAT("*",Table13[[#Headers],[Crime]],"*")),1,0)</f>
        <v>0</v>
      </c>
      <c r="N1176">
        <f>IF(COUNTIF($E1176, _xlfn.CONCAT("*",Table13[[#Headers],[Documentary]],"*")),1,0)</f>
        <v>0</v>
      </c>
      <c r="O1176">
        <f>IF(COUNTIF($E1176, _xlfn.CONCAT("*",Table13[[#Headers],[Drama]],"*")),1,0)</f>
        <v>1</v>
      </c>
      <c r="P1176">
        <f>IF(COUNTIF($E1176, _xlfn.CONCAT("*",Table13[[#Headers],[Family]],"*")),1,0)</f>
        <v>0</v>
      </c>
      <c r="Q1176">
        <f>IF(COUNTIF($E1176, _xlfn.CONCAT("*",Table13[[#Headers],[Fantasy]],"*")),1,0)</f>
        <v>0</v>
      </c>
      <c r="R1176">
        <f>IF(COUNTIF($E1176, _xlfn.CONCAT("*",Table13[[#Headers],[History]],"*")),1,0)</f>
        <v>0</v>
      </c>
      <c r="S1176">
        <f>IF(COUNTIF($E1176, _xlfn.CONCAT("*",Table13[[#Headers],[Horror]],"*")),1,0)</f>
        <v>0</v>
      </c>
      <c r="T1176">
        <f>IF(COUNTIF($E1176, _xlfn.CONCAT("*",Table13[[#Headers],[Music]],"*")),1,0)</f>
        <v>0</v>
      </c>
      <c r="U1176">
        <f>IF(COUNTIF($E1176, _xlfn.CONCAT("*",Table13[[#Headers],[Mystery]],"*")),1,0)</f>
        <v>0</v>
      </c>
      <c r="V1176">
        <f>IF(COUNTIF($E1176, _xlfn.CONCAT("*",Table13[[#Headers],[Romance]],"*")),1,0)</f>
        <v>1</v>
      </c>
      <c r="W1176">
        <f>IF(COUNTIF($E1176, _xlfn.CONCAT("*",Table13[[#Headers],[Science Fiction]],"*")),1,0)</f>
        <v>0</v>
      </c>
      <c r="X1176">
        <f>IF(COUNTIF($E1176, _xlfn.CONCAT("*",Table13[[#Headers],[TV Movie]],"*")),1,0)</f>
        <v>0</v>
      </c>
      <c r="Y1176">
        <f>IF(COUNTIF($E1176, _xlfn.CONCAT("*",Table13[[#Headers],[Thriller]],"*")),1,0)</f>
        <v>0</v>
      </c>
      <c r="Z1176">
        <f>IF(COUNTIF($E1176, _xlfn.CONCAT("*",Table13[[#Headers],[War]],"*")),1,0)</f>
        <v>0</v>
      </c>
      <c r="AA1176">
        <f>IF(COUNTIF($E1176, _xlfn.CONCAT("*",Table13[[#Headers],[Western]],"*")),1,0)</f>
        <v>0</v>
      </c>
    </row>
    <row r="1177" spans="1:27">
      <c r="A1177" t="s">
        <v>1064</v>
      </c>
      <c r="B1177">
        <v>42</v>
      </c>
      <c r="C1177">
        <f>MAX(Table13[Rank])-Table13[[#This Row],[Rank]]</f>
        <v>222</v>
      </c>
      <c r="D1177" t="s">
        <v>1022</v>
      </c>
      <c r="E1177" t="s">
        <v>1065</v>
      </c>
      <c r="F1177" s="1">
        <v>42369</v>
      </c>
      <c r="G1177">
        <f>YEAR(Table13[[#This Row],[Date]])</f>
        <v>2015</v>
      </c>
      <c r="H1177" t="s">
        <v>1305</v>
      </c>
      <c r="I1177">
        <f>IF(COUNTIF($E1177, _xlfn.CONCAT("*",Table13[[#Headers],[Action]],"*")),1,0)</f>
        <v>1</v>
      </c>
      <c r="J1177">
        <f>IF(COUNTIF($E1177, _xlfn.CONCAT("*",Table13[[#Headers],[Adventure]],"*")),1,0)</f>
        <v>0</v>
      </c>
      <c r="K1177">
        <f>IF(COUNTIF($E1177, _xlfn.CONCAT("*",Table13[[#Headers],[Animation]],"*")),1,0)</f>
        <v>0</v>
      </c>
      <c r="L1177">
        <f>IF(COUNTIF($E1177, _xlfn.CONCAT("*",Table13[[#Headers],[Comedy]],"*")),1,0)</f>
        <v>1</v>
      </c>
      <c r="M1177">
        <f>IF(COUNTIF($E1177, _xlfn.CONCAT("*",Table13[[#Headers],[Crime]],"*")),1,0)</f>
        <v>0</v>
      </c>
      <c r="N1177">
        <f>IF(COUNTIF($E1177, _xlfn.CONCAT("*",Table13[[#Headers],[Documentary]],"*")),1,0)</f>
        <v>0</v>
      </c>
      <c r="O1177">
        <f>IF(COUNTIF($E1177, _xlfn.CONCAT("*",Table13[[#Headers],[Drama]],"*")),1,0)</f>
        <v>0</v>
      </c>
      <c r="P1177">
        <f>IF(COUNTIF($E1177, _xlfn.CONCAT("*",Table13[[#Headers],[Family]],"*")),1,0)</f>
        <v>0</v>
      </c>
      <c r="Q1177">
        <f>IF(COUNTIF($E1177, _xlfn.CONCAT("*",Table13[[#Headers],[Fantasy]],"*")),1,0)</f>
        <v>0</v>
      </c>
      <c r="R1177">
        <f>IF(COUNTIF($E1177, _xlfn.CONCAT("*",Table13[[#Headers],[History]],"*")),1,0)</f>
        <v>0</v>
      </c>
      <c r="S1177">
        <f>IF(COUNTIF($E1177, _xlfn.CONCAT("*",Table13[[#Headers],[Horror]],"*")),1,0)</f>
        <v>0</v>
      </c>
      <c r="T1177">
        <f>IF(COUNTIF($E1177, _xlfn.CONCAT("*",Table13[[#Headers],[Music]],"*")),1,0)</f>
        <v>0</v>
      </c>
      <c r="U1177">
        <f>IF(COUNTIF($E1177, _xlfn.CONCAT("*",Table13[[#Headers],[Mystery]],"*")),1,0)</f>
        <v>1</v>
      </c>
      <c r="V1177">
        <f>IF(COUNTIF($E1177, _xlfn.CONCAT("*",Table13[[#Headers],[Romance]],"*")),1,0)</f>
        <v>0</v>
      </c>
      <c r="W1177">
        <f>IF(COUNTIF($E1177, _xlfn.CONCAT("*",Table13[[#Headers],[Science Fiction]],"*")),1,0)</f>
        <v>0</v>
      </c>
      <c r="X1177">
        <f>IF(COUNTIF($E1177, _xlfn.CONCAT("*",Table13[[#Headers],[TV Movie]],"*")),1,0)</f>
        <v>0</v>
      </c>
      <c r="Y1177">
        <f>IF(COUNTIF($E1177, _xlfn.CONCAT("*",Table13[[#Headers],[Thriller]],"*")),1,0)</f>
        <v>0</v>
      </c>
      <c r="Z1177">
        <f>IF(COUNTIF($E1177, _xlfn.CONCAT("*",Table13[[#Headers],[War]],"*")),1,0)</f>
        <v>0</v>
      </c>
      <c r="AA1177">
        <f>IF(COUNTIF($E1177, _xlfn.CONCAT("*",Table13[[#Headers],[Western]],"*")),1,0)</f>
        <v>0</v>
      </c>
    </row>
    <row r="1178" spans="1:27">
      <c r="A1178" t="s">
        <v>1066</v>
      </c>
      <c r="B1178">
        <v>43</v>
      </c>
      <c r="C1178">
        <f>MAX(Table13[Rank])-Table13[[#This Row],[Rank]]</f>
        <v>221</v>
      </c>
      <c r="D1178" t="s">
        <v>1022</v>
      </c>
      <c r="E1178" t="s">
        <v>201</v>
      </c>
      <c r="F1178" s="1">
        <v>20867</v>
      </c>
      <c r="G1178">
        <f>YEAR(Table13[[#This Row],[Date]])</f>
        <v>1957</v>
      </c>
      <c r="H1178" t="s">
        <v>200</v>
      </c>
      <c r="I1178">
        <f>IF(COUNTIF($E1178, _xlfn.CONCAT("*",Table13[[#Headers],[Action]],"*")),1,0)</f>
        <v>0</v>
      </c>
      <c r="J1178">
        <f>IF(COUNTIF($E1178, _xlfn.CONCAT("*",Table13[[#Headers],[Adventure]],"*")),1,0)</f>
        <v>0</v>
      </c>
      <c r="K1178">
        <f>IF(COUNTIF($E1178, _xlfn.CONCAT("*",Table13[[#Headers],[Animation]],"*")),1,0)</f>
        <v>0</v>
      </c>
      <c r="L1178">
        <f>IF(COUNTIF($E1178, _xlfn.CONCAT("*",Table13[[#Headers],[Comedy]],"*")),1,0)</f>
        <v>0</v>
      </c>
      <c r="M1178">
        <f>IF(COUNTIF($E1178, _xlfn.CONCAT("*",Table13[[#Headers],[Crime]],"*")),1,0)</f>
        <v>0</v>
      </c>
      <c r="N1178">
        <f>IF(COUNTIF($E1178, _xlfn.CONCAT("*",Table13[[#Headers],[Documentary]],"*")),1,0)</f>
        <v>0</v>
      </c>
      <c r="O1178">
        <f>IF(COUNTIF($E1178, _xlfn.CONCAT("*",Table13[[#Headers],[Drama]],"*")),1,0)</f>
        <v>1</v>
      </c>
      <c r="P1178">
        <f>IF(COUNTIF($E1178, _xlfn.CONCAT("*",Table13[[#Headers],[Family]],"*")),1,0)</f>
        <v>0</v>
      </c>
      <c r="Q1178">
        <f>IF(COUNTIF($E1178, _xlfn.CONCAT("*",Table13[[#Headers],[Fantasy]],"*")),1,0)</f>
        <v>1</v>
      </c>
      <c r="R1178">
        <f>IF(COUNTIF($E1178, _xlfn.CONCAT("*",Table13[[#Headers],[History]],"*")),1,0)</f>
        <v>0</v>
      </c>
      <c r="S1178">
        <f>IF(COUNTIF($E1178, _xlfn.CONCAT("*",Table13[[#Headers],[Horror]],"*")),1,0)</f>
        <v>0</v>
      </c>
      <c r="T1178">
        <f>IF(COUNTIF($E1178, _xlfn.CONCAT("*",Table13[[#Headers],[Music]],"*")),1,0)</f>
        <v>0</v>
      </c>
      <c r="U1178">
        <f>IF(COUNTIF($E1178, _xlfn.CONCAT("*",Table13[[#Headers],[Mystery]],"*")),1,0)</f>
        <v>0</v>
      </c>
      <c r="V1178">
        <f>IF(COUNTIF($E1178, _xlfn.CONCAT("*",Table13[[#Headers],[Romance]],"*")),1,0)</f>
        <v>0</v>
      </c>
      <c r="W1178">
        <f>IF(COUNTIF($E1178, _xlfn.CONCAT("*",Table13[[#Headers],[Science Fiction]],"*")),1,0)</f>
        <v>0</v>
      </c>
      <c r="X1178">
        <f>IF(COUNTIF($E1178, _xlfn.CONCAT("*",Table13[[#Headers],[TV Movie]],"*")),1,0)</f>
        <v>0</v>
      </c>
      <c r="Y1178">
        <f>IF(COUNTIF($E1178, _xlfn.CONCAT("*",Table13[[#Headers],[Thriller]],"*")),1,0)</f>
        <v>0</v>
      </c>
      <c r="Z1178">
        <f>IF(COUNTIF($E1178, _xlfn.CONCAT("*",Table13[[#Headers],[War]],"*")),1,0)</f>
        <v>0</v>
      </c>
      <c r="AA1178">
        <f>IF(COUNTIF($E1178, _xlfn.CONCAT("*",Table13[[#Headers],[Western]],"*")),1,0)</f>
        <v>0</v>
      </c>
    </row>
    <row r="1179" spans="1:27">
      <c r="A1179" t="s">
        <v>1067</v>
      </c>
      <c r="B1179">
        <v>44</v>
      </c>
      <c r="C1179">
        <f>MAX(Table13[Rank])-Table13[[#This Row],[Rank]]</f>
        <v>220</v>
      </c>
      <c r="D1179" t="s">
        <v>1022</v>
      </c>
      <c r="E1179" t="s">
        <v>35</v>
      </c>
      <c r="F1179" s="1">
        <v>37882</v>
      </c>
      <c r="G1179">
        <f>YEAR(Table13[[#This Row],[Date]])</f>
        <v>2003</v>
      </c>
      <c r="H1179" t="s">
        <v>525</v>
      </c>
      <c r="I1179">
        <f>IF(COUNTIF($E1179, _xlfn.CONCAT("*",Table13[[#Headers],[Action]],"*")),1,0)</f>
        <v>0</v>
      </c>
      <c r="J1179">
        <f>IF(COUNTIF($E1179, _xlfn.CONCAT("*",Table13[[#Headers],[Adventure]],"*")),1,0)</f>
        <v>0</v>
      </c>
      <c r="K1179">
        <f>IF(COUNTIF($E1179, _xlfn.CONCAT("*",Table13[[#Headers],[Animation]],"*")),1,0)</f>
        <v>0</v>
      </c>
      <c r="L1179">
        <f>IF(COUNTIF($E1179, _xlfn.CONCAT("*",Table13[[#Headers],[Comedy]],"*")),1,0)</f>
        <v>0</v>
      </c>
      <c r="M1179">
        <f>IF(COUNTIF($E1179, _xlfn.CONCAT("*",Table13[[#Headers],[Crime]],"*")),1,0)</f>
        <v>0</v>
      </c>
      <c r="N1179">
        <f>IF(COUNTIF($E1179, _xlfn.CONCAT("*",Table13[[#Headers],[Documentary]],"*")),1,0)</f>
        <v>0</v>
      </c>
      <c r="O1179">
        <f>IF(COUNTIF($E1179, _xlfn.CONCAT("*",Table13[[#Headers],[Drama]],"*")),1,0)</f>
        <v>1</v>
      </c>
      <c r="P1179">
        <f>IF(COUNTIF($E1179, _xlfn.CONCAT("*",Table13[[#Headers],[Family]],"*")),1,0)</f>
        <v>0</v>
      </c>
      <c r="Q1179">
        <f>IF(COUNTIF($E1179, _xlfn.CONCAT("*",Table13[[#Headers],[Fantasy]],"*")),1,0)</f>
        <v>0</v>
      </c>
      <c r="R1179">
        <f>IF(COUNTIF($E1179, _xlfn.CONCAT("*",Table13[[#Headers],[History]],"*")),1,0)</f>
        <v>0</v>
      </c>
      <c r="S1179">
        <f>IF(COUNTIF($E1179, _xlfn.CONCAT("*",Table13[[#Headers],[Horror]],"*")),1,0)</f>
        <v>0</v>
      </c>
      <c r="T1179">
        <f>IF(COUNTIF($E1179, _xlfn.CONCAT("*",Table13[[#Headers],[Music]],"*")),1,0)</f>
        <v>0</v>
      </c>
      <c r="U1179">
        <f>IF(COUNTIF($E1179, _xlfn.CONCAT("*",Table13[[#Headers],[Mystery]],"*")),1,0)</f>
        <v>0</v>
      </c>
      <c r="V1179">
        <f>IF(COUNTIF($E1179, _xlfn.CONCAT("*",Table13[[#Headers],[Romance]],"*")),1,0)</f>
        <v>1</v>
      </c>
      <c r="W1179">
        <f>IF(COUNTIF($E1179, _xlfn.CONCAT("*",Table13[[#Headers],[Science Fiction]],"*")),1,0)</f>
        <v>0</v>
      </c>
      <c r="X1179">
        <f>IF(COUNTIF($E1179, _xlfn.CONCAT("*",Table13[[#Headers],[TV Movie]],"*")),1,0)</f>
        <v>0</v>
      </c>
      <c r="Y1179">
        <f>IF(COUNTIF($E1179, _xlfn.CONCAT("*",Table13[[#Headers],[Thriller]],"*")),1,0)</f>
        <v>0</v>
      </c>
      <c r="Z1179">
        <f>IF(COUNTIF($E1179, _xlfn.CONCAT("*",Table13[[#Headers],[War]],"*")),1,0)</f>
        <v>0</v>
      </c>
      <c r="AA1179">
        <f>IF(COUNTIF($E1179, _xlfn.CONCAT("*",Table13[[#Headers],[Western]],"*")),1,0)</f>
        <v>0</v>
      </c>
    </row>
    <row r="1180" spans="1:27">
      <c r="A1180" t="s">
        <v>1068</v>
      </c>
      <c r="B1180">
        <v>45</v>
      </c>
      <c r="C1180">
        <f>MAX(Table13[Rank])-Table13[[#This Row],[Rank]]</f>
        <v>219</v>
      </c>
      <c r="D1180" t="s">
        <v>1022</v>
      </c>
      <c r="E1180" t="s">
        <v>156</v>
      </c>
      <c r="F1180" s="1">
        <v>27799</v>
      </c>
      <c r="G1180">
        <f>YEAR(Table13[[#This Row],[Date]])</f>
        <v>1976</v>
      </c>
      <c r="H1180" t="s">
        <v>1294</v>
      </c>
      <c r="I1180">
        <f>IF(COUNTIF($E1180, _xlfn.CONCAT("*",Table13[[#Headers],[Action]],"*")),1,0)</f>
        <v>0</v>
      </c>
      <c r="J1180">
        <f>IF(COUNTIF($E1180, _xlfn.CONCAT("*",Table13[[#Headers],[Adventure]],"*")),1,0)</f>
        <v>0</v>
      </c>
      <c r="K1180">
        <f>IF(COUNTIF($E1180, _xlfn.CONCAT("*",Table13[[#Headers],[Animation]],"*")),1,0)</f>
        <v>0</v>
      </c>
      <c r="L1180">
        <f>IF(COUNTIF($E1180, _xlfn.CONCAT("*",Table13[[#Headers],[Comedy]],"*")),1,0)</f>
        <v>0</v>
      </c>
      <c r="M1180">
        <f>IF(COUNTIF($E1180, _xlfn.CONCAT("*",Table13[[#Headers],[Crime]],"*")),1,0)</f>
        <v>1</v>
      </c>
      <c r="N1180">
        <f>IF(COUNTIF($E1180, _xlfn.CONCAT("*",Table13[[#Headers],[Documentary]],"*")),1,0)</f>
        <v>0</v>
      </c>
      <c r="O1180">
        <f>IF(COUNTIF($E1180, _xlfn.CONCAT("*",Table13[[#Headers],[Drama]],"*")),1,0)</f>
        <v>1</v>
      </c>
      <c r="P1180">
        <f>IF(COUNTIF($E1180, _xlfn.CONCAT("*",Table13[[#Headers],[Family]],"*")),1,0)</f>
        <v>0</v>
      </c>
      <c r="Q1180">
        <f>IF(COUNTIF($E1180, _xlfn.CONCAT("*",Table13[[#Headers],[Fantasy]],"*")),1,0)</f>
        <v>0</v>
      </c>
      <c r="R1180">
        <f>IF(COUNTIF($E1180, _xlfn.CONCAT("*",Table13[[#Headers],[History]],"*")),1,0)</f>
        <v>0</v>
      </c>
      <c r="S1180">
        <f>IF(COUNTIF($E1180, _xlfn.CONCAT("*",Table13[[#Headers],[Horror]],"*")),1,0)</f>
        <v>0</v>
      </c>
      <c r="T1180">
        <f>IF(COUNTIF($E1180, _xlfn.CONCAT("*",Table13[[#Headers],[Music]],"*")),1,0)</f>
        <v>0</v>
      </c>
      <c r="U1180">
        <f>IF(COUNTIF($E1180, _xlfn.CONCAT("*",Table13[[#Headers],[Mystery]],"*")),1,0)</f>
        <v>0</v>
      </c>
      <c r="V1180">
        <f>IF(COUNTIF($E1180, _xlfn.CONCAT("*",Table13[[#Headers],[Romance]],"*")),1,0)</f>
        <v>0</v>
      </c>
      <c r="W1180">
        <f>IF(COUNTIF($E1180, _xlfn.CONCAT("*",Table13[[#Headers],[Science Fiction]],"*")),1,0)</f>
        <v>0</v>
      </c>
      <c r="X1180">
        <f>IF(COUNTIF($E1180, _xlfn.CONCAT("*",Table13[[#Headers],[TV Movie]],"*")),1,0)</f>
        <v>0</v>
      </c>
      <c r="Y1180">
        <f>IF(COUNTIF($E1180, _xlfn.CONCAT("*",Table13[[#Headers],[Thriller]],"*")),1,0)</f>
        <v>0</v>
      </c>
      <c r="Z1180">
        <f>IF(COUNTIF($E1180, _xlfn.CONCAT("*",Table13[[#Headers],[War]],"*")),1,0)</f>
        <v>0</v>
      </c>
      <c r="AA1180">
        <f>IF(COUNTIF($E1180, _xlfn.CONCAT("*",Table13[[#Headers],[Western]],"*")),1,0)</f>
        <v>0</v>
      </c>
    </row>
    <row r="1181" spans="1:27">
      <c r="A1181" t="s">
        <v>1069</v>
      </c>
      <c r="B1181">
        <v>46</v>
      </c>
      <c r="C1181">
        <f>MAX(Table13[Rank])-Table13[[#This Row],[Rank]]</f>
        <v>218</v>
      </c>
      <c r="D1181" t="s">
        <v>1022</v>
      </c>
      <c r="E1181" t="s">
        <v>299</v>
      </c>
      <c r="F1181" s="1">
        <v>37092</v>
      </c>
      <c r="G1181">
        <f>YEAR(Table13[[#This Row],[Date]])</f>
        <v>2001</v>
      </c>
      <c r="H1181" t="s">
        <v>298</v>
      </c>
      <c r="I1181">
        <f>IF(COUNTIF($E1181, _xlfn.CONCAT("*",Table13[[#Headers],[Action]],"*")),1,0)</f>
        <v>0</v>
      </c>
      <c r="J1181">
        <f>IF(COUNTIF($E1181, _xlfn.CONCAT("*",Table13[[#Headers],[Adventure]],"*")),1,0)</f>
        <v>0</v>
      </c>
      <c r="K1181">
        <f>IF(COUNTIF($E1181, _xlfn.CONCAT("*",Table13[[#Headers],[Animation]],"*")),1,0)</f>
        <v>1</v>
      </c>
      <c r="L1181">
        <f>IF(COUNTIF($E1181, _xlfn.CONCAT("*",Table13[[#Headers],[Comedy]],"*")),1,0)</f>
        <v>0</v>
      </c>
      <c r="M1181">
        <f>IF(COUNTIF($E1181, _xlfn.CONCAT("*",Table13[[#Headers],[Crime]],"*")),1,0)</f>
        <v>0</v>
      </c>
      <c r="N1181">
        <f>IF(COUNTIF($E1181, _xlfn.CONCAT("*",Table13[[#Headers],[Documentary]],"*")),1,0)</f>
        <v>0</v>
      </c>
      <c r="O1181">
        <f>IF(COUNTIF($E1181, _xlfn.CONCAT("*",Table13[[#Headers],[Drama]],"*")),1,0)</f>
        <v>0</v>
      </c>
      <c r="P1181">
        <f>IF(COUNTIF($E1181, _xlfn.CONCAT("*",Table13[[#Headers],[Family]],"*")),1,0)</f>
        <v>1</v>
      </c>
      <c r="Q1181">
        <f>IF(COUNTIF($E1181, _xlfn.CONCAT("*",Table13[[#Headers],[Fantasy]],"*")),1,0)</f>
        <v>1</v>
      </c>
      <c r="R1181">
        <f>IF(COUNTIF($E1181, _xlfn.CONCAT("*",Table13[[#Headers],[History]],"*")),1,0)</f>
        <v>0</v>
      </c>
      <c r="S1181">
        <f>IF(COUNTIF($E1181, _xlfn.CONCAT("*",Table13[[#Headers],[Horror]],"*")),1,0)</f>
        <v>0</v>
      </c>
      <c r="T1181">
        <f>IF(COUNTIF($E1181, _xlfn.CONCAT("*",Table13[[#Headers],[Music]],"*")),1,0)</f>
        <v>0</v>
      </c>
      <c r="U1181">
        <f>IF(COUNTIF($E1181, _xlfn.CONCAT("*",Table13[[#Headers],[Mystery]],"*")),1,0)</f>
        <v>0</v>
      </c>
      <c r="V1181">
        <f>IF(COUNTIF($E1181, _xlfn.CONCAT("*",Table13[[#Headers],[Romance]],"*")),1,0)</f>
        <v>0</v>
      </c>
      <c r="W1181">
        <f>IF(COUNTIF($E1181, _xlfn.CONCAT("*",Table13[[#Headers],[Science Fiction]],"*")),1,0)</f>
        <v>0</v>
      </c>
      <c r="X1181">
        <f>IF(COUNTIF($E1181, _xlfn.CONCAT("*",Table13[[#Headers],[TV Movie]],"*")),1,0)</f>
        <v>0</v>
      </c>
      <c r="Y1181">
        <f>IF(COUNTIF($E1181, _xlfn.CONCAT("*",Table13[[#Headers],[Thriller]],"*")),1,0)</f>
        <v>0</v>
      </c>
      <c r="Z1181">
        <f>IF(COUNTIF($E1181, _xlfn.CONCAT("*",Table13[[#Headers],[War]],"*")),1,0)</f>
        <v>0</v>
      </c>
      <c r="AA1181">
        <f>IF(COUNTIF($E1181, _xlfn.CONCAT("*",Table13[[#Headers],[Western]],"*")),1,0)</f>
        <v>0</v>
      </c>
    </row>
    <row r="1182" spans="1:27">
      <c r="A1182" t="s">
        <v>1070</v>
      </c>
      <c r="B1182">
        <v>47</v>
      </c>
      <c r="C1182">
        <f>MAX(Table13[Rank])-Table13[[#This Row],[Rank]]</f>
        <v>217</v>
      </c>
      <c r="D1182" t="s">
        <v>1022</v>
      </c>
      <c r="E1182" t="s">
        <v>29</v>
      </c>
      <c r="F1182" s="1">
        <v>41198</v>
      </c>
      <c r="G1182">
        <f>YEAR(Table13[[#This Row],[Date]])</f>
        <v>2012</v>
      </c>
      <c r="H1182" t="s">
        <v>1071</v>
      </c>
      <c r="I1182">
        <f>IF(COUNTIF($E1182, _xlfn.CONCAT("*",Table13[[#Headers],[Action]],"*")),1,0)</f>
        <v>0</v>
      </c>
      <c r="J1182">
        <f>IF(COUNTIF($E1182, _xlfn.CONCAT("*",Table13[[#Headers],[Adventure]],"*")),1,0)</f>
        <v>0</v>
      </c>
      <c r="K1182">
        <f>IF(COUNTIF($E1182, _xlfn.CONCAT("*",Table13[[#Headers],[Animation]],"*")),1,0)</f>
        <v>0</v>
      </c>
      <c r="L1182">
        <f>IF(COUNTIF($E1182, _xlfn.CONCAT("*",Table13[[#Headers],[Comedy]],"*")),1,0)</f>
        <v>0</v>
      </c>
      <c r="M1182">
        <f>IF(COUNTIF($E1182, _xlfn.CONCAT("*",Table13[[#Headers],[Crime]],"*")),1,0)</f>
        <v>0</v>
      </c>
      <c r="N1182">
        <f>IF(COUNTIF($E1182, _xlfn.CONCAT("*",Table13[[#Headers],[Documentary]],"*")),1,0)</f>
        <v>0</v>
      </c>
      <c r="O1182">
        <f>IF(COUNTIF($E1182, _xlfn.CONCAT("*",Table13[[#Headers],[Drama]],"*")),1,0)</f>
        <v>0</v>
      </c>
      <c r="P1182">
        <f>IF(COUNTIF($E1182, _xlfn.CONCAT("*",Table13[[#Headers],[Family]],"*")),1,0)</f>
        <v>0</v>
      </c>
      <c r="Q1182">
        <f>IF(COUNTIF($E1182, _xlfn.CONCAT("*",Table13[[#Headers],[Fantasy]],"*")),1,0)</f>
        <v>0</v>
      </c>
      <c r="R1182">
        <f>IF(COUNTIF($E1182, _xlfn.CONCAT("*",Table13[[#Headers],[History]],"*")),1,0)</f>
        <v>0</v>
      </c>
      <c r="S1182">
        <f>IF(COUNTIF($E1182, _xlfn.CONCAT("*",Table13[[#Headers],[Horror]],"*")),1,0)</f>
        <v>1</v>
      </c>
      <c r="T1182">
        <f>IF(COUNTIF($E1182, _xlfn.CONCAT("*",Table13[[#Headers],[Music]],"*")),1,0)</f>
        <v>0</v>
      </c>
      <c r="U1182">
        <f>IF(COUNTIF($E1182, _xlfn.CONCAT("*",Table13[[#Headers],[Mystery]],"*")),1,0)</f>
        <v>0</v>
      </c>
      <c r="V1182">
        <f>IF(COUNTIF($E1182, _xlfn.CONCAT("*",Table13[[#Headers],[Romance]],"*")),1,0)</f>
        <v>0</v>
      </c>
      <c r="W1182">
        <f>IF(COUNTIF($E1182, _xlfn.CONCAT("*",Table13[[#Headers],[Science Fiction]],"*")),1,0)</f>
        <v>0</v>
      </c>
      <c r="X1182">
        <f>IF(COUNTIF($E1182, _xlfn.CONCAT("*",Table13[[#Headers],[TV Movie]],"*")),1,0)</f>
        <v>0</v>
      </c>
      <c r="Y1182">
        <f>IF(COUNTIF($E1182, _xlfn.CONCAT("*",Table13[[#Headers],[Thriller]],"*")),1,0)</f>
        <v>0</v>
      </c>
      <c r="Z1182">
        <f>IF(COUNTIF($E1182, _xlfn.CONCAT("*",Table13[[#Headers],[War]],"*")),1,0)</f>
        <v>0</v>
      </c>
      <c r="AA1182">
        <f>IF(COUNTIF($E1182, _xlfn.CONCAT("*",Table13[[#Headers],[Western]],"*")),1,0)</f>
        <v>0</v>
      </c>
    </row>
    <row r="1183" spans="1:27">
      <c r="A1183" t="s">
        <v>1072</v>
      </c>
      <c r="B1183">
        <v>48</v>
      </c>
      <c r="C1183">
        <f>MAX(Table13[Rank])-Table13[[#This Row],[Rank]]</f>
        <v>216</v>
      </c>
      <c r="D1183" t="s">
        <v>1022</v>
      </c>
      <c r="E1183" t="s">
        <v>186</v>
      </c>
      <c r="F1183" s="1">
        <v>9490</v>
      </c>
      <c r="G1183">
        <f>YEAR(Table13[[#This Row],[Date]])</f>
        <v>1925</v>
      </c>
      <c r="H1183" t="s">
        <v>326</v>
      </c>
      <c r="I1183">
        <f>IF(COUNTIF($E1183, _xlfn.CONCAT("*",Table13[[#Headers],[Action]],"*")),1,0)</f>
        <v>0</v>
      </c>
      <c r="J1183">
        <f>IF(COUNTIF($E1183, _xlfn.CONCAT("*",Table13[[#Headers],[Adventure]],"*")),1,0)</f>
        <v>0</v>
      </c>
      <c r="K1183">
        <f>IF(COUNTIF($E1183, _xlfn.CONCAT("*",Table13[[#Headers],[Animation]],"*")),1,0)</f>
        <v>0</v>
      </c>
      <c r="L1183">
        <f>IF(COUNTIF($E1183, _xlfn.CONCAT("*",Table13[[#Headers],[Comedy]],"*")),1,0)</f>
        <v>0</v>
      </c>
      <c r="M1183">
        <f>IF(COUNTIF($E1183, _xlfn.CONCAT("*",Table13[[#Headers],[Crime]],"*")),1,0)</f>
        <v>0</v>
      </c>
      <c r="N1183">
        <f>IF(COUNTIF($E1183, _xlfn.CONCAT("*",Table13[[#Headers],[Documentary]],"*")),1,0)</f>
        <v>0</v>
      </c>
      <c r="O1183">
        <f>IF(COUNTIF($E1183, _xlfn.CONCAT("*",Table13[[#Headers],[Drama]],"*")),1,0)</f>
        <v>1</v>
      </c>
      <c r="P1183">
        <f>IF(COUNTIF($E1183, _xlfn.CONCAT("*",Table13[[#Headers],[Family]],"*")),1,0)</f>
        <v>0</v>
      </c>
      <c r="Q1183">
        <f>IF(COUNTIF($E1183, _xlfn.CONCAT("*",Table13[[#Headers],[Fantasy]],"*")),1,0)</f>
        <v>0</v>
      </c>
      <c r="R1183">
        <f>IF(COUNTIF($E1183, _xlfn.CONCAT("*",Table13[[#Headers],[History]],"*")),1,0)</f>
        <v>1</v>
      </c>
      <c r="S1183">
        <f>IF(COUNTIF($E1183, _xlfn.CONCAT("*",Table13[[#Headers],[Horror]],"*")),1,0)</f>
        <v>0</v>
      </c>
      <c r="T1183">
        <f>IF(COUNTIF($E1183, _xlfn.CONCAT("*",Table13[[#Headers],[Music]],"*")),1,0)</f>
        <v>0</v>
      </c>
      <c r="U1183">
        <f>IF(COUNTIF($E1183, _xlfn.CONCAT("*",Table13[[#Headers],[Mystery]],"*")),1,0)</f>
        <v>0</v>
      </c>
      <c r="V1183">
        <f>IF(COUNTIF($E1183, _xlfn.CONCAT("*",Table13[[#Headers],[Romance]],"*")),1,0)</f>
        <v>0</v>
      </c>
      <c r="W1183">
        <f>IF(COUNTIF($E1183, _xlfn.CONCAT("*",Table13[[#Headers],[Science Fiction]],"*")),1,0)</f>
        <v>0</v>
      </c>
      <c r="X1183">
        <f>IF(COUNTIF($E1183, _xlfn.CONCAT("*",Table13[[#Headers],[TV Movie]],"*")),1,0)</f>
        <v>0</v>
      </c>
      <c r="Y1183">
        <f>IF(COUNTIF($E1183, _xlfn.CONCAT("*",Table13[[#Headers],[Thriller]],"*")),1,0)</f>
        <v>0</v>
      </c>
      <c r="Z1183">
        <f>IF(COUNTIF($E1183, _xlfn.CONCAT("*",Table13[[#Headers],[War]],"*")),1,0)</f>
        <v>1</v>
      </c>
      <c r="AA1183">
        <f>IF(COUNTIF($E1183, _xlfn.CONCAT("*",Table13[[#Headers],[Western]],"*")),1,0)</f>
        <v>0</v>
      </c>
    </row>
    <row r="1184" spans="1:27">
      <c r="A1184" t="s">
        <v>1073</v>
      </c>
      <c r="B1184">
        <v>49</v>
      </c>
      <c r="C1184">
        <f>MAX(Table13[Rank])-Table13[[#This Row],[Rank]]</f>
        <v>215</v>
      </c>
      <c r="D1184" t="s">
        <v>1022</v>
      </c>
      <c r="E1184" t="s">
        <v>164</v>
      </c>
      <c r="F1184" s="1">
        <v>13185</v>
      </c>
      <c r="G1184">
        <f>YEAR(Table13[[#This Row],[Date]])</f>
        <v>1936</v>
      </c>
      <c r="H1184" t="s">
        <v>290</v>
      </c>
      <c r="I1184">
        <f>IF(COUNTIF($E1184, _xlfn.CONCAT("*",Table13[[#Headers],[Action]],"*")),1,0)</f>
        <v>0</v>
      </c>
      <c r="J1184">
        <f>IF(COUNTIF($E1184, _xlfn.CONCAT("*",Table13[[#Headers],[Adventure]],"*")),1,0)</f>
        <v>0</v>
      </c>
      <c r="K1184">
        <f>IF(COUNTIF($E1184, _xlfn.CONCAT("*",Table13[[#Headers],[Animation]],"*")),1,0)</f>
        <v>0</v>
      </c>
      <c r="L1184">
        <f>IF(COUNTIF($E1184, _xlfn.CONCAT("*",Table13[[#Headers],[Comedy]],"*")),1,0)</f>
        <v>1</v>
      </c>
      <c r="M1184">
        <f>IF(COUNTIF($E1184, _xlfn.CONCAT("*",Table13[[#Headers],[Crime]],"*")),1,0)</f>
        <v>0</v>
      </c>
      <c r="N1184">
        <f>IF(COUNTIF($E1184, _xlfn.CONCAT("*",Table13[[#Headers],[Documentary]],"*")),1,0)</f>
        <v>0</v>
      </c>
      <c r="O1184">
        <f>IF(COUNTIF($E1184, _xlfn.CONCAT("*",Table13[[#Headers],[Drama]],"*")),1,0)</f>
        <v>1</v>
      </c>
      <c r="P1184">
        <f>IF(COUNTIF($E1184, _xlfn.CONCAT("*",Table13[[#Headers],[Family]],"*")),1,0)</f>
        <v>0</v>
      </c>
      <c r="Q1184">
        <f>IF(COUNTIF($E1184, _xlfn.CONCAT("*",Table13[[#Headers],[Fantasy]],"*")),1,0)</f>
        <v>0</v>
      </c>
      <c r="R1184">
        <f>IF(COUNTIF($E1184, _xlfn.CONCAT("*",Table13[[#Headers],[History]],"*")),1,0)</f>
        <v>0</v>
      </c>
      <c r="S1184">
        <f>IF(COUNTIF($E1184, _xlfn.CONCAT("*",Table13[[#Headers],[Horror]],"*")),1,0)</f>
        <v>0</v>
      </c>
      <c r="T1184">
        <f>IF(COUNTIF($E1184, _xlfn.CONCAT("*",Table13[[#Headers],[Music]],"*")),1,0)</f>
        <v>0</v>
      </c>
      <c r="U1184">
        <f>IF(COUNTIF($E1184, _xlfn.CONCAT("*",Table13[[#Headers],[Mystery]],"*")),1,0)</f>
        <v>0</v>
      </c>
      <c r="V1184">
        <f>IF(COUNTIF($E1184, _xlfn.CONCAT("*",Table13[[#Headers],[Romance]],"*")),1,0)</f>
        <v>0</v>
      </c>
      <c r="W1184">
        <f>IF(COUNTIF($E1184, _xlfn.CONCAT("*",Table13[[#Headers],[Science Fiction]],"*")),1,0)</f>
        <v>0</v>
      </c>
      <c r="X1184">
        <f>IF(COUNTIF($E1184, _xlfn.CONCAT("*",Table13[[#Headers],[TV Movie]],"*")),1,0)</f>
        <v>0</v>
      </c>
      <c r="Y1184">
        <f>IF(COUNTIF($E1184, _xlfn.CONCAT("*",Table13[[#Headers],[Thriller]],"*")),1,0)</f>
        <v>0</v>
      </c>
      <c r="Z1184">
        <f>IF(COUNTIF($E1184, _xlfn.CONCAT("*",Table13[[#Headers],[War]],"*")),1,0)</f>
        <v>0</v>
      </c>
      <c r="AA1184">
        <f>IF(COUNTIF($E1184, _xlfn.CONCAT("*",Table13[[#Headers],[Western]],"*")),1,0)</f>
        <v>0</v>
      </c>
    </row>
    <row r="1185" spans="1:27">
      <c r="A1185" t="s">
        <v>1074</v>
      </c>
      <c r="B1185">
        <v>50</v>
      </c>
      <c r="C1185">
        <f>MAX(Table13[Rank])-Table13[[#This Row],[Rank]]</f>
        <v>214</v>
      </c>
      <c r="D1185" t="s">
        <v>1022</v>
      </c>
      <c r="E1185" t="s">
        <v>166</v>
      </c>
      <c r="F1185" s="1">
        <v>21991</v>
      </c>
      <c r="G1185">
        <f>YEAR(Table13[[#This Row],[Date]])</f>
        <v>1960</v>
      </c>
      <c r="H1185" t="s">
        <v>467</v>
      </c>
      <c r="I1185">
        <f>IF(COUNTIF($E1185, _xlfn.CONCAT("*",Table13[[#Headers],[Action]],"*")),1,0)</f>
        <v>0</v>
      </c>
      <c r="J1185">
        <f>IF(COUNTIF($E1185, _xlfn.CONCAT("*",Table13[[#Headers],[Adventure]],"*")),1,0)</f>
        <v>0</v>
      </c>
      <c r="K1185">
        <f>IF(COUNTIF($E1185, _xlfn.CONCAT("*",Table13[[#Headers],[Animation]],"*")),1,0)</f>
        <v>0</v>
      </c>
      <c r="L1185">
        <f>IF(COUNTIF($E1185, _xlfn.CONCAT("*",Table13[[#Headers],[Comedy]],"*")),1,0)</f>
        <v>0</v>
      </c>
      <c r="M1185">
        <f>IF(COUNTIF($E1185, _xlfn.CONCAT("*",Table13[[#Headers],[Crime]],"*")),1,0)</f>
        <v>1</v>
      </c>
      <c r="N1185">
        <f>IF(COUNTIF($E1185, _xlfn.CONCAT("*",Table13[[#Headers],[Documentary]],"*")),1,0)</f>
        <v>0</v>
      </c>
      <c r="O1185">
        <f>IF(COUNTIF($E1185, _xlfn.CONCAT("*",Table13[[#Headers],[Drama]],"*")),1,0)</f>
        <v>1</v>
      </c>
      <c r="P1185">
        <f>IF(COUNTIF($E1185, _xlfn.CONCAT("*",Table13[[#Headers],[Family]],"*")),1,0)</f>
        <v>0</v>
      </c>
      <c r="Q1185">
        <f>IF(COUNTIF($E1185, _xlfn.CONCAT("*",Table13[[#Headers],[Fantasy]],"*")),1,0)</f>
        <v>0</v>
      </c>
      <c r="R1185">
        <f>IF(COUNTIF($E1185, _xlfn.CONCAT("*",Table13[[#Headers],[History]],"*")),1,0)</f>
        <v>0</v>
      </c>
      <c r="S1185">
        <f>IF(COUNTIF($E1185, _xlfn.CONCAT("*",Table13[[#Headers],[Horror]],"*")),1,0)</f>
        <v>0</v>
      </c>
      <c r="T1185">
        <f>IF(COUNTIF($E1185, _xlfn.CONCAT("*",Table13[[#Headers],[Music]],"*")),1,0)</f>
        <v>0</v>
      </c>
      <c r="U1185">
        <f>IF(COUNTIF($E1185, _xlfn.CONCAT("*",Table13[[#Headers],[Mystery]],"*")),1,0)</f>
        <v>0</v>
      </c>
      <c r="V1185">
        <f>IF(COUNTIF($E1185, _xlfn.CONCAT("*",Table13[[#Headers],[Romance]],"*")),1,0)</f>
        <v>0</v>
      </c>
      <c r="W1185">
        <f>IF(COUNTIF($E1185, _xlfn.CONCAT("*",Table13[[#Headers],[Science Fiction]],"*")),1,0)</f>
        <v>0</v>
      </c>
      <c r="X1185">
        <f>IF(COUNTIF($E1185, _xlfn.CONCAT("*",Table13[[#Headers],[TV Movie]],"*")),1,0)</f>
        <v>0</v>
      </c>
      <c r="Y1185">
        <f>IF(COUNTIF($E1185, _xlfn.CONCAT("*",Table13[[#Headers],[Thriller]],"*")),1,0)</f>
        <v>0</v>
      </c>
      <c r="Z1185">
        <f>IF(COUNTIF($E1185, _xlfn.CONCAT("*",Table13[[#Headers],[War]],"*")),1,0)</f>
        <v>0</v>
      </c>
      <c r="AA1185">
        <f>IF(COUNTIF($E1185, _xlfn.CONCAT("*",Table13[[#Headers],[Western]],"*")),1,0)</f>
        <v>0</v>
      </c>
    </row>
    <row r="1186" spans="1:27">
      <c r="A1186" t="s">
        <v>1075</v>
      </c>
      <c r="B1186">
        <v>51</v>
      </c>
      <c r="C1186">
        <f>MAX(Table13[Rank])-Table13[[#This Row],[Rank]]</f>
        <v>213</v>
      </c>
      <c r="D1186" t="s">
        <v>1022</v>
      </c>
      <c r="E1186" t="s">
        <v>73</v>
      </c>
      <c r="F1186" s="1">
        <v>23405</v>
      </c>
      <c r="G1186">
        <f>YEAR(Table13[[#This Row],[Date]])</f>
        <v>1964</v>
      </c>
      <c r="H1186" t="s">
        <v>103</v>
      </c>
      <c r="I1186">
        <f>IF(COUNTIF($E1186, _xlfn.CONCAT("*",Table13[[#Headers],[Action]],"*")),1,0)</f>
        <v>0</v>
      </c>
      <c r="J1186">
        <f>IF(COUNTIF($E1186, _xlfn.CONCAT("*",Table13[[#Headers],[Adventure]],"*")),1,0)</f>
        <v>0</v>
      </c>
      <c r="K1186">
        <f>IF(COUNTIF($E1186, _xlfn.CONCAT("*",Table13[[#Headers],[Animation]],"*")),1,0)</f>
        <v>0</v>
      </c>
      <c r="L1186">
        <f>IF(COUNTIF($E1186, _xlfn.CONCAT("*",Table13[[#Headers],[Comedy]],"*")),1,0)</f>
        <v>1</v>
      </c>
      <c r="M1186">
        <f>IF(COUNTIF($E1186, _xlfn.CONCAT("*",Table13[[#Headers],[Crime]],"*")),1,0)</f>
        <v>0</v>
      </c>
      <c r="N1186">
        <f>IF(COUNTIF($E1186, _xlfn.CONCAT("*",Table13[[#Headers],[Documentary]],"*")),1,0)</f>
        <v>0</v>
      </c>
      <c r="O1186">
        <f>IF(COUNTIF($E1186, _xlfn.CONCAT("*",Table13[[#Headers],[Drama]],"*")),1,0)</f>
        <v>0</v>
      </c>
      <c r="P1186">
        <f>IF(COUNTIF($E1186, _xlfn.CONCAT("*",Table13[[#Headers],[Family]],"*")),1,0)</f>
        <v>0</v>
      </c>
      <c r="Q1186">
        <f>IF(COUNTIF($E1186, _xlfn.CONCAT("*",Table13[[#Headers],[Fantasy]],"*")),1,0)</f>
        <v>0</v>
      </c>
      <c r="R1186">
        <f>IF(COUNTIF($E1186, _xlfn.CONCAT("*",Table13[[#Headers],[History]],"*")),1,0)</f>
        <v>0</v>
      </c>
      <c r="S1186">
        <f>IF(COUNTIF($E1186, _xlfn.CONCAT("*",Table13[[#Headers],[Horror]],"*")),1,0)</f>
        <v>0</v>
      </c>
      <c r="T1186">
        <f>IF(COUNTIF($E1186, _xlfn.CONCAT("*",Table13[[#Headers],[Music]],"*")),1,0)</f>
        <v>0</v>
      </c>
      <c r="U1186">
        <f>IF(COUNTIF($E1186, _xlfn.CONCAT("*",Table13[[#Headers],[Mystery]],"*")),1,0)</f>
        <v>0</v>
      </c>
      <c r="V1186">
        <f>IF(COUNTIF($E1186, _xlfn.CONCAT("*",Table13[[#Headers],[Romance]],"*")),1,0)</f>
        <v>0</v>
      </c>
      <c r="W1186">
        <f>IF(COUNTIF($E1186, _xlfn.CONCAT("*",Table13[[#Headers],[Science Fiction]],"*")),1,0)</f>
        <v>0</v>
      </c>
      <c r="X1186">
        <f>IF(COUNTIF($E1186, _xlfn.CONCAT("*",Table13[[#Headers],[TV Movie]],"*")),1,0)</f>
        <v>0</v>
      </c>
      <c r="Y1186">
        <f>IF(COUNTIF($E1186, _xlfn.CONCAT("*",Table13[[#Headers],[Thriller]],"*")),1,0)</f>
        <v>0</v>
      </c>
      <c r="Z1186">
        <f>IF(COUNTIF($E1186, _xlfn.CONCAT("*",Table13[[#Headers],[War]],"*")),1,0)</f>
        <v>1</v>
      </c>
      <c r="AA1186">
        <f>IF(COUNTIF($E1186, _xlfn.CONCAT("*",Table13[[#Headers],[Western]],"*")),1,0)</f>
        <v>0</v>
      </c>
    </row>
    <row r="1187" spans="1:27">
      <c r="A1187" t="s">
        <v>1076</v>
      </c>
      <c r="B1187">
        <v>52</v>
      </c>
      <c r="C1187">
        <f>MAX(Table13[Rank])-Table13[[#This Row],[Rank]]</f>
        <v>212</v>
      </c>
      <c r="D1187" t="s">
        <v>1022</v>
      </c>
      <c r="E1187" t="s">
        <v>687</v>
      </c>
      <c r="F1187" s="1">
        <v>11454</v>
      </c>
      <c r="G1187">
        <f>YEAR(Table13[[#This Row],[Date]])</f>
        <v>1931</v>
      </c>
      <c r="H1187" t="s">
        <v>351</v>
      </c>
      <c r="I1187">
        <f>IF(COUNTIF($E1187, _xlfn.CONCAT("*",Table13[[#Headers],[Action]],"*")),1,0)</f>
        <v>0</v>
      </c>
      <c r="J1187">
        <f>IF(COUNTIF($E1187, _xlfn.CONCAT("*",Table13[[#Headers],[Adventure]],"*")),1,0)</f>
        <v>0</v>
      </c>
      <c r="K1187">
        <f>IF(COUNTIF($E1187, _xlfn.CONCAT("*",Table13[[#Headers],[Animation]],"*")),1,0)</f>
        <v>0</v>
      </c>
      <c r="L1187">
        <f>IF(COUNTIF($E1187, _xlfn.CONCAT("*",Table13[[#Headers],[Comedy]],"*")),1,0)</f>
        <v>0</v>
      </c>
      <c r="M1187">
        <f>IF(COUNTIF($E1187, _xlfn.CONCAT("*",Table13[[#Headers],[Crime]],"*")),1,0)</f>
        <v>1</v>
      </c>
      <c r="N1187">
        <f>IF(COUNTIF($E1187, _xlfn.CONCAT("*",Table13[[#Headers],[Documentary]],"*")),1,0)</f>
        <v>0</v>
      </c>
      <c r="O1187">
        <f>IF(COUNTIF($E1187, _xlfn.CONCAT("*",Table13[[#Headers],[Drama]],"*")),1,0)</f>
        <v>1</v>
      </c>
      <c r="P1187">
        <f>IF(COUNTIF($E1187, _xlfn.CONCAT("*",Table13[[#Headers],[Family]],"*")),1,0)</f>
        <v>0</v>
      </c>
      <c r="Q1187">
        <f>IF(COUNTIF($E1187, _xlfn.CONCAT("*",Table13[[#Headers],[Fantasy]],"*")),1,0)</f>
        <v>0</v>
      </c>
      <c r="R1187">
        <f>IF(COUNTIF($E1187, _xlfn.CONCAT("*",Table13[[#Headers],[History]],"*")),1,0)</f>
        <v>0</v>
      </c>
      <c r="S1187">
        <f>IF(COUNTIF($E1187, _xlfn.CONCAT("*",Table13[[#Headers],[Horror]],"*")),1,0)</f>
        <v>0</v>
      </c>
      <c r="T1187">
        <f>IF(COUNTIF($E1187, _xlfn.CONCAT("*",Table13[[#Headers],[Music]],"*")),1,0)</f>
        <v>0</v>
      </c>
      <c r="U1187">
        <f>IF(COUNTIF($E1187, _xlfn.CONCAT("*",Table13[[#Headers],[Mystery]],"*")),1,0)</f>
        <v>0</v>
      </c>
      <c r="V1187">
        <f>IF(COUNTIF($E1187, _xlfn.CONCAT("*",Table13[[#Headers],[Romance]],"*")),1,0)</f>
        <v>0</v>
      </c>
      <c r="W1187">
        <f>IF(COUNTIF($E1187, _xlfn.CONCAT("*",Table13[[#Headers],[Science Fiction]],"*")),1,0)</f>
        <v>0</v>
      </c>
      <c r="X1187">
        <f>IF(COUNTIF($E1187, _xlfn.CONCAT("*",Table13[[#Headers],[TV Movie]],"*")),1,0)</f>
        <v>0</v>
      </c>
      <c r="Y1187">
        <f>IF(COUNTIF($E1187, _xlfn.CONCAT("*",Table13[[#Headers],[Thriller]],"*")),1,0)</f>
        <v>1</v>
      </c>
      <c r="Z1187">
        <f>IF(COUNTIF($E1187, _xlfn.CONCAT("*",Table13[[#Headers],[War]],"*")),1,0)</f>
        <v>0</v>
      </c>
      <c r="AA1187">
        <f>IF(COUNTIF($E1187, _xlfn.CONCAT("*",Table13[[#Headers],[Western]],"*")),1,0)</f>
        <v>0</v>
      </c>
    </row>
    <row r="1188" spans="1:27">
      <c r="A1188" t="s">
        <v>1077</v>
      </c>
      <c r="B1188">
        <v>53</v>
      </c>
      <c r="C1188">
        <f>MAX(Table13[Rank])-Table13[[#This Row],[Rank]]</f>
        <v>211</v>
      </c>
      <c r="D1188" t="s">
        <v>1022</v>
      </c>
      <c r="E1188" t="s">
        <v>328</v>
      </c>
      <c r="F1188" s="1">
        <v>30127</v>
      </c>
      <c r="G1188">
        <f>YEAR(Table13[[#This Row],[Date]])</f>
        <v>1982</v>
      </c>
      <c r="H1188" t="s">
        <v>327</v>
      </c>
      <c r="I1188">
        <f>IF(COUNTIF($E1188, _xlfn.CONCAT("*",Table13[[#Headers],[Action]],"*")),1,0)</f>
        <v>0</v>
      </c>
      <c r="J1188">
        <f>IF(COUNTIF($E1188, _xlfn.CONCAT("*",Table13[[#Headers],[Adventure]],"*")),1,0)</f>
        <v>0</v>
      </c>
      <c r="K1188">
        <f>IF(COUNTIF($E1188, _xlfn.CONCAT("*",Table13[[#Headers],[Animation]],"*")),1,0)</f>
        <v>0</v>
      </c>
      <c r="L1188">
        <f>IF(COUNTIF($E1188, _xlfn.CONCAT("*",Table13[[#Headers],[Comedy]],"*")),1,0)</f>
        <v>0</v>
      </c>
      <c r="M1188">
        <f>IF(COUNTIF($E1188, _xlfn.CONCAT("*",Table13[[#Headers],[Crime]],"*")),1,0)</f>
        <v>0</v>
      </c>
      <c r="N1188">
        <f>IF(COUNTIF($E1188, _xlfn.CONCAT("*",Table13[[#Headers],[Documentary]],"*")),1,0)</f>
        <v>0</v>
      </c>
      <c r="O1188">
        <f>IF(COUNTIF($E1188, _xlfn.CONCAT("*",Table13[[#Headers],[Drama]],"*")),1,0)</f>
        <v>1</v>
      </c>
      <c r="P1188">
        <f>IF(COUNTIF($E1188, _xlfn.CONCAT("*",Table13[[#Headers],[Family]],"*")),1,0)</f>
        <v>0</v>
      </c>
      <c r="Q1188">
        <f>IF(COUNTIF($E1188, _xlfn.CONCAT("*",Table13[[#Headers],[Fantasy]],"*")),1,0)</f>
        <v>0</v>
      </c>
      <c r="R1188">
        <f>IF(COUNTIF($E1188, _xlfn.CONCAT("*",Table13[[#Headers],[History]],"*")),1,0)</f>
        <v>0</v>
      </c>
      <c r="S1188">
        <f>IF(COUNTIF($E1188, _xlfn.CONCAT("*",Table13[[#Headers],[Horror]],"*")),1,0)</f>
        <v>0</v>
      </c>
      <c r="T1188">
        <f>IF(COUNTIF($E1188, _xlfn.CONCAT("*",Table13[[#Headers],[Music]],"*")),1,0)</f>
        <v>0</v>
      </c>
      <c r="U1188">
        <f>IF(COUNTIF($E1188, _xlfn.CONCAT("*",Table13[[#Headers],[Mystery]],"*")),1,0)</f>
        <v>0</v>
      </c>
      <c r="V1188">
        <f>IF(COUNTIF($E1188, _xlfn.CONCAT("*",Table13[[#Headers],[Romance]],"*")),1,0)</f>
        <v>0</v>
      </c>
      <c r="W1188">
        <f>IF(COUNTIF($E1188, _xlfn.CONCAT("*",Table13[[#Headers],[Science Fiction]],"*")),1,0)</f>
        <v>1</v>
      </c>
      <c r="X1188">
        <f>IF(COUNTIF($E1188, _xlfn.CONCAT("*",Table13[[#Headers],[TV Movie]],"*")),1,0)</f>
        <v>0</v>
      </c>
      <c r="Y1188">
        <f>IF(COUNTIF($E1188, _xlfn.CONCAT("*",Table13[[#Headers],[Thriller]],"*")),1,0)</f>
        <v>1</v>
      </c>
      <c r="Z1188">
        <f>IF(COUNTIF($E1188, _xlfn.CONCAT("*",Table13[[#Headers],[War]],"*")),1,0)</f>
        <v>0</v>
      </c>
      <c r="AA1188">
        <f>IF(COUNTIF($E1188, _xlfn.CONCAT("*",Table13[[#Headers],[Western]],"*")),1,0)</f>
        <v>0</v>
      </c>
    </row>
    <row r="1189" spans="1:27">
      <c r="A1189" t="s">
        <v>1078</v>
      </c>
      <c r="B1189">
        <v>54</v>
      </c>
      <c r="C1189">
        <f>MAX(Table13[Rank])-Table13[[#This Row],[Rank]]</f>
        <v>210</v>
      </c>
      <c r="D1189" t="s">
        <v>1022</v>
      </c>
      <c r="E1189" t="s">
        <v>35</v>
      </c>
      <c r="F1189" s="1">
        <v>26577</v>
      </c>
      <c r="G1189">
        <f>YEAR(Table13[[#This Row],[Date]])</f>
        <v>1972</v>
      </c>
      <c r="H1189" t="s">
        <v>1306</v>
      </c>
      <c r="I1189">
        <f>IF(COUNTIF($E1189, _xlfn.CONCAT("*",Table13[[#Headers],[Action]],"*")),1,0)</f>
        <v>0</v>
      </c>
      <c r="J1189">
        <f>IF(COUNTIF($E1189, _xlfn.CONCAT("*",Table13[[#Headers],[Adventure]],"*")),1,0)</f>
        <v>0</v>
      </c>
      <c r="K1189">
        <f>IF(COUNTIF($E1189, _xlfn.CONCAT("*",Table13[[#Headers],[Animation]],"*")),1,0)</f>
        <v>0</v>
      </c>
      <c r="L1189">
        <f>IF(COUNTIF($E1189, _xlfn.CONCAT("*",Table13[[#Headers],[Comedy]],"*")),1,0)</f>
        <v>0</v>
      </c>
      <c r="M1189">
        <f>IF(COUNTIF($E1189, _xlfn.CONCAT("*",Table13[[#Headers],[Crime]],"*")),1,0)</f>
        <v>0</v>
      </c>
      <c r="N1189">
        <f>IF(COUNTIF($E1189, _xlfn.CONCAT("*",Table13[[#Headers],[Documentary]],"*")),1,0)</f>
        <v>0</v>
      </c>
      <c r="O1189">
        <f>IF(COUNTIF($E1189, _xlfn.CONCAT("*",Table13[[#Headers],[Drama]],"*")),1,0)</f>
        <v>1</v>
      </c>
      <c r="P1189">
        <f>IF(COUNTIF($E1189, _xlfn.CONCAT("*",Table13[[#Headers],[Family]],"*")),1,0)</f>
        <v>0</v>
      </c>
      <c r="Q1189">
        <f>IF(COUNTIF($E1189, _xlfn.CONCAT("*",Table13[[#Headers],[Fantasy]],"*")),1,0)</f>
        <v>0</v>
      </c>
      <c r="R1189">
        <f>IF(COUNTIF($E1189, _xlfn.CONCAT("*",Table13[[#Headers],[History]],"*")),1,0)</f>
        <v>0</v>
      </c>
      <c r="S1189">
        <f>IF(COUNTIF($E1189, _xlfn.CONCAT("*",Table13[[#Headers],[Horror]],"*")),1,0)</f>
        <v>0</v>
      </c>
      <c r="T1189">
        <f>IF(COUNTIF($E1189, _xlfn.CONCAT("*",Table13[[#Headers],[Music]],"*")),1,0)</f>
        <v>0</v>
      </c>
      <c r="U1189">
        <f>IF(COUNTIF($E1189, _xlfn.CONCAT("*",Table13[[#Headers],[Mystery]],"*")),1,0)</f>
        <v>0</v>
      </c>
      <c r="V1189">
        <f>IF(COUNTIF($E1189, _xlfn.CONCAT("*",Table13[[#Headers],[Romance]],"*")),1,0)</f>
        <v>1</v>
      </c>
      <c r="W1189">
        <f>IF(COUNTIF($E1189, _xlfn.CONCAT("*",Table13[[#Headers],[Science Fiction]],"*")),1,0)</f>
        <v>0</v>
      </c>
      <c r="X1189">
        <f>IF(COUNTIF($E1189, _xlfn.CONCAT("*",Table13[[#Headers],[TV Movie]],"*")),1,0)</f>
        <v>0</v>
      </c>
      <c r="Y1189">
        <f>IF(COUNTIF($E1189, _xlfn.CONCAT("*",Table13[[#Headers],[Thriller]],"*")),1,0)</f>
        <v>0</v>
      </c>
      <c r="Z1189">
        <f>IF(COUNTIF($E1189, _xlfn.CONCAT("*",Table13[[#Headers],[War]],"*")),1,0)</f>
        <v>0</v>
      </c>
      <c r="AA1189">
        <f>IF(COUNTIF($E1189, _xlfn.CONCAT("*",Table13[[#Headers],[Western]],"*")),1,0)</f>
        <v>0</v>
      </c>
    </row>
    <row r="1190" spans="1:27">
      <c r="A1190" t="s">
        <v>1079</v>
      </c>
      <c r="B1190">
        <v>55</v>
      </c>
      <c r="C1190">
        <f>MAX(Table13[Rank])-Table13[[#This Row],[Rank]]</f>
        <v>209</v>
      </c>
      <c r="D1190" t="s">
        <v>1022</v>
      </c>
      <c r="E1190" t="s">
        <v>186</v>
      </c>
      <c r="F1190" s="1">
        <v>16718</v>
      </c>
      <c r="G1190">
        <f>YEAR(Table13[[#This Row],[Date]])</f>
        <v>1945</v>
      </c>
      <c r="H1190" t="s">
        <v>1307</v>
      </c>
      <c r="I1190">
        <f>IF(COUNTIF($E1190, _xlfn.CONCAT("*",Table13[[#Headers],[Action]],"*")),1,0)</f>
        <v>0</v>
      </c>
      <c r="J1190">
        <f>IF(COUNTIF($E1190, _xlfn.CONCAT("*",Table13[[#Headers],[Adventure]],"*")),1,0)</f>
        <v>0</v>
      </c>
      <c r="K1190">
        <f>IF(COUNTIF($E1190, _xlfn.CONCAT("*",Table13[[#Headers],[Animation]],"*")),1,0)</f>
        <v>0</v>
      </c>
      <c r="L1190">
        <f>IF(COUNTIF($E1190, _xlfn.CONCAT("*",Table13[[#Headers],[Comedy]],"*")),1,0)</f>
        <v>0</v>
      </c>
      <c r="M1190">
        <f>IF(COUNTIF($E1190, _xlfn.CONCAT("*",Table13[[#Headers],[Crime]],"*")),1,0)</f>
        <v>0</v>
      </c>
      <c r="N1190">
        <f>IF(COUNTIF($E1190, _xlfn.CONCAT("*",Table13[[#Headers],[Documentary]],"*")),1,0)</f>
        <v>0</v>
      </c>
      <c r="O1190">
        <f>IF(COUNTIF($E1190, _xlfn.CONCAT("*",Table13[[#Headers],[Drama]],"*")),1,0)</f>
        <v>1</v>
      </c>
      <c r="P1190">
        <f>IF(COUNTIF($E1190, _xlfn.CONCAT("*",Table13[[#Headers],[Family]],"*")),1,0)</f>
        <v>0</v>
      </c>
      <c r="Q1190">
        <f>IF(COUNTIF($E1190, _xlfn.CONCAT("*",Table13[[#Headers],[Fantasy]],"*")),1,0)</f>
        <v>0</v>
      </c>
      <c r="R1190">
        <f>IF(COUNTIF($E1190, _xlfn.CONCAT("*",Table13[[#Headers],[History]],"*")),1,0)</f>
        <v>1</v>
      </c>
      <c r="S1190">
        <f>IF(COUNTIF($E1190, _xlfn.CONCAT("*",Table13[[#Headers],[Horror]],"*")),1,0)</f>
        <v>0</v>
      </c>
      <c r="T1190">
        <f>IF(COUNTIF($E1190, _xlfn.CONCAT("*",Table13[[#Headers],[Music]],"*")),1,0)</f>
        <v>0</v>
      </c>
      <c r="U1190">
        <f>IF(COUNTIF($E1190, _xlfn.CONCAT("*",Table13[[#Headers],[Mystery]],"*")),1,0)</f>
        <v>0</v>
      </c>
      <c r="V1190">
        <f>IF(COUNTIF($E1190, _xlfn.CONCAT("*",Table13[[#Headers],[Romance]],"*")),1,0)</f>
        <v>0</v>
      </c>
      <c r="W1190">
        <f>IF(COUNTIF($E1190, _xlfn.CONCAT("*",Table13[[#Headers],[Science Fiction]],"*")),1,0)</f>
        <v>0</v>
      </c>
      <c r="X1190">
        <f>IF(COUNTIF($E1190, _xlfn.CONCAT("*",Table13[[#Headers],[TV Movie]],"*")),1,0)</f>
        <v>0</v>
      </c>
      <c r="Y1190">
        <f>IF(COUNTIF($E1190, _xlfn.CONCAT("*",Table13[[#Headers],[Thriller]],"*")),1,0)</f>
        <v>0</v>
      </c>
      <c r="Z1190">
        <f>IF(COUNTIF($E1190, _xlfn.CONCAT("*",Table13[[#Headers],[War]],"*")),1,0)</f>
        <v>1</v>
      </c>
      <c r="AA1190">
        <f>IF(COUNTIF($E1190, _xlfn.CONCAT("*",Table13[[#Headers],[Western]],"*")),1,0)</f>
        <v>0</v>
      </c>
    </row>
    <row r="1191" spans="1:27">
      <c r="A1191" t="s">
        <v>1080</v>
      </c>
      <c r="B1191">
        <v>56</v>
      </c>
      <c r="C1191">
        <f>MAX(Table13[Rank])-Table13[[#This Row],[Rank]]</f>
        <v>208</v>
      </c>
      <c r="D1191" t="s">
        <v>1022</v>
      </c>
      <c r="E1191" t="s">
        <v>154</v>
      </c>
      <c r="F1191" s="1">
        <v>8083</v>
      </c>
      <c r="G1191">
        <f>YEAR(Table13[[#This Row],[Date]])</f>
        <v>1922</v>
      </c>
      <c r="H1191" t="s">
        <v>106</v>
      </c>
      <c r="I1191">
        <f>IF(COUNTIF($E1191, _xlfn.CONCAT("*",Table13[[#Headers],[Action]],"*")),1,0)</f>
        <v>0</v>
      </c>
      <c r="J1191">
        <f>IF(COUNTIF($E1191, _xlfn.CONCAT("*",Table13[[#Headers],[Adventure]],"*")),1,0)</f>
        <v>0</v>
      </c>
      <c r="K1191">
        <f>IF(COUNTIF($E1191, _xlfn.CONCAT("*",Table13[[#Headers],[Animation]],"*")),1,0)</f>
        <v>0</v>
      </c>
      <c r="L1191">
        <f>IF(COUNTIF($E1191, _xlfn.CONCAT("*",Table13[[#Headers],[Comedy]],"*")),1,0)</f>
        <v>0</v>
      </c>
      <c r="M1191">
        <f>IF(COUNTIF($E1191, _xlfn.CONCAT("*",Table13[[#Headers],[Crime]],"*")),1,0)</f>
        <v>0</v>
      </c>
      <c r="N1191">
        <f>IF(COUNTIF($E1191, _xlfn.CONCAT("*",Table13[[#Headers],[Documentary]],"*")),1,0)</f>
        <v>0</v>
      </c>
      <c r="O1191">
        <f>IF(COUNTIF($E1191, _xlfn.CONCAT("*",Table13[[#Headers],[Drama]],"*")),1,0)</f>
        <v>0</v>
      </c>
      <c r="P1191">
        <f>IF(COUNTIF($E1191, _xlfn.CONCAT("*",Table13[[#Headers],[Family]],"*")),1,0)</f>
        <v>0</v>
      </c>
      <c r="Q1191">
        <f>IF(COUNTIF($E1191, _xlfn.CONCAT("*",Table13[[#Headers],[Fantasy]],"*")),1,0)</f>
        <v>1</v>
      </c>
      <c r="R1191">
        <f>IF(COUNTIF($E1191, _xlfn.CONCAT("*",Table13[[#Headers],[History]],"*")),1,0)</f>
        <v>0</v>
      </c>
      <c r="S1191">
        <f>IF(COUNTIF($E1191, _xlfn.CONCAT("*",Table13[[#Headers],[Horror]],"*")),1,0)</f>
        <v>1</v>
      </c>
      <c r="T1191">
        <f>IF(COUNTIF($E1191, _xlfn.CONCAT("*",Table13[[#Headers],[Music]],"*")),1,0)</f>
        <v>0</v>
      </c>
      <c r="U1191">
        <f>IF(COUNTIF($E1191, _xlfn.CONCAT("*",Table13[[#Headers],[Mystery]],"*")),1,0)</f>
        <v>0</v>
      </c>
      <c r="V1191">
        <f>IF(COUNTIF($E1191, _xlfn.CONCAT("*",Table13[[#Headers],[Romance]],"*")),1,0)</f>
        <v>0</v>
      </c>
      <c r="W1191">
        <f>IF(COUNTIF($E1191, _xlfn.CONCAT("*",Table13[[#Headers],[Science Fiction]],"*")),1,0)</f>
        <v>0</v>
      </c>
      <c r="X1191">
        <f>IF(COUNTIF($E1191, _xlfn.CONCAT("*",Table13[[#Headers],[TV Movie]],"*")),1,0)</f>
        <v>0</v>
      </c>
      <c r="Y1191">
        <f>IF(COUNTIF($E1191, _xlfn.CONCAT("*",Table13[[#Headers],[Thriller]],"*")),1,0)</f>
        <v>0</v>
      </c>
      <c r="Z1191">
        <f>IF(COUNTIF($E1191, _xlfn.CONCAT("*",Table13[[#Headers],[War]],"*")),1,0)</f>
        <v>0</v>
      </c>
      <c r="AA1191">
        <f>IF(COUNTIF($E1191, _xlfn.CONCAT("*",Table13[[#Headers],[Western]],"*")),1,0)</f>
        <v>0</v>
      </c>
    </row>
    <row r="1192" spans="1:27">
      <c r="A1192" t="s">
        <v>1081</v>
      </c>
      <c r="B1192">
        <v>57</v>
      </c>
      <c r="C1192">
        <f>MAX(Table13[Rank])-Table13[[#This Row],[Rank]]</f>
        <v>207</v>
      </c>
      <c r="D1192" t="s">
        <v>1022</v>
      </c>
      <c r="E1192" t="s">
        <v>44</v>
      </c>
      <c r="F1192" s="1">
        <v>29404</v>
      </c>
      <c r="G1192">
        <f>YEAR(Table13[[#This Row],[Date]])</f>
        <v>1980</v>
      </c>
      <c r="H1192" t="s">
        <v>747</v>
      </c>
      <c r="I1192">
        <f>IF(COUNTIF($E1192, _xlfn.CONCAT("*",Table13[[#Headers],[Action]],"*")),1,0)</f>
        <v>0</v>
      </c>
      <c r="J1192">
        <f>IF(COUNTIF($E1192, _xlfn.CONCAT("*",Table13[[#Headers],[Adventure]],"*")),1,0)</f>
        <v>0</v>
      </c>
      <c r="K1192">
        <f>IF(COUNTIF($E1192, _xlfn.CONCAT("*",Table13[[#Headers],[Animation]],"*")),1,0)</f>
        <v>0</v>
      </c>
      <c r="L1192">
        <f>IF(COUNTIF($E1192, _xlfn.CONCAT("*",Table13[[#Headers],[Comedy]],"*")),1,0)</f>
        <v>1</v>
      </c>
      <c r="M1192">
        <f>IF(COUNTIF($E1192, _xlfn.CONCAT("*",Table13[[#Headers],[Crime]],"*")),1,0)</f>
        <v>0</v>
      </c>
      <c r="N1192">
        <f>IF(COUNTIF($E1192, _xlfn.CONCAT("*",Table13[[#Headers],[Documentary]],"*")),1,0)</f>
        <v>0</v>
      </c>
      <c r="O1192">
        <f>IF(COUNTIF($E1192, _xlfn.CONCAT("*",Table13[[#Headers],[Drama]],"*")),1,0)</f>
        <v>0</v>
      </c>
      <c r="P1192">
        <f>IF(COUNTIF($E1192, _xlfn.CONCAT("*",Table13[[#Headers],[Family]],"*")),1,0)</f>
        <v>0</v>
      </c>
      <c r="Q1192">
        <f>IF(COUNTIF($E1192, _xlfn.CONCAT("*",Table13[[#Headers],[Fantasy]],"*")),1,0)</f>
        <v>0</v>
      </c>
      <c r="R1192">
        <f>IF(COUNTIF($E1192, _xlfn.CONCAT("*",Table13[[#Headers],[History]],"*")),1,0)</f>
        <v>0</v>
      </c>
      <c r="S1192">
        <f>IF(COUNTIF($E1192, _xlfn.CONCAT("*",Table13[[#Headers],[Horror]],"*")),1,0)</f>
        <v>0</v>
      </c>
      <c r="T1192">
        <f>IF(COUNTIF($E1192, _xlfn.CONCAT("*",Table13[[#Headers],[Music]],"*")),1,0)</f>
        <v>0</v>
      </c>
      <c r="U1192">
        <f>IF(COUNTIF($E1192, _xlfn.CONCAT("*",Table13[[#Headers],[Mystery]],"*")),1,0)</f>
        <v>0</v>
      </c>
      <c r="V1192">
        <f>IF(COUNTIF($E1192, _xlfn.CONCAT("*",Table13[[#Headers],[Romance]],"*")),1,0)</f>
        <v>0</v>
      </c>
      <c r="W1192">
        <f>IF(COUNTIF($E1192, _xlfn.CONCAT("*",Table13[[#Headers],[Science Fiction]],"*")),1,0)</f>
        <v>0</v>
      </c>
      <c r="X1192">
        <f>IF(COUNTIF($E1192, _xlfn.CONCAT("*",Table13[[#Headers],[TV Movie]],"*")),1,0)</f>
        <v>0</v>
      </c>
      <c r="Y1192">
        <f>IF(COUNTIF($E1192, _xlfn.CONCAT("*",Table13[[#Headers],[Thriller]],"*")),1,0)</f>
        <v>0</v>
      </c>
      <c r="Z1192">
        <f>IF(COUNTIF($E1192, _xlfn.CONCAT("*",Table13[[#Headers],[War]],"*")),1,0)</f>
        <v>0</v>
      </c>
      <c r="AA1192">
        <f>IF(COUNTIF($E1192, _xlfn.CONCAT("*",Table13[[#Headers],[Western]],"*")),1,0)</f>
        <v>0</v>
      </c>
    </row>
    <row r="1193" spans="1:27">
      <c r="A1193" t="s">
        <v>1082</v>
      </c>
      <c r="B1193">
        <v>58</v>
      </c>
      <c r="C1193">
        <f>MAX(Table13[Rank])-Table13[[#This Row],[Rank]]</f>
        <v>206</v>
      </c>
      <c r="D1193" t="s">
        <v>1022</v>
      </c>
      <c r="E1193" t="s">
        <v>147</v>
      </c>
      <c r="F1193" s="1">
        <v>41712</v>
      </c>
      <c r="G1193">
        <f>YEAR(Table13[[#This Row],[Date]])</f>
        <v>2014</v>
      </c>
      <c r="H1193" t="s">
        <v>146</v>
      </c>
      <c r="I1193">
        <f>IF(COUNTIF($E1193, _xlfn.CONCAT("*",Table13[[#Headers],[Action]],"*")),1,0)</f>
        <v>0</v>
      </c>
      <c r="J1193">
        <f>IF(COUNTIF($E1193, _xlfn.CONCAT("*",Table13[[#Headers],[Adventure]],"*")),1,0)</f>
        <v>0</v>
      </c>
      <c r="K1193">
        <f>IF(COUNTIF($E1193, _xlfn.CONCAT("*",Table13[[#Headers],[Animation]],"*")),1,0)</f>
        <v>0</v>
      </c>
      <c r="L1193">
        <f>IF(COUNTIF($E1193, _xlfn.CONCAT("*",Table13[[#Headers],[Comedy]],"*")),1,0)</f>
        <v>0</v>
      </c>
      <c r="M1193">
        <f>IF(COUNTIF($E1193, _xlfn.CONCAT("*",Table13[[#Headers],[Crime]],"*")),1,0)</f>
        <v>0</v>
      </c>
      <c r="N1193">
        <f>IF(COUNTIF($E1193, _xlfn.CONCAT("*",Table13[[#Headers],[Documentary]],"*")),1,0)</f>
        <v>0</v>
      </c>
      <c r="O1193">
        <f>IF(COUNTIF($E1193, _xlfn.CONCAT("*",Table13[[#Headers],[Drama]],"*")),1,0)</f>
        <v>1</v>
      </c>
      <c r="P1193">
        <f>IF(COUNTIF($E1193, _xlfn.CONCAT("*",Table13[[#Headers],[Family]],"*")),1,0)</f>
        <v>0</v>
      </c>
      <c r="Q1193">
        <f>IF(COUNTIF($E1193, _xlfn.CONCAT("*",Table13[[#Headers],[Fantasy]],"*")),1,0)</f>
        <v>0</v>
      </c>
      <c r="R1193">
        <f>IF(COUNTIF($E1193, _xlfn.CONCAT("*",Table13[[#Headers],[History]],"*")),1,0)</f>
        <v>0</v>
      </c>
      <c r="S1193">
        <f>IF(COUNTIF($E1193, _xlfn.CONCAT("*",Table13[[#Headers],[Horror]],"*")),1,0)</f>
        <v>0</v>
      </c>
      <c r="T1193">
        <f>IF(COUNTIF($E1193, _xlfn.CONCAT("*",Table13[[#Headers],[Music]],"*")),1,0)</f>
        <v>0</v>
      </c>
      <c r="U1193">
        <f>IF(COUNTIF($E1193, _xlfn.CONCAT("*",Table13[[#Headers],[Mystery]],"*")),1,0)</f>
        <v>0</v>
      </c>
      <c r="V1193">
        <f>IF(COUNTIF($E1193, _xlfn.CONCAT("*",Table13[[#Headers],[Romance]],"*")),1,0)</f>
        <v>0</v>
      </c>
      <c r="W1193">
        <f>IF(COUNTIF($E1193, _xlfn.CONCAT("*",Table13[[#Headers],[Science Fiction]],"*")),1,0)</f>
        <v>1</v>
      </c>
      <c r="X1193">
        <f>IF(COUNTIF($E1193, _xlfn.CONCAT("*",Table13[[#Headers],[TV Movie]],"*")),1,0)</f>
        <v>0</v>
      </c>
      <c r="Y1193">
        <f>IF(COUNTIF($E1193, _xlfn.CONCAT("*",Table13[[#Headers],[Thriller]],"*")),1,0)</f>
        <v>1</v>
      </c>
      <c r="Z1193">
        <f>IF(COUNTIF($E1193, _xlfn.CONCAT("*",Table13[[#Headers],[War]],"*")),1,0)</f>
        <v>0</v>
      </c>
      <c r="AA1193">
        <f>IF(COUNTIF($E1193, _xlfn.CONCAT("*",Table13[[#Headers],[Western]],"*")),1,0)</f>
        <v>0</v>
      </c>
    </row>
    <row r="1194" spans="1:27">
      <c r="A1194" t="s">
        <v>1083</v>
      </c>
      <c r="B1194">
        <v>59</v>
      </c>
      <c r="C1194">
        <f>MAX(Table13[Rank])-Table13[[#This Row],[Rank]]</f>
        <v>205</v>
      </c>
      <c r="D1194" t="s">
        <v>1022</v>
      </c>
      <c r="E1194" t="s">
        <v>111</v>
      </c>
      <c r="F1194" s="1">
        <v>42137</v>
      </c>
      <c r="G1194">
        <f>YEAR(Table13[[#This Row],[Date]])</f>
        <v>2015</v>
      </c>
      <c r="H1194" t="s">
        <v>110</v>
      </c>
      <c r="I1194">
        <f>IF(COUNTIF($E1194, _xlfn.CONCAT("*",Table13[[#Headers],[Action]],"*")),1,0)</f>
        <v>1</v>
      </c>
      <c r="J1194">
        <f>IF(COUNTIF($E1194, _xlfn.CONCAT("*",Table13[[#Headers],[Adventure]],"*")),1,0)</f>
        <v>1</v>
      </c>
      <c r="K1194">
        <f>IF(COUNTIF($E1194, _xlfn.CONCAT("*",Table13[[#Headers],[Animation]],"*")),1,0)</f>
        <v>0</v>
      </c>
      <c r="L1194">
        <f>IF(COUNTIF($E1194, _xlfn.CONCAT("*",Table13[[#Headers],[Comedy]],"*")),1,0)</f>
        <v>0</v>
      </c>
      <c r="M1194">
        <f>IF(COUNTIF($E1194, _xlfn.CONCAT("*",Table13[[#Headers],[Crime]],"*")),1,0)</f>
        <v>0</v>
      </c>
      <c r="N1194">
        <f>IF(COUNTIF($E1194, _xlfn.CONCAT("*",Table13[[#Headers],[Documentary]],"*")),1,0)</f>
        <v>0</v>
      </c>
      <c r="O1194">
        <f>IF(COUNTIF($E1194, _xlfn.CONCAT("*",Table13[[#Headers],[Drama]],"*")),1,0)</f>
        <v>0</v>
      </c>
      <c r="P1194">
        <f>IF(COUNTIF($E1194, _xlfn.CONCAT("*",Table13[[#Headers],[Family]],"*")),1,0)</f>
        <v>0</v>
      </c>
      <c r="Q1194">
        <f>IF(COUNTIF($E1194, _xlfn.CONCAT("*",Table13[[#Headers],[Fantasy]],"*")),1,0)</f>
        <v>0</v>
      </c>
      <c r="R1194">
        <f>IF(COUNTIF($E1194, _xlfn.CONCAT("*",Table13[[#Headers],[History]],"*")),1,0)</f>
        <v>0</v>
      </c>
      <c r="S1194">
        <f>IF(COUNTIF($E1194, _xlfn.CONCAT("*",Table13[[#Headers],[Horror]],"*")),1,0)</f>
        <v>0</v>
      </c>
      <c r="T1194">
        <f>IF(COUNTIF($E1194, _xlfn.CONCAT("*",Table13[[#Headers],[Music]],"*")),1,0)</f>
        <v>0</v>
      </c>
      <c r="U1194">
        <f>IF(COUNTIF($E1194, _xlfn.CONCAT("*",Table13[[#Headers],[Mystery]],"*")),1,0)</f>
        <v>0</v>
      </c>
      <c r="V1194">
        <f>IF(COUNTIF($E1194, _xlfn.CONCAT("*",Table13[[#Headers],[Romance]],"*")),1,0)</f>
        <v>0</v>
      </c>
      <c r="W1194">
        <f>IF(COUNTIF($E1194, _xlfn.CONCAT("*",Table13[[#Headers],[Science Fiction]],"*")),1,0)</f>
        <v>1</v>
      </c>
      <c r="X1194">
        <f>IF(COUNTIF($E1194, _xlfn.CONCAT("*",Table13[[#Headers],[TV Movie]],"*")),1,0)</f>
        <v>0</v>
      </c>
      <c r="Y1194">
        <f>IF(COUNTIF($E1194, _xlfn.CONCAT("*",Table13[[#Headers],[Thriller]],"*")),1,0)</f>
        <v>0</v>
      </c>
      <c r="Z1194">
        <f>IF(COUNTIF($E1194, _xlfn.CONCAT("*",Table13[[#Headers],[War]],"*")),1,0)</f>
        <v>0</v>
      </c>
      <c r="AA1194">
        <f>IF(COUNTIF($E1194, _xlfn.CONCAT("*",Table13[[#Headers],[Western]],"*")),1,0)</f>
        <v>0</v>
      </c>
    </row>
    <row r="1195" spans="1:27">
      <c r="A1195" t="s">
        <v>1084</v>
      </c>
      <c r="B1195">
        <v>60</v>
      </c>
      <c r="C1195">
        <f>MAX(Table13[Rank])-Table13[[#This Row],[Rank]]</f>
        <v>204</v>
      </c>
      <c r="D1195" t="s">
        <v>1022</v>
      </c>
      <c r="E1195" t="s">
        <v>81</v>
      </c>
      <c r="F1195" s="1">
        <v>29082</v>
      </c>
      <c r="G1195">
        <f>YEAR(Table13[[#This Row],[Date]])</f>
        <v>1979</v>
      </c>
      <c r="H1195" t="s">
        <v>376</v>
      </c>
      <c r="I1195">
        <f>IF(COUNTIF($E1195, _xlfn.CONCAT("*",Table13[[#Headers],[Action]],"*")),1,0)</f>
        <v>0</v>
      </c>
      <c r="J1195">
        <f>IF(COUNTIF($E1195, _xlfn.CONCAT("*",Table13[[#Headers],[Adventure]],"*")),1,0)</f>
        <v>0</v>
      </c>
      <c r="K1195">
        <f>IF(COUNTIF($E1195, _xlfn.CONCAT("*",Table13[[#Headers],[Animation]],"*")),1,0)</f>
        <v>0</v>
      </c>
      <c r="L1195">
        <f>IF(COUNTIF($E1195, _xlfn.CONCAT("*",Table13[[#Headers],[Comedy]],"*")),1,0)</f>
        <v>0</v>
      </c>
      <c r="M1195">
        <f>IF(COUNTIF($E1195, _xlfn.CONCAT("*",Table13[[#Headers],[Crime]],"*")),1,0)</f>
        <v>0</v>
      </c>
      <c r="N1195">
        <f>IF(COUNTIF($E1195, _xlfn.CONCAT("*",Table13[[#Headers],[Documentary]],"*")),1,0)</f>
        <v>0</v>
      </c>
      <c r="O1195">
        <f>IF(COUNTIF($E1195, _xlfn.CONCAT("*",Table13[[#Headers],[Drama]],"*")),1,0)</f>
        <v>1</v>
      </c>
      <c r="P1195">
        <f>IF(COUNTIF($E1195, _xlfn.CONCAT("*",Table13[[#Headers],[Family]],"*")),1,0)</f>
        <v>0</v>
      </c>
      <c r="Q1195">
        <f>IF(COUNTIF($E1195, _xlfn.CONCAT("*",Table13[[#Headers],[Fantasy]],"*")),1,0)</f>
        <v>0</v>
      </c>
      <c r="R1195">
        <f>IF(COUNTIF($E1195, _xlfn.CONCAT("*",Table13[[#Headers],[History]],"*")),1,0)</f>
        <v>0</v>
      </c>
      <c r="S1195">
        <f>IF(COUNTIF($E1195, _xlfn.CONCAT("*",Table13[[#Headers],[Horror]],"*")),1,0)</f>
        <v>0</v>
      </c>
      <c r="T1195">
        <f>IF(COUNTIF($E1195, _xlfn.CONCAT("*",Table13[[#Headers],[Music]],"*")),1,0)</f>
        <v>0</v>
      </c>
      <c r="U1195">
        <f>IF(COUNTIF($E1195, _xlfn.CONCAT("*",Table13[[#Headers],[Mystery]],"*")),1,0)</f>
        <v>0</v>
      </c>
      <c r="V1195">
        <f>IF(COUNTIF($E1195, _xlfn.CONCAT("*",Table13[[#Headers],[Romance]],"*")),1,0)</f>
        <v>0</v>
      </c>
      <c r="W1195">
        <f>IF(COUNTIF($E1195, _xlfn.CONCAT("*",Table13[[#Headers],[Science Fiction]],"*")),1,0)</f>
        <v>0</v>
      </c>
      <c r="X1195">
        <f>IF(COUNTIF($E1195, _xlfn.CONCAT("*",Table13[[#Headers],[TV Movie]],"*")),1,0)</f>
        <v>0</v>
      </c>
      <c r="Y1195">
        <f>IF(COUNTIF($E1195, _xlfn.CONCAT("*",Table13[[#Headers],[Thriller]],"*")),1,0)</f>
        <v>0</v>
      </c>
      <c r="Z1195">
        <f>IF(COUNTIF($E1195, _xlfn.CONCAT("*",Table13[[#Headers],[War]],"*")),1,0)</f>
        <v>1</v>
      </c>
      <c r="AA1195">
        <f>IF(COUNTIF($E1195, _xlfn.CONCAT("*",Table13[[#Headers],[Western]],"*")),1,0)</f>
        <v>0</v>
      </c>
    </row>
    <row r="1196" spans="1:27">
      <c r="A1196" t="s">
        <v>1085</v>
      </c>
      <c r="B1196">
        <v>61</v>
      </c>
      <c r="C1196">
        <f>MAX(Table13[Rank])-Table13[[#This Row],[Rank]]</f>
        <v>203</v>
      </c>
      <c r="D1196" t="s">
        <v>1022</v>
      </c>
      <c r="E1196" t="s">
        <v>35</v>
      </c>
      <c r="F1196" s="1">
        <v>38605</v>
      </c>
      <c r="G1196">
        <f>YEAR(Table13[[#This Row],[Date]])</f>
        <v>2005</v>
      </c>
      <c r="H1196" t="s">
        <v>463</v>
      </c>
      <c r="I1196">
        <f>IF(COUNTIF($E1196, _xlfn.CONCAT("*",Table13[[#Headers],[Action]],"*")),1,0)</f>
        <v>0</v>
      </c>
      <c r="J1196">
        <f>IF(COUNTIF($E1196, _xlfn.CONCAT("*",Table13[[#Headers],[Adventure]],"*")),1,0)</f>
        <v>0</v>
      </c>
      <c r="K1196">
        <f>IF(COUNTIF($E1196, _xlfn.CONCAT("*",Table13[[#Headers],[Animation]],"*")),1,0)</f>
        <v>0</v>
      </c>
      <c r="L1196">
        <f>IF(COUNTIF($E1196, _xlfn.CONCAT("*",Table13[[#Headers],[Comedy]],"*")),1,0)</f>
        <v>0</v>
      </c>
      <c r="M1196">
        <f>IF(COUNTIF($E1196, _xlfn.CONCAT("*",Table13[[#Headers],[Crime]],"*")),1,0)</f>
        <v>0</v>
      </c>
      <c r="N1196">
        <f>IF(COUNTIF($E1196, _xlfn.CONCAT("*",Table13[[#Headers],[Documentary]],"*")),1,0)</f>
        <v>0</v>
      </c>
      <c r="O1196">
        <f>IF(COUNTIF($E1196, _xlfn.CONCAT("*",Table13[[#Headers],[Drama]],"*")),1,0)</f>
        <v>1</v>
      </c>
      <c r="P1196">
        <f>IF(COUNTIF($E1196, _xlfn.CONCAT("*",Table13[[#Headers],[Family]],"*")),1,0)</f>
        <v>0</v>
      </c>
      <c r="Q1196">
        <f>IF(COUNTIF($E1196, _xlfn.CONCAT("*",Table13[[#Headers],[Fantasy]],"*")),1,0)</f>
        <v>0</v>
      </c>
      <c r="R1196">
        <f>IF(COUNTIF($E1196, _xlfn.CONCAT("*",Table13[[#Headers],[History]],"*")),1,0)</f>
        <v>0</v>
      </c>
      <c r="S1196">
        <f>IF(COUNTIF($E1196, _xlfn.CONCAT("*",Table13[[#Headers],[Horror]],"*")),1,0)</f>
        <v>0</v>
      </c>
      <c r="T1196">
        <f>IF(COUNTIF($E1196, _xlfn.CONCAT("*",Table13[[#Headers],[Music]],"*")),1,0)</f>
        <v>0</v>
      </c>
      <c r="U1196">
        <f>IF(COUNTIF($E1196, _xlfn.CONCAT("*",Table13[[#Headers],[Mystery]],"*")),1,0)</f>
        <v>0</v>
      </c>
      <c r="V1196">
        <f>IF(COUNTIF($E1196, _xlfn.CONCAT("*",Table13[[#Headers],[Romance]],"*")),1,0)</f>
        <v>1</v>
      </c>
      <c r="W1196">
        <f>IF(COUNTIF($E1196, _xlfn.CONCAT("*",Table13[[#Headers],[Science Fiction]],"*")),1,0)</f>
        <v>0</v>
      </c>
      <c r="X1196">
        <f>IF(COUNTIF($E1196, _xlfn.CONCAT("*",Table13[[#Headers],[TV Movie]],"*")),1,0)</f>
        <v>0</v>
      </c>
      <c r="Y1196">
        <f>IF(COUNTIF($E1196, _xlfn.CONCAT("*",Table13[[#Headers],[Thriller]],"*")),1,0)</f>
        <v>0</v>
      </c>
      <c r="Z1196">
        <f>IF(COUNTIF($E1196, _xlfn.CONCAT("*",Table13[[#Headers],[War]],"*")),1,0)</f>
        <v>0</v>
      </c>
      <c r="AA1196">
        <f>IF(COUNTIF($E1196, _xlfn.CONCAT("*",Table13[[#Headers],[Western]],"*")),1,0)</f>
        <v>0</v>
      </c>
    </row>
    <row r="1197" spans="1:27">
      <c r="A1197" t="s">
        <v>1086</v>
      </c>
      <c r="B1197">
        <v>62</v>
      </c>
      <c r="C1197">
        <f>MAX(Table13[Rank])-Table13[[#This Row],[Rank]]</f>
        <v>202</v>
      </c>
      <c r="D1197" t="s">
        <v>1022</v>
      </c>
      <c r="E1197" t="s">
        <v>73</v>
      </c>
      <c r="F1197" s="1">
        <v>12370</v>
      </c>
      <c r="G1197">
        <f>YEAR(Table13[[#This Row],[Date]])</f>
        <v>1933</v>
      </c>
      <c r="H1197" t="s">
        <v>72</v>
      </c>
      <c r="I1197">
        <f>IF(COUNTIF($E1197, _xlfn.CONCAT("*",Table13[[#Headers],[Action]],"*")),1,0)</f>
        <v>0</v>
      </c>
      <c r="J1197">
        <f>IF(COUNTIF($E1197, _xlfn.CONCAT("*",Table13[[#Headers],[Adventure]],"*")),1,0)</f>
        <v>0</v>
      </c>
      <c r="K1197">
        <f>IF(COUNTIF($E1197, _xlfn.CONCAT("*",Table13[[#Headers],[Animation]],"*")),1,0)</f>
        <v>0</v>
      </c>
      <c r="L1197">
        <f>IF(COUNTIF($E1197, _xlfn.CONCAT("*",Table13[[#Headers],[Comedy]],"*")),1,0)</f>
        <v>1</v>
      </c>
      <c r="M1197">
        <f>IF(COUNTIF($E1197, _xlfn.CONCAT("*",Table13[[#Headers],[Crime]],"*")),1,0)</f>
        <v>0</v>
      </c>
      <c r="N1197">
        <f>IF(COUNTIF($E1197, _xlfn.CONCAT("*",Table13[[#Headers],[Documentary]],"*")),1,0)</f>
        <v>0</v>
      </c>
      <c r="O1197">
        <f>IF(COUNTIF($E1197, _xlfn.CONCAT("*",Table13[[#Headers],[Drama]],"*")),1,0)</f>
        <v>0</v>
      </c>
      <c r="P1197">
        <f>IF(COUNTIF($E1197, _xlfn.CONCAT("*",Table13[[#Headers],[Family]],"*")),1,0)</f>
        <v>0</v>
      </c>
      <c r="Q1197">
        <f>IF(COUNTIF($E1197, _xlfn.CONCAT("*",Table13[[#Headers],[Fantasy]],"*")),1,0)</f>
        <v>0</v>
      </c>
      <c r="R1197">
        <f>IF(COUNTIF($E1197, _xlfn.CONCAT("*",Table13[[#Headers],[History]],"*")),1,0)</f>
        <v>0</v>
      </c>
      <c r="S1197">
        <f>IF(COUNTIF($E1197, _xlfn.CONCAT("*",Table13[[#Headers],[Horror]],"*")),1,0)</f>
        <v>0</v>
      </c>
      <c r="T1197">
        <f>IF(COUNTIF($E1197, _xlfn.CONCAT("*",Table13[[#Headers],[Music]],"*")),1,0)</f>
        <v>0</v>
      </c>
      <c r="U1197">
        <f>IF(COUNTIF($E1197, _xlfn.CONCAT("*",Table13[[#Headers],[Mystery]],"*")),1,0)</f>
        <v>0</v>
      </c>
      <c r="V1197">
        <f>IF(COUNTIF($E1197, _xlfn.CONCAT("*",Table13[[#Headers],[Romance]],"*")),1,0)</f>
        <v>0</v>
      </c>
      <c r="W1197">
        <f>IF(COUNTIF($E1197, _xlfn.CONCAT("*",Table13[[#Headers],[Science Fiction]],"*")),1,0)</f>
        <v>0</v>
      </c>
      <c r="X1197">
        <f>IF(COUNTIF($E1197, _xlfn.CONCAT("*",Table13[[#Headers],[TV Movie]],"*")),1,0)</f>
        <v>0</v>
      </c>
      <c r="Y1197">
        <f>IF(COUNTIF($E1197, _xlfn.CONCAT("*",Table13[[#Headers],[Thriller]],"*")),1,0)</f>
        <v>0</v>
      </c>
      <c r="Z1197">
        <f>IF(COUNTIF($E1197, _xlfn.CONCAT("*",Table13[[#Headers],[War]],"*")),1,0)</f>
        <v>1</v>
      </c>
      <c r="AA1197">
        <f>IF(COUNTIF($E1197, _xlfn.CONCAT("*",Table13[[#Headers],[Western]],"*")),1,0)</f>
        <v>0</v>
      </c>
    </row>
    <row r="1198" spans="1:27">
      <c r="A1198" t="s">
        <v>1087</v>
      </c>
      <c r="B1198">
        <v>63</v>
      </c>
      <c r="C1198">
        <f>MAX(Table13[Rank])-Table13[[#This Row],[Rank]]</f>
        <v>201</v>
      </c>
      <c r="D1198" t="s">
        <v>1022</v>
      </c>
      <c r="E1198" t="s">
        <v>1088</v>
      </c>
      <c r="F1198" s="1">
        <v>36355</v>
      </c>
      <c r="G1198">
        <f>YEAR(Table13[[#This Row],[Date]])</f>
        <v>1999</v>
      </c>
      <c r="H1198" t="s">
        <v>1089</v>
      </c>
      <c r="I1198">
        <f>IF(COUNTIF($E1198, _xlfn.CONCAT("*",Table13[[#Headers],[Action]],"*")),1,0)</f>
        <v>0</v>
      </c>
      <c r="J1198">
        <f>IF(COUNTIF($E1198, _xlfn.CONCAT("*",Table13[[#Headers],[Adventure]],"*")),1,0)</f>
        <v>0</v>
      </c>
      <c r="K1198">
        <f>IF(COUNTIF($E1198, _xlfn.CONCAT("*",Table13[[#Headers],[Animation]],"*")),1,0)</f>
        <v>0</v>
      </c>
      <c r="L1198">
        <f>IF(COUNTIF($E1198, _xlfn.CONCAT("*",Table13[[#Headers],[Comedy]],"*")),1,0)</f>
        <v>0</v>
      </c>
      <c r="M1198">
        <f>IF(COUNTIF($E1198, _xlfn.CONCAT("*",Table13[[#Headers],[Crime]],"*")),1,0)</f>
        <v>0</v>
      </c>
      <c r="N1198">
        <f>IF(COUNTIF($E1198, _xlfn.CONCAT("*",Table13[[#Headers],[Documentary]],"*")),1,0)</f>
        <v>0</v>
      </c>
      <c r="O1198">
        <f>IF(COUNTIF($E1198, _xlfn.CONCAT("*",Table13[[#Headers],[Drama]],"*")),1,0)</f>
        <v>0</v>
      </c>
      <c r="P1198">
        <f>IF(COUNTIF($E1198, _xlfn.CONCAT("*",Table13[[#Headers],[Family]],"*")),1,0)</f>
        <v>0</v>
      </c>
      <c r="Q1198">
        <f>IF(COUNTIF($E1198, _xlfn.CONCAT("*",Table13[[#Headers],[Fantasy]],"*")),1,0)</f>
        <v>0</v>
      </c>
      <c r="R1198">
        <f>IF(COUNTIF($E1198, _xlfn.CONCAT("*",Table13[[#Headers],[History]],"*")),1,0)</f>
        <v>0</v>
      </c>
      <c r="S1198">
        <f>IF(COUNTIF($E1198, _xlfn.CONCAT("*",Table13[[#Headers],[Horror]],"*")),1,0)</f>
        <v>1</v>
      </c>
      <c r="T1198">
        <f>IF(COUNTIF($E1198, _xlfn.CONCAT("*",Table13[[#Headers],[Music]],"*")),1,0)</f>
        <v>0</v>
      </c>
      <c r="U1198">
        <f>IF(COUNTIF($E1198, _xlfn.CONCAT("*",Table13[[#Headers],[Mystery]],"*")),1,0)</f>
        <v>1</v>
      </c>
      <c r="V1198">
        <f>IF(COUNTIF($E1198, _xlfn.CONCAT("*",Table13[[#Headers],[Romance]],"*")),1,0)</f>
        <v>0</v>
      </c>
      <c r="W1198">
        <f>IF(COUNTIF($E1198, _xlfn.CONCAT("*",Table13[[#Headers],[Science Fiction]],"*")),1,0)</f>
        <v>0</v>
      </c>
      <c r="X1198">
        <f>IF(COUNTIF($E1198, _xlfn.CONCAT("*",Table13[[#Headers],[TV Movie]],"*")),1,0)</f>
        <v>0</v>
      </c>
      <c r="Y1198">
        <f>IF(COUNTIF($E1198, _xlfn.CONCAT("*",Table13[[#Headers],[Thriller]],"*")),1,0)</f>
        <v>0</v>
      </c>
      <c r="Z1198">
        <f>IF(COUNTIF($E1198, _xlfn.CONCAT("*",Table13[[#Headers],[War]],"*")),1,0)</f>
        <v>0</v>
      </c>
      <c r="AA1198">
        <f>IF(COUNTIF($E1198, _xlfn.CONCAT("*",Table13[[#Headers],[Western]],"*")),1,0)</f>
        <v>0</v>
      </c>
    </row>
    <row r="1199" spans="1:27">
      <c r="A1199" t="s">
        <v>1090</v>
      </c>
      <c r="B1199">
        <v>64</v>
      </c>
      <c r="C1199">
        <f>MAX(Table13[Rank])-Table13[[#This Row],[Rank]]</f>
        <v>200</v>
      </c>
      <c r="D1199" t="s">
        <v>1022</v>
      </c>
      <c r="E1199" t="s">
        <v>764</v>
      </c>
      <c r="F1199" s="1">
        <v>27859</v>
      </c>
      <c r="G1199">
        <f>YEAR(Table13[[#This Row],[Date]])</f>
        <v>1976</v>
      </c>
      <c r="H1199" t="s">
        <v>763</v>
      </c>
      <c r="I1199">
        <f>IF(COUNTIF($E1199, _xlfn.CONCAT("*",Table13[[#Headers],[Action]],"*")),1,0)</f>
        <v>0</v>
      </c>
      <c r="J1199">
        <f>IF(COUNTIF($E1199, _xlfn.CONCAT("*",Table13[[#Headers],[Adventure]],"*")),1,0)</f>
        <v>0</v>
      </c>
      <c r="K1199">
        <f>IF(COUNTIF($E1199, _xlfn.CONCAT("*",Table13[[#Headers],[Animation]],"*")),1,0)</f>
        <v>0</v>
      </c>
      <c r="L1199">
        <f>IF(COUNTIF($E1199, _xlfn.CONCAT("*",Table13[[#Headers],[Comedy]],"*")),1,0)</f>
        <v>0</v>
      </c>
      <c r="M1199">
        <f>IF(COUNTIF($E1199, _xlfn.CONCAT("*",Table13[[#Headers],[Crime]],"*")),1,0)</f>
        <v>0</v>
      </c>
      <c r="N1199">
        <f>IF(COUNTIF($E1199, _xlfn.CONCAT("*",Table13[[#Headers],[Documentary]],"*")),1,0)</f>
        <v>0</v>
      </c>
      <c r="O1199">
        <f>IF(COUNTIF($E1199, _xlfn.CONCAT("*",Table13[[#Headers],[Drama]],"*")),1,0)</f>
        <v>1</v>
      </c>
      <c r="P1199">
        <f>IF(COUNTIF($E1199, _xlfn.CONCAT("*",Table13[[#Headers],[Family]],"*")),1,0)</f>
        <v>0</v>
      </c>
      <c r="Q1199">
        <f>IF(COUNTIF($E1199, _xlfn.CONCAT("*",Table13[[#Headers],[Fantasy]],"*")),1,0)</f>
        <v>0</v>
      </c>
      <c r="R1199">
        <f>IF(COUNTIF($E1199, _xlfn.CONCAT("*",Table13[[#Headers],[History]],"*")),1,0)</f>
        <v>1</v>
      </c>
      <c r="S1199">
        <f>IF(COUNTIF($E1199, _xlfn.CONCAT("*",Table13[[#Headers],[Horror]],"*")),1,0)</f>
        <v>0</v>
      </c>
      <c r="T1199">
        <f>IF(COUNTIF($E1199, _xlfn.CONCAT("*",Table13[[#Headers],[Music]],"*")),1,0)</f>
        <v>0</v>
      </c>
      <c r="U1199">
        <f>IF(COUNTIF($E1199, _xlfn.CONCAT("*",Table13[[#Headers],[Mystery]],"*")),1,0)</f>
        <v>1</v>
      </c>
      <c r="V1199">
        <f>IF(COUNTIF($E1199, _xlfn.CONCAT("*",Table13[[#Headers],[Romance]],"*")),1,0)</f>
        <v>0</v>
      </c>
      <c r="W1199">
        <f>IF(COUNTIF($E1199, _xlfn.CONCAT("*",Table13[[#Headers],[Science Fiction]],"*")),1,0)</f>
        <v>0</v>
      </c>
      <c r="X1199">
        <f>IF(COUNTIF($E1199, _xlfn.CONCAT("*",Table13[[#Headers],[TV Movie]],"*")),1,0)</f>
        <v>0</v>
      </c>
      <c r="Y1199">
        <f>IF(COUNTIF($E1199, _xlfn.CONCAT("*",Table13[[#Headers],[Thriller]],"*")),1,0)</f>
        <v>1</v>
      </c>
      <c r="Z1199">
        <f>IF(COUNTIF($E1199, _xlfn.CONCAT("*",Table13[[#Headers],[War]],"*")),1,0)</f>
        <v>0</v>
      </c>
      <c r="AA1199">
        <f>IF(COUNTIF($E1199, _xlfn.CONCAT("*",Table13[[#Headers],[Western]],"*")),1,0)</f>
        <v>0</v>
      </c>
    </row>
    <row r="1200" spans="1:27">
      <c r="A1200" t="s">
        <v>1091</v>
      </c>
      <c r="B1200">
        <v>65</v>
      </c>
      <c r="C1200">
        <f>MAX(Table13[Rank])-Table13[[#This Row],[Rank]]</f>
        <v>199</v>
      </c>
      <c r="D1200" t="s">
        <v>1022</v>
      </c>
      <c r="E1200" t="s">
        <v>180</v>
      </c>
      <c r="F1200" t="s">
        <v>180</v>
      </c>
      <c r="G1200" t="e">
        <f>YEAR(Table13[[#This Row],[Date]])</f>
        <v>#VALUE!</v>
      </c>
      <c r="H1200" t="s">
        <v>180</v>
      </c>
      <c r="I1200">
        <f>IF(COUNTIF($E1200, _xlfn.CONCAT("*",Table13[[#Headers],[Action]],"*")),1,0)</f>
        <v>0</v>
      </c>
      <c r="J1200">
        <f>IF(COUNTIF($E1200, _xlfn.CONCAT("*",Table13[[#Headers],[Adventure]],"*")),1,0)</f>
        <v>0</v>
      </c>
      <c r="K1200">
        <f>IF(COUNTIF($E1200, _xlfn.CONCAT("*",Table13[[#Headers],[Animation]],"*")),1,0)</f>
        <v>0</v>
      </c>
      <c r="L1200">
        <f>IF(COUNTIF($E1200, _xlfn.CONCAT("*",Table13[[#Headers],[Comedy]],"*")),1,0)</f>
        <v>0</v>
      </c>
      <c r="M1200">
        <f>IF(COUNTIF($E1200, _xlfn.CONCAT("*",Table13[[#Headers],[Crime]],"*")),1,0)</f>
        <v>0</v>
      </c>
      <c r="N1200">
        <f>IF(COUNTIF($E1200, _xlfn.CONCAT("*",Table13[[#Headers],[Documentary]],"*")),1,0)</f>
        <v>0</v>
      </c>
      <c r="O1200">
        <f>IF(COUNTIF($E1200, _xlfn.CONCAT("*",Table13[[#Headers],[Drama]],"*")),1,0)</f>
        <v>0</v>
      </c>
      <c r="P1200">
        <f>IF(COUNTIF($E1200, _xlfn.CONCAT("*",Table13[[#Headers],[Family]],"*")),1,0)</f>
        <v>0</v>
      </c>
      <c r="Q1200">
        <f>IF(COUNTIF($E1200, _xlfn.CONCAT("*",Table13[[#Headers],[Fantasy]],"*")),1,0)</f>
        <v>0</v>
      </c>
      <c r="R1200">
        <f>IF(COUNTIF($E1200, _xlfn.CONCAT("*",Table13[[#Headers],[History]],"*")),1,0)</f>
        <v>0</v>
      </c>
      <c r="S1200">
        <f>IF(COUNTIF($E1200, _xlfn.CONCAT("*",Table13[[#Headers],[Horror]],"*")),1,0)</f>
        <v>0</v>
      </c>
      <c r="T1200">
        <f>IF(COUNTIF($E1200, _xlfn.CONCAT("*",Table13[[#Headers],[Music]],"*")),1,0)</f>
        <v>0</v>
      </c>
      <c r="U1200">
        <f>IF(COUNTIF($E1200, _xlfn.CONCAT("*",Table13[[#Headers],[Mystery]],"*")),1,0)</f>
        <v>0</v>
      </c>
      <c r="V1200">
        <f>IF(COUNTIF($E1200, _xlfn.CONCAT("*",Table13[[#Headers],[Romance]],"*")),1,0)</f>
        <v>0</v>
      </c>
      <c r="W1200">
        <f>IF(COUNTIF($E1200, _xlfn.CONCAT("*",Table13[[#Headers],[Science Fiction]],"*")),1,0)</f>
        <v>0</v>
      </c>
      <c r="X1200">
        <f>IF(COUNTIF($E1200, _xlfn.CONCAT("*",Table13[[#Headers],[TV Movie]],"*")),1,0)</f>
        <v>0</v>
      </c>
      <c r="Y1200">
        <f>IF(COUNTIF($E1200, _xlfn.CONCAT("*",Table13[[#Headers],[Thriller]],"*")),1,0)</f>
        <v>0</v>
      </c>
      <c r="Z1200">
        <f>IF(COUNTIF($E1200, _xlfn.CONCAT("*",Table13[[#Headers],[War]],"*")),1,0)</f>
        <v>0</v>
      </c>
      <c r="AA1200">
        <f>IF(COUNTIF($E1200, _xlfn.CONCAT("*",Table13[[#Headers],[Western]],"*")),1,0)</f>
        <v>0</v>
      </c>
    </row>
    <row r="1201" spans="1:27">
      <c r="A1201" t="s">
        <v>1092</v>
      </c>
      <c r="B1201">
        <v>66</v>
      </c>
      <c r="C1201">
        <f>MAX(Table13[Rank])-Table13[[#This Row],[Rank]]</f>
        <v>198</v>
      </c>
      <c r="D1201" t="s">
        <v>1022</v>
      </c>
      <c r="E1201" t="s">
        <v>141</v>
      </c>
      <c r="F1201" s="1">
        <v>24485</v>
      </c>
      <c r="G1201">
        <f>YEAR(Table13[[#This Row],[Date]])</f>
        <v>1967</v>
      </c>
      <c r="H1201" t="s">
        <v>1308</v>
      </c>
      <c r="I1201">
        <f>IF(COUNTIF($E1201, _xlfn.CONCAT("*",Table13[[#Headers],[Action]],"*")),1,0)</f>
        <v>0</v>
      </c>
      <c r="J1201">
        <f>IF(COUNTIF($E1201, _xlfn.CONCAT("*",Table13[[#Headers],[Adventure]],"*")),1,0)</f>
        <v>0</v>
      </c>
      <c r="K1201">
        <f>IF(COUNTIF($E1201, _xlfn.CONCAT("*",Table13[[#Headers],[Animation]],"*")),1,0)</f>
        <v>0</v>
      </c>
      <c r="L1201">
        <f>IF(COUNTIF($E1201, _xlfn.CONCAT("*",Table13[[#Headers],[Comedy]],"*")),1,0)</f>
        <v>0</v>
      </c>
      <c r="M1201">
        <f>IF(COUNTIF($E1201, _xlfn.CONCAT("*",Table13[[#Headers],[Crime]],"*")),1,0)</f>
        <v>0</v>
      </c>
      <c r="N1201">
        <f>IF(COUNTIF($E1201, _xlfn.CONCAT("*",Table13[[#Headers],[Documentary]],"*")),1,0)</f>
        <v>0</v>
      </c>
      <c r="O1201">
        <f>IF(COUNTIF($E1201, _xlfn.CONCAT("*",Table13[[#Headers],[Drama]],"*")),1,0)</f>
        <v>0</v>
      </c>
      <c r="P1201">
        <f>IF(COUNTIF($E1201, _xlfn.CONCAT("*",Table13[[#Headers],[Family]],"*")),1,0)</f>
        <v>0</v>
      </c>
      <c r="Q1201">
        <f>IF(COUNTIF($E1201, _xlfn.CONCAT("*",Table13[[#Headers],[Fantasy]],"*")),1,0)</f>
        <v>0</v>
      </c>
      <c r="R1201">
        <f>IF(COUNTIF($E1201, _xlfn.CONCAT("*",Table13[[#Headers],[History]],"*")),1,0)</f>
        <v>0</v>
      </c>
      <c r="S1201">
        <f>IF(COUNTIF($E1201, _xlfn.CONCAT("*",Table13[[#Headers],[Horror]],"*")),1,0)</f>
        <v>0</v>
      </c>
      <c r="T1201">
        <f>IF(COUNTIF($E1201, _xlfn.CONCAT("*",Table13[[#Headers],[Music]],"*")),1,0)</f>
        <v>0</v>
      </c>
      <c r="U1201">
        <f>IF(COUNTIF($E1201, _xlfn.CONCAT("*",Table13[[#Headers],[Mystery]],"*")),1,0)</f>
        <v>0</v>
      </c>
      <c r="V1201">
        <f>IF(COUNTIF($E1201, _xlfn.CONCAT("*",Table13[[#Headers],[Romance]],"*")),1,0)</f>
        <v>0</v>
      </c>
      <c r="W1201">
        <f>IF(COUNTIF($E1201, _xlfn.CONCAT("*",Table13[[#Headers],[Science Fiction]],"*")),1,0)</f>
        <v>0</v>
      </c>
      <c r="X1201">
        <f>IF(COUNTIF($E1201, _xlfn.CONCAT("*",Table13[[#Headers],[TV Movie]],"*")),1,0)</f>
        <v>0</v>
      </c>
      <c r="Y1201">
        <f>IF(COUNTIF($E1201, _xlfn.CONCAT("*",Table13[[#Headers],[Thriller]],"*")),1,0)</f>
        <v>0</v>
      </c>
      <c r="Z1201">
        <f>IF(COUNTIF($E1201, _xlfn.CONCAT("*",Table13[[#Headers],[War]],"*")),1,0)</f>
        <v>0</v>
      </c>
      <c r="AA1201">
        <f>IF(COUNTIF($E1201, _xlfn.CONCAT("*",Table13[[#Headers],[Western]],"*")),1,0)</f>
        <v>1</v>
      </c>
    </row>
    <row r="1202" spans="1:27">
      <c r="A1202" t="s">
        <v>1093</v>
      </c>
      <c r="B1202">
        <v>67</v>
      </c>
      <c r="C1202">
        <f>MAX(Table13[Rank])-Table13[[#This Row],[Rank]]</f>
        <v>197</v>
      </c>
      <c r="D1202" t="s">
        <v>1022</v>
      </c>
      <c r="E1202" t="s">
        <v>360</v>
      </c>
      <c r="F1202" s="1">
        <v>38065</v>
      </c>
      <c r="G1202">
        <f>YEAR(Table13[[#This Row],[Date]])</f>
        <v>2004</v>
      </c>
      <c r="H1202" t="s">
        <v>615</v>
      </c>
      <c r="I1202">
        <f>IF(COUNTIF($E1202, _xlfn.CONCAT("*",Table13[[#Headers],[Action]],"*")),1,0)</f>
        <v>0</v>
      </c>
      <c r="J1202">
        <f>IF(COUNTIF($E1202, _xlfn.CONCAT("*",Table13[[#Headers],[Adventure]],"*")),1,0)</f>
        <v>0</v>
      </c>
      <c r="K1202">
        <f>IF(COUNTIF($E1202, _xlfn.CONCAT("*",Table13[[#Headers],[Animation]],"*")),1,0)</f>
        <v>0</v>
      </c>
      <c r="L1202">
        <f>IF(COUNTIF($E1202, _xlfn.CONCAT("*",Table13[[#Headers],[Comedy]],"*")),1,0)</f>
        <v>0</v>
      </c>
      <c r="M1202">
        <f>IF(COUNTIF($E1202, _xlfn.CONCAT("*",Table13[[#Headers],[Crime]],"*")),1,0)</f>
        <v>0</v>
      </c>
      <c r="N1202">
        <f>IF(COUNTIF($E1202, _xlfn.CONCAT("*",Table13[[#Headers],[Documentary]],"*")),1,0)</f>
        <v>0</v>
      </c>
      <c r="O1202">
        <f>IF(COUNTIF($E1202, _xlfn.CONCAT("*",Table13[[#Headers],[Drama]],"*")),1,0)</f>
        <v>1</v>
      </c>
      <c r="P1202">
        <f>IF(COUNTIF($E1202, _xlfn.CONCAT("*",Table13[[#Headers],[Family]],"*")),1,0)</f>
        <v>0</v>
      </c>
      <c r="Q1202">
        <f>IF(COUNTIF($E1202, _xlfn.CONCAT("*",Table13[[#Headers],[Fantasy]],"*")),1,0)</f>
        <v>0</v>
      </c>
      <c r="R1202">
        <f>IF(COUNTIF($E1202, _xlfn.CONCAT("*",Table13[[#Headers],[History]],"*")),1,0)</f>
        <v>0</v>
      </c>
      <c r="S1202">
        <f>IF(COUNTIF($E1202, _xlfn.CONCAT("*",Table13[[#Headers],[Horror]],"*")),1,0)</f>
        <v>0</v>
      </c>
      <c r="T1202">
        <f>IF(COUNTIF($E1202, _xlfn.CONCAT("*",Table13[[#Headers],[Music]],"*")),1,0)</f>
        <v>0</v>
      </c>
      <c r="U1202">
        <f>IF(COUNTIF($E1202, _xlfn.CONCAT("*",Table13[[#Headers],[Mystery]],"*")),1,0)</f>
        <v>0</v>
      </c>
      <c r="V1202">
        <f>IF(COUNTIF($E1202, _xlfn.CONCAT("*",Table13[[#Headers],[Romance]],"*")),1,0)</f>
        <v>1</v>
      </c>
      <c r="W1202">
        <f>IF(COUNTIF($E1202, _xlfn.CONCAT("*",Table13[[#Headers],[Science Fiction]],"*")),1,0)</f>
        <v>1</v>
      </c>
      <c r="X1202">
        <f>IF(COUNTIF($E1202, _xlfn.CONCAT("*",Table13[[#Headers],[TV Movie]],"*")),1,0)</f>
        <v>0</v>
      </c>
      <c r="Y1202">
        <f>IF(COUNTIF($E1202, _xlfn.CONCAT("*",Table13[[#Headers],[Thriller]],"*")),1,0)</f>
        <v>0</v>
      </c>
      <c r="Z1202">
        <f>IF(COUNTIF($E1202, _xlfn.CONCAT("*",Table13[[#Headers],[War]],"*")),1,0)</f>
        <v>0</v>
      </c>
      <c r="AA1202">
        <f>IF(COUNTIF($E1202, _xlfn.CONCAT("*",Table13[[#Headers],[Western]],"*")),1,0)</f>
        <v>0</v>
      </c>
    </row>
    <row r="1203" spans="1:27">
      <c r="A1203" t="s">
        <v>1094</v>
      </c>
      <c r="B1203">
        <v>68</v>
      </c>
      <c r="C1203">
        <f>MAX(Table13[Rank])-Table13[[#This Row],[Rank]]</f>
        <v>196</v>
      </c>
      <c r="D1203" t="s">
        <v>1022</v>
      </c>
      <c r="E1203" t="s">
        <v>29</v>
      </c>
      <c r="F1203" s="1">
        <v>27303</v>
      </c>
      <c r="G1203">
        <f>YEAR(Table13[[#This Row],[Date]])</f>
        <v>1974</v>
      </c>
      <c r="H1203" t="s">
        <v>237</v>
      </c>
      <c r="I1203">
        <f>IF(COUNTIF($E1203, _xlfn.CONCAT("*",Table13[[#Headers],[Action]],"*")),1,0)</f>
        <v>0</v>
      </c>
      <c r="J1203">
        <f>IF(COUNTIF($E1203, _xlfn.CONCAT("*",Table13[[#Headers],[Adventure]],"*")),1,0)</f>
        <v>0</v>
      </c>
      <c r="K1203">
        <f>IF(COUNTIF($E1203, _xlfn.CONCAT("*",Table13[[#Headers],[Animation]],"*")),1,0)</f>
        <v>0</v>
      </c>
      <c r="L1203">
        <f>IF(COUNTIF($E1203, _xlfn.CONCAT("*",Table13[[#Headers],[Comedy]],"*")),1,0)</f>
        <v>0</v>
      </c>
      <c r="M1203">
        <f>IF(COUNTIF($E1203, _xlfn.CONCAT("*",Table13[[#Headers],[Crime]],"*")),1,0)</f>
        <v>0</v>
      </c>
      <c r="N1203">
        <f>IF(COUNTIF($E1203, _xlfn.CONCAT("*",Table13[[#Headers],[Documentary]],"*")),1,0)</f>
        <v>0</v>
      </c>
      <c r="O1203">
        <f>IF(COUNTIF($E1203, _xlfn.CONCAT("*",Table13[[#Headers],[Drama]],"*")),1,0)</f>
        <v>0</v>
      </c>
      <c r="P1203">
        <f>IF(COUNTIF($E1203, _xlfn.CONCAT("*",Table13[[#Headers],[Family]],"*")),1,0)</f>
        <v>0</v>
      </c>
      <c r="Q1203">
        <f>IF(COUNTIF($E1203, _xlfn.CONCAT("*",Table13[[#Headers],[Fantasy]],"*")),1,0)</f>
        <v>0</v>
      </c>
      <c r="R1203">
        <f>IF(COUNTIF($E1203, _xlfn.CONCAT("*",Table13[[#Headers],[History]],"*")),1,0)</f>
        <v>0</v>
      </c>
      <c r="S1203">
        <f>IF(COUNTIF($E1203, _xlfn.CONCAT("*",Table13[[#Headers],[Horror]],"*")),1,0)</f>
        <v>1</v>
      </c>
      <c r="T1203">
        <f>IF(COUNTIF($E1203, _xlfn.CONCAT("*",Table13[[#Headers],[Music]],"*")),1,0)</f>
        <v>0</v>
      </c>
      <c r="U1203">
        <f>IF(COUNTIF($E1203, _xlfn.CONCAT("*",Table13[[#Headers],[Mystery]],"*")),1,0)</f>
        <v>0</v>
      </c>
      <c r="V1203">
        <f>IF(COUNTIF($E1203, _xlfn.CONCAT("*",Table13[[#Headers],[Romance]],"*")),1,0)</f>
        <v>0</v>
      </c>
      <c r="W1203">
        <f>IF(COUNTIF($E1203, _xlfn.CONCAT("*",Table13[[#Headers],[Science Fiction]],"*")),1,0)</f>
        <v>0</v>
      </c>
      <c r="X1203">
        <f>IF(COUNTIF($E1203, _xlfn.CONCAT("*",Table13[[#Headers],[TV Movie]],"*")),1,0)</f>
        <v>0</v>
      </c>
      <c r="Y1203">
        <f>IF(COUNTIF($E1203, _xlfn.CONCAT("*",Table13[[#Headers],[Thriller]],"*")),1,0)</f>
        <v>0</v>
      </c>
      <c r="Z1203">
        <f>IF(COUNTIF($E1203, _xlfn.CONCAT("*",Table13[[#Headers],[War]],"*")),1,0)</f>
        <v>0</v>
      </c>
      <c r="AA1203">
        <f>IF(COUNTIF($E1203, _xlfn.CONCAT("*",Table13[[#Headers],[Western]],"*")),1,0)</f>
        <v>0</v>
      </c>
    </row>
    <row r="1204" spans="1:27">
      <c r="A1204" t="s">
        <v>1095</v>
      </c>
      <c r="B1204">
        <v>69</v>
      </c>
      <c r="C1204">
        <f>MAX(Table13[Rank])-Table13[[#This Row],[Rank]]</f>
        <v>195</v>
      </c>
      <c r="D1204" t="s">
        <v>1022</v>
      </c>
      <c r="E1204" t="s">
        <v>81</v>
      </c>
      <c r="F1204" s="1">
        <v>31237</v>
      </c>
      <c r="G1204">
        <f>YEAR(Table13[[#This Row],[Date]])</f>
        <v>1985</v>
      </c>
      <c r="H1204" t="s">
        <v>260</v>
      </c>
      <c r="I1204">
        <f>IF(COUNTIF($E1204, _xlfn.CONCAT("*",Table13[[#Headers],[Action]],"*")),1,0)</f>
        <v>0</v>
      </c>
      <c r="J1204">
        <f>IF(COUNTIF($E1204, _xlfn.CONCAT("*",Table13[[#Headers],[Adventure]],"*")),1,0)</f>
        <v>0</v>
      </c>
      <c r="K1204">
        <f>IF(COUNTIF($E1204, _xlfn.CONCAT("*",Table13[[#Headers],[Animation]],"*")),1,0)</f>
        <v>0</v>
      </c>
      <c r="L1204">
        <f>IF(COUNTIF($E1204, _xlfn.CONCAT("*",Table13[[#Headers],[Comedy]],"*")),1,0)</f>
        <v>0</v>
      </c>
      <c r="M1204">
        <f>IF(COUNTIF($E1204, _xlfn.CONCAT("*",Table13[[#Headers],[Crime]],"*")),1,0)</f>
        <v>0</v>
      </c>
      <c r="N1204">
        <f>IF(COUNTIF($E1204, _xlfn.CONCAT("*",Table13[[#Headers],[Documentary]],"*")),1,0)</f>
        <v>0</v>
      </c>
      <c r="O1204">
        <f>IF(COUNTIF($E1204, _xlfn.CONCAT("*",Table13[[#Headers],[Drama]],"*")),1,0)</f>
        <v>1</v>
      </c>
      <c r="P1204">
        <f>IF(COUNTIF($E1204, _xlfn.CONCAT("*",Table13[[#Headers],[Family]],"*")),1,0)</f>
        <v>0</v>
      </c>
      <c r="Q1204">
        <f>IF(COUNTIF($E1204, _xlfn.CONCAT("*",Table13[[#Headers],[Fantasy]],"*")),1,0)</f>
        <v>0</v>
      </c>
      <c r="R1204">
        <f>IF(COUNTIF($E1204, _xlfn.CONCAT("*",Table13[[#Headers],[History]],"*")),1,0)</f>
        <v>0</v>
      </c>
      <c r="S1204">
        <f>IF(COUNTIF($E1204, _xlfn.CONCAT("*",Table13[[#Headers],[Horror]],"*")),1,0)</f>
        <v>0</v>
      </c>
      <c r="T1204">
        <f>IF(COUNTIF($E1204, _xlfn.CONCAT("*",Table13[[#Headers],[Music]],"*")),1,0)</f>
        <v>0</v>
      </c>
      <c r="U1204">
        <f>IF(COUNTIF($E1204, _xlfn.CONCAT("*",Table13[[#Headers],[Mystery]],"*")),1,0)</f>
        <v>0</v>
      </c>
      <c r="V1204">
        <f>IF(COUNTIF($E1204, _xlfn.CONCAT("*",Table13[[#Headers],[Romance]],"*")),1,0)</f>
        <v>0</v>
      </c>
      <c r="W1204">
        <f>IF(COUNTIF($E1204, _xlfn.CONCAT("*",Table13[[#Headers],[Science Fiction]],"*")),1,0)</f>
        <v>0</v>
      </c>
      <c r="X1204">
        <f>IF(COUNTIF($E1204, _xlfn.CONCAT("*",Table13[[#Headers],[TV Movie]],"*")),1,0)</f>
        <v>0</v>
      </c>
      <c r="Y1204">
        <f>IF(COUNTIF($E1204, _xlfn.CONCAT("*",Table13[[#Headers],[Thriller]],"*")),1,0)</f>
        <v>0</v>
      </c>
      <c r="Z1204">
        <f>IF(COUNTIF($E1204, _xlfn.CONCAT("*",Table13[[#Headers],[War]],"*")),1,0)</f>
        <v>1</v>
      </c>
      <c r="AA1204">
        <f>IF(COUNTIF($E1204, _xlfn.CONCAT("*",Table13[[#Headers],[Western]],"*")),1,0)</f>
        <v>0</v>
      </c>
    </row>
    <row r="1205" spans="1:27">
      <c r="A1205" t="s">
        <v>1096</v>
      </c>
      <c r="B1205">
        <v>70</v>
      </c>
      <c r="C1205">
        <f>MAX(Table13[Rank])-Table13[[#This Row],[Rank]]</f>
        <v>194</v>
      </c>
      <c r="D1205" t="s">
        <v>1022</v>
      </c>
      <c r="E1205" t="s">
        <v>149</v>
      </c>
      <c r="F1205" s="1">
        <v>32116</v>
      </c>
      <c r="G1205">
        <f>YEAR(Table13[[#This Row],[Date]])</f>
        <v>1987</v>
      </c>
      <c r="H1205" t="s">
        <v>1270</v>
      </c>
      <c r="I1205">
        <f>IF(COUNTIF($E1205, _xlfn.CONCAT("*",Table13[[#Headers],[Action]],"*")),1,0)</f>
        <v>1</v>
      </c>
      <c r="J1205">
        <f>IF(COUNTIF($E1205, _xlfn.CONCAT("*",Table13[[#Headers],[Adventure]],"*")),1,0)</f>
        <v>0</v>
      </c>
      <c r="K1205">
        <f>IF(COUNTIF($E1205, _xlfn.CONCAT("*",Table13[[#Headers],[Animation]],"*")),1,0)</f>
        <v>0</v>
      </c>
      <c r="L1205">
        <f>IF(COUNTIF($E1205, _xlfn.CONCAT("*",Table13[[#Headers],[Comedy]],"*")),1,0)</f>
        <v>0</v>
      </c>
      <c r="M1205">
        <f>IF(COUNTIF($E1205, _xlfn.CONCAT("*",Table13[[#Headers],[Crime]],"*")),1,0)</f>
        <v>1</v>
      </c>
      <c r="N1205">
        <f>IF(COUNTIF($E1205, _xlfn.CONCAT("*",Table13[[#Headers],[Documentary]],"*")),1,0)</f>
        <v>0</v>
      </c>
      <c r="O1205">
        <f>IF(COUNTIF($E1205, _xlfn.CONCAT("*",Table13[[#Headers],[Drama]],"*")),1,0)</f>
        <v>0</v>
      </c>
      <c r="P1205">
        <f>IF(COUNTIF($E1205, _xlfn.CONCAT("*",Table13[[#Headers],[Family]],"*")),1,0)</f>
        <v>0</v>
      </c>
      <c r="Q1205">
        <f>IF(COUNTIF($E1205, _xlfn.CONCAT("*",Table13[[#Headers],[Fantasy]],"*")),1,0)</f>
        <v>0</v>
      </c>
      <c r="R1205">
        <f>IF(COUNTIF($E1205, _xlfn.CONCAT("*",Table13[[#Headers],[History]],"*")),1,0)</f>
        <v>0</v>
      </c>
      <c r="S1205">
        <f>IF(COUNTIF($E1205, _xlfn.CONCAT("*",Table13[[#Headers],[Horror]],"*")),1,0)</f>
        <v>0</v>
      </c>
      <c r="T1205">
        <f>IF(COUNTIF($E1205, _xlfn.CONCAT("*",Table13[[#Headers],[Music]],"*")),1,0)</f>
        <v>0</v>
      </c>
      <c r="U1205">
        <f>IF(COUNTIF($E1205, _xlfn.CONCAT("*",Table13[[#Headers],[Mystery]],"*")),1,0)</f>
        <v>0</v>
      </c>
      <c r="V1205">
        <f>IF(COUNTIF($E1205, _xlfn.CONCAT("*",Table13[[#Headers],[Romance]],"*")),1,0)</f>
        <v>0</v>
      </c>
      <c r="W1205">
        <f>IF(COUNTIF($E1205, _xlfn.CONCAT("*",Table13[[#Headers],[Science Fiction]],"*")),1,0)</f>
        <v>0</v>
      </c>
      <c r="X1205">
        <f>IF(COUNTIF($E1205, _xlfn.CONCAT("*",Table13[[#Headers],[TV Movie]],"*")),1,0)</f>
        <v>0</v>
      </c>
      <c r="Y1205">
        <f>IF(COUNTIF($E1205, _xlfn.CONCAT("*",Table13[[#Headers],[Thriller]],"*")),1,0)</f>
        <v>1</v>
      </c>
      <c r="Z1205">
        <f>IF(COUNTIF($E1205, _xlfn.CONCAT("*",Table13[[#Headers],[War]],"*")),1,0)</f>
        <v>0</v>
      </c>
      <c r="AA1205">
        <f>IF(COUNTIF($E1205, _xlfn.CONCAT("*",Table13[[#Headers],[Western]],"*")),1,0)</f>
        <v>0</v>
      </c>
    </row>
    <row r="1206" spans="1:27">
      <c r="A1206" t="s">
        <v>1097</v>
      </c>
      <c r="B1206">
        <v>71</v>
      </c>
      <c r="C1206">
        <f>MAX(Table13[Rank])-Table13[[#This Row],[Rank]]</f>
        <v>193</v>
      </c>
      <c r="D1206" t="s">
        <v>1022</v>
      </c>
      <c r="E1206" t="s">
        <v>281</v>
      </c>
      <c r="F1206" s="1">
        <v>29364</v>
      </c>
      <c r="G1206">
        <f>YEAR(Table13[[#This Row],[Date]])</f>
        <v>1980</v>
      </c>
      <c r="H1206" t="s">
        <v>280</v>
      </c>
      <c r="I1206">
        <f>IF(COUNTIF($E1206, _xlfn.CONCAT("*",Table13[[#Headers],[Action]],"*")),1,0)</f>
        <v>0</v>
      </c>
      <c r="J1206">
        <f>IF(COUNTIF($E1206, _xlfn.CONCAT("*",Table13[[#Headers],[Adventure]],"*")),1,0)</f>
        <v>0</v>
      </c>
      <c r="K1206">
        <f>IF(COUNTIF($E1206, _xlfn.CONCAT("*",Table13[[#Headers],[Animation]],"*")),1,0)</f>
        <v>0</v>
      </c>
      <c r="L1206">
        <f>IF(COUNTIF($E1206, _xlfn.CONCAT("*",Table13[[#Headers],[Comedy]],"*")),1,0)</f>
        <v>0</v>
      </c>
      <c r="M1206">
        <f>IF(COUNTIF($E1206, _xlfn.CONCAT("*",Table13[[#Headers],[Crime]],"*")),1,0)</f>
        <v>0</v>
      </c>
      <c r="N1206">
        <f>IF(COUNTIF($E1206, _xlfn.CONCAT("*",Table13[[#Headers],[Documentary]],"*")),1,0)</f>
        <v>0</v>
      </c>
      <c r="O1206">
        <f>IF(COUNTIF($E1206, _xlfn.CONCAT("*",Table13[[#Headers],[Drama]],"*")),1,0)</f>
        <v>0</v>
      </c>
      <c r="P1206">
        <f>IF(COUNTIF($E1206, _xlfn.CONCAT("*",Table13[[#Headers],[Family]],"*")),1,0)</f>
        <v>0</v>
      </c>
      <c r="Q1206">
        <f>IF(COUNTIF($E1206, _xlfn.CONCAT("*",Table13[[#Headers],[Fantasy]],"*")),1,0)</f>
        <v>0</v>
      </c>
      <c r="R1206">
        <f>IF(COUNTIF($E1206, _xlfn.CONCAT("*",Table13[[#Headers],[History]],"*")),1,0)</f>
        <v>0</v>
      </c>
      <c r="S1206">
        <f>IF(COUNTIF($E1206, _xlfn.CONCAT("*",Table13[[#Headers],[Horror]],"*")),1,0)</f>
        <v>1</v>
      </c>
      <c r="T1206">
        <f>IF(COUNTIF($E1206, _xlfn.CONCAT("*",Table13[[#Headers],[Music]],"*")),1,0)</f>
        <v>0</v>
      </c>
      <c r="U1206">
        <f>IF(COUNTIF($E1206, _xlfn.CONCAT("*",Table13[[#Headers],[Mystery]],"*")),1,0)</f>
        <v>0</v>
      </c>
      <c r="V1206">
        <f>IF(COUNTIF($E1206, _xlfn.CONCAT("*",Table13[[#Headers],[Romance]],"*")),1,0)</f>
        <v>0</v>
      </c>
      <c r="W1206">
        <f>IF(COUNTIF($E1206, _xlfn.CONCAT("*",Table13[[#Headers],[Science Fiction]],"*")),1,0)</f>
        <v>0</v>
      </c>
      <c r="X1206">
        <f>IF(COUNTIF($E1206, _xlfn.CONCAT("*",Table13[[#Headers],[TV Movie]],"*")),1,0)</f>
        <v>0</v>
      </c>
      <c r="Y1206">
        <f>IF(COUNTIF($E1206, _xlfn.CONCAT("*",Table13[[#Headers],[Thriller]],"*")),1,0)</f>
        <v>1</v>
      </c>
      <c r="Z1206">
        <f>IF(COUNTIF($E1206, _xlfn.CONCAT("*",Table13[[#Headers],[War]],"*")),1,0)</f>
        <v>0</v>
      </c>
      <c r="AA1206">
        <f>IF(COUNTIF($E1206, _xlfn.CONCAT("*",Table13[[#Headers],[Western]],"*")),1,0)</f>
        <v>0</v>
      </c>
    </row>
    <row r="1207" spans="1:27">
      <c r="A1207" t="s">
        <v>1098</v>
      </c>
      <c r="B1207">
        <v>72</v>
      </c>
      <c r="C1207">
        <f>MAX(Table13[Rank])-Table13[[#This Row],[Rank]]</f>
        <v>192</v>
      </c>
      <c r="D1207" t="s">
        <v>1022</v>
      </c>
      <c r="E1207" t="s">
        <v>426</v>
      </c>
      <c r="F1207" s="1">
        <v>35002</v>
      </c>
      <c r="G1207">
        <f>YEAR(Table13[[#This Row],[Date]])</f>
        <v>1995</v>
      </c>
      <c r="H1207" t="s">
        <v>425</v>
      </c>
      <c r="I1207">
        <f>IF(COUNTIF($E1207, _xlfn.CONCAT("*",Table13[[#Headers],[Action]],"*")),1,0)</f>
        <v>0</v>
      </c>
      <c r="J1207">
        <f>IF(COUNTIF($E1207, _xlfn.CONCAT("*",Table13[[#Headers],[Adventure]],"*")),1,0)</f>
        <v>1</v>
      </c>
      <c r="K1207">
        <f>IF(COUNTIF($E1207, _xlfn.CONCAT("*",Table13[[#Headers],[Animation]],"*")),1,0)</f>
        <v>1</v>
      </c>
      <c r="L1207">
        <f>IF(COUNTIF($E1207, _xlfn.CONCAT("*",Table13[[#Headers],[Comedy]],"*")),1,0)</f>
        <v>1</v>
      </c>
      <c r="M1207">
        <f>IF(COUNTIF($E1207, _xlfn.CONCAT("*",Table13[[#Headers],[Crime]],"*")),1,0)</f>
        <v>0</v>
      </c>
      <c r="N1207">
        <f>IF(COUNTIF($E1207, _xlfn.CONCAT("*",Table13[[#Headers],[Documentary]],"*")),1,0)</f>
        <v>0</v>
      </c>
      <c r="O1207">
        <f>IF(COUNTIF($E1207, _xlfn.CONCAT("*",Table13[[#Headers],[Drama]],"*")),1,0)</f>
        <v>0</v>
      </c>
      <c r="P1207">
        <f>IF(COUNTIF($E1207, _xlfn.CONCAT("*",Table13[[#Headers],[Family]],"*")),1,0)</f>
        <v>1</v>
      </c>
      <c r="Q1207">
        <f>IF(COUNTIF($E1207, _xlfn.CONCAT("*",Table13[[#Headers],[Fantasy]],"*")),1,0)</f>
        <v>0</v>
      </c>
      <c r="R1207">
        <f>IF(COUNTIF($E1207, _xlfn.CONCAT("*",Table13[[#Headers],[History]],"*")),1,0)</f>
        <v>0</v>
      </c>
      <c r="S1207">
        <f>IF(COUNTIF($E1207, _xlfn.CONCAT("*",Table13[[#Headers],[Horror]],"*")),1,0)</f>
        <v>0</v>
      </c>
      <c r="T1207">
        <f>IF(COUNTIF($E1207, _xlfn.CONCAT("*",Table13[[#Headers],[Music]],"*")),1,0)</f>
        <v>0</v>
      </c>
      <c r="U1207">
        <f>IF(COUNTIF($E1207, _xlfn.CONCAT("*",Table13[[#Headers],[Mystery]],"*")),1,0)</f>
        <v>0</v>
      </c>
      <c r="V1207">
        <f>IF(COUNTIF($E1207, _xlfn.CONCAT("*",Table13[[#Headers],[Romance]],"*")),1,0)</f>
        <v>0</v>
      </c>
      <c r="W1207">
        <f>IF(COUNTIF($E1207, _xlfn.CONCAT("*",Table13[[#Headers],[Science Fiction]],"*")),1,0)</f>
        <v>0</v>
      </c>
      <c r="X1207">
        <f>IF(COUNTIF($E1207, _xlfn.CONCAT("*",Table13[[#Headers],[TV Movie]],"*")),1,0)</f>
        <v>0</v>
      </c>
      <c r="Y1207">
        <f>IF(COUNTIF($E1207, _xlfn.CONCAT("*",Table13[[#Headers],[Thriller]],"*")),1,0)</f>
        <v>0</v>
      </c>
      <c r="Z1207">
        <f>IF(COUNTIF($E1207, _xlfn.CONCAT("*",Table13[[#Headers],[War]],"*")),1,0)</f>
        <v>0</v>
      </c>
      <c r="AA1207">
        <f>IF(COUNTIF($E1207, _xlfn.CONCAT("*",Table13[[#Headers],[Western]],"*")),1,0)</f>
        <v>0</v>
      </c>
    </row>
    <row r="1208" spans="1:27">
      <c r="A1208" t="s">
        <v>1099</v>
      </c>
      <c r="B1208">
        <v>73</v>
      </c>
      <c r="C1208">
        <f>MAX(Table13[Rank])-Table13[[#This Row],[Rank]]</f>
        <v>191</v>
      </c>
      <c r="D1208" t="s">
        <v>1022</v>
      </c>
      <c r="E1208" t="s">
        <v>21</v>
      </c>
      <c r="F1208" s="1">
        <v>28808</v>
      </c>
      <c r="G1208">
        <f>YEAR(Table13[[#This Row],[Date]])</f>
        <v>1978</v>
      </c>
      <c r="H1208" t="s">
        <v>343</v>
      </c>
      <c r="I1208">
        <f>IF(COUNTIF($E1208, _xlfn.CONCAT("*",Table13[[#Headers],[Action]],"*")),1,0)</f>
        <v>0</v>
      </c>
      <c r="J1208">
        <f>IF(COUNTIF($E1208, _xlfn.CONCAT("*",Table13[[#Headers],[Adventure]],"*")),1,0)</f>
        <v>0</v>
      </c>
      <c r="K1208">
        <f>IF(COUNTIF($E1208, _xlfn.CONCAT("*",Table13[[#Headers],[Animation]],"*")),1,0)</f>
        <v>0</v>
      </c>
      <c r="L1208">
        <f>IF(COUNTIF($E1208, _xlfn.CONCAT("*",Table13[[#Headers],[Comedy]],"*")),1,0)</f>
        <v>0</v>
      </c>
      <c r="M1208">
        <f>IF(COUNTIF($E1208, _xlfn.CONCAT("*",Table13[[#Headers],[Crime]],"*")),1,0)</f>
        <v>0</v>
      </c>
      <c r="N1208">
        <f>IF(COUNTIF($E1208, _xlfn.CONCAT("*",Table13[[#Headers],[Documentary]],"*")),1,0)</f>
        <v>0</v>
      </c>
      <c r="O1208">
        <f>IF(COUNTIF($E1208, _xlfn.CONCAT("*",Table13[[#Headers],[Drama]],"*")),1,0)</f>
        <v>1</v>
      </c>
      <c r="P1208">
        <f>IF(COUNTIF($E1208, _xlfn.CONCAT("*",Table13[[#Headers],[Family]],"*")),1,0)</f>
        <v>0</v>
      </c>
      <c r="Q1208">
        <f>IF(COUNTIF($E1208, _xlfn.CONCAT("*",Table13[[#Headers],[Fantasy]],"*")),1,0)</f>
        <v>0</v>
      </c>
      <c r="R1208">
        <f>IF(COUNTIF($E1208, _xlfn.CONCAT("*",Table13[[#Headers],[History]],"*")),1,0)</f>
        <v>0</v>
      </c>
      <c r="S1208">
        <f>IF(COUNTIF($E1208, _xlfn.CONCAT("*",Table13[[#Headers],[Horror]],"*")),1,0)</f>
        <v>0</v>
      </c>
      <c r="T1208">
        <f>IF(COUNTIF($E1208, _xlfn.CONCAT("*",Table13[[#Headers],[Music]],"*")),1,0)</f>
        <v>0</v>
      </c>
      <c r="U1208">
        <f>IF(COUNTIF($E1208, _xlfn.CONCAT("*",Table13[[#Headers],[Mystery]],"*")),1,0)</f>
        <v>0</v>
      </c>
      <c r="V1208">
        <f>IF(COUNTIF($E1208, _xlfn.CONCAT("*",Table13[[#Headers],[Romance]],"*")),1,0)</f>
        <v>0</v>
      </c>
      <c r="W1208">
        <f>IF(COUNTIF($E1208, _xlfn.CONCAT("*",Table13[[#Headers],[Science Fiction]],"*")),1,0)</f>
        <v>0</v>
      </c>
      <c r="X1208">
        <f>IF(COUNTIF($E1208, _xlfn.CONCAT("*",Table13[[#Headers],[TV Movie]],"*")),1,0)</f>
        <v>0</v>
      </c>
      <c r="Y1208">
        <f>IF(COUNTIF($E1208, _xlfn.CONCAT("*",Table13[[#Headers],[Thriller]],"*")),1,0)</f>
        <v>0</v>
      </c>
      <c r="Z1208">
        <f>IF(COUNTIF($E1208, _xlfn.CONCAT("*",Table13[[#Headers],[War]],"*")),1,0)</f>
        <v>0</v>
      </c>
      <c r="AA1208">
        <f>IF(COUNTIF($E1208, _xlfn.CONCAT("*",Table13[[#Headers],[Western]],"*")),1,0)</f>
        <v>0</v>
      </c>
    </row>
    <row r="1209" spans="1:27">
      <c r="A1209" t="s">
        <v>1100</v>
      </c>
      <c r="B1209">
        <v>74</v>
      </c>
      <c r="C1209">
        <f>MAX(Table13[Rank])-Table13[[#This Row],[Rank]]</f>
        <v>190</v>
      </c>
      <c r="D1209" t="s">
        <v>1022</v>
      </c>
      <c r="E1209" t="s">
        <v>21</v>
      </c>
      <c r="F1209" s="1">
        <v>27351</v>
      </c>
      <c r="G1209">
        <f>YEAR(Table13[[#This Row],[Date]])</f>
        <v>1974</v>
      </c>
      <c r="H1209" t="s">
        <v>246</v>
      </c>
      <c r="I1209">
        <f>IF(COUNTIF($E1209, _xlfn.CONCAT("*",Table13[[#Headers],[Action]],"*")),1,0)</f>
        <v>0</v>
      </c>
      <c r="J1209">
        <f>IF(COUNTIF($E1209, _xlfn.CONCAT("*",Table13[[#Headers],[Adventure]],"*")),1,0)</f>
        <v>0</v>
      </c>
      <c r="K1209">
        <f>IF(COUNTIF($E1209, _xlfn.CONCAT("*",Table13[[#Headers],[Animation]],"*")),1,0)</f>
        <v>0</v>
      </c>
      <c r="L1209">
        <f>IF(COUNTIF($E1209, _xlfn.CONCAT("*",Table13[[#Headers],[Comedy]],"*")),1,0)</f>
        <v>0</v>
      </c>
      <c r="M1209">
        <f>IF(COUNTIF($E1209, _xlfn.CONCAT("*",Table13[[#Headers],[Crime]],"*")),1,0)</f>
        <v>0</v>
      </c>
      <c r="N1209">
        <f>IF(COUNTIF($E1209, _xlfn.CONCAT("*",Table13[[#Headers],[Documentary]],"*")),1,0)</f>
        <v>0</v>
      </c>
      <c r="O1209">
        <f>IF(COUNTIF($E1209, _xlfn.CONCAT("*",Table13[[#Headers],[Drama]],"*")),1,0)</f>
        <v>1</v>
      </c>
      <c r="P1209">
        <f>IF(COUNTIF($E1209, _xlfn.CONCAT("*",Table13[[#Headers],[Family]],"*")),1,0)</f>
        <v>0</v>
      </c>
      <c r="Q1209">
        <f>IF(COUNTIF($E1209, _xlfn.CONCAT("*",Table13[[#Headers],[Fantasy]],"*")),1,0)</f>
        <v>0</v>
      </c>
      <c r="R1209">
        <f>IF(COUNTIF($E1209, _xlfn.CONCAT("*",Table13[[#Headers],[History]],"*")),1,0)</f>
        <v>0</v>
      </c>
      <c r="S1209">
        <f>IF(COUNTIF($E1209, _xlfn.CONCAT("*",Table13[[#Headers],[Horror]],"*")),1,0)</f>
        <v>0</v>
      </c>
      <c r="T1209">
        <f>IF(COUNTIF($E1209, _xlfn.CONCAT("*",Table13[[#Headers],[Music]],"*")),1,0)</f>
        <v>0</v>
      </c>
      <c r="U1209">
        <f>IF(COUNTIF($E1209, _xlfn.CONCAT("*",Table13[[#Headers],[Mystery]],"*")),1,0)</f>
        <v>0</v>
      </c>
      <c r="V1209">
        <f>IF(COUNTIF($E1209, _xlfn.CONCAT("*",Table13[[#Headers],[Romance]],"*")),1,0)</f>
        <v>0</v>
      </c>
      <c r="W1209">
        <f>IF(COUNTIF($E1209, _xlfn.CONCAT("*",Table13[[#Headers],[Science Fiction]],"*")),1,0)</f>
        <v>0</v>
      </c>
      <c r="X1209">
        <f>IF(COUNTIF($E1209, _xlfn.CONCAT("*",Table13[[#Headers],[TV Movie]],"*")),1,0)</f>
        <v>0</v>
      </c>
      <c r="Y1209">
        <f>IF(COUNTIF($E1209, _xlfn.CONCAT("*",Table13[[#Headers],[Thriller]],"*")),1,0)</f>
        <v>0</v>
      </c>
      <c r="Z1209">
        <f>IF(COUNTIF($E1209, _xlfn.CONCAT("*",Table13[[#Headers],[War]],"*")),1,0)</f>
        <v>0</v>
      </c>
      <c r="AA1209">
        <f>IF(COUNTIF($E1209, _xlfn.CONCAT("*",Table13[[#Headers],[Western]],"*")),1,0)</f>
        <v>0</v>
      </c>
    </row>
    <row r="1210" spans="1:27">
      <c r="A1210" t="s">
        <v>1101</v>
      </c>
      <c r="B1210">
        <v>75</v>
      </c>
      <c r="C1210">
        <f>MAX(Table13[Rank])-Table13[[#This Row],[Rank]]</f>
        <v>189</v>
      </c>
      <c r="D1210" t="s">
        <v>1022</v>
      </c>
      <c r="E1210" t="s">
        <v>15</v>
      </c>
      <c r="F1210" s="1">
        <v>28234</v>
      </c>
      <c r="G1210">
        <f>YEAR(Table13[[#This Row],[Date]])</f>
        <v>1977</v>
      </c>
      <c r="H1210" t="s">
        <v>14</v>
      </c>
      <c r="I1210">
        <f>IF(COUNTIF($E1210, _xlfn.CONCAT("*",Table13[[#Headers],[Action]],"*")),1,0)</f>
        <v>0</v>
      </c>
      <c r="J1210">
        <f>IF(COUNTIF($E1210, _xlfn.CONCAT("*",Table13[[#Headers],[Adventure]],"*")),1,0)</f>
        <v>0</v>
      </c>
      <c r="K1210">
        <f>IF(COUNTIF($E1210, _xlfn.CONCAT("*",Table13[[#Headers],[Animation]],"*")),1,0)</f>
        <v>0</v>
      </c>
      <c r="L1210">
        <f>IF(COUNTIF($E1210, _xlfn.CONCAT("*",Table13[[#Headers],[Comedy]],"*")),1,0)</f>
        <v>1</v>
      </c>
      <c r="M1210">
        <f>IF(COUNTIF($E1210, _xlfn.CONCAT("*",Table13[[#Headers],[Crime]],"*")),1,0)</f>
        <v>0</v>
      </c>
      <c r="N1210">
        <f>IF(COUNTIF($E1210, _xlfn.CONCAT("*",Table13[[#Headers],[Documentary]],"*")),1,0)</f>
        <v>0</v>
      </c>
      <c r="O1210">
        <f>IF(COUNTIF($E1210, _xlfn.CONCAT("*",Table13[[#Headers],[Drama]],"*")),1,0)</f>
        <v>1</v>
      </c>
      <c r="P1210">
        <f>IF(COUNTIF($E1210, _xlfn.CONCAT("*",Table13[[#Headers],[Family]],"*")),1,0)</f>
        <v>0</v>
      </c>
      <c r="Q1210">
        <f>IF(COUNTIF($E1210, _xlfn.CONCAT("*",Table13[[#Headers],[Fantasy]],"*")),1,0)</f>
        <v>0</v>
      </c>
      <c r="R1210">
        <f>IF(COUNTIF($E1210, _xlfn.CONCAT("*",Table13[[#Headers],[History]],"*")),1,0)</f>
        <v>0</v>
      </c>
      <c r="S1210">
        <f>IF(COUNTIF($E1210, _xlfn.CONCAT("*",Table13[[#Headers],[Horror]],"*")),1,0)</f>
        <v>0</v>
      </c>
      <c r="T1210">
        <f>IF(COUNTIF($E1210, _xlfn.CONCAT("*",Table13[[#Headers],[Music]],"*")),1,0)</f>
        <v>0</v>
      </c>
      <c r="U1210">
        <f>IF(COUNTIF($E1210, _xlfn.CONCAT("*",Table13[[#Headers],[Mystery]],"*")),1,0)</f>
        <v>0</v>
      </c>
      <c r="V1210">
        <f>IF(COUNTIF($E1210, _xlfn.CONCAT("*",Table13[[#Headers],[Romance]],"*")),1,0)</f>
        <v>1</v>
      </c>
      <c r="W1210">
        <f>IF(COUNTIF($E1210, _xlfn.CONCAT("*",Table13[[#Headers],[Science Fiction]],"*")),1,0)</f>
        <v>0</v>
      </c>
      <c r="X1210">
        <f>IF(COUNTIF($E1210, _xlfn.CONCAT("*",Table13[[#Headers],[TV Movie]],"*")),1,0)</f>
        <v>0</v>
      </c>
      <c r="Y1210">
        <f>IF(COUNTIF($E1210, _xlfn.CONCAT("*",Table13[[#Headers],[Thriller]],"*")),1,0)</f>
        <v>0</v>
      </c>
      <c r="Z1210">
        <f>IF(COUNTIF($E1210, _xlfn.CONCAT("*",Table13[[#Headers],[War]],"*")),1,0)</f>
        <v>0</v>
      </c>
      <c r="AA1210">
        <f>IF(COUNTIF($E1210, _xlfn.CONCAT("*",Table13[[#Headers],[Western]],"*")),1,0)</f>
        <v>0</v>
      </c>
    </row>
    <row r="1211" spans="1:27">
      <c r="A1211" t="s">
        <v>1102</v>
      </c>
      <c r="B1211">
        <v>76</v>
      </c>
      <c r="C1211">
        <f>MAX(Table13[Rank])-Table13[[#This Row],[Rank]]</f>
        <v>188</v>
      </c>
      <c r="D1211" t="s">
        <v>1022</v>
      </c>
      <c r="E1211" t="s">
        <v>350</v>
      </c>
      <c r="F1211" s="1">
        <v>21628</v>
      </c>
      <c r="G1211">
        <f>YEAR(Table13[[#This Row],[Date]])</f>
        <v>1959</v>
      </c>
      <c r="H1211" t="s">
        <v>349</v>
      </c>
      <c r="I1211">
        <f>IF(COUNTIF($E1211, _xlfn.CONCAT("*",Table13[[#Headers],[Action]],"*")),1,0)</f>
        <v>0</v>
      </c>
      <c r="J1211">
        <f>IF(COUNTIF($E1211, _xlfn.CONCAT("*",Table13[[#Headers],[Adventure]],"*")),1,0)</f>
        <v>0</v>
      </c>
      <c r="K1211">
        <f>IF(COUNTIF($E1211, _xlfn.CONCAT("*",Table13[[#Headers],[Animation]],"*")),1,0)</f>
        <v>0</v>
      </c>
      <c r="L1211">
        <f>IF(COUNTIF($E1211, _xlfn.CONCAT("*",Table13[[#Headers],[Comedy]],"*")),1,0)</f>
        <v>1</v>
      </c>
      <c r="M1211">
        <f>IF(COUNTIF($E1211, _xlfn.CONCAT("*",Table13[[#Headers],[Crime]],"*")),1,0)</f>
        <v>1</v>
      </c>
      <c r="N1211">
        <f>IF(COUNTIF($E1211, _xlfn.CONCAT("*",Table13[[#Headers],[Documentary]],"*")),1,0)</f>
        <v>0</v>
      </c>
      <c r="O1211">
        <f>IF(COUNTIF($E1211, _xlfn.CONCAT("*",Table13[[#Headers],[Drama]],"*")),1,0)</f>
        <v>0</v>
      </c>
      <c r="P1211">
        <f>IF(COUNTIF($E1211, _xlfn.CONCAT("*",Table13[[#Headers],[Family]],"*")),1,0)</f>
        <v>0</v>
      </c>
      <c r="Q1211">
        <f>IF(COUNTIF($E1211, _xlfn.CONCAT("*",Table13[[#Headers],[Fantasy]],"*")),1,0)</f>
        <v>0</v>
      </c>
      <c r="R1211">
        <f>IF(COUNTIF($E1211, _xlfn.CONCAT("*",Table13[[#Headers],[History]],"*")),1,0)</f>
        <v>0</v>
      </c>
      <c r="S1211">
        <f>IF(COUNTIF($E1211, _xlfn.CONCAT("*",Table13[[#Headers],[Horror]],"*")),1,0)</f>
        <v>0</v>
      </c>
      <c r="T1211">
        <f>IF(COUNTIF($E1211, _xlfn.CONCAT("*",Table13[[#Headers],[Music]],"*")),1,0)</f>
        <v>0</v>
      </c>
      <c r="U1211">
        <f>IF(COUNTIF($E1211, _xlfn.CONCAT("*",Table13[[#Headers],[Mystery]],"*")),1,0)</f>
        <v>0</v>
      </c>
      <c r="V1211">
        <f>IF(COUNTIF($E1211, _xlfn.CONCAT("*",Table13[[#Headers],[Romance]],"*")),1,0)</f>
        <v>1</v>
      </c>
      <c r="W1211">
        <f>IF(COUNTIF($E1211, _xlfn.CONCAT("*",Table13[[#Headers],[Science Fiction]],"*")),1,0)</f>
        <v>0</v>
      </c>
      <c r="X1211">
        <f>IF(COUNTIF($E1211, _xlfn.CONCAT("*",Table13[[#Headers],[TV Movie]],"*")),1,0)</f>
        <v>0</v>
      </c>
      <c r="Y1211">
        <f>IF(COUNTIF($E1211, _xlfn.CONCAT("*",Table13[[#Headers],[Thriller]],"*")),1,0)</f>
        <v>0</v>
      </c>
      <c r="Z1211">
        <f>IF(COUNTIF($E1211, _xlfn.CONCAT("*",Table13[[#Headers],[War]],"*")),1,0)</f>
        <v>0</v>
      </c>
      <c r="AA1211">
        <f>IF(COUNTIF($E1211, _xlfn.CONCAT("*",Table13[[#Headers],[Western]],"*")),1,0)</f>
        <v>0</v>
      </c>
    </row>
    <row r="1212" spans="1:27">
      <c r="A1212" t="s">
        <v>1103</v>
      </c>
      <c r="B1212">
        <v>77</v>
      </c>
      <c r="C1212">
        <f>MAX(Table13[Rank])-Table13[[#This Row],[Rank]]</f>
        <v>187</v>
      </c>
      <c r="D1212" t="s">
        <v>1022</v>
      </c>
      <c r="E1212" t="s">
        <v>1104</v>
      </c>
      <c r="F1212" s="1">
        <v>37037</v>
      </c>
      <c r="G1212">
        <f>YEAR(Table13[[#This Row],[Date]])</f>
        <v>2001</v>
      </c>
      <c r="H1212" t="s">
        <v>308</v>
      </c>
      <c r="I1212">
        <f>IF(COUNTIF($E1212, _xlfn.CONCAT("*",Table13[[#Headers],[Action]],"*")),1,0)</f>
        <v>0</v>
      </c>
      <c r="J1212">
        <f>IF(COUNTIF($E1212, _xlfn.CONCAT("*",Table13[[#Headers],[Adventure]],"*")),1,0)</f>
        <v>0</v>
      </c>
      <c r="K1212">
        <f>IF(COUNTIF($E1212, _xlfn.CONCAT("*",Table13[[#Headers],[Animation]],"*")),1,0)</f>
        <v>1</v>
      </c>
      <c r="L1212">
        <f>IF(COUNTIF($E1212, _xlfn.CONCAT("*",Table13[[#Headers],[Comedy]],"*")),1,0)</f>
        <v>0</v>
      </c>
      <c r="M1212">
        <f>IF(COUNTIF($E1212, _xlfn.CONCAT("*",Table13[[#Headers],[Crime]],"*")),1,0)</f>
        <v>0</v>
      </c>
      <c r="N1212">
        <f>IF(COUNTIF($E1212, _xlfn.CONCAT("*",Table13[[#Headers],[Documentary]],"*")),1,0)</f>
        <v>0</v>
      </c>
      <c r="O1212">
        <f>IF(COUNTIF($E1212, _xlfn.CONCAT("*",Table13[[#Headers],[Drama]],"*")),1,0)</f>
        <v>0</v>
      </c>
      <c r="P1212">
        <f>IF(COUNTIF($E1212, _xlfn.CONCAT("*",Table13[[#Headers],[Family]],"*")),1,0)</f>
        <v>0</v>
      </c>
      <c r="Q1212">
        <f>IF(COUNTIF($E1212, _xlfn.CONCAT("*",Table13[[#Headers],[Fantasy]],"*")),1,0)</f>
        <v>0</v>
      </c>
      <c r="R1212">
        <f>IF(COUNTIF($E1212, _xlfn.CONCAT("*",Table13[[#Headers],[History]],"*")),1,0)</f>
        <v>0</v>
      </c>
      <c r="S1212">
        <f>IF(COUNTIF($E1212, _xlfn.CONCAT("*",Table13[[#Headers],[Horror]],"*")),1,0)</f>
        <v>0</v>
      </c>
      <c r="T1212">
        <f>IF(COUNTIF($E1212, _xlfn.CONCAT("*",Table13[[#Headers],[Music]],"*")),1,0)</f>
        <v>0</v>
      </c>
      <c r="U1212">
        <f>IF(COUNTIF($E1212, _xlfn.CONCAT("*",Table13[[#Headers],[Mystery]],"*")),1,0)</f>
        <v>0</v>
      </c>
      <c r="V1212">
        <f>IF(COUNTIF($E1212, _xlfn.CONCAT("*",Table13[[#Headers],[Romance]],"*")),1,0)</f>
        <v>0</v>
      </c>
      <c r="W1212">
        <f>IF(COUNTIF($E1212, _xlfn.CONCAT("*",Table13[[#Headers],[Science Fiction]],"*")),1,0)</f>
        <v>1</v>
      </c>
      <c r="X1212">
        <f>IF(COUNTIF($E1212, _xlfn.CONCAT("*",Table13[[#Headers],[TV Movie]],"*")),1,0)</f>
        <v>0</v>
      </c>
      <c r="Y1212">
        <f>IF(COUNTIF($E1212, _xlfn.CONCAT("*",Table13[[#Headers],[Thriller]],"*")),1,0)</f>
        <v>0</v>
      </c>
      <c r="Z1212">
        <f>IF(COUNTIF($E1212, _xlfn.CONCAT("*",Table13[[#Headers],[War]],"*")),1,0)</f>
        <v>0</v>
      </c>
      <c r="AA1212">
        <f>IF(COUNTIF($E1212, _xlfn.CONCAT("*",Table13[[#Headers],[Western]],"*")),1,0)</f>
        <v>0</v>
      </c>
    </row>
    <row r="1213" spans="1:27">
      <c r="A1213" t="s">
        <v>1105</v>
      </c>
      <c r="B1213">
        <v>78</v>
      </c>
      <c r="C1213">
        <f>MAX(Table13[Rank])-Table13[[#This Row],[Rank]]</f>
        <v>186</v>
      </c>
      <c r="D1213" t="s">
        <v>1022</v>
      </c>
      <c r="E1213" t="s">
        <v>1014</v>
      </c>
      <c r="F1213" s="1">
        <v>15267</v>
      </c>
      <c r="G1213">
        <f>YEAR(Table13[[#This Row],[Date]])</f>
        <v>1941</v>
      </c>
      <c r="H1213" t="s">
        <v>1013</v>
      </c>
      <c r="I1213">
        <f>IF(COUNTIF($E1213, _xlfn.CONCAT("*",Table13[[#Headers],[Action]],"*")),1,0)</f>
        <v>0</v>
      </c>
      <c r="J1213">
        <f>IF(COUNTIF($E1213, _xlfn.CONCAT("*",Table13[[#Headers],[Adventure]],"*")),1,0)</f>
        <v>0</v>
      </c>
      <c r="K1213">
        <f>IF(COUNTIF($E1213, _xlfn.CONCAT("*",Table13[[#Headers],[Animation]],"*")),1,0)</f>
        <v>0</v>
      </c>
      <c r="L1213">
        <f>IF(COUNTIF($E1213, _xlfn.CONCAT("*",Table13[[#Headers],[Comedy]],"*")),1,0)</f>
        <v>0</v>
      </c>
      <c r="M1213">
        <f>IF(COUNTIF($E1213, _xlfn.CONCAT("*",Table13[[#Headers],[Crime]],"*")),1,0)</f>
        <v>1</v>
      </c>
      <c r="N1213">
        <f>IF(COUNTIF($E1213, _xlfn.CONCAT("*",Table13[[#Headers],[Documentary]],"*")),1,0)</f>
        <v>0</v>
      </c>
      <c r="O1213">
        <f>IF(COUNTIF($E1213, _xlfn.CONCAT("*",Table13[[#Headers],[Drama]],"*")),1,0)</f>
        <v>0</v>
      </c>
      <c r="P1213">
        <f>IF(COUNTIF($E1213, _xlfn.CONCAT("*",Table13[[#Headers],[Family]],"*")),1,0)</f>
        <v>0</v>
      </c>
      <c r="Q1213">
        <f>IF(COUNTIF($E1213, _xlfn.CONCAT("*",Table13[[#Headers],[Fantasy]],"*")),1,0)</f>
        <v>0</v>
      </c>
      <c r="R1213">
        <f>IF(COUNTIF($E1213, _xlfn.CONCAT("*",Table13[[#Headers],[History]],"*")),1,0)</f>
        <v>0</v>
      </c>
      <c r="S1213">
        <f>IF(COUNTIF($E1213, _xlfn.CONCAT("*",Table13[[#Headers],[Horror]],"*")),1,0)</f>
        <v>0</v>
      </c>
      <c r="T1213">
        <f>IF(COUNTIF($E1213, _xlfn.CONCAT("*",Table13[[#Headers],[Music]],"*")),1,0)</f>
        <v>0</v>
      </c>
      <c r="U1213">
        <f>IF(COUNTIF($E1213, _xlfn.CONCAT("*",Table13[[#Headers],[Mystery]],"*")),1,0)</f>
        <v>1</v>
      </c>
      <c r="V1213">
        <f>IF(COUNTIF($E1213, _xlfn.CONCAT("*",Table13[[#Headers],[Romance]],"*")),1,0)</f>
        <v>0</v>
      </c>
      <c r="W1213">
        <f>IF(COUNTIF($E1213, _xlfn.CONCAT("*",Table13[[#Headers],[Science Fiction]],"*")),1,0)</f>
        <v>0</v>
      </c>
      <c r="X1213">
        <f>IF(COUNTIF($E1213, _xlfn.CONCAT("*",Table13[[#Headers],[TV Movie]],"*")),1,0)</f>
        <v>0</v>
      </c>
      <c r="Y1213">
        <f>IF(COUNTIF($E1213, _xlfn.CONCAT("*",Table13[[#Headers],[Thriller]],"*")),1,0)</f>
        <v>1</v>
      </c>
      <c r="Z1213">
        <f>IF(COUNTIF($E1213, _xlfn.CONCAT("*",Table13[[#Headers],[War]],"*")),1,0)</f>
        <v>0</v>
      </c>
      <c r="AA1213">
        <f>IF(COUNTIF($E1213, _xlfn.CONCAT("*",Table13[[#Headers],[Western]],"*")),1,0)</f>
        <v>0</v>
      </c>
    </row>
    <row r="1214" spans="1:27">
      <c r="A1214" t="s">
        <v>1106</v>
      </c>
      <c r="B1214">
        <v>79</v>
      </c>
      <c r="C1214">
        <f>MAX(Table13[Rank])-Table13[[#This Row],[Rank]]</f>
        <v>185</v>
      </c>
      <c r="D1214" t="s">
        <v>1022</v>
      </c>
      <c r="E1214" t="s">
        <v>423</v>
      </c>
      <c r="F1214" s="1">
        <v>30743</v>
      </c>
      <c r="G1214">
        <f>YEAR(Table13[[#This Row],[Date]])</f>
        <v>1984</v>
      </c>
      <c r="H1214" t="s">
        <v>1107</v>
      </c>
      <c r="I1214">
        <f>IF(COUNTIF($E1214, _xlfn.CONCAT("*",Table13[[#Headers],[Action]],"*")),1,0)</f>
        <v>0</v>
      </c>
      <c r="J1214">
        <f>IF(COUNTIF($E1214, _xlfn.CONCAT("*",Table13[[#Headers],[Adventure]],"*")),1,0)</f>
        <v>0</v>
      </c>
      <c r="K1214">
        <f>IF(COUNTIF($E1214, _xlfn.CONCAT("*",Table13[[#Headers],[Animation]],"*")),1,0)</f>
        <v>0</v>
      </c>
      <c r="L1214">
        <f>IF(COUNTIF($E1214, _xlfn.CONCAT("*",Table13[[#Headers],[Comedy]],"*")),1,0)</f>
        <v>1</v>
      </c>
      <c r="M1214">
        <f>IF(COUNTIF($E1214, _xlfn.CONCAT("*",Table13[[#Headers],[Crime]],"*")),1,0)</f>
        <v>0</v>
      </c>
      <c r="N1214">
        <f>IF(COUNTIF($E1214, _xlfn.CONCAT("*",Table13[[#Headers],[Documentary]],"*")),1,0)</f>
        <v>0</v>
      </c>
      <c r="O1214">
        <f>IF(COUNTIF($E1214, _xlfn.CONCAT("*",Table13[[#Headers],[Drama]],"*")),1,0)</f>
        <v>0</v>
      </c>
      <c r="P1214">
        <f>IF(COUNTIF($E1214, _xlfn.CONCAT("*",Table13[[#Headers],[Family]],"*")),1,0)</f>
        <v>0</v>
      </c>
      <c r="Q1214">
        <f>IF(COUNTIF($E1214, _xlfn.CONCAT("*",Table13[[#Headers],[Fantasy]],"*")),1,0)</f>
        <v>0</v>
      </c>
      <c r="R1214">
        <f>IF(COUNTIF($E1214, _xlfn.CONCAT("*",Table13[[#Headers],[History]],"*")),1,0)</f>
        <v>0</v>
      </c>
      <c r="S1214">
        <f>IF(COUNTIF($E1214, _xlfn.CONCAT("*",Table13[[#Headers],[Horror]],"*")),1,0)</f>
        <v>0</v>
      </c>
      <c r="T1214">
        <f>IF(COUNTIF($E1214, _xlfn.CONCAT("*",Table13[[#Headers],[Music]],"*")),1,0)</f>
        <v>1</v>
      </c>
      <c r="U1214">
        <f>IF(COUNTIF($E1214, _xlfn.CONCAT("*",Table13[[#Headers],[Mystery]],"*")),1,0)</f>
        <v>0</v>
      </c>
      <c r="V1214">
        <f>IF(COUNTIF($E1214, _xlfn.CONCAT("*",Table13[[#Headers],[Romance]],"*")),1,0)</f>
        <v>0</v>
      </c>
      <c r="W1214">
        <f>IF(COUNTIF($E1214, _xlfn.CONCAT("*",Table13[[#Headers],[Science Fiction]],"*")),1,0)</f>
        <v>0</v>
      </c>
      <c r="X1214">
        <f>IF(COUNTIF($E1214, _xlfn.CONCAT("*",Table13[[#Headers],[TV Movie]],"*")),1,0)</f>
        <v>0</v>
      </c>
      <c r="Y1214">
        <f>IF(COUNTIF($E1214, _xlfn.CONCAT("*",Table13[[#Headers],[Thriller]],"*")),1,0)</f>
        <v>0</v>
      </c>
      <c r="Z1214">
        <f>IF(COUNTIF($E1214, _xlfn.CONCAT("*",Table13[[#Headers],[War]],"*")),1,0)</f>
        <v>0</v>
      </c>
      <c r="AA1214">
        <f>IF(COUNTIF($E1214, _xlfn.CONCAT("*",Table13[[#Headers],[Western]],"*")),1,0)</f>
        <v>0</v>
      </c>
    </row>
    <row r="1215" spans="1:27">
      <c r="A1215" t="s">
        <v>1108</v>
      </c>
      <c r="B1215">
        <v>80</v>
      </c>
      <c r="C1215">
        <f>MAX(Table13[Rank])-Table13[[#This Row],[Rank]]</f>
        <v>184</v>
      </c>
      <c r="D1215" t="s">
        <v>1022</v>
      </c>
      <c r="E1215" t="s">
        <v>220</v>
      </c>
      <c r="F1215" s="1">
        <v>12472</v>
      </c>
      <c r="G1215">
        <f>YEAR(Table13[[#This Row],[Date]])</f>
        <v>1934</v>
      </c>
      <c r="H1215" t="s">
        <v>409</v>
      </c>
      <c r="I1215">
        <f>IF(COUNTIF($E1215, _xlfn.CONCAT("*",Table13[[#Headers],[Action]],"*")),1,0)</f>
        <v>0</v>
      </c>
      <c r="J1215">
        <f>IF(COUNTIF($E1215, _xlfn.CONCAT("*",Table13[[#Headers],[Adventure]],"*")),1,0)</f>
        <v>0</v>
      </c>
      <c r="K1215">
        <f>IF(COUNTIF($E1215, _xlfn.CONCAT("*",Table13[[#Headers],[Animation]],"*")),1,0)</f>
        <v>0</v>
      </c>
      <c r="L1215">
        <f>IF(COUNTIF($E1215, _xlfn.CONCAT("*",Table13[[#Headers],[Comedy]],"*")),1,0)</f>
        <v>1</v>
      </c>
      <c r="M1215">
        <f>IF(COUNTIF($E1215, _xlfn.CONCAT("*",Table13[[#Headers],[Crime]],"*")),1,0)</f>
        <v>0</v>
      </c>
      <c r="N1215">
        <f>IF(COUNTIF($E1215, _xlfn.CONCAT("*",Table13[[#Headers],[Documentary]],"*")),1,0)</f>
        <v>0</v>
      </c>
      <c r="O1215">
        <f>IF(COUNTIF($E1215, _xlfn.CONCAT("*",Table13[[#Headers],[Drama]],"*")),1,0)</f>
        <v>0</v>
      </c>
      <c r="P1215">
        <f>IF(COUNTIF($E1215, _xlfn.CONCAT("*",Table13[[#Headers],[Family]],"*")),1,0)</f>
        <v>0</v>
      </c>
      <c r="Q1215">
        <f>IF(COUNTIF($E1215, _xlfn.CONCAT("*",Table13[[#Headers],[Fantasy]],"*")),1,0)</f>
        <v>0</v>
      </c>
      <c r="R1215">
        <f>IF(COUNTIF($E1215, _xlfn.CONCAT("*",Table13[[#Headers],[History]],"*")),1,0)</f>
        <v>0</v>
      </c>
      <c r="S1215">
        <f>IF(COUNTIF($E1215, _xlfn.CONCAT("*",Table13[[#Headers],[Horror]],"*")),1,0)</f>
        <v>0</v>
      </c>
      <c r="T1215">
        <f>IF(COUNTIF($E1215, _xlfn.CONCAT("*",Table13[[#Headers],[Music]],"*")),1,0)</f>
        <v>0</v>
      </c>
      <c r="U1215">
        <f>IF(COUNTIF($E1215, _xlfn.CONCAT("*",Table13[[#Headers],[Mystery]],"*")),1,0)</f>
        <v>0</v>
      </c>
      <c r="V1215">
        <f>IF(COUNTIF($E1215, _xlfn.CONCAT("*",Table13[[#Headers],[Romance]],"*")),1,0)</f>
        <v>1</v>
      </c>
      <c r="W1215">
        <f>IF(COUNTIF($E1215, _xlfn.CONCAT("*",Table13[[#Headers],[Science Fiction]],"*")),1,0)</f>
        <v>0</v>
      </c>
      <c r="X1215">
        <f>IF(COUNTIF($E1215, _xlfn.CONCAT("*",Table13[[#Headers],[TV Movie]],"*")),1,0)</f>
        <v>0</v>
      </c>
      <c r="Y1215">
        <f>IF(COUNTIF($E1215, _xlfn.CONCAT("*",Table13[[#Headers],[Thriller]],"*")),1,0)</f>
        <v>0</v>
      </c>
      <c r="Z1215">
        <f>IF(COUNTIF($E1215, _xlfn.CONCAT("*",Table13[[#Headers],[War]],"*")),1,0)</f>
        <v>0</v>
      </c>
      <c r="AA1215">
        <f>IF(COUNTIF($E1215, _xlfn.CONCAT("*",Table13[[#Headers],[Western]],"*")),1,0)</f>
        <v>0</v>
      </c>
    </row>
    <row r="1216" spans="1:27">
      <c r="A1216" t="s">
        <v>1109</v>
      </c>
      <c r="B1216">
        <v>81</v>
      </c>
      <c r="C1216">
        <f>MAX(Table13[Rank])-Table13[[#This Row],[Rank]]</f>
        <v>183</v>
      </c>
      <c r="D1216" t="s">
        <v>1022</v>
      </c>
      <c r="E1216" t="s">
        <v>631</v>
      </c>
      <c r="F1216" s="1">
        <v>41311</v>
      </c>
      <c r="G1216">
        <f>YEAR(Table13[[#This Row],[Date]])</f>
        <v>2013</v>
      </c>
      <c r="H1216" t="s">
        <v>632</v>
      </c>
      <c r="I1216">
        <f>IF(COUNTIF($E1216, _xlfn.CONCAT("*",Table13[[#Headers],[Action]],"*")),1,0)</f>
        <v>1</v>
      </c>
      <c r="J1216">
        <f>IF(COUNTIF($E1216, _xlfn.CONCAT("*",Table13[[#Headers],[Adventure]],"*")),1,0)</f>
        <v>0</v>
      </c>
      <c r="K1216">
        <f>IF(COUNTIF($E1216, _xlfn.CONCAT("*",Table13[[#Headers],[Animation]],"*")),1,0)</f>
        <v>0</v>
      </c>
      <c r="L1216">
        <f>IF(COUNTIF($E1216, _xlfn.CONCAT("*",Table13[[#Headers],[Comedy]],"*")),1,0)</f>
        <v>0</v>
      </c>
      <c r="M1216">
        <f>IF(COUNTIF($E1216, _xlfn.CONCAT("*",Table13[[#Headers],[Crime]],"*")),1,0)</f>
        <v>0</v>
      </c>
      <c r="N1216">
        <f>IF(COUNTIF($E1216, _xlfn.CONCAT("*",Table13[[#Headers],[Documentary]],"*")),1,0)</f>
        <v>0</v>
      </c>
      <c r="O1216">
        <f>IF(COUNTIF($E1216, _xlfn.CONCAT("*",Table13[[#Headers],[Drama]],"*")),1,0)</f>
        <v>0</v>
      </c>
      <c r="P1216">
        <f>IF(COUNTIF($E1216, _xlfn.CONCAT("*",Table13[[#Headers],[Family]],"*")),1,0)</f>
        <v>0</v>
      </c>
      <c r="Q1216">
        <f>IF(COUNTIF($E1216, _xlfn.CONCAT("*",Table13[[#Headers],[Fantasy]],"*")),1,0)</f>
        <v>0</v>
      </c>
      <c r="R1216">
        <f>IF(COUNTIF($E1216, _xlfn.CONCAT("*",Table13[[#Headers],[History]],"*")),1,0)</f>
        <v>0</v>
      </c>
      <c r="S1216">
        <f>IF(COUNTIF($E1216, _xlfn.CONCAT("*",Table13[[#Headers],[Horror]],"*")),1,0)</f>
        <v>0</v>
      </c>
      <c r="T1216">
        <f>IF(COUNTIF($E1216, _xlfn.CONCAT("*",Table13[[#Headers],[Music]],"*")),1,0)</f>
        <v>0</v>
      </c>
      <c r="U1216">
        <f>IF(COUNTIF($E1216, _xlfn.CONCAT("*",Table13[[#Headers],[Mystery]],"*")),1,0)</f>
        <v>0</v>
      </c>
      <c r="V1216">
        <f>IF(COUNTIF($E1216, _xlfn.CONCAT("*",Table13[[#Headers],[Romance]],"*")),1,0)</f>
        <v>0</v>
      </c>
      <c r="W1216">
        <f>IF(COUNTIF($E1216, _xlfn.CONCAT("*",Table13[[#Headers],[Science Fiction]],"*")),1,0)</f>
        <v>0</v>
      </c>
      <c r="X1216">
        <f>IF(COUNTIF($E1216, _xlfn.CONCAT("*",Table13[[#Headers],[TV Movie]],"*")),1,0)</f>
        <v>0</v>
      </c>
      <c r="Y1216">
        <f>IF(COUNTIF($E1216, _xlfn.CONCAT("*",Table13[[#Headers],[Thriller]],"*")),1,0)</f>
        <v>1</v>
      </c>
      <c r="Z1216">
        <f>IF(COUNTIF($E1216, _xlfn.CONCAT("*",Table13[[#Headers],[War]],"*")),1,0)</f>
        <v>0</v>
      </c>
      <c r="AA1216">
        <f>IF(COUNTIF($E1216, _xlfn.CONCAT("*",Table13[[#Headers],[Western]],"*")),1,0)</f>
        <v>0</v>
      </c>
    </row>
    <row r="1217" spans="1:27">
      <c r="A1217" t="s">
        <v>1110</v>
      </c>
      <c r="B1217">
        <v>82</v>
      </c>
      <c r="C1217">
        <f>MAX(Table13[Rank])-Table13[[#This Row],[Rank]]</f>
        <v>182</v>
      </c>
      <c r="D1217" t="s">
        <v>1022</v>
      </c>
      <c r="E1217" t="s">
        <v>21</v>
      </c>
      <c r="F1217" s="1">
        <v>25962</v>
      </c>
      <c r="G1217">
        <f>YEAR(Table13[[#This Row],[Date]])</f>
        <v>1971</v>
      </c>
      <c r="H1217" t="s">
        <v>238</v>
      </c>
      <c r="I1217">
        <f>IF(COUNTIF($E1217, _xlfn.CONCAT("*",Table13[[#Headers],[Action]],"*")),1,0)</f>
        <v>0</v>
      </c>
      <c r="J1217">
        <f>IF(COUNTIF($E1217, _xlfn.CONCAT("*",Table13[[#Headers],[Adventure]],"*")),1,0)</f>
        <v>0</v>
      </c>
      <c r="K1217">
        <f>IF(COUNTIF($E1217, _xlfn.CONCAT("*",Table13[[#Headers],[Animation]],"*")),1,0)</f>
        <v>0</v>
      </c>
      <c r="L1217">
        <f>IF(COUNTIF($E1217, _xlfn.CONCAT("*",Table13[[#Headers],[Comedy]],"*")),1,0)</f>
        <v>0</v>
      </c>
      <c r="M1217">
        <f>IF(COUNTIF($E1217, _xlfn.CONCAT("*",Table13[[#Headers],[Crime]],"*")),1,0)</f>
        <v>0</v>
      </c>
      <c r="N1217">
        <f>IF(COUNTIF($E1217, _xlfn.CONCAT("*",Table13[[#Headers],[Documentary]],"*")),1,0)</f>
        <v>0</v>
      </c>
      <c r="O1217">
        <f>IF(COUNTIF($E1217, _xlfn.CONCAT("*",Table13[[#Headers],[Drama]],"*")),1,0)</f>
        <v>1</v>
      </c>
      <c r="P1217">
        <f>IF(COUNTIF($E1217, _xlfn.CONCAT("*",Table13[[#Headers],[Family]],"*")),1,0)</f>
        <v>0</v>
      </c>
      <c r="Q1217">
        <f>IF(COUNTIF($E1217, _xlfn.CONCAT("*",Table13[[#Headers],[Fantasy]],"*")),1,0)</f>
        <v>0</v>
      </c>
      <c r="R1217">
        <f>IF(COUNTIF($E1217, _xlfn.CONCAT("*",Table13[[#Headers],[History]],"*")),1,0)</f>
        <v>0</v>
      </c>
      <c r="S1217">
        <f>IF(COUNTIF($E1217, _xlfn.CONCAT("*",Table13[[#Headers],[Horror]],"*")),1,0)</f>
        <v>0</v>
      </c>
      <c r="T1217">
        <f>IF(COUNTIF($E1217, _xlfn.CONCAT("*",Table13[[#Headers],[Music]],"*")),1,0)</f>
        <v>0</v>
      </c>
      <c r="U1217">
        <f>IF(COUNTIF($E1217, _xlfn.CONCAT("*",Table13[[#Headers],[Mystery]],"*")),1,0)</f>
        <v>0</v>
      </c>
      <c r="V1217">
        <f>IF(COUNTIF($E1217, _xlfn.CONCAT("*",Table13[[#Headers],[Romance]],"*")),1,0)</f>
        <v>0</v>
      </c>
      <c r="W1217">
        <f>IF(COUNTIF($E1217, _xlfn.CONCAT("*",Table13[[#Headers],[Science Fiction]],"*")),1,0)</f>
        <v>0</v>
      </c>
      <c r="X1217">
        <f>IF(COUNTIF($E1217, _xlfn.CONCAT("*",Table13[[#Headers],[TV Movie]],"*")),1,0)</f>
        <v>0</v>
      </c>
      <c r="Y1217">
        <f>IF(COUNTIF($E1217, _xlfn.CONCAT("*",Table13[[#Headers],[Thriller]],"*")),1,0)</f>
        <v>0</v>
      </c>
      <c r="Z1217">
        <f>IF(COUNTIF($E1217, _xlfn.CONCAT("*",Table13[[#Headers],[War]],"*")),1,0)</f>
        <v>0</v>
      </c>
      <c r="AA1217">
        <f>IF(COUNTIF($E1217, _xlfn.CONCAT("*",Table13[[#Headers],[Western]],"*")),1,0)</f>
        <v>0</v>
      </c>
    </row>
    <row r="1218" spans="1:27">
      <c r="A1218" t="s">
        <v>1111</v>
      </c>
      <c r="B1218">
        <v>83</v>
      </c>
      <c r="C1218">
        <f>MAX(Table13[Rank])-Table13[[#This Row],[Rank]]</f>
        <v>181</v>
      </c>
      <c r="D1218" t="s">
        <v>1022</v>
      </c>
      <c r="E1218" t="s">
        <v>236</v>
      </c>
      <c r="F1218" s="1">
        <v>30127</v>
      </c>
      <c r="G1218">
        <f>YEAR(Table13[[#This Row],[Date]])</f>
        <v>1982</v>
      </c>
      <c r="H1218" t="s">
        <v>235</v>
      </c>
      <c r="I1218">
        <f>IF(COUNTIF($E1218, _xlfn.CONCAT("*",Table13[[#Headers],[Action]],"*")),1,0)</f>
        <v>0</v>
      </c>
      <c r="J1218">
        <f>IF(COUNTIF($E1218, _xlfn.CONCAT("*",Table13[[#Headers],[Adventure]],"*")),1,0)</f>
        <v>0</v>
      </c>
      <c r="K1218">
        <f>IF(COUNTIF($E1218, _xlfn.CONCAT("*",Table13[[#Headers],[Animation]],"*")),1,0)</f>
        <v>0</v>
      </c>
      <c r="L1218">
        <f>IF(COUNTIF($E1218, _xlfn.CONCAT("*",Table13[[#Headers],[Comedy]],"*")),1,0)</f>
        <v>0</v>
      </c>
      <c r="M1218">
        <f>IF(COUNTIF($E1218, _xlfn.CONCAT("*",Table13[[#Headers],[Crime]],"*")),1,0)</f>
        <v>0</v>
      </c>
      <c r="N1218">
        <f>IF(COUNTIF($E1218, _xlfn.CONCAT("*",Table13[[#Headers],[Documentary]],"*")),1,0)</f>
        <v>0</v>
      </c>
      <c r="O1218">
        <f>IF(COUNTIF($E1218, _xlfn.CONCAT("*",Table13[[#Headers],[Drama]],"*")),1,0)</f>
        <v>0</v>
      </c>
      <c r="P1218">
        <f>IF(COUNTIF($E1218, _xlfn.CONCAT("*",Table13[[#Headers],[Family]],"*")),1,0)</f>
        <v>0</v>
      </c>
      <c r="Q1218">
        <f>IF(COUNTIF($E1218, _xlfn.CONCAT("*",Table13[[#Headers],[Fantasy]],"*")),1,0)</f>
        <v>0</v>
      </c>
      <c r="R1218">
        <f>IF(COUNTIF($E1218, _xlfn.CONCAT("*",Table13[[#Headers],[History]],"*")),1,0)</f>
        <v>0</v>
      </c>
      <c r="S1218">
        <f>IF(COUNTIF($E1218, _xlfn.CONCAT("*",Table13[[#Headers],[Horror]],"*")),1,0)</f>
        <v>1</v>
      </c>
      <c r="T1218">
        <f>IF(COUNTIF($E1218, _xlfn.CONCAT("*",Table13[[#Headers],[Music]],"*")),1,0)</f>
        <v>0</v>
      </c>
      <c r="U1218">
        <f>IF(COUNTIF($E1218, _xlfn.CONCAT("*",Table13[[#Headers],[Mystery]],"*")),1,0)</f>
        <v>1</v>
      </c>
      <c r="V1218">
        <f>IF(COUNTIF($E1218, _xlfn.CONCAT("*",Table13[[#Headers],[Romance]],"*")),1,0)</f>
        <v>0</v>
      </c>
      <c r="W1218">
        <f>IF(COUNTIF($E1218, _xlfn.CONCAT("*",Table13[[#Headers],[Science Fiction]],"*")),1,0)</f>
        <v>1</v>
      </c>
      <c r="X1218">
        <f>IF(COUNTIF($E1218, _xlfn.CONCAT("*",Table13[[#Headers],[TV Movie]],"*")),1,0)</f>
        <v>0</v>
      </c>
      <c r="Y1218">
        <f>IF(COUNTIF($E1218, _xlfn.CONCAT("*",Table13[[#Headers],[Thriller]],"*")),1,0)</f>
        <v>0</v>
      </c>
      <c r="Z1218">
        <f>IF(COUNTIF($E1218, _xlfn.CONCAT("*",Table13[[#Headers],[War]],"*")),1,0)</f>
        <v>0</v>
      </c>
      <c r="AA1218">
        <f>IF(COUNTIF($E1218, _xlfn.CONCAT("*",Table13[[#Headers],[Western]],"*")),1,0)</f>
        <v>0</v>
      </c>
    </row>
    <row r="1219" spans="1:27">
      <c r="A1219" t="s">
        <v>1112</v>
      </c>
      <c r="B1219">
        <v>84</v>
      </c>
      <c r="C1219">
        <f>MAX(Table13[Rank])-Table13[[#This Row],[Rank]]</f>
        <v>180</v>
      </c>
      <c r="D1219" t="s">
        <v>1022</v>
      </c>
      <c r="E1219" t="s">
        <v>35</v>
      </c>
      <c r="F1219" s="1">
        <v>33262</v>
      </c>
      <c r="G1219">
        <f>YEAR(Table13[[#This Row],[Date]])</f>
        <v>1991</v>
      </c>
      <c r="H1219" t="s">
        <v>318</v>
      </c>
      <c r="I1219">
        <f>IF(COUNTIF($E1219, _xlfn.CONCAT("*",Table13[[#Headers],[Action]],"*")),1,0)</f>
        <v>0</v>
      </c>
      <c r="J1219">
        <f>IF(COUNTIF($E1219, _xlfn.CONCAT("*",Table13[[#Headers],[Adventure]],"*")),1,0)</f>
        <v>0</v>
      </c>
      <c r="K1219">
        <f>IF(COUNTIF($E1219, _xlfn.CONCAT("*",Table13[[#Headers],[Animation]],"*")),1,0)</f>
        <v>0</v>
      </c>
      <c r="L1219">
        <f>IF(COUNTIF($E1219, _xlfn.CONCAT("*",Table13[[#Headers],[Comedy]],"*")),1,0)</f>
        <v>0</v>
      </c>
      <c r="M1219">
        <f>IF(COUNTIF($E1219, _xlfn.CONCAT("*",Table13[[#Headers],[Crime]],"*")),1,0)</f>
        <v>0</v>
      </c>
      <c r="N1219">
        <f>IF(COUNTIF($E1219, _xlfn.CONCAT("*",Table13[[#Headers],[Documentary]],"*")),1,0)</f>
        <v>0</v>
      </c>
      <c r="O1219">
        <f>IF(COUNTIF($E1219, _xlfn.CONCAT("*",Table13[[#Headers],[Drama]],"*")),1,0)</f>
        <v>1</v>
      </c>
      <c r="P1219">
        <f>IF(COUNTIF($E1219, _xlfn.CONCAT("*",Table13[[#Headers],[Family]],"*")),1,0)</f>
        <v>0</v>
      </c>
      <c r="Q1219">
        <f>IF(COUNTIF($E1219, _xlfn.CONCAT("*",Table13[[#Headers],[Fantasy]],"*")),1,0)</f>
        <v>0</v>
      </c>
      <c r="R1219">
        <f>IF(COUNTIF($E1219, _xlfn.CONCAT("*",Table13[[#Headers],[History]],"*")),1,0)</f>
        <v>0</v>
      </c>
      <c r="S1219">
        <f>IF(COUNTIF($E1219, _xlfn.CONCAT("*",Table13[[#Headers],[Horror]],"*")),1,0)</f>
        <v>0</v>
      </c>
      <c r="T1219">
        <f>IF(COUNTIF($E1219, _xlfn.CONCAT("*",Table13[[#Headers],[Music]],"*")),1,0)</f>
        <v>0</v>
      </c>
      <c r="U1219">
        <f>IF(COUNTIF($E1219, _xlfn.CONCAT("*",Table13[[#Headers],[Mystery]],"*")),1,0)</f>
        <v>0</v>
      </c>
      <c r="V1219">
        <f>IF(COUNTIF($E1219, _xlfn.CONCAT("*",Table13[[#Headers],[Romance]],"*")),1,0)</f>
        <v>1</v>
      </c>
      <c r="W1219">
        <f>IF(COUNTIF($E1219, _xlfn.CONCAT("*",Table13[[#Headers],[Science Fiction]],"*")),1,0)</f>
        <v>0</v>
      </c>
      <c r="X1219">
        <f>IF(COUNTIF($E1219, _xlfn.CONCAT("*",Table13[[#Headers],[TV Movie]],"*")),1,0)</f>
        <v>0</v>
      </c>
      <c r="Y1219">
        <f>IF(COUNTIF($E1219, _xlfn.CONCAT("*",Table13[[#Headers],[Thriller]],"*")),1,0)</f>
        <v>0</v>
      </c>
      <c r="Z1219">
        <f>IF(COUNTIF($E1219, _xlfn.CONCAT("*",Table13[[#Headers],[War]],"*")),1,0)</f>
        <v>0</v>
      </c>
      <c r="AA1219">
        <f>IF(COUNTIF($E1219, _xlfn.CONCAT("*",Table13[[#Headers],[Western]],"*")),1,0)</f>
        <v>0</v>
      </c>
    </row>
    <row r="1220" spans="1:27">
      <c r="A1220" t="s">
        <v>1113</v>
      </c>
      <c r="B1220">
        <v>85</v>
      </c>
      <c r="C1220">
        <f>MAX(Table13[Rank])-Table13[[#This Row],[Rank]]</f>
        <v>179</v>
      </c>
      <c r="D1220" t="s">
        <v>1022</v>
      </c>
      <c r="E1220" t="s">
        <v>336</v>
      </c>
      <c r="F1220" s="1">
        <v>27746</v>
      </c>
      <c r="G1220">
        <f>YEAR(Table13[[#This Row],[Date]])</f>
        <v>1975</v>
      </c>
      <c r="H1220" t="s">
        <v>335</v>
      </c>
      <c r="I1220">
        <f>IF(COUNTIF($E1220, _xlfn.CONCAT("*",Table13[[#Headers],[Action]],"*")),1,0)</f>
        <v>0</v>
      </c>
      <c r="J1220">
        <f>IF(COUNTIF($E1220, _xlfn.CONCAT("*",Table13[[#Headers],[Adventure]],"*")),1,0)</f>
        <v>0</v>
      </c>
      <c r="K1220">
        <f>IF(COUNTIF($E1220, _xlfn.CONCAT("*",Table13[[#Headers],[Animation]],"*")),1,0)</f>
        <v>0</v>
      </c>
      <c r="L1220">
        <f>IF(COUNTIF($E1220, _xlfn.CONCAT("*",Table13[[#Headers],[Comedy]],"*")),1,0)</f>
        <v>0</v>
      </c>
      <c r="M1220">
        <f>IF(COUNTIF($E1220, _xlfn.CONCAT("*",Table13[[#Headers],[Crime]],"*")),1,0)</f>
        <v>0</v>
      </c>
      <c r="N1220">
        <f>IF(COUNTIF($E1220, _xlfn.CONCAT("*",Table13[[#Headers],[Documentary]],"*")),1,0)</f>
        <v>0</v>
      </c>
      <c r="O1220">
        <f>IF(COUNTIF($E1220, _xlfn.CONCAT("*",Table13[[#Headers],[Drama]],"*")),1,0)</f>
        <v>1</v>
      </c>
      <c r="P1220">
        <f>IF(COUNTIF($E1220, _xlfn.CONCAT("*",Table13[[#Headers],[Family]],"*")),1,0)</f>
        <v>0</v>
      </c>
      <c r="Q1220">
        <f>IF(COUNTIF($E1220, _xlfn.CONCAT("*",Table13[[#Headers],[Fantasy]],"*")),1,0)</f>
        <v>0</v>
      </c>
      <c r="R1220">
        <f>IF(COUNTIF($E1220, _xlfn.CONCAT("*",Table13[[#Headers],[History]],"*")),1,0)</f>
        <v>0</v>
      </c>
      <c r="S1220">
        <f>IF(COUNTIF($E1220, _xlfn.CONCAT("*",Table13[[#Headers],[Horror]],"*")),1,0)</f>
        <v>0</v>
      </c>
      <c r="T1220">
        <f>IF(COUNTIF($E1220, _xlfn.CONCAT("*",Table13[[#Headers],[Music]],"*")),1,0)</f>
        <v>0</v>
      </c>
      <c r="U1220">
        <f>IF(COUNTIF($E1220, _xlfn.CONCAT("*",Table13[[#Headers],[Mystery]],"*")),1,0)</f>
        <v>0</v>
      </c>
      <c r="V1220">
        <f>IF(COUNTIF($E1220, _xlfn.CONCAT("*",Table13[[#Headers],[Romance]],"*")),1,0)</f>
        <v>1</v>
      </c>
      <c r="W1220">
        <f>IF(COUNTIF($E1220, _xlfn.CONCAT("*",Table13[[#Headers],[Science Fiction]],"*")),1,0)</f>
        <v>0</v>
      </c>
      <c r="X1220">
        <f>IF(COUNTIF($E1220, _xlfn.CONCAT("*",Table13[[#Headers],[TV Movie]],"*")),1,0)</f>
        <v>0</v>
      </c>
      <c r="Y1220">
        <f>IF(COUNTIF($E1220, _xlfn.CONCAT("*",Table13[[#Headers],[Thriller]],"*")),1,0)</f>
        <v>0</v>
      </c>
      <c r="Z1220">
        <f>IF(COUNTIF($E1220, _xlfn.CONCAT("*",Table13[[#Headers],[War]],"*")),1,0)</f>
        <v>1</v>
      </c>
      <c r="AA1220">
        <f>IF(COUNTIF($E1220, _xlfn.CONCAT("*",Table13[[#Headers],[Western]],"*")),1,0)</f>
        <v>0</v>
      </c>
    </row>
    <row r="1221" spans="1:27">
      <c r="A1221" t="s">
        <v>1114</v>
      </c>
      <c r="B1221">
        <v>86</v>
      </c>
      <c r="C1221">
        <f>MAX(Table13[Rank])-Table13[[#This Row],[Rank]]</f>
        <v>178</v>
      </c>
      <c r="D1221" t="s">
        <v>1022</v>
      </c>
      <c r="E1221" t="s">
        <v>21</v>
      </c>
      <c r="F1221" s="1">
        <v>29539</v>
      </c>
      <c r="G1221">
        <f>YEAR(Table13[[#This Row],[Date]])</f>
        <v>1980</v>
      </c>
      <c r="H1221" t="s">
        <v>218</v>
      </c>
      <c r="I1221">
        <f>IF(COUNTIF($E1221, _xlfn.CONCAT("*",Table13[[#Headers],[Action]],"*")),1,0)</f>
        <v>0</v>
      </c>
      <c r="J1221">
        <f>IF(COUNTIF($E1221, _xlfn.CONCAT("*",Table13[[#Headers],[Adventure]],"*")),1,0)</f>
        <v>0</v>
      </c>
      <c r="K1221">
        <f>IF(COUNTIF($E1221, _xlfn.CONCAT("*",Table13[[#Headers],[Animation]],"*")),1,0)</f>
        <v>0</v>
      </c>
      <c r="L1221">
        <f>IF(COUNTIF($E1221, _xlfn.CONCAT("*",Table13[[#Headers],[Comedy]],"*")),1,0)</f>
        <v>0</v>
      </c>
      <c r="M1221">
        <f>IF(COUNTIF($E1221, _xlfn.CONCAT("*",Table13[[#Headers],[Crime]],"*")),1,0)</f>
        <v>0</v>
      </c>
      <c r="N1221">
        <f>IF(COUNTIF($E1221, _xlfn.CONCAT("*",Table13[[#Headers],[Documentary]],"*")),1,0)</f>
        <v>0</v>
      </c>
      <c r="O1221">
        <f>IF(COUNTIF($E1221, _xlfn.CONCAT("*",Table13[[#Headers],[Drama]],"*")),1,0)</f>
        <v>1</v>
      </c>
      <c r="P1221">
        <f>IF(COUNTIF($E1221, _xlfn.CONCAT("*",Table13[[#Headers],[Family]],"*")),1,0)</f>
        <v>0</v>
      </c>
      <c r="Q1221">
        <f>IF(COUNTIF($E1221, _xlfn.CONCAT("*",Table13[[#Headers],[Fantasy]],"*")),1,0)</f>
        <v>0</v>
      </c>
      <c r="R1221">
        <f>IF(COUNTIF($E1221, _xlfn.CONCAT("*",Table13[[#Headers],[History]],"*")),1,0)</f>
        <v>0</v>
      </c>
      <c r="S1221">
        <f>IF(COUNTIF($E1221, _xlfn.CONCAT("*",Table13[[#Headers],[Horror]],"*")),1,0)</f>
        <v>0</v>
      </c>
      <c r="T1221">
        <f>IF(COUNTIF($E1221, _xlfn.CONCAT("*",Table13[[#Headers],[Music]],"*")),1,0)</f>
        <v>0</v>
      </c>
      <c r="U1221">
        <f>IF(COUNTIF($E1221, _xlfn.CONCAT("*",Table13[[#Headers],[Mystery]],"*")),1,0)</f>
        <v>0</v>
      </c>
      <c r="V1221">
        <f>IF(COUNTIF($E1221, _xlfn.CONCAT("*",Table13[[#Headers],[Romance]],"*")),1,0)</f>
        <v>0</v>
      </c>
      <c r="W1221">
        <f>IF(COUNTIF($E1221, _xlfn.CONCAT("*",Table13[[#Headers],[Science Fiction]],"*")),1,0)</f>
        <v>0</v>
      </c>
      <c r="X1221">
        <f>IF(COUNTIF($E1221, _xlfn.CONCAT("*",Table13[[#Headers],[TV Movie]],"*")),1,0)</f>
        <v>0</v>
      </c>
      <c r="Y1221">
        <f>IF(COUNTIF($E1221, _xlfn.CONCAT("*",Table13[[#Headers],[Thriller]],"*")),1,0)</f>
        <v>0</v>
      </c>
      <c r="Z1221">
        <f>IF(COUNTIF($E1221, _xlfn.CONCAT("*",Table13[[#Headers],[War]],"*")),1,0)</f>
        <v>0</v>
      </c>
      <c r="AA1221">
        <f>IF(COUNTIF($E1221, _xlfn.CONCAT("*",Table13[[#Headers],[Western]],"*")),1,0)</f>
        <v>0</v>
      </c>
    </row>
    <row r="1222" spans="1:27">
      <c r="A1222" t="s">
        <v>1115</v>
      </c>
      <c r="B1222">
        <v>87</v>
      </c>
      <c r="C1222">
        <f>MAX(Table13[Rank])-Table13[[#This Row],[Rank]]</f>
        <v>177</v>
      </c>
      <c r="D1222" t="s">
        <v>1022</v>
      </c>
      <c r="E1222" t="s">
        <v>755</v>
      </c>
      <c r="F1222" s="1">
        <v>45146</v>
      </c>
      <c r="G1222">
        <f>YEAR(Table13[[#This Row],[Date]])</f>
        <v>2023</v>
      </c>
      <c r="H1222" t="s">
        <v>1309</v>
      </c>
      <c r="I1222">
        <f>IF(COUNTIF($E1222, _xlfn.CONCAT("*",Table13[[#Headers],[Action]],"*")),1,0)</f>
        <v>1</v>
      </c>
      <c r="J1222">
        <f>IF(COUNTIF($E1222, _xlfn.CONCAT("*",Table13[[#Headers],[Adventure]],"*")),1,0)</f>
        <v>1</v>
      </c>
      <c r="K1222">
        <f>IF(COUNTIF($E1222, _xlfn.CONCAT("*",Table13[[#Headers],[Animation]],"*")),1,0)</f>
        <v>1</v>
      </c>
      <c r="L1222">
        <f>IF(COUNTIF($E1222, _xlfn.CONCAT("*",Table13[[#Headers],[Comedy]],"*")),1,0)</f>
        <v>0</v>
      </c>
      <c r="M1222">
        <f>IF(COUNTIF($E1222, _xlfn.CONCAT("*",Table13[[#Headers],[Crime]],"*")),1,0)</f>
        <v>0</v>
      </c>
      <c r="N1222">
        <f>IF(COUNTIF($E1222, _xlfn.CONCAT("*",Table13[[#Headers],[Documentary]],"*")),1,0)</f>
        <v>0</v>
      </c>
      <c r="O1222">
        <f>IF(COUNTIF($E1222, _xlfn.CONCAT("*",Table13[[#Headers],[Drama]],"*")),1,0)</f>
        <v>0</v>
      </c>
      <c r="P1222">
        <f>IF(COUNTIF($E1222, _xlfn.CONCAT("*",Table13[[#Headers],[Family]],"*")),1,0)</f>
        <v>0</v>
      </c>
      <c r="Q1222">
        <f>IF(COUNTIF($E1222, _xlfn.CONCAT("*",Table13[[#Headers],[Fantasy]],"*")),1,0)</f>
        <v>1</v>
      </c>
      <c r="R1222">
        <f>IF(COUNTIF($E1222, _xlfn.CONCAT("*",Table13[[#Headers],[History]],"*")),1,0)</f>
        <v>0</v>
      </c>
      <c r="S1222">
        <f>IF(COUNTIF($E1222, _xlfn.CONCAT("*",Table13[[#Headers],[Horror]],"*")),1,0)</f>
        <v>0</v>
      </c>
      <c r="T1222">
        <f>IF(COUNTIF($E1222, _xlfn.CONCAT("*",Table13[[#Headers],[Music]],"*")),1,0)</f>
        <v>0</v>
      </c>
      <c r="U1222">
        <f>IF(COUNTIF($E1222, _xlfn.CONCAT("*",Table13[[#Headers],[Mystery]],"*")),1,0)</f>
        <v>0</v>
      </c>
      <c r="V1222">
        <f>IF(COUNTIF($E1222, _xlfn.CONCAT("*",Table13[[#Headers],[Romance]],"*")),1,0)</f>
        <v>0</v>
      </c>
      <c r="W1222">
        <f>IF(COUNTIF($E1222, _xlfn.CONCAT("*",Table13[[#Headers],[Science Fiction]],"*")),1,0)</f>
        <v>0</v>
      </c>
      <c r="X1222">
        <f>IF(COUNTIF($E1222, _xlfn.CONCAT("*",Table13[[#Headers],[TV Movie]],"*")),1,0)</f>
        <v>0</v>
      </c>
      <c r="Y1222">
        <f>IF(COUNTIF($E1222, _xlfn.CONCAT("*",Table13[[#Headers],[Thriller]],"*")),1,0)</f>
        <v>0</v>
      </c>
      <c r="Z1222">
        <f>IF(COUNTIF($E1222, _xlfn.CONCAT("*",Table13[[#Headers],[War]],"*")),1,0)</f>
        <v>0</v>
      </c>
      <c r="AA1222">
        <f>IF(COUNTIF($E1222, _xlfn.CONCAT("*",Table13[[#Headers],[Western]],"*")),1,0)</f>
        <v>0</v>
      </c>
    </row>
    <row r="1223" spans="1:27">
      <c r="A1223" t="s">
        <v>1116</v>
      </c>
      <c r="B1223">
        <v>88</v>
      </c>
      <c r="C1223">
        <f>MAX(Table13[Rank])-Table13[[#This Row],[Rank]]</f>
        <v>176</v>
      </c>
      <c r="D1223" t="s">
        <v>1022</v>
      </c>
      <c r="E1223" t="s">
        <v>240</v>
      </c>
      <c r="F1223" s="1">
        <v>26662</v>
      </c>
      <c r="G1223">
        <f>YEAR(Table13[[#This Row],[Date]])</f>
        <v>1972</v>
      </c>
      <c r="H1223" t="s">
        <v>1283</v>
      </c>
      <c r="I1223">
        <f>IF(COUNTIF($E1223, _xlfn.CONCAT("*",Table13[[#Headers],[Action]],"*")),1,0)</f>
        <v>0</v>
      </c>
      <c r="J1223">
        <f>IF(COUNTIF($E1223, _xlfn.CONCAT("*",Table13[[#Headers],[Adventure]],"*")),1,0)</f>
        <v>1</v>
      </c>
      <c r="K1223">
        <f>IF(COUNTIF($E1223, _xlfn.CONCAT("*",Table13[[#Headers],[Animation]],"*")),1,0)</f>
        <v>0</v>
      </c>
      <c r="L1223">
        <f>IF(COUNTIF($E1223, _xlfn.CONCAT("*",Table13[[#Headers],[Comedy]],"*")),1,0)</f>
        <v>0</v>
      </c>
      <c r="M1223">
        <f>IF(COUNTIF($E1223, _xlfn.CONCAT("*",Table13[[#Headers],[Crime]],"*")),1,0)</f>
        <v>0</v>
      </c>
      <c r="N1223">
        <f>IF(COUNTIF($E1223, _xlfn.CONCAT("*",Table13[[#Headers],[Documentary]],"*")),1,0)</f>
        <v>0</v>
      </c>
      <c r="O1223">
        <f>IF(COUNTIF($E1223, _xlfn.CONCAT("*",Table13[[#Headers],[Drama]],"*")),1,0)</f>
        <v>1</v>
      </c>
      <c r="P1223">
        <f>IF(COUNTIF($E1223, _xlfn.CONCAT("*",Table13[[#Headers],[Family]],"*")),1,0)</f>
        <v>0</v>
      </c>
      <c r="Q1223">
        <f>IF(COUNTIF($E1223, _xlfn.CONCAT("*",Table13[[#Headers],[Fantasy]],"*")),1,0)</f>
        <v>0</v>
      </c>
      <c r="R1223">
        <f>IF(COUNTIF($E1223, _xlfn.CONCAT("*",Table13[[#Headers],[History]],"*")),1,0)</f>
        <v>1</v>
      </c>
      <c r="S1223">
        <f>IF(COUNTIF($E1223, _xlfn.CONCAT("*",Table13[[#Headers],[Horror]],"*")),1,0)</f>
        <v>0</v>
      </c>
      <c r="T1223">
        <f>IF(COUNTIF($E1223, _xlfn.CONCAT("*",Table13[[#Headers],[Music]],"*")),1,0)</f>
        <v>0</v>
      </c>
      <c r="U1223">
        <f>IF(COUNTIF($E1223, _xlfn.CONCAT("*",Table13[[#Headers],[Mystery]],"*")),1,0)</f>
        <v>0</v>
      </c>
      <c r="V1223">
        <f>IF(COUNTIF($E1223, _xlfn.CONCAT("*",Table13[[#Headers],[Romance]],"*")),1,0)</f>
        <v>0</v>
      </c>
      <c r="W1223">
        <f>IF(COUNTIF($E1223, _xlfn.CONCAT("*",Table13[[#Headers],[Science Fiction]],"*")),1,0)</f>
        <v>0</v>
      </c>
      <c r="X1223">
        <f>IF(COUNTIF($E1223, _xlfn.CONCAT("*",Table13[[#Headers],[TV Movie]],"*")),1,0)</f>
        <v>0</v>
      </c>
      <c r="Y1223">
        <f>IF(COUNTIF($E1223, _xlfn.CONCAT("*",Table13[[#Headers],[Thriller]],"*")),1,0)</f>
        <v>0</v>
      </c>
      <c r="Z1223">
        <f>IF(COUNTIF($E1223, _xlfn.CONCAT("*",Table13[[#Headers],[War]],"*")),1,0)</f>
        <v>0</v>
      </c>
      <c r="AA1223">
        <f>IF(COUNTIF($E1223, _xlfn.CONCAT("*",Table13[[#Headers],[Western]],"*")),1,0)</f>
        <v>0</v>
      </c>
    </row>
    <row r="1224" spans="1:27">
      <c r="A1224" t="s">
        <v>1117</v>
      </c>
      <c r="B1224">
        <v>89</v>
      </c>
      <c r="C1224">
        <f>MAX(Table13[Rank])-Table13[[#This Row],[Rank]]</f>
        <v>175</v>
      </c>
      <c r="D1224" t="s">
        <v>1022</v>
      </c>
      <c r="E1224" t="s">
        <v>340</v>
      </c>
      <c r="F1224" s="1">
        <v>24358</v>
      </c>
      <c r="G1224">
        <f>YEAR(Table13[[#This Row],[Date]])</f>
        <v>1966</v>
      </c>
      <c r="H1224" t="s">
        <v>339</v>
      </c>
      <c r="I1224">
        <f>IF(COUNTIF($E1224, _xlfn.CONCAT("*",Table13[[#Headers],[Action]],"*")),1,0)</f>
        <v>0</v>
      </c>
      <c r="J1224">
        <f>IF(COUNTIF($E1224, _xlfn.CONCAT("*",Table13[[#Headers],[Adventure]],"*")),1,0)</f>
        <v>0</v>
      </c>
      <c r="K1224">
        <f>IF(COUNTIF($E1224, _xlfn.CONCAT("*",Table13[[#Headers],[Animation]],"*")),1,0)</f>
        <v>0</v>
      </c>
      <c r="L1224">
        <f>IF(COUNTIF($E1224, _xlfn.CONCAT("*",Table13[[#Headers],[Comedy]],"*")),1,0)</f>
        <v>0</v>
      </c>
      <c r="M1224">
        <f>IF(COUNTIF($E1224, _xlfn.CONCAT("*",Table13[[#Headers],[Crime]],"*")),1,0)</f>
        <v>0</v>
      </c>
      <c r="N1224">
        <f>IF(COUNTIF($E1224, _xlfn.CONCAT("*",Table13[[#Headers],[Documentary]],"*")),1,0)</f>
        <v>0</v>
      </c>
      <c r="O1224">
        <f>IF(COUNTIF($E1224, _xlfn.CONCAT("*",Table13[[#Headers],[Drama]],"*")),1,0)</f>
        <v>1</v>
      </c>
      <c r="P1224">
        <f>IF(COUNTIF($E1224, _xlfn.CONCAT("*",Table13[[#Headers],[Family]],"*")),1,0)</f>
        <v>0</v>
      </c>
      <c r="Q1224">
        <f>IF(COUNTIF($E1224, _xlfn.CONCAT("*",Table13[[#Headers],[Fantasy]],"*")),1,0)</f>
        <v>0</v>
      </c>
      <c r="R1224">
        <f>IF(COUNTIF($E1224, _xlfn.CONCAT("*",Table13[[#Headers],[History]],"*")),1,0)</f>
        <v>1</v>
      </c>
      <c r="S1224">
        <f>IF(COUNTIF($E1224, _xlfn.CONCAT("*",Table13[[#Headers],[Horror]],"*")),1,0)</f>
        <v>0</v>
      </c>
      <c r="T1224">
        <f>IF(COUNTIF($E1224, _xlfn.CONCAT("*",Table13[[#Headers],[Music]],"*")),1,0)</f>
        <v>0</v>
      </c>
      <c r="U1224">
        <f>IF(COUNTIF($E1224, _xlfn.CONCAT("*",Table13[[#Headers],[Mystery]],"*")),1,0)</f>
        <v>0</v>
      </c>
      <c r="V1224">
        <f>IF(COUNTIF($E1224, _xlfn.CONCAT("*",Table13[[#Headers],[Romance]],"*")),1,0)</f>
        <v>0</v>
      </c>
      <c r="W1224">
        <f>IF(COUNTIF($E1224, _xlfn.CONCAT("*",Table13[[#Headers],[Science Fiction]],"*")),1,0)</f>
        <v>0</v>
      </c>
      <c r="X1224">
        <f>IF(COUNTIF($E1224, _xlfn.CONCAT("*",Table13[[#Headers],[TV Movie]],"*")),1,0)</f>
        <v>0</v>
      </c>
      <c r="Y1224">
        <f>IF(COUNTIF($E1224, _xlfn.CONCAT("*",Table13[[#Headers],[Thriller]],"*")),1,0)</f>
        <v>0</v>
      </c>
      <c r="Z1224">
        <f>IF(COUNTIF($E1224, _xlfn.CONCAT("*",Table13[[#Headers],[War]],"*")),1,0)</f>
        <v>1</v>
      </c>
      <c r="AA1224">
        <f>IF(COUNTIF($E1224, _xlfn.CONCAT("*",Table13[[#Headers],[Western]],"*")),1,0)</f>
        <v>0</v>
      </c>
    </row>
    <row r="1225" spans="1:27">
      <c r="A1225" t="s">
        <v>1118</v>
      </c>
      <c r="B1225">
        <v>90</v>
      </c>
      <c r="C1225">
        <f>MAX(Table13[Rank])-Table13[[#This Row],[Rank]]</f>
        <v>174</v>
      </c>
      <c r="D1225" t="s">
        <v>1022</v>
      </c>
      <c r="E1225" t="s">
        <v>367</v>
      </c>
      <c r="F1225" s="1">
        <v>39246</v>
      </c>
      <c r="G1225">
        <f>YEAR(Table13[[#This Row],[Date]])</f>
        <v>2007</v>
      </c>
      <c r="H1225" t="s">
        <v>515</v>
      </c>
      <c r="I1225">
        <f>IF(COUNTIF($E1225, _xlfn.CONCAT("*",Table13[[#Headers],[Action]],"*")),1,0)</f>
        <v>0</v>
      </c>
      <c r="J1225">
        <f>IF(COUNTIF($E1225, _xlfn.CONCAT("*",Table13[[#Headers],[Adventure]],"*")),1,0)</f>
        <v>0</v>
      </c>
      <c r="K1225">
        <f>IF(COUNTIF($E1225, _xlfn.CONCAT("*",Table13[[#Headers],[Animation]],"*")),1,0)</f>
        <v>0</v>
      </c>
      <c r="L1225">
        <f>IF(COUNTIF($E1225, _xlfn.CONCAT("*",Table13[[#Headers],[Comedy]],"*")),1,0)</f>
        <v>0</v>
      </c>
      <c r="M1225">
        <f>IF(COUNTIF($E1225, _xlfn.CONCAT("*",Table13[[#Headers],[Crime]],"*")),1,0)</f>
        <v>1</v>
      </c>
      <c r="N1225">
        <f>IF(COUNTIF($E1225, _xlfn.CONCAT("*",Table13[[#Headers],[Documentary]],"*")),1,0)</f>
        <v>0</v>
      </c>
      <c r="O1225">
        <f>IF(COUNTIF($E1225, _xlfn.CONCAT("*",Table13[[#Headers],[Drama]],"*")),1,0)</f>
        <v>1</v>
      </c>
      <c r="P1225">
        <f>IF(COUNTIF($E1225, _xlfn.CONCAT("*",Table13[[#Headers],[Family]],"*")),1,0)</f>
        <v>0</v>
      </c>
      <c r="Q1225">
        <f>IF(COUNTIF($E1225, _xlfn.CONCAT("*",Table13[[#Headers],[Fantasy]],"*")),1,0)</f>
        <v>0</v>
      </c>
      <c r="R1225">
        <f>IF(COUNTIF($E1225, _xlfn.CONCAT("*",Table13[[#Headers],[History]],"*")),1,0)</f>
        <v>0</v>
      </c>
      <c r="S1225">
        <f>IF(COUNTIF($E1225, _xlfn.CONCAT("*",Table13[[#Headers],[Horror]],"*")),1,0)</f>
        <v>0</v>
      </c>
      <c r="T1225">
        <f>IF(COUNTIF($E1225, _xlfn.CONCAT("*",Table13[[#Headers],[Music]],"*")),1,0)</f>
        <v>0</v>
      </c>
      <c r="U1225">
        <f>IF(COUNTIF($E1225, _xlfn.CONCAT("*",Table13[[#Headers],[Mystery]],"*")),1,0)</f>
        <v>0</v>
      </c>
      <c r="V1225">
        <f>IF(COUNTIF($E1225, _xlfn.CONCAT("*",Table13[[#Headers],[Romance]],"*")),1,0)</f>
        <v>0</v>
      </c>
      <c r="W1225">
        <f>IF(COUNTIF($E1225, _xlfn.CONCAT("*",Table13[[#Headers],[Science Fiction]],"*")),1,0)</f>
        <v>0</v>
      </c>
      <c r="X1225">
        <f>IF(COUNTIF($E1225, _xlfn.CONCAT("*",Table13[[#Headers],[TV Movie]],"*")),1,0)</f>
        <v>0</v>
      </c>
      <c r="Y1225">
        <f>IF(COUNTIF($E1225, _xlfn.CONCAT("*",Table13[[#Headers],[Thriller]],"*")),1,0)</f>
        <v>1</v>
      </c>
      <c r="Z1225">
        <f>IF(COUNTIF($E1225, _xlfn.CONCAT("*",Table13[[#Headers],[War]],"*")),1,0)</f>
        <v>0</v>
      </c>
      <c r="AA1225">
        <f>IF(COUNTIF($E1225, _xlfn.CONCAT("*",Table13[[#Headers],[Western]],"*")),1,0)</f>
        <v>0</v>
      </c>
    </row>
    <row r="1226" spans="1:27">
      <c r="A1226" t="s">
        <v>1119</v>
      </c>
      <c r="B1226">
        <v>91</v>
      </c>
      <c r="C1226">
        <f>MAX(Table13[Rank])-Table13[[#This Row],[Rank]]</f>
        <v>173</v>
      </c>
      <c r="D1226" t="s">
        <v>1022</v>
      </c>
      <c r="E1226" t="s">
        <v>164</v>
      </c>
      <c r="F1226" s="1">
        <v>32227</v>
      </c>
      <c r="G1226">
        <f>YEAR(Table13[[#This Row],[Date]])</f>
        <v>1988</v>
      </c>
      <c r="H1226" t="s">
        <v>421</v>
      </c>
      <c r="I1226">
        <f>IF(COUNTIF($E1226, _xlfn.CONCAT("*",Table13[[#Headers],[Action]],"*")),1,0)</f>
        <v>0</v>
      </c>
      <c r="J1226">
        <f>IF(COUNTIF($E1226, _xlfn.CONCAT("*",Table13[[#Headers],[Adventure]],"*")),1,0)</f>
        <v>0</v>
      </c>
      <c r="K1226">
        <f>IF(COUNTIF($E1226, _xlfn.CONCAT("*",Table13[[#Headers],[Animation]],"*")),1,0)</f>
        <v>0</v>
      </c>
      <c r="L1226">
        <f>IF(COUNTIF($E1226, _xlfn.CONCAT("*",Table13[[#Headers],[Comedy]],"*")),1,0)</f>
        <v>1</v>
      </c>
      <c r="M1226">
        <f>IF(COUNTIF($E1226, _xlfn.CONCAT("*",Table13[[#Headers],[Crime]],"*")),1,0)</f>
        <v>0</v>
      </c>
      <c r="N1226">
        <f>IF(COUNTIF($E1226, _xlfn.CONCAT("*",Table13[[#Headers],[Documentary]],"*")),1,0)</f>
        <v>0</v>
      </c>
      <c r="O1226">
        <f>IF(COUNTIF($E1226, _xlfn.CONCAT("*",Table13[[#Headers],[Drama]],"*")),1,0)</f>
        <v>1</v>
      </c>
      <c r="P1226">
        <f>IF(COUNTIF($E1226, _xlfn.CONCAT("*",Table13[[#Headers],[Family]],"*")),1,0)</f>
        <v>0</v>
      </c>
      <c r="Q1226">
        <f>IF(COUNTIF($E1226, _xlfn.CONCAT("*",Table13[[#Headers],[Fantasy]],"*")),1,0)</f>
        <v>0</v>
      </c>
      <c r="R1226">
        <f>IF(COUNTIF($E1226, _xlfn.CONCAT("*",Table13[[#Headers],[History]],"*")),1,0)</f>
        <v>0</v>
      </c>
      <c r="S1226">
        <f>IF(COUNTIF($E1226, _xlfn.CONCAT("*",Table13[[#Headers],[Horror]],"*")),1,0)</f>
        <v>0</v>
      </c>
      <c r="T1226">
        <f>IF(COUNTIF($E1226, _xlfn.CONCAT("*",Table13[[#Headers],[Music]],"*")),1,0)</f>
        <v>0</v>
      </c>
      <c r="U1226">
        <f>IF(COUNTIF($E1226, _xlfn.CONCAT("*",Table13[[#Headers],[Mystery]],"*")),1,0)</f>
        <v>0</v>
      </c>
      <c r="V1226">
        <f>IF(COUNTIF($E1226, _xlfn.CONCAT("*",Table13[[#Headers],[Romance]],"*")),1,0)</f>
        <v>0</v>
      </c>
      <c r="W1226">
        <f>IF(COUNTIF($E1226, _xlfn.CONCAT("*",Table13[[#Headers],[Science Fiction]],"*")),1,0)</f>
        <v>0</v>
      </c>
      <c r="X1226">
        <f>IF(COUNTIF($E1226, _xlfn.CONCAT("*",Table13[[#Headers],[TV Movie]],"*")),1,0)</f>
        <v>0</v>
      </c>
      <c r="Y1226">
        <f>IF(COUNTIF($E1226, _xlfn.CONCAT("*",Table13[[#Headers],[Thriller]],"*")),1,0)</f>
        <v>0</v>
      </c>
      <c r="Z1226">
        <f>IF(COUNTIF($E1226, _xlfn.CONCAT("*",Table13[[#Headers],[War]],"*")),1,0)</f>
        <v>0</v>
      </c>
      <c r="AA1226">
        <f>IF(COUNTIF($E1226, _xlfn.CONCAT("*",Table13[[#Headers],[Western]],"*")),1,0)</f>
        <v>0</v>
      </c>
    </row>
    <row r="1227" spans="1:27">
      <c r="A1227" t="s">
        <v>1120</v>
      </c>
      <c r="B1227">
        <v>92</v>
      </c>
      <c r="C1227">
        <f>MAX(Table13[Rank])-Table13[[#This Row],[Rank]]</f>
        <v>172</v>
      </c>
      <c r="D1227" t="s">
        <v>1022</v>
      </c>
      <c r="E1227" t="s">
        <v>44</v>
      </c>
      <c r="F1227" s="1">
        <v>26557</v>
      </c>
      <c r="G1227">
        <f>YEAR(Table13[[#This Row],[Date]])</f>
        <v>1972</v>
      </c>
      <c r="H1227" t="s">
        <v>1310</v>
      </c>
      <c r="I1227">
        <f>IF(COUNTIF($E1227, _xlfn.CONCAT("*",Table13[[#Headers],[Action]],"*")),1,0)</f>
        <v>0</v>
      </c>
      <c r="J1227">
        <f>IF(COUNTIF($E1227, _xlfn.CONCAT("*",Table13[[#Headers],[Adventure]],"*")),1,0)</f>
        <v>0</v>
      </c>
      <c r="K1227">
        <f>IF(COUNTIF($E1227, _xlfn.CONCAT("*",Table13[[#Headers],[Animation]],"*")),1,0)</f>
        <v>0</v>
      </c>
      <c r="L1227">
        <f>IF(COUNTIF($E1227, _xlfn.CONCAT("*",Table13[[#Headers],[Comedy]],"*")),1,0)</f>
        <v>1</v>
      </c>
      <c r="M1227">
        <f>IF(COUNTIF($E1227, _xlfn.CONCAT("*",Table13[[#Headers],[Crime]],"*")),1,0)</f>
        <v>0</v>
      </c>
      <c r="N1227">
        <f>IF(COUNTIF($E1227, _xlfn.CONCAT("*",Table13[[#Headers],[Documentary]],"*")),1,0)</f>
        <v>0</v>
      </c>
      <c r="O1227">
        <f>IF(COUNTIF($E1227, _xlfn.CONCAT("*",Table13[[#Headers],[Drama]],"*")),1,0)</f>
        <v>0</v>
      </c>
      <c r="P1227">
        <f>IF(COUNTIF($E1227, _xlfn.CONCAT("*",Table13[[#Headers],[Family]],"*")),1,0)</f>
        <v>0</v>
      </c>
      <c r="Q1227">
        <f>IF(COUNTIF($E1227, _xlfn.CONCAT("*",Table13[[#Headers],[Fantasy]],"*")),1,0)</f>
        <v>0</v>
      </c>
      <c r="R1227">
        <f>IF(COUNTIF($E1227, _xlfn.CONCAT("*",Table13[[#Headers],[History]],"*")),1,0)</f>
        <v>0</v>
      </c>
      <c r="S1227">
        <f>IF(COUNTIF($E1227, _xlfn.CONCAT("*",Table13[[#Headers],[Horror]],"*")),1,0)</f>
        <v>0</v>
      </c>
      <c r="T1227">
        <f>IF(COUNTIF($E1227, _xlfn.CONCAT("*",Table13[[#Headers],[Music]],"*")),1,0)</f>
        <v>0</v>
      </c>
      <c r="U1227">
        <f>IF(COUNTIF($E1227, _xlfn.CONCAT("*",Table13[[#Headers],[Mystery]],"*")),1,0)</f>
        <v>0</v>
      </c>
      <c r="V1227">
        <f>IF(COUNTIF($E1227, _xlfn.CONCAT("*",Table13[[#Headers],[Romance]],"*")),1,0)</f>
        <v>0</v>
      </c>
      <c r="W1227">
        <f>IF(COUNTIF($E1227, _xlfn.CONCAT("*",Table13[[#Headers],[Science Fiction]],"*")),1,0)</f>
        <v>0</v>
      </c>
      <c r="X1227">
        <f>IF(COUNTIF($E1227, _xlfn.CONCAT("*",Table13[[#Headers],[TV Movie]],"*")),1,0)</f>
        <v>0</v>
      </c>
      <c r="Y1227">
        <f>IF(COUNTIF($E1227, _xlfn.CONCAT("*",Table13[[#Headers],[Thriller]],"*")),1,0)</f>
        <v>0</v>
      </c>
      <c r="Z1227">
        <f>IF(COUNTIF($E1227, _xlfn.CONCAT("*",Table13[[#Headers],[War]],"*")),1,0)</f>
        <v>0</v>
      </c>
      <c r="AA1227">
        <f>IF(COUNTIF($E1227, _xlfn.CONCAT("*",Table13[[#Headers],[Western]],"*")),1,0)</f>
        <v>0</v>
      </c>
    </row>
    <row r="1228" spans="1:27">
      <c r="A1228" t="s">
        <v>1121</v>
      </c>
      <c r="B1228">
        <v>93</v>
      </c>
      <c r="C1228">
        <f>MAX(Table13[Rank])-Table13[[#This Row],[Rank]]</f>
        <v>171</v>
      </c>
      <c r="D1228" t="s">
        <v>1022</v>
      </c>
      <c r="E1228" t="s">
        <v>81</v>
      </c>
      <c r="F1228" s="1">
        <v>21118</v>
      </c>
      <c r="G1228">
        <f>YEAR(Table13[[#This Row],[Date]])</f>
        <v>1957</v>
      </c>
      <c r="H1228" t="s">
        <v>790</v>
      </c>
      <c r="I1228">
        <f>IF(COUNTIF($E1228, _xlfn.CONCAT("*",Table13[[#Headers],[Action]],"*")),1,0)</f>
        <v>0</v>
      </c>
      <c r="J1228">
        <f>IF(COUNTIF($E1228, _xlfn.CONCAT("*",Table13[[#Headers],[Adventure]],"*")),1,0)</f>
        <v>0</v>
      </c>
      <c r="K1228">
        <f>IF(COUNTIF($E1228, _xlfn.CONCAT("*",Table13[[#Headers],[Animation]],"*")),1,0)</f>
        <v>0</v>
      </c>
      <c r="L1228">
        <f>IF(COUNTIF($E1228, _xlfn.CONCAT("*",Table13[[#Headers],[Comedy]],"*")),1,0)</f>
        <v>0</v>
      </c>
      <c r="M1228">
        <f>IF(COUNTIF($E1228, _xlfn.CONCAT("*",Table13[[#Headers],[Crime]],"*")),1,0)</f>
        <v>0</v>
      </c>
      <c r="N1228">
        <f>IF(COUNTIF($E1228, _xlfn.CONCAT("*",Table13[[#Headers],[Documentary]],"*")),1,0)</f>
        <v>0</v>
      </c>
      <c r="O1228">
        <f>IF(COUNTIF($E1228, _xlfn.CONCAT("*",Table13[[#Headers],[Drama]],"*")),1,0)</f>
        <v>1</v>
      </c>
      <c r="P1228">
        <f>IF(COUNTIF($E1228, _xlfn.CONCAT("*",Table13[[#Headers],[Family]],"*")),1,0)</f>
        <v>0</v>
      </c>
      <c r="Q1228">
        <f>IF(COUNTIF($E1228, _xlfn.CONCAT("*",Table13[[#Headers],[Fantasy]],"*")),1,0)</f>
        <v>0</v>
      </c>
      <c r="R1228">
        <f>IF(COUNTIF($E1228, _xlfn.CONCAT("*",Table13[[#Headers],[History]],"*")),1,0)</f>
        <v>0</v>
      </c>
      <c r="S1228">
        <f>IF(COUNTIF($E1228, _xlfn.CONCAT("*",Table13[[#Headers],[Horror]],"*")),1,0)</f>
        <v>0</v>
      </c>
      <c r="T1228">
        <f>IF(COUNTIF($E1228, _xlfn.CONCAT("*",Table13[[#Headers],[Music]],"*")),1,0)</f>
        <v>0</v>
      </c>
      <c r="U1228">
        <f>IF(COUNTIF($E1228, _xlfn.CONCAT("*",Table13[[#Headers],[Mystery]],"*")),1,0)</f>
        <v>0</v>
      </c>
      <c r="V1228">
        <f>IF(COUNTIF($E1228, _xlfn.CONCAT("*",Table13[[#Headers],[Romance]],"*")),1,0)</f>
        <v>0</v>
      </c>
      <c r="W1228">
        <f>IF(COUNTIF($E1228, _xlfn.CONCAT("*",Table13[[#Headers],[Science Fiction]],"*")),1,0)</f>
        <v>0</v>
      </c>
      <c r="X1228">
        <f>IF(COUNTIF($E1228, _xlfn.CONCAT("*",Table13[[#Headers],[TV Movie]],"*")),1,0)</f>
        <v>0</v>
      </c>
      <c r="Y1228">
        <f>IF(COUNTIF($E1228, _xlfn.CONCAT("*",Table13[[#Headers],[Thriller]],"*")),1,0)</f>
        <v>0</v>
      </c>
      <c r="Z1228">
        <f>IF(COUNTIF($E1228, _xlfn.CONCAT("*",Table13[[#Headers],[War]],"*")),1,0)</f>
        <v>1</v>
      </c>
      <c r="AA1228">
        <f>IF(COUNTIF($E1228, _xlfn.CONCAT("*",Table13[[#Headers],[Western]],"*")),1,0)</f>
        <v>0</v>
      </c>
    </row>
    <row r="1229" spans="1:27">
      <c r="A1229" t="s">
        <v>1122</v>
      </c>
      <c r="B1229">
        <v>94</v>
      </c>
      <c r="C1229">
        <f>MAX(Table13[Rank])-Table13[[#This Row],[Rank]]</f>
        <v>170</v>
      </c>
      <c r="D1229" t="s">
        <v>1022</v>
      </c>
      <c r="E1229" t="s">
        <v>21</v>
      </c>
      <c r="F1229" s="1">
        <v>35209</v>
      </c>
      <c r="G1229">
        <f>YEAR(Table13[[#This Row],[Date]])</f>
        <v>1996</v>
      </c>
      <c r="H1229" t="s">
        <v>918</v>
      </c>
      <c r="I1229">
        <f>IF(COUNTIF($E1229, _xlfn.CONCAT("*",Table13[[#Headers],[Action]],"*")),1,0)</f>
        <v>0</v>
      </c>
      <c r="J1229">
        <f>IF(COUNTIF($E1229, _xlfn.CONCAT("*",Table13[[#Headers],[Adventure]],"*")),1,0)</f>
        <v>0</v>
      </c>
      <c r="K1229">
        <f>IF(COUNTIF($E1229, _xlfn.CONCAT("*",Table13[[#Headers],[Animation]],"*")),1,0)</f>
        <v>0</v>
      </c>
      <c r="L1229">
        <f>IF(COUNTIF($E1229, _xlfn.CONCAT("*",Table13[[#Headers],[Comedy]],"*")),1,0)</f>
        <v>0</v>
      </c>
      <c r="M1229">
        <f>IF(COUNTIF($E1229, _xlfn.CONCAT("*",Table13[[#Headers],[Crime]],"*")),1,0)</f>
        <v>0</v>
      </c>
      <c r="N1229">
        <f>IF(COUNTIF($E1229, _xlfn.CONCAT("*",Table13[[#Headers],[Documentary]],"*")),1,0)</f>
        <v>0</v>
      </c>
      <c r="O1229">
        <f>IF(COUNTIF($E1229, _xlfn.CONCAT("*",Table13[[#Headers],[Drama]],"*")),1,0)</f>
        <v>1</v>
      </c>
      <c r="P1229">
        <f>IF(COUNTIF($E1229, _xlfn.CONCAT("*",Table13[[#Headers],[Family]],"*")),1,0)</f>
        <v>0</v>
      </c>
      <c r="Q1229">
        <f>IF(COUNTIF($E1229, _xlfn.CONCAT("*",Table13[[#Headers],[Fantasy]],"*")),1,0)</f>
        <v>0</v>
      </c>
      <c r="R1229">
        <f>IF(COUNTIF($E1229, _xlfn.CONCAT("*",Table13[[#Headers],[History]],"*")),1,0)</f>
        <v>0</v>
      </c>
      <c r="S1229">
        <f>IF(COUNTIF($E1229, _xlfn.CONCAT("*",Table13[[#Headers],[Horror]],"*")),1,0)</f>
        <v>0</v>
      </c>
      <c r="T1229">
        <f>IF(COUNTIF($E1229, _xlfn.CONCAT("*",Table13[[#Headers],[Music]],"*")),1,0)</f>
        <v>0</v>
      </c>
      <c r="U1229">
        <f>IF(COUNTIF($E1229, _xlfn.CONCAT("*",Table13[[#Headers],[Mystery]],"*")),1,0)</f>
        <v>0</v>
      </c>
      <c r="V1229">
        <f>IF(COUNTIF($E1229, _xlfn.CONCAT("*",Table13[[#Headers],[Romance]],"*")),1,0)</f>
        <v>0</v>
      </c>
      <c r="W1229">
        <f>IF(COUNTIF($E1229, _xlfn.CONCAT("*",Table13[[#Headers],[Science Fiction]],"*")),1,0)</f>
        <v>0</v>
      </c>
      <c r="X1229">
        <f>IF(COUNTIF($E1229, _xlfn.CONCAT("*",Table13[[#Headers],[TV Movie]],"*")),1,0)</f>
        <v>0</v>
      </c>
      <c r="Y1229">
        <f>IF(COUNTIF($E1229, _xlfn.CONCAT("*",Table13[[#Headers],[Thriller]],"*")),1,0)</f>
        <v>0</v>
      </c>
      <c r="Z1229">
        <f>IF(COUNTIF($E1229, _xlfn.CONCAT("*",Table13[[#Headers],[War]],"*")),1,0)</f>
        <v>0</v>
      </c>
      <c r="AA1229">
        <f>IF(COUNTIF($E1229, _xlfn.CONCAT("*",Table13[[#Headers],[Western]],"*")),1,0)</f>
        <v>0</v>
      </c>
    </row>
    <row r="1230" spans="1:27">
      <c r="A1230" t="s">
        <v>1123</v>
      </c>
      <c r="B1230">
        <v>95</v>
      </c>
      <c r="C1230">
        <f>MAX(Table13[Rank])-Table13[[#This Row],[Rank]]</f>
        <v>169</v>
      </c>
      <c r="D1230" t="s">
        <v>1022</v>
      </c>
      <c r="E1230" t="s">
        <v>21</v>
      </c>
      <c r="F1230" s="1">
        <v>21005</v>
      </c>
      <c r="G1230">
        <f>YEAR(Table13[[#This Row],[Date]])</f>
        <v>1957</v>
      </c>
      <c r="H1230" t="s">
        <v>906</v>
      </c>
      <c r="I1230">
        <f>IF(COUNTIF($E1230, _xlfn.CONCAT("*",Table13[[#Headers],[Action]],"*")),1,0)</f>
        <v>0</v>
      </c>
      <c r="J1230">
        <f>IF(COUNTIF($E1230, _xlfn.CONCAT("*",Table13[[#Headers],[Adventure]],"*")),1,0)</f>
        <v>0</v>
      </c>
      <c r="K1230">
        <f>IF(COUNTIF($E1230, _xlfn.CONCAT("*",Table13[[#Headers],[Animation]],"*")),1,0)</f>
        <v>0</v>
      </c>
      <c r="L1230">
        <f>IF(COUNTIF($E1230, _xlfn.CONCAT("*",Table13[[#Headers],[Comedy]],"*")),1,0)</f>
        <v>0</v>
      </c>
      <c r="M1230">
        <f>IF(COUNTIF($E1230, _xlfn.CONCAT("*",Table13[[#Headers],[Crime]],"*")),1,0)</f>
        <v>0</v>
      </c>
      <c r="N1230">
        <f>IF(COUNTIF($E1230, _xlfn.CONCAT("*",Table13[[#Headers],[Documentary]],"*")),1,0)</f>
        <v>0</v>
      </c>
      <c r="O1230">
        <f>IF(COUNTIF($E1230, _xlfn.CONCAT("*",Table13[[#Headers],[Drama]],"*")),1,0)</f>
        <v>1</v>
      </c>
      <c r="P1230">
        <f>IF(COUNTIF($E1230, _xlfn.CONCAT("*",Table13[[#Headers],[Family]],"*")),1,0)</f>
        <v>0</v>
      </c>
      <c r="Q1230">
        <f>IF(COUNTIF($E1230, _xlfn.CONCAT("*",Table13[[#Headers],[Fantasy]],"*")),1,0)</f>
        <v>0</v>
      </c>
      <c r="R1230">
        <f>IF(COUNTIF($E1230, _xlfn.CONCAT("*",Table13[[#Headers],[History]],"*")),1,0)</f>
        <v>0</v>
      </c>
      <c r="S1230">
        <f>IF(COUNTIF($E1230, _xlfn.CONCAT("*",Table13[[#Headers],[Horror]],"*")),1,0)</f>
        <v>0</v>
      </c>
      <c r="T1230">
        <f>IF(COUNTIF($E1230, _xlfn.CONCAT("*",Table13[[#Headers],[Music]],"*")),1,0)</f>
        <v>0</v>
      </c>
      <c r="U1230">
        <f>IF(COUNTIF($E1230, _xlfn.CONCAT("*",Table13[[#Headers],[Mystery]],"*")),1,0)</f>
        <v>0</v>
      </c>
      <c r="V1230">
        <f>IF(COUNTIF($E1230, _xlfn.CONCAT("*",Table13[[#Headers],[Romance]],"*")),1,0)</f>
        <v>0</v>
      </c>
      <c r="W1230">
        <f>IF(COUNTIF($E1230, _xlfn.CONCAT("*",Table13[[#Headers],[Science Fiction]],"*")),1,0)</f>
        <v>0</v>
      </c>
      <c r="X1230">
        <f>IF(COUNTIF($E1230, _xlfn.CONCAT("*",Table13[[#Headers],[TV Movie]],"*")),1,0)</f>
        <v>0</v>
      </c>
      <c r="Y1230">
        <f>IF(COUNTIF($E1230, _xlfn.CONCAT("*",Table13[[#Headers],[Thriller]],"*")),1,0)</f>
        <v>0</v>
      </c>
      <c r="Z1230">
        <f>IF(COUNTIF($E1230, _xlfn.CONCAT("*",Table13[[#Headers],[War]],"*")),1,0)</f>
        <v>0</v>
      </c>
      <c r="AA1230">
        <f>IF(COUNTIF($E1230, _xlfn.CONCAT("*",Table13[[#Headers],[Western]],"*")),1,0)</f>
        <v>0</v>
      </c>
    </row>
    <row r="1231" spans="1:27">
      <c r="A1231" t="s">
        <v>1124</v>
      </c>
      <c r="B1231">
        <v>96</v>
      </c>
      <c r="C1231">
        <f>MAX(Table13[Rank])-Table13[[#This Row],[Rank]]</f>
        <v>168</v>
      </c>
      <c r="D1231" t="s">
        <v>1022</v>
      </c>
      <c r="E1231" t="s">
        <v>408</v>
      </c>
      <c r="F1231" s="1">
        <v>7363</v>
      </c>
      <c r="G1231">
        <f>YEAR(Table13[[#This Row],[Date]])</f>
        <v>1920</v>
      </c>
      <c r="H1231" t="s">
        <v>407</v>
      </c>
      <c r="I1231">
        <f>IF(COUNTIF($E1231, _xlfn.CONCAT("*",Table13[[#Headers],[Action]],"*")),1,0)</f>
        <v>0</v>
      </c>
      <c r="J1231">
        <f>IF(COUNTIF($E1231, _xlfn.CONCAT("*",Table13[[#Headers],[Adventure]],"*")),1,0)</f>
        <v>0</v>
      </c>
      <c r="K1231">
        <f>IF(COUNTIF($E1231, _xlfn.CONCAT("*",Table13[[#Headers],[Animation]],"*")),1,0)</f>
        <v>0</v>
      </c>
      <c r="L1231">
        <f>IF(COUNTIF($E1231, _xlfn.CONCAT("*",Table13[[#Headers],[Comedy]],"*")),1,0)</f>
        <v>0</v>
      </c>
      <c r="M1231">
        <f>IF(COUNTIF($E1231, _xlfn.CONCAT("*",Table13[[#Headers],[Crime]],"*")),1,0)</f>
        <v>1</v>
      </c>
      <c r="N1231">
        <f>IF(COUNTIF($E1231, _xlfn.CONCAT("*",Table13[[#Headers],[Documentary]],"*")),1,0)</f>
        <v>0</v>
      </c>
      <c r="O1231">
        <f>IF(COUNTIF($E1231, _xlfn.CONCAT("*",Table13[[#Headers],[Drama]],"*")),1,0)</f>
        <v>1</v>
      </c>
      <c r="P1231">
        <f>IF(COUNTIF($E1231, _xlfn.CONCAT("*",Table13[[#Headers],[Family]],"*")),1,0)</f>
        <v>0</v>
      </c>
      <c r="Q1231">
        <f>IF(COUNTIF($E1231, _xlfn.CONCAT("*",Table13[[#Headers],[Fantasy]],"*")),1,0)</f>
        <v>0</v>
      </c>
      <c r="R1231">
        <f>IF(COUNTIF($E1231, _xlfn.CONCAT("*",Table13[[#Headers],[History]],"*")),1,0)</f>
        <v>0</v>
      </c>
      <c r="S1231">
        <f>IF(COUNTIF($E1231, _xlfn.CONCAT("*",Table13[[#Headers],[Horror]],"*")),1,0)</f>
        <v>1</v>
      </c>
      <c r="T1231">
        <f>IF(COUNTIF($E1231, _xlfn.CONCAT("*",Table13[[#Headers],[Music]],"*")),1,0)</f>
        <v>0</v>
      </c>
      <c r="U1231">
        <f>IF(COUNTIF($E1231, _xlfn.CONCAT("*",Table13[[#Headers],[Mystery]],"*")),1,0)</f>
        <v>0</v>
      </c>
      <c r="V1231">
        <f>IF(COUNTIF($E1231, _xlfn.CONCAT("*",Table13[[#Headers],[Romance]],"*")),1,0)</f>
        <v>0</v>
      </c>
      <c r="W1231">
        <f>IF(COUNTIF($E1231, _xlfn.CONCAT("*",Table13[[#Headers],[Science Fiction]],"*")),1,0)</f>
        <v>0</v>
      </c>
      <c r="X1231">
        <f>IF(COUNTIF($E1231, _xlfn.CONCAT("*",Table13[[#Headers],[TV Movie]],"*")),1,0)</f>
        <v>0</v>
      </c>
      <c r="Y1231">
        <f>IF(COUNTIF($E1231, _xlfn.CONCAT("*",Table13[[#Headers],[Thriller]],"*")),1,0)</f>
        <v>1</v>
      </c>
      <c r="Z1231">
        <f>IF(COUNTIF($E1231, _xlfn.CONCAT("*",Table13[[#Headers],[War]],"*")),1,0)</f>
        <v>0</v>
      </c>
      <c r="AA1231">
        <f>IF(COUNTIF($E1231, _xlfn.CONCAT("*",Table13[[#Headers],[Western]],"*")),1,0)</f>
        <v>0</v>
      </c>
    </row>
    <row r="1232" spans="1:27">
      <c r="A1232" t="s">
        <v>1125</v>
      </c>
      <c r="B1232">
        <v>97</v>
      </c>
      <c r="C1232">
        <f>MAX(Table13[Rank])-Table13[[#This Row],[Rank]]</f>
        <v>167</v>
      </c>
      <c r="D1232" t="s">
        <v>1022</v>
      </c>
      <c r="E1232" t="s">
        <v>32</v>
      </c>
      <c r="F1232" s="1">
        <v>27820</v>
      </c>
      <c r="G1232">
        <f>YEAR(Table13[[#This Row],[Date]])</f>
        <v>1976</v>
      </c>
      <c r="H1232" t="s">
        <v>1126</v>
      </c>
      <c r="I1232">
        <f>IF(COUNTIF($E1232, _xlfn.CONCAT("*",Table13[[#Headers],[Action]],"*")),1,0)</f>
        <v>0</v>
      </c>
      <c r="J1232">
        <f>IF(COUNTIF($E1232, _xlfn.CONCAT("*",Table13[[#Headers],[Adventure]],"*")),1,0)</f>
        <v>0</v>
      </c>
      <c r="K1232">
        <f>IF(COUNTIF($E1232, _xlfn.CONCAT("*",Table13[[#Headers],[Animation]],"*")),1,0)</f>
        <v>0</v>
      </c>
      <c r="L1232">
        <f>IF(COUNTIF($E1232, _xlfn.CONCAT("*",Table13[[#Headers],[Comedy]],"*")),1,0)</f>
        <v>0</v>
      </c>
      <c r="M1232">
        <f>IF(COUNTIF($E1232, _xlfn.CONCAT("*",Table13[[#Headers],[Crime]],"*")),1,0)</f>
        <v>0</v>
      </c>
      <c r="N1232">
        <f>IF(COUNTIF($E1232, _xlfn.CONCAT("*",Table13[[#Headers],[Documentary]],"*")),1,0)</f>
        <v>0</v>
      </c>
      <c r="O1232">
        <f>IF(COUNTIF($E1232, _xlfn.CONCAT("*",Table13[[#Headers],[Drama]],"*")),1,0)</f>
        <v>1</v>
      </c>
      <c r="P1232">
        <f>IF(COUNTIF($E1232, _xlfn.CONCAT("*",Table13[[#Headers],[Family]],"*")),1,0)</f>
        <v>0</v>
      </c>
      <c r="Q1232">
        <f>IF(COUNTIF($E1232, _xlfn.CONCAT("*",Table13[[#Headers],[Fantasy]],"*")),1,0)</f>
        <v>0</v>
      </c>
      <c r="R1232">
        <f>IF(COUNTIF($E1232, _xlfn.CONCAT("*",Table13[[#Headers],[History]],"*")),1,0)</f>
        <v>0</v>
      </c>
      <c r="S1232">
        <f>IF(COUNTIF($E1232, _xlfn.CONCAT("*",Table13[[#Headers],[Horror]],"*")),1,0)</f>
        <v>0</v>
      </c>
      <c r="T1232">
        <f>IF(COUNTIF($E1232, _xlfn.CONCAT("*",Table13[[#Headers],[Music]],"*")),1,0)</f>
        <v>1</v>
      </c>
      <c r="U1232">
        <f>IF(COUNTIF($E1232, _xlfn.CONCAT("*",Table13[[#Headers],[Mystery]],"*")),1,0)</f>
        <v>0</v>
      </c>
      <c r="V1232">
        <f>IF(COUNTIF($E1232, _xlfn.CONCAT("*",Table13[[#Headers],[Romance]],"*")),1,0)</f>
        <v>0</v>
      </c>
      <c r="W1232">
        <f>IF(COUNTIF($E1232, _xlfn.CONCAT("*",Table13[[#Headers],[Science Fiction]],"*")),1,0)</f>
        <v>0</v>
      </c>
      <c r="X1232">
        <f>IF(COUNTIF($E1232, _xlfn.CONCAT("*",Table13[[#Headers],[TV Movie]],"*")),1,0)</f>
        <v>0</v>
      </c>
      <c r="Y1232">
        <f>IF(COUNTIF($E1232, _xlfn.CONCAT("*",Table13[[#Headers],[Thriller]],"*")),1,0)</f>
        <v>0</v>
      </c>
      <c r="Z1232">
        <f>IF(COUNTIF($E1232, _xlfn.CONCAT("*",Table13[[#Headers],[War]],"*")),1,0)</f>
        <v>0</v>
      </c>
      <c r="AA1232">
        <f>IF(COUNTIF($E1232, _xlfn.CONCAT("*",Table13[[#Headers],[Western]],"*")),1,0)</f>
        <v>0</v>
      </c>
    </row>
    <row r="1233" spans="1:27">
      <c r="A1233" t="s">
        <v>1127</v>
      </c>
      <c r="B1233">
        <v>98</v>
      </c>
      <c r="C1233">
        <f>MAX(Table13[Rank])-Table13[[#This Row],[Rank]]</f>
        <v>166</v>
      </c>
      <c r="D1233" t="s">
        <v>1022</v>
      </c>
      <c r="E1233" t="s">
        <v>242</v>
      </c>
      <c r="F1233" s="1">
        <v>26682</v>
      </c>
      <c r="G1233">
        <f>YEAR(Table13[[#This Row],[Date]])</f>
        <v>1973</v>
      </c>
      <c r="H1233" t="s">
        <v>241</v>
      </c>
      <c r="I1233">
        <f>IF(COUNTIF($E1233, _xlfn.CONCAT("*",Table13[[#Headers],[Action]],"*")),1,0)</f>
        <v>0</v>
      </c>
      <c r="J1233">
        <f>IF(COUNTIF($E1233, _xlfn.CONCAT("*",Table13[[#Headers],[Adventure]],"*")),1,0)</f>
        <v>0</v>
      </c>
      <c r="K1233">
        <f>IF(COUNTIF($E1233, _xlfn.CONCAT("*",Table13[[#Headers],[Animation]],"*")),1,0)</f>
        <v>0</v>
      </c>
      <c r="L1233">
        <f>IF(COUNTIF($E1233, _xlfn.CONCAT("*",Table13[[#Headers],[Comedy]],"*")),1,0)</f>
        <v>0</v>
      </c>
      <c r="M1233">
        <f>IF(COUNTIF($E1233, _xlfn.CONCAT("*",Table13[[#Headers],[Crime]],"*")),1,0)</f>
        <v>0</v>
      </c>
      <c r="N1233">
        <f>IF(COUNTIF($E1233, _xlfn.CONCAT("*",Table13[[#Headers],[Documentary]],"*")),1,0)</f>
        <v>0</v>
      </c>
      <c r="O1233">
        <f>IF(COUNTIF($E1233, _xlfn.CONCAT("*",Table13[[#Headers],[Drama]],"*")),1,0)</f>
        <v>1</v>
      </c>
      <c r="P1233">
        <f>IF(COUNTIF($E1233, _xlfn.CONCAT("*",Table13[[#Headers],[Family]],"*")),1,0)</f>
        <v>0</v>
      </c>
      <c r="Q1233">
        <f>IF(COUNTIF($E1233, _xlfn.CONCAT("*",Table13[[#Headers],[Fantasy]],"*")),1,0)</f>
        <v>0</v>
      </c>
      <c r="R1233">
        <f>IF(COUNTIF($E1233, _xlfn.CONCAT("*",Table13[[#Headers],[History]],"*")),1,0)</f>
        <v>0</v>
      </c>
      <c r="S1233">
        <f>IF(COUNTIF($E1233, _xlfn.CONCAT("*",Table13[[#Headers],[Horror]],"*")),1,0)</f>
        <v>1</v>
      </c>
      <c r="T1233">
        <f>IF(COUNTIF($E1233, _xlfn.CONCAT("*",Table13[[#Headers],[Music]],"*")),1,0)</f>
        <v>0</v>
      </c>
      <c r="U1233">
        <f>IF(COUNTIF($E1233, _xlfn.CONCAT("*",Table13[[#Headers],[Mystery]],"*")),1,0)</f>
        <v>0</v>
      </c>
      <c r="V1233">
        <f>IF(COUNTIF($E1233, _xlfn.CONCAT("*",Table13[[#Headers],[Romance]],"*")),1,0)</f>
        <v>0</v>
      </c>
      <c r="W1233">
        <f>IF(COUNTIF($E1233, _xlfn.CONCAT("*",Table13[[#Headers],[Science Fiction]],"*")),1,0)</f>
        <v>0</v>
      </c>
      <c r="X1233">
        <f>IF(COUNTIF($E1233, _xlfn.CONCAT("*",Table13[[#Headers],[TV Movie]],"*")),1,0)</f>
        <v>0</v>
      </c>
      <c r="Y1233">
        <f>IF(COUNTIF($E1233, _xlfn.CONCAT("*",Table13[[#Headers],[Thriller]],"*")),1,0)</f>
        <v>1</v>
      </c>
      <c r="Z1233">
        <f>IF(COUNTIF($E1233, _xlfn.CONCAT("*",Table13[[#Headers],[War]],"*")),1,0)</f>
        <v>0</v>
      </c>
      <c r="AA1233">
        <f>IF(COUNTIF($E1233, _xlfn.CONCAT("*",Table13[[#Headers],[Western]],"*")),1,0)</f>
        <v>0</v>
      </c>
    </row>
    <row r="1234" spans="1:27">
      <c r="A1234" t="s">
        <v>1128</v>
      </c>
      <c r="B1234">
        <v>99</v>
      </c>
      <c r="C1234">
        <f>MAX(Table13[Rank])-Table13[[#This Row],[Rank]]</f>
        <v>165</v>
      </c>
      <c r="D1234" t="s">
        <v>1022</v>
      </c>
      <c r="E1234" t="s">
        <v>156</v>
      </c>
      <c r="F1234" s="1">
        <v>24698</v>
      </c>
      <c r="G1234">
        <f>YEAR(Table13[[#This Row],[Date]])</f>
        <v>1967</v>
      </c>
      <c r="H1234" t="s">
        <v>479</v>
      </c>
      <c r="I1234">
        <f>IF(COUNTIF($E1234, _xlfn.CONCAT("*",Table13[[#Headers],[Action]],"*")),1,0)</f>
        <v>0</v>
      </c>
      <c r="J1234">
        <f>IF(COUNTIF($E1234, _xlfn.CONCAT("*",Table13[[#Headers],[Adventure]],"*")),1,0)</f>
        <v>0</v>
      </c>
      <c r="K1234">
        <f>IF(COUNTIF($E1234, _xlfn.CONCAT("*",Table13[[#Headers],[Animation]],"*")),1,0)</f>
        <v>0</v>
      </c>
      <c r="L1234">
        <f>IF(COUNTIF($E1234, _xlfn.CONCAT("*",Table13[[#Headers],[Comedy]],"*")),1,0)</f>
        <v>0</v>
      </c>
      <c r="M1234">
        <f>IF(COUNTIF($E1234, _xlfn.CONCAT("*",Table13[[#Headers],[Crime]],"*")),1,0)</f>
        <v>1</v>
      </c>
      <c r="N1234">
        <f>IF(COUNTIF($E1234, _xlfn.CONCAT("*",Table13[[#Headers],[Documentary]],"*")),1,0)</f>
        <v>0</v>
      </c>
      <c r="O1234">
        <f>IF(COUNTIF($E1234, _xlfn.CONCAT("*",Table13[[#Headers],[Drama]],"*")),1,0)</f>
        <v>1</v>
      </c>
      <c r="P1234">
        <f>IF(COUNTIF($E1234, _xlfn.CONCAT("*",Table13[[#Headers],[Family]],"*")),1,0)</f>
        <v>0</v>
      </c>
      <c r="Q1234">
        <f>IF(COUNTIF($E1234, _xlfn.CONCAT("*",Table13[[#Headers],[Fantasy]],"*")),1,0)</f>
        <v>0</v>
      </c>
      <c r="R1234">
        <f>IF(COUNTIF($E1234, _xlfn.CONCAT("*",Table13[[#Headers],[History]],"*")),1,0)</f>
        <v>0</v>
      </c>
      <c r="S1234">
        <f>IF(COUNTIF($E1234, _xlfn.CONCAT("*",Table13[[#Headers],[Horror]],"*")),1,0)</f>
        <v>0</v>
      </c>
      <c r="T1234">
        <f>IF(COUNTIF($E1234, _xlfn.CONCAT("*",Table13[[#Headers],[Music]],"*")),1,0)</f>
        <v>0</v>
      </c>
      <c r="U1234">
        <f>IF(COUNTIF($E1234, _xlfn.CONCAT("*",Table13[[#Headers],[Mystery]],"*")),1,0)</f>
        <v>0</v>
      </c>
      <c r="V1234">
        <f>IF(COUNTIF($E1234, _xlfn.CONCAT("*",Table13[[#Headers],[Romance]],"*")),1,0)</f>
        <v>0</v>
      </c>
      <c r="W1234">
        <f>IF(COUNTIF($E1234, _xlfn.CONCAT("*",Table13[[#Headers],[Science Fiction]],"*")),1,0)</f>
        <v>0</v>
      </c>
      <c r="X1234">
        <f>IF(COUNTIF($E1234, _xlfn.CONCAT("*",Table13[[#Headers],[TV Movie]],"*")),1,0)</f>
        <v>0</v>
      </c>
      <c r="Y1234">
        <f>IF(COUNTIF($E1234, _xlfn.CONCAT("*",Table13[[#Headers],[Thriller]],"*")),1,0)</f>
        <v>0</v>
      </c>
      <c r="Z1234">
        <f>IF(COUNTIF($E1234, _xlfn.CONCAT("*",Table13[[#Headers],[War]],"*")),1,0)</f>
        <v>0</v>
      </c>
      <c r="AA1234">
        <f>IF(COUNTIF($E1234, _xlfn.CONCAT("*",Table13[[#Headers],[Western]],"*")),1,0)</f>
        <v>0</v>
      </c>
    </row>
    <row r="1235" spans="1:27">
      <c r="A1235" t="s">
        <v>1129</v>
      </c>
      <c r="B1235">
        <v>100</v>
      </c>
      <c r="C1235">
        <f>MAX(Table13[Rank])-Table13[[#This Row],[Rank]]</f>
        <v>164</v>
      </c>
      <c r="D1235" t="s">
        <v>1022</v>
      </c>
      <c r="E1235" t="s">
        <v>274</v>
      </c>
      <c r="F1235" s="1">
        <v>42790</v>
      </c>
      <c r="G1235">
        <f>YEAR(Table13[[#This Row],[Date]])</f>
        <v>2017</v>
      </c>
      <c r="H1235" t="s">
        <v>273</v>
      </c>
      <c r="I1235">
        <f>IF(COUNTIF($E1235, _xlfn.CONCAT("*",Table13[[#Headers],[Action]],"*")),1,0)</f>
        <v>0</v>
      </c>
      <c r="J1235">
        <f>IF(COUNTIF($E1235, _xlfn.CONCAT("*",Table13[[#Headers],[Adventure]],"*")),1,0)</f>
        <v>0</v>
      </c>
      <c r="K1235">
        <f>IF(COUNTIF($E1235, _xlfn.CONCAT("*",Table13[[#Headers],[Animation]],"*")),1,0)</f>
        <v>0</v>
      </c>
      <c r="L1235">
        <f>IF(COUNTIF($E1235, _xlfn.CONCAT("*",Table13[[#Headers],[Comedy]],"*")),1,0)</f>
        <v>0</v>
      </c>
      <c r="M1235">
        <f>IF(COUNTIF($E1235, _xlfn.CONCAT("*",Table13[[#Headers],[Crime]],"*")),1,0)</f>
        <v>0</v>
      </c>
      <c r="N1235">
        <f>IF(COUNTIF($E1235, _xlfn.CONCAT("*",Table13[[#Headers],[Documentary]],"*")),1,0)</f>
        <v>0</v>
      </c>
      <c r="O1235">
        <f>IF(COUNTIF($E1235, _xlfn.CONCAT("*",Table13[[#Headers],[Drama]],"*")),1,0)</f>
        <v>0</v>
      </c>
      <c r="P1235">
        <f>IF(COUNTIF($E1235, _xlfn.CONCAT("*",Table13[[#Headers],[Family]],"*")),1,0)</f>
        <v>0</v>
      </c>
      <c r="Q1235">
        <f>IF(COUNTIF($E1235, _xlfn.CONCAT("*",Table13[[#Headers],[Fantasy]],"*")),1,0)</f>
        <v>0</v>
      </c>
      <c r="R1235">
        <f>IF(COUNTIF($E1235, _xlfn.CONCAT("*",Table13[[#Headers],[History]],"*")),1,0)</f>
        <v>0</v>
      </c>
      <c r="S1235">
        <f>IF(COUNTIF($E1235, _xlfn.CONCAT("*",Table13[[#Headers],[Horror]],"*")),1,0)</f>
        <v>1</v>
      </c>
      <c r="T1235">
        <f>IF(COUNTIF($E1235, _xlfn.CONCAT("*",Table13[[#Headers],[Music]],"*")),1,0)</f>
        <v>0</v>
      </c>
      <c r="U1235">
        <f>IF(COUNTIF($E1235, _xlfn.CONCAT("*",Table13[[#Headers],[Mystery]],"*")),1,0)</f>
        <v>1</v>
      </c>
      <c r="V1235">
        <f>IF(COUNTIF($E1235, _xlfn.CONCAT("*",Table13[[#Headers],[Romance]],"*")),1,0)</f>
        <v>0</v>
      </c>
      <c r="W1235">
        <f>IF(COUNTIF($E1235, _xlfn.CONCAT("*",Table13[[#Headers],[Science Fiction]],"*")),1,0)</f>
        <v>0</v>
      </c>
      <c r="X1235">
        <f>IF(COUNTIF($E1235, _xlfn.CONCAT("*",Table13[[#Headers],[TV Movie]],"*")),1,0)</f>
        <v>0</v>
      </c>
      <c r="Y1235">
        <f>IF(COUNTIF($E1235, _xlfn.CONCAT("*",Table13[[#Headers],[Thriller]],"*")),1,0)</f>
        <v>1</v>
      </c>
      <c r="Z1235">
        <f>IF(COUNTIF($E1235, _xlfn.CONCAT("*",Table13[[#Headers],[War]],"*")),1,0)</f>
        <v>0</v>
      </c>
      <c r="AA1235">
        <f>IF(COUNTIF($E1235, _xlfn.CONCAT("*",Table13[[#Headers],[Western]],"*")),1,0)</f>
        <v>0</v>
      </c>
    </row>
    <row r="1236" spans="1:27">
      <c r="A1236" t="s">
        <v>1130</v>
      </c>
      <c r="B1236">
        <v>100</v>
      </c>
      <c r="C1236">
        <f>MAX(Table13[Rank])-Table13[[#This Row],[Rank]]</f>
        <v>164</v>
      </c>
      <c r="D1236" t="s">
        <v>1131</v>
      </c>
      <c r="E1236" t="s">
        <v>1132</v>
      </c>
      <c r="F1236" s="1">
        <v>43670</v>
      </c>
      <c r="G1236">
        <f>YEAR(Table13[[#This Row],[Date]])</f>
        <v>2019</v>
      </c>
      <c r="H1236" t="s">
        <v>1133</v>
      </c>
      <c r="I1236">
        <f>IF(COUNTIF($E1236, _xlfn.CONCAT("*",Table13[[#Headers],[Action]],"*")),1,0)</f>
        <v>0</v>
      </c>
      <c r="J1236">
        <f>IF(COUNTIF($E1236, _xlfn.CONCAT("*",Table13[[#Headers],[Adventure]],"*")),1,0)</f>
        <v>0</v>
      </c>
      <c r="K1236">
        <f>IF(COUNTIF($E1236, _xlfn.CONCAT("*",Table13[[#Headers],[Animation]],"*")),1,0)</f>
        <v>0</v>
      </c>
      <c r="L1236">
        <f>IF(COUNTIF($E1236, _xlfn.CONCAT("*",Table13[[#Headers],[Comedy]],"*")),1,0)</f>
        <v>1</v>
      </c>
      <c r="M1236">
        <f>IF(COUNTIF($E1236, _xlfn.CONCAT("*",Table13[[#Headers],[Crime]],"*")),1,0)</f>
        <v>0</v>
      </c>
      <c r="N1236">
        <f>IF(COUNTIF($E1236, _xlfn.CONCAT("*",Table13[[#Headers],[Documentary]],"*")),1,0)</f>
        <v>0</v>
      </c>
      <c r="O1236">
        <f>IF(COUNTIF($E1236, _xlfn.CONCAT("*",Table13[[#Headers],[Drama]],"*")),1,0)</f>
        <v>1</v>
      </c>
      <c r="P1236">
        <f>IF(COUNTIF($E1236, _xlfn.CONCAT("*",Table13[[#Headers],[Family]],"*")),1,0)</f>
        <v>0</v>
      </c>
      <c r="Q1236">
        <f>IF(COUNTIF($E1236, _xlfn.CONCAT("*",Table13[[#Headers],[Fantasy]],"*")),1,0)</f>
        <v>0</v>
      </c>
      <c r="R1236">
        <f>IF(COUNTIF($E1236, _xlfn.CONCAT("*",Table13[[#Headers],[History]],"*")),1,0)</f>
        <v>0</v>
      </c>
      <c r="S1236">
        <f>IF(COUNTIF($E1236, _xlfn.CONCAT("*",Table13[[#Headers],[Horror]],"*")),1,0)</f>
        <v>0</v>
      </c>
      <c r="T1236">
        <f>IF(COUNTIF($E1236, _xlfn.CONCAT("*",Table13[[#Headers],[Music]],"*")),1,0)</f>
        <v>0</v>
      </c>
      <c r="U1236">
        <f>IF(COUNTIF($E1236, _xlfn.CONCAT("*",Table13[[#Headers],[Mystery]],"*")),1,0)</f>
        <v>0</v>
      </c>
      <c r="V1236">
        <f>IF(COUNTIF($E1236, _xlfn.CONCAT("*",Table13[[#Headers],[Romance]],"*")),1,0)</f>
        <v>0</v>
      </c>
      <c r="W1236">
        <f>IF(COUNTIF($E1236, _xlfn.CONCAT("*",Table13[[#Headers],[Science Fiction]],"*")),1,0)</f>
        <v>0</v>
      </c>
      <c r="X1236">
        <f>IF(COUNTIF($E1236, _xlfn.CONCAT("*",Table13[[#Headers],[TV Movie]],"*")),1,0)</f>
        <v>0</v>
      </c>
      <c r="Y1236">
        <f>IF(COUNTIF($E1236, _xlfn.CONCAT("*",Table13[[#Headers],[Thriller]],"*")),1,0)</f>
        <v>1</v>
      </c>
      <c r="Z1236">
        <f>IF(COUNTIF($E1236, _xlfn.CONCAT("*",Table13[[#Headers],[War]],"*")),1,0)</f>
        <v>0</v>
      </c>
      <c r="AA1236">
        <f>IF(COUNTIF($E1236, _xlfn.CONCAT("*",Table13[[#Headers],[Western]],"*")),1,0)</f>
        <v>0</v>
      </c>
    </row>
    <row r="1237" spans="1:27">
      <c r="A1237" t="s">
        <v>1134</v>
      </c>
      <c r="B1237">
        <v>99</v>
      </c>
      <c r="C1237">
        <f>MAX(Table13[Rank])-Table13[[#This Row],[Rank]]</f>
        <v>165</v>
      </c>
      <c r="D1237" t="s">
        <v>1131</v>
      </c>
      <c r="E1237" t="s">
        <v>35</v>
      </c>
      <c r="F1237" s="1">
        <v>40122</v>
      </c>
      <c r="G1237">
        <f>YEAR(Table13[[#This Row],[Date]])</f>
        <v>2009</v>
      </c>
      <c r="H1237" t="s">
        <v>1134</v>
      </c>
      <c r="I1237">
        <f>IF(COUNTIF($E1237, _xlfn.CONCAT("*",Table13[[#Headers],[Action]],"*")),1,0)</f>
        <v>0</v>
      </c>
      <c r="J1237">
        <f>IF(COUNTIF($E1237, _xlfn.CONCAT("*",Table13[[#Headers],[Adventure]],"*")),1,0)</f>
        <v>0</v>
      </c>
      <c r="K1237">
        <f>IF(COUNTIF($E1237, _xlfn.CONCAT("*",Table13[[#Headers],[Animation]],"*")),1,0)</f>
        <v>0</v>
      </c>
      <c r="L1237">
        <f>IF(COUNTIF($E1237, _xlfn.CONCAT("*",Table13[[#Headers],[Comedy]],"*")),1,0)</f>
        <v>0</v>
      </c>
      <c r="M1237">
        <f>IF(COUNTIF($E1237, _xlfn.CONCAT("*",Table13[[#Headers],[Crime]],"*")),1,0)</f>
        <v>0</v>
      </c>
      <c r="N1237">
        <f>IF(COUNTIF($E1237, _xlfn.CONCAT("*",Table13[[#Headers],[Documentary]],"*")),1,0)</f>
        <v>0</v>
      </c>
      <c r="O1237">
        <f>IF(COUNTIF($E1237, _xlfn.CONCAT("*",Table13[[#Headers],[Drama]],"*")),1,0)</f>
        <v>1</v>
      </c>
      <c r="P1237">
        <f>IF(COUNTIF($E1237, _xlfn.CONCAT("*",Table13[[#Headers],[Family]],"*")),1,0)</f>
        <v>0</v>
      </c>
      <c r="Q1237">
        <f>IF(COUNTIF($E1237, _xlfn.CONCAT("*",Table13[[#Headers],[Fantasy]],"*")),1,0)</f>
        <v>0</v>
      </c>
      <c r="R1237">
        <f>IF(COUNTIF($E1237, _xlfn.CONCAT("*",Table13[[#Headers],[History]],"*")),1,0)</f>
        <v>0</v>
      </c>
      <c r="S1237">
        <f>IF(COUNTIF($E1237, _xlfn.CONCAT("*",Table13[[#Headers],[Horror]],"*")),1,0)</f>
        <v>0</v>
      </c>
      <c r="T1237">
        <f>IF(COUNTIF($E1237, _xlfn.CONCAT("*",Table13[[#Headers],[Music]],"*")),1,0)</f>
        <v>0</v>
      </c>
      <c r="U1237">
        <f>IF(COUNTIF($E1237, _xlfn.CONCAT("*",Table13[[#Headers],[Mystery]],"*")),1,0)</f>
        <v>0</v>
      </c>
      <c r="V1237">
        <f>IF(COUNTIF($E1237, _xlfn.CONCAT("*",Table13[[#Headers],[Romance]],"*")),1,0)</f>
        <v>1</v>
      </c>
      <c r="W1237">
        <f>IF(COUNTIF($E1237, _xlfn.CONCAT("*",Table13[[#Headers],[Science Fiction]],"*")),1,0)</f>
        <v>0</v>
      </c>
      <c r="X1237">
        <f>IF(COUNTIF($E1237, _xlfn.CONCAT("*",Table13[[#Headers],[TV Movie]],"*")),1,0)</f>
        <v>0</v>
      </c>
      <c r="Y1237">
        <f>IF(COUNTIF($E1237, _xlfn.CONCAT("*",Table13[[#Headers],[Thriller]],"*")),1,0)</f>
        <v>0</v>
      </c>
      <c r="Z1237">
        <f>IF(COUNTIF($E1237, _xlfn.CONCAT("*",Table13[[#Headers],[War]],"*")),1,0)</f>
        <v>0</v>
      </c>
      <c r="AA1237">
        <f>IF(COUNTIF($E1237, _xlfn.CONCAT("*",Table13[[#Headers],[Western]],"*")),1,0)</f>
        <v>0</v>
      </c>
    </row>
    <row r="1238" spans="1:27">
      <c r="A1238" t="s">
        <v>440</v>
      </c>
      <c r="B1238">
        <v>98</v>
      </c>
      <c r="C1238">
        <f>MAX(Table13[Rank])-Table13[[#This Row],[Rank]]</f>
        <v>166</v>
      </c>
      <c r="D1238" t="s">
        <v>1131</v>
      </c>
      <c r="E1238" t="s">
        <v>441</v>
      </c>
      <c r="F1238" s="1">
        <v>39645</v>
      </c>
      <c r="G1238">
        <f>YEAR(Table13[[#This Row],[Date]])</f>
        <v>2008</v>
      </c>
      <c r="H1238" t="s">
        <v>440</v>
      </c>
      <c r="I1238">
        <f>IF(COUNTIF($E1238, _xlfn.CONCAT("*",Table13[[#Headers],[Action]],"*")),1,0)</f>
        <v>1</v>
      </c>
      <c r="J1238">
        <f>IF(COUNTIF($E1238, _xlfn.CONCAT("*",Table13[[#Headers],[Adventure]],"*")),1,0)</f>
        <v>0</v>
      </c>
      <c r="K1238">
        <f>IF(COUNTIF($E1238, _xlfn.CONCAT("*",Table13[[#Headers],[Animation]],"*")),1,0)</f>
        <v>0</v>
      </c>
      <c r="L1238">
        <f>IF(COUNTIF($E1238, _xlfn.CONCAT("*",Table13[[#Headers],[Comedy]],"*")),1,0)</f>
        <v>0</v>
      </c>
      <c r="M1238">
        <f>IF(COUNTIF($E1238, _xlfn.CONCAT("*",Table13[[#Headers],[Crime]],"*")),1,0)</f>
        <v>1</v>
      </c>
      <c r="N1238">
        <f>IF(COUNTIF($E1238, _xlfn.CONCAT("*",Table13[[#Headers],[Documentary]],"*")),1,0)</f>
        <v>0</v>
      </c>
      <c r="O1238">
        <f>IF(COUNTIF($E1238, _xlfn.CONCAT("*",Table13[[#Headers],[Drama]],"*")),1,0)</f>
        <v>1</v>
      </c>
      <c r="P1238">
        <f>IF(COUNTIF($E1238, _xlfn.CONCAT("*",Table13[[#Headers],[Family]],"*")),1,0)</f>
        <v>0</v>
      </c>
      <c r="Q1238">
        <f>IF(COUNTIF($E1238, _xlfn.CONCAT("*",Table13[[#Headers],[Fantasy]],"*")),1,0)</f>
        <v>0</v>
      </c>
      <c r="R1238">
        <f>IF(COUNTIF($E1238, _xlfn.CONCAT("*",Table13[[#Headers],[History]],"*")),1,0)</f>
        <v>0</v>
      </c>
      <c r="S1238">
        <f>IF(COUNTIF($E1238, _xlfn.CONCAT("*",Table13[[#Headers],[Horror]],"*")),1,0)</f>
        <v>0</v>
      </c>
      <c r="T1238">
        <f>IF(COUNTIF($E1238, _xlfn.CONCAT("*",Table13[[#Headers],[Music]],"*")),1,0)</f>
        <v>0</v>
      </c>
      <c r="U1238">
        <f>IF(COUNTIF($E1238, _xlfn.CONCAT("*",Table13[[#Headers],[Mystery]],"*")),1,0)</f>
        <v>0</v>
      </c>
      <c r="V1238">
        <f>IF(COUNTIF($E1238, _xlfn.CONCAT("*",Table13[[#Headers],[Romance]],"*")),1,0)</f>
        <v>0</v>
      </c>
      <c r="W1238">
        <f>IF(COUNTIF($E1238, _xlfn.CONCAT("*",Table13[[#Headers],[Science Fiction]],"*")),1,0)</f>
        <v>0</v>
      </c>
      <c r="X1238">
        <f>IF(COUNTIF($E1238, _xlfn.CONCAT("*",Table13[[#Headers],[TV Movie]],"*")),1,0)</f>
        <v>0</v>
      </c>
      <c r="Y1238">
        <f>IF(COUNTIF($E1238, _xlfn.CONCAT("*",Table13[[#Headers],[Thriller]],"*")),1,0)</f>
        <v>1</v>
      </c>
      <c r="Z1238">
        <f>IF(COUNTIF($E1238, _xlfn.CONCAT("*",Table13[[#Headers],[War]],"*")),1,0)</f>
        <v>0</v>
      </c>
      <c r="AA1238">
        <f>IF(COUNTIF($E1238, _xlfn.CONCAT("*",Table13[[#Headers],[Western]],"*")),1,0)</f>
        <v>0</v>
      </c>
    </row>
    <row r="1239" spans="1:27">
      <c r="A1239" t="s">
        <v>1135</v>
      </c>
      <c r="B1239">
        <v>97</v>
      </c>
      <c r="C1239">
        <f>MAX(Table13[Rank])-Table13[[#This Row],[Rank]]</f>
        <v>167</v>
      </c>
      <c r="D1239" t="s">
        <v>1131</v>
      </c>
      <c r="E1239" t="s">
        <v>17</v>
      </c>
      <c r="F1239" s="1">
        <v>38163</v>
      </c>
      <c r="G1239">
        <f>YEAR(Table13[[#This Row],[Date]])</f>
        <v>2004</v>
      </c>
      <c r="H1239" t="s">
        <v>1135</v>
      </c>
      <c r="I1239">
        <f>IF(COUNTIF($E1239, _xlfn.CONCAT("*",Table13[[#Headers],[Action]],"*")),1,0)</f>
        <v>0</v>
      </c>
      <c r="J1239">
        <f>IF(COUNTIF($E1239, _xlfn.CONCAT("*",Table13[[#Headers],[Adventure]],"*")),1,0)</f>
        <v>0</v>
      </c>
      <c r="K1239">
        <f>IF(COUNTIF($E1239, _xlfn.CONCAT("*",Table13[[#Headers],[Animation]],"*")),1,0)</f>
        <v>0</v>
      </c>
      <c r="L1239">
        <f>IF(COUNTIF($E1239, _xlfn.CONCAT("*",Table13[[#Headers],[Comedy]],"*")),1,0)</f>
        <v>0</v>
      </c>
      <c r="M1239">
        <f>IF(COUNTIF($E1239, _xlfn.CONCAT("*",Table13[[#Headers],[Crime]],"*")),1,0)</f>
        <v>0</v>
      </c>
      <c r="N1239">
        <f>IF(COUNTIF($E1239, _xlfn.CONCAT("*",Table13[[#Headers],[Documentary]],"*")),1,0)</f>
        <v>1</v>
      </c>
      <c r="O1239">
        <f>IF(COUNTIF($E1239, _xlfn.CONCAT("*",Table13[[#Headers],[Drama]],"*")),1,0)</f>
        <v>0</v>
      </c>
      <c r="P1239">
        <f>IF(COUNTIF($E1239, _xlfn.CONCAT("*",Table13[[#Headers],[Family]],"*")),1,0)</f>
        <v>0</v>
      </c>
      <c r="Q1239">
        <f>IF(COUNTIF($E1239, _xlfn.CONCAT("*",Table13[[#Headers],[Fantasy]],"*")),1,0)</f>
        <v>0</v>
      </c>
      <c r="R1239">
        <f>IF(COUNTIF($E1239, _xlfn.CONCAT("*",Table13[[#Headers],[History]],"*")),1,0)</f>
        <v>0</v>
      </c>
      <c r="S1239">
        <f>IF(COUNTIF($E1239, _xlfn.CONCAT("*",Table13[[#Headers],[Horror]],"*")),1,0)</f>
        <v>0</v>
      </c>
      <c r="T1239">
        <f>IF(COUNTIF($E1239, _xlfn.CONCAT("*",Table13[[#Headers],[Music]],"*")),1,0)</f>
        <v>0</v>
      </c>
      <c r="U1239">
        <f>IF(COUNTIF($E1239, _xlfn.CONCAT("*",Table13[[#Headers],[Mystery]],"*")),1,0)</f>
        <v>0</v>
      </c>
      <c r="V1239">
        <f>IF(COUNTIF($E1239, _xlfn.CONCAT("*",Table13[[#Headers],[Romance]],"*")),1,0)</f>
        <v>0</v>
      </c>
      <c r="W1239">
        <f>IF(COUNTIF($E1239, _xlfn.CONCAT("*",Table13[[#Headers],[Science Fiction]],"*")),1,0)</f>
        <v>0</v>
      </c>
      <c r="X1239">
        <f>IF(COUNTIF($E1239, _xlfn.CONCAT("*",Table13[[#Headers],[TV Movie]],"*")),1,0)</f>
        <v>0</v>
      </c>
      <c r="Y1239">
        <f>IF(COUNTIF($E1239, _xlfn.CONCAT("*",Table13[[#Headers],[Thriller]],"*")),1,0)</f>
        <v>0</v>
      </c>
      <c r="Z1239">
        <f>IF(COUNTIF($E1239, _xlfn.CONCAT("*",Table13[[#Headers],[War]],"*")),1,0)</f>
        <v>0</v>
      </c>
      <c r="AA1239">
        <f>IF(COUNTIF($E1239, _xlfn.CONCAT("*",Table13[[#Headers],[Western]],"*")),1,0)</f>
        <v>0</v>
      </c>
    </row>
    <row r="1240" spans="1:27">
      <c r="A1240" t="s">
        <v>1136</v>
      </c>
      <c r="B1240">
        <v>96</v>
      </c>
      <c r="C1240">
        <f>MAX(Table13[Rank])-Table13[[#This Row],[Rank]]</f>
        <v>168</v>
      </c>
      <c r="D1240" t="s">
        <v>1131</v>
      </c>
      <c r="E1240" t="s">
        <v>256</v>
      </c>
      <c r="F1240" s="1">
        <v>43378</v>
      </c>
      <c r="G1240">
        <f>YEAR(Table13[[#This Row],[Date]])</f>
        <v>2018</v>
      </c>
      <c r="H1240" t="s">
        <v>1136</v>
      </c>
      <c r="I1240">
        <f>IF(COUNTIF($E1240, _xlfn.CONCAT("*",Table13[[#Headers],[Action]],"*")),1,0)</f>
        <v>0</v>
      </c>
      <c r="J1240">
        <f>IF(COUNTIF($E1240, _xlfn.CONCAT("*",Table13[[#Headers],[Adventure]],"*")),1,0)</f>
        <v>0</v>
      </c>
      <c r="K1240">
        <f>IF(COUNTIF($E1240, _xlfn.CONCAT("*",Table13[[#Headers],[Animation]],"*")),1,0)</f>
        <v>0</v>
      </c>
      <c r="L1240">
        <f>IF(COUNTIF($E1240, _xlfn.CONCAT("*",Table13[[#Headers],[Comedy]],"*")),1,0)</f>
        <v>1</v>
      </c>
      <c r="M1240">
        <f>IF(COUNTIF($E1240, _xlfn.CONCAT("*",Table13[[#Headers],[Crime]],"*")),1,0)</f>
        <v>0</v>
      </c>
      <c r="N1240">
        <f>IF(COUNTIF($E1240, _xlfn.CONCAT("*",Table13[[#Headers],[Documentary]],"*")),1,0)</f>
        <v>0</v>
      </c>
      <c r="O1240">
        <f>IF(COUNTIF($E1240, _xlfn.CONCAT("*",Table13[[#Headers],[Drama]],"*")),1,0)</f>
        <v>1</v>
      </c>
      <c r="P1240">
        <f>IF(COUNTIF($E1240, _xlfn.CONCAT("*",Table13[[#Headers],[Family]],"*")),1,0)</f>
        <v>0</v>
      </c>
      <c r="Q1240">
        <f>IF(COUNTIF($E1240, _xlfn.CONCAT("*",Table13[[#Headers],[Fantasy]],"*")),1,0)</f>
        <v>0</v>
      </c>
      <c r="R1240">
        <f>IF(COUNTIF($E1240, _xlfn.CONCAT("*",Table13[[#Headers],[History]],"*")),1,0)</f>
        <v>0</v>
      </c>
      <c r="S1240">
        <f>IF(COUNTIF($E1240, _xlfn.CONCAT("*",Table13[[#Headers],[Horror]],"*")),1,0)</f>
        <v>0</v>
      </c>
      <c r="T1240">
        <f>IF(COUNTIF($E1240, _xlfn.CONCAT("*",Table13[[#Headers],[Music]],"*")),1,0)</f>
        <v>0</v>
      </c>
      <c r="U1240">
        <f>IF(COUNTIF($E1240, _xlfn.CONCAT("*",Table13[[#Headers],[Mystery]],"*")),1,0)</f>
        <v>0</v>
      </c>
      <c r="V1240">
        <f>IF(COUNTIF($E1240, _xlfn.CONCAT("*",Table13[[#Headers],[Romance]],"*")),1,0)</f>
        <v>0</v>
      </c>
      <c r="W1240">
        <f>IF(COUNTIF($E1240, _xlfn.CONCAT("*",Table13[[#Headers],[Science Fiction]],"*")),1,0)</f>
        <v>0</v>
      </c>
      <c r="X1240">
        <f>IF(COUNTIF($E1240, _xlfn.CONCAT("*",Table13[[#Headers],[TV Movie]],"*")),1,0)</f>
        <v>0</v>
      </c>
      <c r="Y1240">
        <f>IF(COUNTIF($E1240, _xlfn.CONCAT("*",Table13[[#Headers],[Thriller]],"*")),1,0)</f>
        <v>0</v>
      </c>
      <c r="Z1240">
        <f>IF(COUNTIF($E1240, _xlfn.CONCAT("*",Table13[[#Headers],[War]],"*")),1,0)</f>
        <v>0</v>
      </c>
      <c r="AA1240">
        <f>IF(COUNTIF($E1240, _xlfn.CONCAT("*",Table13[[#Headers],[Western]],"*")),1,0)</f>
        <v>0</v>
      </c>
    </row>
    <row r="1241" spans="1:27">
      <c r="A1241" t="s">
        <v>1137</v>
      </c>
      <c r="B1241">
        <v>95</v>
      </c>
      <c r="C1241">
        <f>MAX(Table13[Rank])-Table13[[#This Row],[Rank]]</f>
        <v>169</v>
      </c>
      <c r="D1241" t="s">
        <v>1131</v>
      </c>
      <c r="E1241" t="s">
        <v>100</v>
      </c>
      <c r="F1241" s="1">
        <v>42979</v>
      </c>
      <c r="G1241">
        <f>YEAR(Table13[[#This Row],[Date]])</f>
        <v>2017</v>
      </c>
      <c r="H1241" t="s">
        <v>1138</v>
      </c>
      <c r="I1241">
        <f>IF(COUNTIF($E1241, _xlfn.CONCAT("*",Table13[[#Headers],[Action]],"*")),1,0)</f>
        <v>0</v>
      </c>
      <c r="J1241">
        <f>IF(COUNTIF($E1241, _xlfn.CONCAT("*",Table13[[#Headers],[Adventure]],"*")),1,0)</f>
        <v>0</v>
      </c>
      <c r="K1241">
        <f>IF(COUNTIF($E1241, _xlfn.CONCAT("*",Table13[[#Headers],[Animation]],"*")),1,0)</f>
        <v>0</v>
      </c>
      <c r="L1241">
        <f>IF(COUNTIF($E1241, _xlfn.CONCAT("*",Table13[[#Headers],[Comedy]],"*")),1,0)</f>
        <v>0</v>
      </c>
      <c r="M1241">
        <f>IF(COUNTIF($E1241, _xlfn.CONCAT("*",Table13[[#Headers],[Crime]],"*")),1,0)</f>
        <v>0</v>
      </c>
      <c r="N1241">
        <f>IF(COUNTIF($E1241, _xlfn.CONCAT("*",Table13[[#Headers],[Documentary]],"*")),1,0)</f>
        <v>0</v>
      </c>
      <c r="O1241">
        <f>IF(COUNTIF($E1241, _xlfn.CONCAT("*",Table13[[#Headers],[Drama]],"*")),1,0)</f>
        <v>1</v>
      </c>
      <c r="P1241">
        <f>IF(COUNTIF($E1241, _xlfn.CONCAT("*",Table13[[#Headers],[Family]],"*")),1,0)</f>
        <v>0</v>
      </c>
      <c r="Q1241">
        <f>IF(COUNTIF($E1241, _xlfn.CONCAT("*",Table13[[#Headers],[Fantasy]],"*")),1,0)</f>
        <v>0</v>
      </c>
      <c r="R1241">
        <f>IF(COUNTIF($E1241, _xlfn.CONCAT("*",Table13[[#Headers],[History]],"*")),1,0)</f>
        <v>0</v>
      </c>
      <c r="S1241">
        <f>IF(COUNTIF($E1241, _xlfn.CONCAT("*",Table13[[#Headers],[Horror]],"*")),1,0)</f>
        <v>0</v>
      </c>
      <c r="T1241">
        <f>IF(COUNTIF($E1241, _xlfn.CONCAT("*",Table13[[#Headers],[Music]],"*")),1,0)</f>
        <v>0</v>
      </c>
      <c r="U1241">
        <f>IF(COUNTIF($E1241, _xlfn.CONCAT("*",Table13[[#Headers],[Mystery]],"*")),1,0)</f>
        <v>0</v>
      </c>
      <c r="V1241">
        <f>IF(COUNTIF($E1241, _xlfn.CONCAT("*",Table13[[#Headers],[Romance]],"*")),1,0)</f>
        <v>1</v>
      </c>
      <c r="W1241">
        <f>IF(COUNTIF($E1241, _xlfn.CONCAT("*",Table13[[#Headers],[Science Fiction]],"*")),1,0)</f>
        <v>0</v>
      </c>
      <c r="X1241">
        <f>IF(COUNTIF($E1241, _xlfn.CONCAT("*",Table13[[#Headers],[TV Movie]],"*")),1,0)</f>
        <v>0</v>
      </c>
      <c r="Y1241">
        <f>IF(COUNTIF($E1241, _xlfn.CONCAT("*",Table13[[#Headers],[Thriller]],"*")),1,0)</f>
        <v>0</v>
      </c>
      <c r="Z1241">
        <f>IF(COUNTIF($E1241, _xlfn.CONCAT("*",Table13[[#Headers],[War]],"*")),1,0)</f>
        <v>0</v>
      </c>
      <c r="AA1241">
        <f>IF(COUNTIF($E1241, _xlfn.CONCAT("*",Table13[[#Headers],[Western]],"*")),1,0)</f>
        <v>0</v>
      </c>
    </row>
    <row r="1242" spans="1:27">
      <c r="A1242" t="s">
        <v>681</v>
      </c>
      <c r="B1242">
        <v>94</v>
      </c>
      <c r="C1242">
        <f>MAX(Table13[Rank])-Table13[[#This Row],[Rank]]</f>
        <v>170</v>
      </c>
      <c r="D1242" t="s">
        <v>1131</v>
      </c>
      <c r="E1242" t="s">
        <v>682</v>
      </c>
      <c r="F1242" s="1">
        <v>36650</v>
      </c>
      <c r="G1242">
        <f>YEAR(Table13[[#This Row],[Date]])</f>
        <v>2000</v>
      </c>
      <c r="H1242" t="s">
        <v>681</v>
      </c>
      <c r="I1242">
        <f>IF(COUNTIF($E1242, _xlfn.CONCAT("*",Table13[[#Headers],[Action]],"*")),1,0)</f>
        <v>1</v>
      </c>
      <c r="J1242">
        <f>IF(COUNTIF($E1242, _xlfn.CONCAT("*",Table13[[#Headers],[Adventure]],"*")),1,0)</f>
        <v>1</v>
      </c>
      <c r="K1242">
        <f>IF(COUNTIF($E1242, _xlfn.CONCAT("*",Table13[[#Headers],[Animation]],"*")),1,0)</f>
        <v>0</v>
      </c>
      <c r="L1242">
        <f>IF(COUNTIF($E1242, _xlfn.CONCAT("*",Table13[[#Headers],[Comedy]],"*")),1,0)</f>
        <v>0</v>
      </c>
      <c r="M1242">
        <f>IF(COUNTIF($E1242, _xlfn.CONCAT("*",Table13[[#Headers],[Crime]],"*")),1,0)</f>
        <v>0</v>
      </c>
      <c r="N1242">
        <f>IF(COUNTIF($E1242, _xlfn.CONCAT("*",Table13[[#Headers],[Documentary]],"*")),1,0)</f>
        <v>0</v>
      </c>
      <c r="O1242">
        <f>IF(COUNTIF($E1242, _xlfn.CONCAT("*",Table13[[#Headers],[Drama]],"*")),1,0)</f>
        <v>1</v>
      </c>
      <c r="P1242">
        <f>IF(COUNTIF($E1242, _xlfn.CONCAT("*",Table13[[#Headers],[Family]],"*")),1,0)</f>
        <v>0</v>
      </c>
      <c r="Q1242">
        <f>IF(COUNTIF($E1242, _xlfn.CONCAT("*",Table13[[#Headers],[Fantasy]],"*")),1,0)</f>
        <v>0</v>
      </c>
      <c r="R1242">
        <f>IF(COUNTIF($E1242, _xlfn.CONCAT("*",Table13[[#Headers],[History]],"*")),1,0)</f>
        <v>0</v>
      </c>
      <c r="S1242">
        <f>IF(COUNTIF($E1242, _xlfn.CONCAT("*",Table13[[#Headers],[Horror]],"*")),1,0)</f>
        <v>0</v>
      </c>
      <c r="T1242">
        <f>IF(COUNTIF($E1242, _xlfn.CONCAT("*",Table13[[#Headers],[Music]],"*")),1,0)</f>
        <v>0</v>
      </c>
      <c r="U1242">
        <f>IF(COUNTIF($E1242, _xlfn.CONCAT("*",Table13[[#Headers],[Mystery]],"*")),1,0)</f>
        <v>0</v>
      </c>
      <c r="V1242">
        <f>IF(COUNTIF($E1242, _xlfn.CONCAT("*",Table13[[#Headers],[Romance]],"*")),1,0)</f>
        <v>0</v>
      </c>
      <c r="W1242">
        <f>IF(COUNTIF($E1242, _xlfn.CONCAT("*",Table13[[#Headers],[Science Fiction]],"*")),1,0)</f>
        <v>0</v>
      </c>
      <c r="X1242">
        <f>IF(COUNTIF($E1242, _xlfn.CONCAT("*",Table13[[#Headers],[TV Movie]],"*")),1,0)</f>
        <v>0</v>
      </c>
      <c r="Y1242">
        <f>IF(COUNTIF($E1242, _xlfn.CONCAT("*",Table13[[#Headers],[Thriller]],"*")),1,0)</f>
        <v>0</v>
      </c>
      <c r="Z1242">
        <f>IF(COUNTIF($E1242, _xlfn.CONCAT("*",Table13[[#Headers],[War]],"*")),1,0)</f>
        <v>0</v>
      </c>
      <c r="AA1242">
        <f>IF(COUNTIF($E1242, _xlfn.CONCAT("*",Table13[[#Headers],[Western]],"*")),1,0)</f>
        <v>0</v>
      </c>
    </row>
    <row r="1243" spans="1:27">
      <c r="A1243" t="s">
        <v>1139</v>
      </c>
      <c r="B1243">
        <v>93</v>
      </c>
      <c r="C1243">
        <f>MAX(Table13[Rank])-Table13[[#This Row],[Rank]]</f>
        <v>171</v>
      </c>
      <c r="D1243" t="s">
        <v>1131</v>
      </c>
      <c r="E1243" t="s">
        <v>1140</v>
      </c>
      <c r="F1243" s="1">
        <v>39346</v>
      </c>
      <c r="G1243">
        <f>YEAR(Table13[[#This Row],[Date]])</f>
        <v>2007</v>
      </c>
      <c r="H1243" t="s">
        <v>1139</v>
      </c>
      <c r="I1243">
        <f>IF(COUNTIF($E1243, _xlfn.CONCAT("*",Table13[[#Headers],[Action]],"*")),1,0)</f>
        <v>0</v>
      </c>
      <c r="J1243">
        <f>IF(COUNTIF($E1243, _xlfn.CONCAT("*",Table13[[#Headers],[Adventure]],"*")),1,0)</f>
        <v>0</v>
      </c>
      <c r="K1243">
        <f>IF(COUNTIF($E1243, _xlfn.CONCAT("*",Table13[[#Headers],[Animation]],"*")),1,0)</f>
        <v>0</v>
      </c>
      <c r="L1243">
        <f>IF(COUNTIF($E1243, _xlfn.CONCAT("*",Table13[[#Headers],[Comedy]],"*")),1,0)</f>
        <v>1</v>
      </c>
      <c r="M1243">
        <f>IF(COUNTIF($E1243, _xlfn.CONCAT("*",Table13[[#Headers],[Crime]],"*")),1,0)</f>
        <v>0</v>
      </c>
      <c r="N1243">
        <f>IF(COUNTIF($E1243, _xlfn.CONCAT("*",Table13[[#Headers],[Documentary]],"*")),1,0)</f>
        <v>0</v>
      </c>
      <c r="O1243">
        <f>IF(COUNTIF($E1243, _xlfn.CONCAT("*",Table13[[#Headers],[Drama]],"*")),1,0)</f>
        <v>1</v>
      </c>
      <c r="P1243">
        <f>IF(COUNTIF($E1243, _xlfn.CONCAT("*",Table13[[#Headers],[Family]],"*")),1,0)</f>
        <v>0</v>
      </c>
      <c r="Q1243">
        <f>IF(COUNTIF($E1243, _xlfn.CONCAT("*",Table13[[#Headers],[Fantasy]],"*")),1,0)</f>
        <v>0</v>
      </c>
      <c r="R1243">
        <f>IF(COUNTIF($E1243, _xlfn.CONCAT("*",Table13[[#Headers],[History]],"*")),1,0)</f>
        <v>0</v>
      </c>
      <c r="S1243">
        <f>IF(COUNTIF($E1243, _xlfn.CONCAT("*",Table13[[#Headers],[Horror]],"*")),1,0)</f>
        <v>0</v>
      </c>
      <c r="T1243">
        <f>IF(COUNTIF($E1243, _xlfn.CONCAT("*",Table13[[#Headers],[Music]],"*")),1,0)</f>
        <v>1</v>
      </c>
      <c r="U1243">
        <f>IF(COUNTIF($E1243, _xlfn.CONCAT("*",Table13[[#Headers],[Mystery]],"*")),1,0)</f>
        <v>0</v>
      </c>
      <c r="V1243">
        <f>IF(COUNTIF($E1243, _xlfn.CONCAT("*",Table13[[#Headers],[Romance]],"*")),1,0)</f>
        <v>0</v>
      </c>
      <c r="W1243">
        <f>IF(COUNTIF($E1243, _xlfn.CONCAT("*",Table13[[#Headers],[Science Fiction]],"*")),1,0)</f>
        <v>0</v>
      </c>
      <c r="X1243">
        <f>IF(COUNTIF($E1243, _xlfn.CONCAT("*",Table13[[#Headers],[TV Movie]],"*")),1,0)</f>
        <v>0</v>
      </c>
      <c r="Y1243">
        <f>IF(COUNTIF($E1243, _xlfn.CONCAT("*",Table13[[#Headers],[Thriller]],"*")),1,0)</f>
        <v>0</v>
      </c>
      <c r="Z1243">
        <f>IF(COUNTIF($E1243, _xlfn.CONCAT("*",Table13[[#Headers],[War]],"*")),1,0)</f>
        <v>0</v>
      </c>
      <c r="AA1243">
        <f>IF(COUNTIF($E1243, _xlfn.CONCAT("*",Table13[[#Headers],[Western]],"*")),1,0)</f>
        <v>0</v>
      </c>
    </row>
    <row r="1244" spans="1:27">
      <c r="A1244" t="s">
        <v>1141</v>
      </c>
      <c r="B1244">
        <v>92</v>
      </c>
      <c r="C1244">
        <f>MAX(Table13[Rank])-Table13[[#This Row],[Rank]]</f>
        <v>172</v>
      </c>
      <c r="D1244" t="s">
        <v>1131</v>
      </c>
      <c r="E1244" t="s">
        <v>558</v>
      </c>
      <c r="F1244" s="1">
        <v>39731</v>
      </c>
      <c r="G1244">
        <f>YEAR(Table13[[#This Row],[Date]])</f>
        <v>2008</v>
      </c>
      <c r="H1244" t="s">
        <v>1141</v>
      </c>
      <c r="I1244">
        <f>IF(COUNTIF($E1244, _xlfn.CONCAT("*",Table13[[#Headers],[Action]],"*")),1,0)</f>
        <v>0</v>
      </c>
      <c r="J1244">
        <f>IF(COUNTIF($E1244, _xlfn.CONCAT("*",Table13[[#Headers],[Adventure]],"*")),1,0)</f>
        <v>0</v>
      </c>
      <c r="K1244">
        <f>IF(COUNTIF($E1244, _xlfn.CONCAT("*",Table13[[#Headers],[Animation]],"*")),1,0)</f>
        <v>0</v>
      </c>
      <c r="L1244">
        <f>IF(COUNTIF($E1244, _xlfn.CONCAT("*",Table13[[#Headers],[Comedy]],"*")),1,0)</f>
        <v>0</v>
      </c>
      <c r="M1244">
        <f>IF(COUNTIF($E1244, _xlfn.CONCAT("*",Table13[[#Headers],[Crime]],"*")),1,0)</f>
        <v>0</v>
      </c>
      <c r="N1244">
        <f>IF(COUNTIF($E1244, _xlfn.CONCAT("*",Table13[[#Headers],[Documentary]],"*")),1,0)</f>
        <v>0</v>
      </c>
      <c r="O1244">
        <f>IF(COUNTIF($E1244, _xlfn.CONCAT("*",Table13[[#Headers],[Drama]],"*")),1,0)</f>
        <v>1</v>
      </c>
      <c r="P1244">
        <f>IF(COUNTIF($E1244, _xlfn.CONCAT("*",Table13[[#Headers],[Family]],"*")),1,0)</f>
        <v>0</v>
      </c>
      <c r="Q1244">
        <f>IF(COUNTIF($E1244, _xlfn.CONCAT("*",Table13[[#Headers],[Fantasy]],"*")),1,0)</f>
        <v>0</v>
      </c>
      <c r="R1244">
        <f>IF(COUNTIF($E1244, _xlfn.CONCAT("*",Table13[[#Headers],[History]],"*")),1,0)</f>
        <v>0</v>
      </c>
      <c r="S1244">
        <f>IF(COUNTIF($E1244, _xlfn.CONCAT("*",Table13[[#Headers],[Horror]],"*")),1,0)</f>
        <v>0</v>
      </c>
      <c r="T1244">
        <f>IF(COUNTIF($E1244, _xlfn.CONCAT("*",Table13[[#Headers],[Music]],"*")),1,0)</f>
        <v>0</v>
      </c>
      <c r="U1244">
        <f>IF(COUNTIF($E1244, _xlfn.CONCAT("*",Table13[[#Headers],[Mystery]],"*")),1,0)</f>
        <v>0</v>
      </c>
      <c r="V1244">
        <f>IF(COUNTIF($E1244, _xlfn.CONCAT("*",Table13[[#Headers],[Romance]],"*")),1,0)</f>
        <v>0</v>
      </c>
      <c r="W1244">
        <f>IF(COUNTIF($E1244, _xlfn.CONCAT("*",Table13[[#Headers],[Science Fiction]],"*")),1,0)</f>
        <v>0</v>
      </c>
      <c r="X1244">
        <f>IF(COUNTIF($E1244, _xlfn.CONCAT("*",Table13[[#Headers],[TV Movie]],"*")),1,0)</f>
        <v>0</v>
      </c>
      <c r="Y1244">
        <f>IF(COUNTIF($E1244, _xlfn.CONCAT("*",Table13[[#Headers],[Thriller]],"*")),1,0)</f>
        <v>1</v>
      </c>
      <c r="Z1244">
        <f>IF(COUNTIF($E1244, _xlfn.CONCAT("*",Table13[[#Headers],[War]],"*")),1,0)</f>
        <v>1</v>
      </c>
      <c r="AA1244">
        <f>IF(COUNTIF($E1244, _xlfn.CONCAT("*",Table13[[#Headers],[Western]],"*")),1,0)</f>
        <v>0</v>
      </c>
    </row>
    <row r="1245" spans="1:27">
      <c r="A1245" t="s">
        <v>1142</v>
      </c>
      <c r="B1245">
        <v>91</v>
      </c>
      <c r="C1245">
        <f>MAX(Table13[Rank])-Table13[[#This Row],[Rank]]</f>
        <v>173</v>
      </c>
      <c r="D1245" t="s">
        <v>1131</v>
      </c>
      <c r="E1245" t="s">
        <v>17</v>
      </c>
      <c r="F1245" s="1">
        <v>37496</v>
      </c>
      <c r="G1245">
        <f>YEAR(Table13[[#This Row],[Date]])</f>
        <v>2002</v>
      </c>
      <c r="H1245" t="s">
        <v>1311</v>
      </c>
      <c r="I1245">
        <f>IF(COUNTIF($E1245, _xlfn.CONCAT("*",Table13[[#Headers],[Action]],"*")),1,0)</f>
        <v>0</v>
      </c>
      <c r="J1245">
        <f>IF(COUNTIF($E1245, _xlfn.CONCAT("*",Table13[[#Headers],[Adventure]],"*")),1,0)</f>
        <v>0</v>
      </c>
      <c r="K1245">
        <f>IF(COUNTIF($E1245, _xlfn.CONCAT("*",Table13[[#Headers],[Animation]],"*")),1,0)</f>
        <v>0</v>
      </c>
      <c r="L1245">
        <f>IF(COUNTIF($E1245, _xlfn.CONCAT("*",Table13[[#Headers],[Comedy]],"*")),1,0)</f>
        <v>0</v>
      </c>
      <c r="M1245">
        <f>IF(COUNTIF($E1245, _xlfn.CONCAT("*",Table13[[#Headers],[Crime]],"*")),1,0)</f>
        <v>0</v>
      </c>
      <c r="N1245">
        <f>IF(COUNTIF($E1245, _xlfn.CONCAT("*",Table13[[#Headers],[Documentary]],"*")),1,0)</f>
        <v>1</v>
      </c>
      <c r="O1245">
        <f>IF(COUNTIF($E1245, _xlfn.CONCAT("*",Table13[[#Headers],[Drama]],"*")),1,0)</f>
        <v>0</v>
      </c>
      <c r="P1245">
        <f>IF(COUNTIF($E1245, _xlfn.CONCAT("*",Table13[[#Headers],[Family]],"*")),1,0)</f>
        <v>0</v>
      </c>
      <c r="Q1245">
        <f>IF(COUNTIF($E1245, _xlfn.CONCAT("*",Table13[[#Headers],[Fantasy]],"*")),1,0)</f>
        <v>0</v>
      </c>
      <c r="R1245">
        <f>IF(COUNTIF($E1245, _xlfn.CONCAT("*",Table13[[#Headers],[History]],"*")),1,0)</f>
        <v>0</v>
      </c>
      <c r="S1245">
        <f>IF(COUNTIF($E1245, _xlfn.CONCAT("*",Table13[[#Headers],[Horror]],"*")),1,0)</f>
        <v>0</v>
      </c>
      <c r="T1245">
        <f>IF(COUNTIF($E1245, _xlfn.CONCAT("*",Table13[[#Headers],[Music]],"*")),1,0)</f>
        <v>0</v>
      </c>
      <c r="U1245">
        <f>IF(COUNTIF($E1245, _xlfn.CONCAT("*",Table13[[#Headers],[Mystery]],"*")),1,0)</f>
        <v>0</v>
      </c>
      <c r="V1245">
        <f>IF(COUNTIF($E1245, _xlfn.CONCAT("*",Table13[[#Headers],[Romance]],"*")),1,0)</f>
        <v>0</v>
      </c>
      <c r="W1245">
        <f>IF(COUNTIF($E1245, _xlfn.CONCAT("*",Table13[[#Headers],[Science Fiction]],"*")),1,0)</f>
        <v>0</v>
      </c>
      <c r="X1245">
        <f>IF(COUNTIF($E1245, _xlfn.CONCAT("*",Table13[[#Headers],[TV Movie]],"*")),1,0)</f>
        <v>0</v>
      </c>
      <c r="Y1245">
        <f>IF(COUNTIF($E1245, _xlfn.CONCAT("*",Table13[[#Headers],[Thriller]],"*")),1,0)</f>
        <v>0</v>
      </c>
      <c r="Z1245">
        <f>IF(COUNTIF($E1245, _xlfn.CONCAT("*",Table13[[#Headers],[War]],"*")),1,0)</f>
        <v>0</v>
      </c>
      <c r="AA1245">
        <f>IF(COUNTIF($E1245, _xlfn.CONCAT("*",Table13[[#Headers],[Western]],"*")),1,0)</f>
        <v>0</v>
      </c>
    </row>
    <row r="1246" spans="1:27">
      <c r="A1246" t="s">
        <v>1143</v>
      </c>
      <c r="B1246">
        <v>90</v>
      </c>
      <c r="C1246">
        <f>MAX(Table13[Rank])-Table13[[#This Row],[Rank]]</f>
        <v>174</v>
      </c>
      <c r="D1246" t="s">
        <v>1131</v>
      </c>
      <c r="E1246" t="s">
        <v>21</v>
      </c>
      <c r="F1246" s="1">
        <v>44862</v>
      </c>
      <c r="G1246">
        <f>YEAR(Table13[[#This Row],[Date]])</f>
        <v>2022</v>
      </c>
      <c r="H1246" t="s">
        <v>1143</v>
      </c>
      <c r="I1246">
        <f>IF(COUNTIF($E1246, _xlfn.CONCAT("*",Table13[[#Headers],[Action]],"*")),1,0)</f>
        <v>0</v>
      </c>
      <c r="J1246">
        <f>IF(COUNTIF($E1246, _xlfn.CONCAT("*",Table13[[#Headers],[Adventure]],"*")),1,0)</f>
        <v>0</v>
      </c>
      <c r="K1246">
        <f>IF(COUNTIF($E1246, _xlfn.CONCAT("*",Table13[[#Headers],[Animation]],"*")),1,0)</f>
        <v>0</v>
      </c>
      <c r="L1246">
        <f>IF(COUNTIF($E1246, _xlfn.CONCAT("*",Table13[[#Headers],[Comedy]],"*")),1,0)</f>
        <v>0</v>
      </c>
      <c r="M1246">
        <f>IF(COUNTIF($E1246, _xlfn.CONCAT("*",Table13[[#Headers],[Crime]],"*")),1,0)</f>
        <v>0</v>
      </c>
      <c r="N1246">
        <f>IF(COUNTIF($E1246, _xlfn.CONCAT("*",Table13[[#Headers],[Documentary]],"*")),1,0)</f>
        <v>0</v>
      </c>
      <c r="O1246">
        <f>IF(COUNTIF($E1246, _xlfn.CONCAT("*",Table13[[#Headers],[Drama]],"*")),1,0)</f>
        <v>1</v>
      </c>
      <c r="P1246">
        <f>IF(COUNTIF($E1246, _xlfn.CONCAT("*",Table13[[#Headers],[Family]],"*")),1,0)</f>
        <v>0</v>
      </c>
      <c r="Q1246">
        <f>IF(COUNTIF($E1246, _xlfn.CONCAT("*",Table13[[#Headers],[Fantasy]],"*")),1,0)</f>
        <v>0</v>
      </c>
      <c r="R1246">
        <f>IF(COUNTIF($E1246, _xlfn.CONCAT("*",Table13[[#Headers],[History]],"*")),1,0)</f>
        <v>0</v>
      </c>
      <c r="S1246">
        <f>IF(COUNTIF($E1246, _xlfn.CONCAT("*",Table13[[#Headers],[Horror]],"*")),1,0)</f>
        <v>0</v>
      </c>
      <c r="T1246">
        <f>IF(COUNTIF($E1246, _xlfn.CONCAT("*",Table13[[#Headers],[Music]],"*")),1,0)</f>
        <v>0</v>
      </c>
      <c r="U1246">
        <f>IF(COUNTIF($E1246, _xlfn.CONCAT("*",Table13[[#Headers],[Mystery]],"*")),1,0)</f>
        <v>0</v>
      </c>
      <c r="V1246">
        <f>IF(COUNTIF($E1246, _xlfn.CONCAT("*",Table13[[#Headers],[Romance]],"*")),1,0)</f>
        <v>0</v>
      </c>
      <c r="W1246">
        <f>IF(COUNTIF($E1246, _xlfn.CONCAT("*",Table13[[#Headers],[Science Fiction]],"*")),1,0)</f>
        <v>0</v>
      </c>
      <c r="X1246">
        <f>IF(COUNTIF($E1246, _xlfn.CONCAT("*",Table13[[#Headers],[TV Movie]],"*")),1,0)</f>
        <v>0</v>
      </c>
      <c r="Y1246">
        <f>IF(COUNTIF($E1246, _xlfn.CONCAT("*",Table13[[#Headers],[Thriller]],"*")),1,0)</f>
        <v>0</v>
      </c>
      <c r="Z1246">
        <f>IF(COUNTIF($E1246, _xlfn.CONCAT("*",Table13[[#Headers],[War]],"*")),1,0)</f>
        <v>0</v>
      </c>
      <c r="AA1246">
        <f>IF(COUNTIF($E1246, _xlfn.CONCAT("*",Table13[[#Headers],[Western]],"*")),1,0)</f>
        <v>0</v>
      </c>
    </row>
    <row r="1247" spans="1:27">
      <c r="A1247" t="s">
        <v>1144</v>
      </c>
      <c r="B1247">
        <v>89</v>
      </c>
      <c r="C1247">
        <f>MAX(Table13[Rank])-Table13[[#This Row],[Rank]]</f>
        <v>175</v>
      </c>
      <c r="D1247" t="s">
        <v>1131</v>
      </c>
      <c r="E1247" t="s">
        <v>21</v>
      </c>
      <c r="F1247" s="1">
        <v>41572</v>
      </c>
      <c r="G1247">
        <f>YEAR(Table13[[#This Row],[Date]])</f>
        <v>2013</v>
      </c>
      <c r="H1247" t="s">
        <v>1144</v>
      </c>
      <c r="I1247">
        <f>IF(COUNTIF($E1247, _xlfn.CONCAT("*",Table13[[#Headers],[Action]],"*")),1,0)</f>
        <v>0</v>
      </c>
      <c r="J1247">
        <f>IF(COUNTIF($E1247, _xlfn.CONCAT("*",Table13[[#Headers],[Adventure]],"*")),1,0)</f>
        <v>0</v>
      </c>
      <c r="K1247">
        <f>IF(COUNTIF($E1247, _xlfn.CONCAT("*",Table13[[#Headers],[Animation]],"*")),1,0)</f>
        <v>0</v>
      </c>
      <c r="L1247">
        <f>IF(COUNTIF($E1247, _xlfn.CONCAT("*",Table13[[#Headers],[Comedy]],"*")),1,0)</f>
        <v>0</v>
      </c>
      <c r="M1247">
        <f>IF(COUNTIF($E1247, _xlfn.CONCAT("*",Table13[[#Headers],[Crime]],"*")),1,0)</f>
        <v>0</v>
      </c>
      <c r="N1247">
        <f>IF(COUNTIF($E1247, _xlfn.CONCAT("*",Table13[[#Headers],[Documentary]],"*")),1,0)</f>
        <v>0</v>
      </c>
      <c r="O1247">
        <f>IF(COUNTIF($E1247, _xlfn.CONCAT("*",Table13[[#Headers],[Drama]],"*")),1,0)</f>
        <v>1</v>
      </c>
      <c r="P1247">
        <f>IF(COUNTIF($E1247, _xlfn.CONCAT("*",Table13[[#Headers],[Family]],"*")),1,0)</f>
        <v>0</v>
      </c>
      <c r="Q1247">
        <f>IF(COUNTIF($E1247, _xlfn.CONCAT("*",Table13[[#Headers],[Fantasy]],"*")),1,0)</f>
        <v>0</v>
      </c>
      <c r="R1247">
        <f>IF(COUNTIF($E1247, _xlfn.CONCAT("*",Table13[[#Headers],[History]],"*")),1,0)</f>
        <v>0</v>
      </c>
      <c r="S1247">
        <f>IF(COUNTIF($E1247, _xlfn.CONCAT("*",Table13[[#Headers],[Horror]],"*")),1,0)</f>
        <v>0</v>
      </c>
      <c r="T1247">
        <f>IF(COUNTIF($E1247, _xlfn.CONCAT("*",Table13[[#Headers],[Music]],"*")),1,0)</f>
        <v>0</v>
      </c>
      <c r="U1247">
        <f>IF(COUNTIF($E1247, _xlfn.CONCAT("*",Table13[[#Headers],[Mystery]],"*")),1,0)</f>
        <v>0</v>
      </c>
      <c r="V1247">
        <f>IF(COUNTIF($E1247, _xlfn.CONCAT("*",Table13[[#Headers],[Romance]],"*")),1,0)</f>
        <v>0</v>
      </c>
      <c r="W1247">
        <f>IF(COUNTIF($E1247, _xlfn.CONCAT("*",Table13[[#Headers],[Science Fiction]],"*")),1,0)</f>
        <v>0</v>
      </c>
      <c r="X1247">
        <f>IF(COUNTIF($E1247, _xlfn.CONCAT("*",Table13[[#Headers],[TV Movie]],"*")),1,0)</f>
        <v>0</v>
      </c>
      <c r="Y1247">
        <f>IF(COUNTIF($E1247, _xlfn.CONCAT("*",Table13[[#Headers],[Thriller]],"*")),1,0)</f>
        <v>0</v>
      </c>
      <c r="Z1247">
        <f>IF(COUNTIF($E1247, _xlfn.CONCAT("*",Table13[[#Headers],[War]],"*")),1,0)</f>
        <v>0</v>
      </c>
      <c r="AA1247">
        <f>IF(COUNTIF($E1247, _xlfn.CONCAT("*",Table13[[#Headers],[Western]],"*")),1,0)</f>
        <v>0</v>
      </c>
    </row>
    <row r="1248" spans="1:27">
      <c r="A1248" t="s">
        <v>1145</v>
      </c>
      <c r="B1248">
        <v>88</v>
      </c>
      <c r="C1248">
        <f>MAX(Table13[Rank])-Table13[[#This Row],[Rank]]</f>
        <v>176</v>
      </c>
      <c r="D1248" t="s">
        <v>1131</v>
      </c>
      <c r="E1248" t="s">
        <v>129</v>
      </c>
      <c r="G1248">
        <f>YEAR(Table13[[#This Row],[Date]])</f>
        <v>1900</v>
      </c>
      <c r="H1248" t="s">
        <v>1146</v>
      </c>
      <c r="I1248">
        <f>IF(COUNTIF($E1248, _xlfn.CONCAT("*",Table13[[#Headers],[Action]],"*")),1,0)</f>
        <v>0</v>
      </c>
      <c r="J1248">
        <f>IF(COUNTIF($E1248, _xlfn.CONCAT("*",Table13[[#Headers],[Adventure]],"*")),1,0)</f>
        <v>0</v>
      </c>
      <c r="K1248">
        <f>IF(COUNTIF($E1248, _xlfn.CONCAT("*",Table13[[#Headers],[Animation]],"*")),1,0)</f>
        <v>0</v>
      </c>
      <c r="L1248">
        <f>IF(COUNTIF($E1248, _xlfn.CONCAT("*",Table13[[#Headers],[Comedy]],"*")),1,0)</f>
        <v>0</v>
      </c>
      <c r="M1248">
        <f>IF(COUNTIF($E1248, _xlfn.CONCAT("*",Table13[[#Headers],[Crime]],"*")),1,0)</f>
        <v>0</v>
      </c>
      <c r="N1248">
        <f>IF(COUNTIF($E1248, _xlfn.CONCAT("*",Table13[[#Headers],[Documentary]],"*")),1,0)</f>
        <v>0</v>
      </c>
      <c r="O1248">
        <f>IF(COUNTIF($E1248, _xlfn.CONCAT("*",Table13[[#Headers],[Drama]],"*")),1,0)</f>
        <v>0</v>
      </c>
      <c r="P1248">
        <f>IF(COUNTIF($E1248, _xlfn.CONCAT("*",Table13[[#Headers],[Family]],"*")),1,0)</f>
        <v>0</v>
      </c>
      <c r="Q1248">
        <f>IF(COUNTIF($E1248, _xlfn.CONCAT("*",Table13[[#Headers],[Fantasy]],"*")),1,0)</f>
        <v>0</v>
      </c>
      <c r="R1248">
        <f>IF(COUNTIF($E1248, _xlfn.CONCAT("*",Table13[[#Headers],[History]],"*")),1,0)</f>
        <v>0</v>
      </c>
      <c r="S1248">
        <f>IF(COUNTIF($E1248, _xlfn.CONCAT("*",Table13[[#Headers],[Horror]],"*")),1,0)</f>
        <v>0</v>
      </c>
      <c r="T1248">
        <f>IF(COUNTIF($E1248, _xlfn.CONCAT("*",Table13[[#Headers],[Music]],"*")),1,0)</f>
        <v>0</v>
      </c>
      <c r="U1248">
        <f>IF(COUNTIF($E1248, _xlfn.CONCAT("*",Table13[[#Headers],[Mystery]],"*")),1,0)</f>
        <v>0</v>
      </c>
      <c r="V1248">
        <f>IF(COUNTIF($E1248, _xlfn.CONCAT("*",Table13[[#Headers],[Romance]],"*")),1,0)</f>
        <v>0</v>
      </c>
      <c r="W1248">
        <f>IF(COUNTIF($E1248, _xlfn.CONCAT("*",Table13[[#Headers],[Science Fiction]],"*")),1,0)</f>
        <v>0</v>
      </c>
      <c r="X1248">
        <f>IF(COUNTIF($E1248, _xlfn.CONCAT("*",Table13[[#Headers],[TV Movie]],"*")),1,0)</f>
        <v>0</v>
      </c>
      <c r="Y1248">
        <f>IF(COUNTIF($E1248, _xlfn.CONCAT("*",Table13[[#Headers],[Thriller]],"*")),1,0)</f>
        <v>0</v>
      </c>
      <c r="Z1248">
        <f>IF(COUNTIF($E1248, _xlfn.CONCAT("*",Table13[[#Headers],[War]],"*")),1,0)</f>
        <v>0</v>
      </c>
      <c r="AA1248">
        <f>IF(COUNTIF($E1248, _xlfn.CONCAT("*",Table13[[#Headers],[Western]],"*")),1,0)</f>
        <v>0</v>
      </c>
    </row>
    <row r="1249" spans="1:27">
      <c r="A1249" t="s">
        <v>1147</v>
      </c>
      <c r="B1249">
        <v>87</v>
      </c>
      <c r="C1249">
        <f>MAX(Table13[Rank])-Table13[[#This Row],[Rank]]</f>
        <v>177</v>
      </c>
      <c r="D1249" t="s">
        <v>1131</v>
      </c>
      <c r="E1249" t="s">
        <v>81</v>
      </c>
      <c r="F1249" s="1">
        <v>38891</v>
      </c>
      <c r="G1249">
        <f>YEAR(Table13[[#This Row],[Date]])</f>
        <v>2006</v>
      </c>
      <c r="H1249" t="s">
        <v>1148</v>
      </c>
      <c r="I1249">
        <f>IF(COUNTIF($E1249, _xlfn.CONCAT("*",Table13[[#Headers],[Action]],"*")),1,0)</f>
        <v>0</v>
      </c>
      <c r="J1249">
        <f>IF(COUNTIF($E1249, _xlfn.CONCAT("*",Table13[[#Headers],[Adventure]],"*")),1,0)</f>
        <v>0</v>
      </c>
      <c r="K1249">
        <f>IF(COUNTIF($E1249, _xlfn.CONCAT("*",Table13[[#Headers],[Animation]],"*")),1,0)</f>
        <v>0</v>
      </c>
      <c r="L1249">
        <f>IF(COUNTIF($E1249, _xlfn.CONCAT("*",Table13[[#Headers],[Comedy]],"*")),1,0)</f>
        <v>0</v>
      </c>
      <c r="M1249">
        <f>IF(COUNTIF($E1249, _xlfn.CONCAT("*",Table13[[#Headers],[Crime]],"*")),1,0)</f>
        <v>0</v>
      </c>
      <c r="N1249">
        <f>IF(COUNTIF($E1249, _xlfn.CONCAT("*",Table13[[#Headers],[Documentary]],"*")),1,0)</f>
        <v>0</v>
      </c>
      <c r="O1249">
        <f>IF(COUNTIF($E1249, _xlfn.CONCAT("*",Table13[[#Headers],[Drama]],"*")),1,0)</f>
        <v>1</v>
      </c>
      <c r="P1249">
        <f>IF(COUNTIF($E1249, _xlfn.CONCAT("*",Table13[[#Headers],[Family]],"*")),1,0)</f>
        <v>0</v>
      </c>
      <c r="Q1249">
        <f>IF(COUNTIF($E1249, _xlfn.CONCAT("*",Table13[[#Headers],[Fantasy]],"*")),1,0)</f>
        <v>0</v>
      </c>
      <c r="R1249">
        <f>IF(COUNTIF($E1249, _xlfn.CONCAT("*",Table13[[#Headers],[History]],"*")),1,0)</f>
        <v>0</v>
      </c>
      <c r="S1249">
        <f>IF(COUNTIF($E1249, _xlfn.CONCAT("*",Table13[[#Headers],[Horror]],"*")),1,0)</f>
        <v>0</v>
      </c>
      <c r="T1249">
        <f>IF(COUNTIF($E1249, _xlfn.CONCAT("*",Table13[[#Headers],[Music]],"*")),1,0)</f>
        <v>0</v>
      </c>
      <c r="U1249">
        <f>IF(COUNTIF($E1249, _xlfn.CONCAT("*",Table13[[#Headers],[Mystery]],"*")),1,0)</f>
        <v>0</v>
      </c>
      <c r="V1249">
        <f>IF(COUNTIF($E1249, _xlfn.CONCAT("*",Table13[[#Headers],[Romance]],"*")),1,0)</f>
        <v>0</v>
      </c>
      <c r="W1249">
        <f>IF(COUNTIF($E1249, _xlfn.CONCAT("*",Table13[[#Headers],[Science Fiction]],"*")),1,0)</f>
        <v>0</v>
      </c>
      <c r="X1249">
        <f>IF(COUNTIF($E1249, _xlfn.CONCAT("*",Table13[[#Headers],[TV Movie]],"*")),1,0)</f>
        <v>0</v>
      </c>
      <c r="Y1249">
        <f>IF(COUNTIF($E1249, _xlfn.CONCAT("*",Table13[[#Headers],[Thriller]],"*")),1,0)</f>
        <v>0</v>
      </c>
      <c r="Z1249">
        <f>IF(COUNTIF($E1249, _xlfn.CONCAT("*",Table13[[#Headers],[War]],"*")),1,0)</f>
        <v>1</v>
      </c>
      <c r="AA1249">
        <f>IF(COUNTIF($E1249, _xlfn.CONCAT("*",Table13[[#Headers],[Western]],"*")),1,0)</f>
        <v>0</v>
      </c>
    </row>
    <row r="1250" spans="1:27">
      <c r="A1250" t="s">
        <v>515</v>
      </c>
      <c r="B1250">
        <v>86</v>
      </c>
      <c r="C1250">
        <f>MAX(Table13[Rank])-Table13[[#This Row],[Rank]]</f>
        <v>178</v>
      </c>
      <c r="D1250" t="s">
        <v>1131</v>
      </c>
      <c r="E1250" t="s">
        <v>367</v>
      </c>
      <c r="F1250" s="1">
        <v>39246</v>
      </c>
      <c r="G1250">
        <f>YEAR(Table13[[#This Row],[Date]])</f>
        <v>2007</v>
      </c>
      <c r="H1250" t="s">
        <v>515</v>
      </c>
      <c r="I1250">
        <f>IF(COUNTIF($E1250, _xlfn.CONCAT("*",Table13[[#Headers],[Action]],"*")),1,0)</f>
        <v>0</v>
      </c>
      <c r="J1250">
        <f>IF(COUNTIF($E1250, _xlfn.CONCAT("*",Table13[[#Headers],[Adventure]],"*")),1,0)</f>
        <v>0</v>
      </c>
      <c r="K1250">
        <f>IF(COUNTIF($E1250, _xlfn.CONCAT("*",Table13[[#Headers],[Animation]],"*")),1,0)</f>
        <v>0</v>
      </c>
      <c r="L1250">
        <f>IF(COUNTIF($E1250, _xlfn.CONCAT("*",Table13[[#Headers],[Comedy]],"*")),1,0)</f>
        <v>0</v>
      </c>
      <c r="M1250">
        <f>IF(COUNTIF($E1250, _xlfn.CONCAT("*",Table13[[#Headers],[Crime]],"*")),1,0)</f>
        <v>1</v>
      </c>
      <c r="N1250">
        <f>IF(COUNTIF($E1250, _xlfn.CONCAT("*",Table13[[#Headers],[Documentary]],"*")),1,0)</f>
        <v>0</v>
      </c>
      <c r="O1250">
        <f>IF(COUNTIF($E1250, _xlfn.CONCAT("*",Table13[[#Headers],[Drama]],"*")),1,0)</f>
        <v>1</v>
      </c>
      <c r="P1250">
        <f>IF(COUNTIF($E1250, _xlfn.CONCAT("*",Table13[[#Headers],[Family]],"*")),1,0)</f>
        <v>0</v>
      </c>
      <c r="Q1250">
        <f>IF(COUNTIF($E1250, _xlfn.CONCAT("*",Table13[[#Headers],[Fantasy]],"*")),1,0)</f>
        <v>0</v>
      </c>
      <c r="R1250">
        <f>IF(COUNTIF($E1250, _xlfn.CONCAT("*",Table13[[#Headers],[History]],"*")),1,0)</f>
        <v>0</v>
      </c>
      <c r="S1250">
        <f>IF(COUNTIF($E1250, _xlfn.CONCAT("*",Table13[[#Headers],[Horror]],"*")),1,0)</f>
        <v>0</v>
      </c>
      <c r="T1250">
        <f>IF(COUNTIF($E1250, _xlfn.CONCAT("*",Table13[[#Headers],[Music]],"*")),1,0)</f>
        <v>0</v>
      </c>
      <c r="U1250">
        <f>IF(COUNTIF($E1250, _xlfn.CONCAT("*",Table13[[#Headers],[Mystery]],"*")),1,0)</f>
        <v>0</v>
      </c>
      <c r="V1250">
        <f>IF(COUNTIF($E1250, _xlfn.CONCAT("*",Table13[[#Headers],[Romance]],"*")),1,0)</f>
        <v>0</v>
      </c>
      <c r="W1250">
        <f>IF(COUNTIF($E1250, _xlfn.CONCAT("*",Table13[[#Headers],[Science Fiction]],"*")),1,0)</f>
        <v>0</v>
      </c>
      <c r="X1250">
        <f>IF(COUNTIF($E1250, _xlfn.CONCAT("*",Table13[[#Headers],[TV Movie]],"*")),1,0)</f>
        <v>0</v>
      </c>
      <c r="Y1250">
        <f>IF(COUNTIF($E1250, _xlfn.CONCAT("*",Table13[[#Headers],[Thriller]],"*")),1,0)</f>
        <v>1</v>
      </c>
      <c r="Z1250">
        <f>IF(COUNTIF($E1250, _xlfn.CONCAT("*",Table13[[#Headers],[War]],"*")),1,0)</f>
        <v>0</v>
      </c>
      <c r="AA1250">
        <f>IF(COUNTIF($E1250, _xlfn.CONCAT("*",Table13[[#Headers],[Western]],"*")),1,0)</f>
        <v>0</v>
      </c>
    </row>
    <row r="1251" spans="1:27">
      <c r="A1251" t="s">
        <v>1149</v>
      </c>
      <c r="B1251">
        <v>85</v>
      </c>
      <c r="C1251">
        <f>MAX(Table13[Rank])-Table13[[#This Row],[Rank]]</f>
        <v>179</v>
      </c>
      <c r="D1251" t="s">
        <v>1131</v>
      </c>
      <c r="E1251" t="s">
        <v>17</v>
      </c>
      <c r="F1251" s="1">
        <v>44448</v>
      </c>
      <c r="G1251">
        <f>YEAR(Table13[[#This Row],[Date]])</f>
        <v>2021</v>
      </c>
      <c r="H1251" t="s">
        <v>1149</v>
      </c>
      <c r="I1251">
        <f>IF(COUNTIF($E1251, _xlfn.CONCAT("*",Table13[[#Headers],[Action]],"*")),1,0)</f>
        <v>0</v>
      </c>
      <c r="J1251">
        <f>IF(COUNTIF($E1251, _xlfn.CONCAT("*",Table13[[#Headers],[Adventure]],"*")),1,0)</f>
        <v>0</v>
      </c>
      <c r="K1251">
        <f>IF(COUNTIF($E1251, _xlfn.CONCAT("*",Table13[[#Headers],[Animation]],"*")),1,0)</f>
        <v>0</v>
      </c>
      <c r="L1251">
        <f>IF(COUNTIF($E1251, _xlfn.CONCAT("*",Table13[[#Headers],[Comedy]],"*")),1,0)</f>
        <v>0</v>
      </c>
      <c r="M1251">
        <f>IF(COUNTIF($E1251, _xlfn.CONCAT("*",Table13[[#Headers],[Crime]],"*")),1,0)</f>
        <v>0</v>
      </c>
      <c r="N1251">
        <f>IF(COUNTIF($E1251, _xlfn.CONCAT("*",Table13[[#Headers],[Documentary]],"*")),1,0)</f>
        <v>1</v>
      </c>
      <c r="O1251">
        <f>IF(COUNTIF($E1251, _xlfn.CONCAT("*",Table13[[#Headers],[Drama]],"*")),1,0)</f>
        <v>0</v>
      </c>
      <c r="P1251">
        <f>IF(COUNTIF($E1251, _xlfn.CONCAT("*",Table13[[#Headers],[Family]],"*")),1,0)</f>
        <v>0</v>
      </c>
      <c r="Q1251">
        <f>IF(COUNTIF($E1251, _xlfn.CONCAT("*",Table13[[#Headers],[Fantasy]],"*")),1,0)</f>
        <v>0</v>
      </c>
      <c r="R1251">
        <f>IF(COUNTIF($E1251, _xlfn.CONCAT("*",Table13[[#Headers],[History]],"*")),1,0)</f>
        <v>0</v>
      </c>
      <c r="S1251">
        <f>IF(COUNTIF($E1251, _xlfn.CONCAT("*",Table13[[#Headers],[Horror]],"*")),1,0)</f>
        <v>0</v>
      </c>
      <c r="T1251">
        <f>IF(COUNTIF($E1251, _xlfn.CONCAT("*",Table13[[#Headers],[Music]],"*")),1,0)</f>
        <v>0</v>
      </c>
      <c r="U1251">
        <f>IF(COUNTIF($E1251, _xlfn.CONCAT("*",Table13[[#Headers],[Mystery]],"*")),1,0)</f>
        <v>0</v>
      </c>
      <c r="V1251">
        <f>IF(COUNTIF($E1251, _xlfn.CONCAT("*",Table13[[#Headers],[Romance]],"*")),1,0)</f>
        <v>0</v>
      </c>
      <c r="W1251">
        <f>IF(COUNTIF($E1251, _xlfn.CONCAT("*",Table13[[#Headers],[Science Fiction]],"*")),1,0)</f>
        <v>0</v>
      </c>
      <c r="X1251">
        <f>IF(COUNTIF($E1251, _xlfn.CONCAT("*",Table13[[#Headers],[TV Movie]],"*")),1,0)</f>
        <v>0</v>
      </c>
      <c r="Y1251">
        <f>IF(COUNTIF($E1251, _xlfn.CONCAT("*",Table13[[#Headers],[Thriller]],"*")),1,0)</f>
        <v>0</v>
      </c>
      <c r="Z1251">
        <f>IF(COUNTIF($E1251, _xlfn.CONCAT("*",Table13[[#Headers],[War]],"*")),1,0)</f>
        <v>0</v>
      </c>
      <c r="AA1251">
        <f>IF(COUNTIF($E1251, _xlfn.CONCAT("*",Table13[[#Headers],[Western]],"*")),1,0)</f>
        <v>0</v>
      </c>
    </row>
    <row r="1252" spans="1:27">
      <c r="A1252" t="s">
        <v>271</v>
      </c>
      <c r="B1252">
        <v>84</v>
      </c>
      <c r="C1252">
        <f>MAX(Table13[Rank])-Table13[[#This Row],[Rank]]</f>
        <v>180</v>
      </c>
      <c r="D1252" t="s">
        <v>1131</v>
      </c>
      <c r="E1252" t="s">
        <v>272</v>
      </c>
      <c r="F1252" s="1">
        <v>38162</v>
      </c>
      <c r="G1252">
        <f>YEAR(Table13[[#This Row],[Date]])</f>
        <v>2004</v>
      </c>
      <c r="H1252" t="s">
        <v>271</v>
      </c>
      <c r="I1252">
        <f>IF(COUNTIF($E1252, _xlfn.CONCAT("*",Table13[[#Headers],[Action]],"*")),1,0)</f>
        <v>0</v>
      </c>
      <c r="J1252">
        <f>IF(COUNTIF($E1252, _xlfn.CONCAT("*",Table13[[#Headers],[Adventure]],"*")),1,0)</f>
        <v>0</v>
      </c>
      <c r="K1252">
        <f>IF(COUNTIF($E1252, _xlfn.CONCAT("*",Table13[[#Headers],[Animation]],"*")),1,0)</f>
        <v>0</v>
      </c>
      <c r="L1252">
        <f>IF(COUNTIF($E1252, _xlfn.CONCAT("*",Table13[[#Headers],[Comedy]],"*")),1,0)</f>
        <v>0</v>
      </c>
      <c r="M1252">
        <f>IF(COUNTIF($E1252, _xlfn.CONCAT("*",Table13[[#Headers],[Crime]],"*")),1,0)</f>
        <v>0</v>
      </c>
      <c r="N1252">
        <f>IF(COUNTIF($E1252, _xlfn.CONCAT("*",Table13[[#Headers],[Documentary]],"*")),1,0)</f>
        <v>0</v>
      </c>
      <c r="O1252">
        <f>IF(COUNTIF($E1252, _xlfn.CONCAT("*",Table13[[#Headers],[Drama]],"*")),1,0)</f>
        <v>1</v>
      </c>
      <c r="P1252">
        <f>IF(COUNTIF($E1252, _xlfn.CONCAT("*",Table13[[#Headers],[Family]],"*")),1,0)</f>
        <v>0</v>
      </c>
      <c r="Q1252">
        <f>IF(COUNTIF($E1252, _xlfn.CONCAT("*",Table13[[#Headers],[Fantasy]],"*")),1,0)</f>
        <v>1</v>
      </c>
      <c r="R1252">
        <f>IF(COUNTIF($E1252, _xlfn.CONCAT("*",Table13[[#Headers],[History]],"*")),1,0)</f>
        <v>0</v>
      </c>
      <c r="S1252">
        <f>IF(COUNTIF($E1252, _xlfn.CONCAT("*",Table13[[#Headers],[Horror]],"*")),1,0)</f>
        <v>0</v>
      </c>
      <c r="T1252">
        <f>IF(COUNTIF($E1252, _xlfn.CONCAT("*",Table13[[#Headers],[Music]],"*")),1,0)</f>
        <v>0</v>
      </c>
      <c r="U1252">
        <f>IF(COUNTIF($E1252, _xlfn.CONCAT("*",Table13[[#Headers],[Mystery]],"*")),1,0)</f>
        <v>0</v>
      </c>
      <c r="V1252">
        <f>IF(COUNTIF($E1252, _xlfn.CONCAT("*",Table13[[#Headers],[Romance]],"*")),1,0)</f>
        <v>1</v>
      </c>
      <c r="W1252">
        <f>IF(COUNTIF($E1252, _xlfn.CONCAT("*",Table13[[#Headers],[Science Fiction]],"*")),1,0)</f>
        <v>0</v>
      </c>
      <c r="X1252">
        <f>IF(COUNTIF($E1252, _xlfn.CONCAT("*",Table13[[#Headers],[TV Movie]],"*")),1,0)</f>
        <v>0</v>
      </c>
      <c r="Y1252">
        <f>IF(COUNTIF($E1252, _xlfn.CONCAT("*",Table13[[#Headers],[Thriller]],"*")),1,0)</f>
        <v>0</v>
      </c>
      <c r="Z1252">
        <f>IF(COUNTIF($E1252, _xlfn.CONCAT("*",Table13[[#Headers],[War]],"*")),1,0)</f>
        <v>0</v>
      </c>
      <c r="AA1252">
        <f>IF(COUNTIF($E1252, _xlfn.CONCAT("*",Table13[[#Headers],[Western]],"*")),1,0)</f>
        <v>0</v>
      </c>
    </row>
    <row r="1253" spans="1:27">
      <c r="A1253" t="s">
        <v>1150</v>
      </c>
      <c r="B1253">
        <v>83</v>
      </c>
      <c r="C1253">
        <f>MAX(Table13[Rank])-Table13[[#This Row],[Rank]]</f>
        <v>181</v>
      </c>
      <c r="D1253" t="s">
        <v>1131</v>
      </c>
      <c r="E1253" t="s">
        <v>21</v>
      </c>
      <c r="F1253" s="1">
        <v>36959</v>
      </c>
      <c r="G1253">
        <f>YEAR(Table13[[#This Row],[Date]])</f>
        <v>2001</v>
      </c>
      <c r="H1253" t="s">
        <v>1312</v>
      </c>
      <c r="I1253">
        <f>IF(COUNTIF($E1253, _xlfn.CONCAT("*",Table13[[#Headers],[Action]],"*")),1,0)</f>
        <v>0</v>
      </c>
      <c r="J1253">
        <f>IF(COUNTIF($E1253, _xlfn.CONCAT("*",Table13[[#Headers],[Adventure]],"*")),1,0)</f>
        <v>0</v>
      </c>
      <c r="K1253">
        <f>IF(COUNTIF($E1253, _xlfn.CONCAT("*",Table13[[#Headers],[Animation]],"*")),1,0)</f>
        <v>0</v>
      </c>
      <c r="L1253">
        <f>IF(COUNTIF($E1253, _xlfn.CONCAT("*",Table13[[#Headers],[Comedy]],"*")),1,0)</f>
        <v>0</v>
      </c>
      <c r="M1253">
        <f>IF(COUNTIF($E1253, _xlfn.CONCAT("*",Table13[[#Headers],[Crime]],"*")),1,0)</f>
        <v>0</v>
      </c>
      <c r="N1253">
        <f>IF(COUNTIF($E1253, _xlfn.CONCAT("*",Table13[[#Headers],[Documentary]],"*")),1,0)</f>
        <v>0</v>
      </c>
      <c r="O1253">
        <f>IF(COUNTIF($E1253, _xlfn.CONCAT("*",Table13[[#Headers],[Drama]],"*")),1,0)</f>
        <v>1</v>
      </c>
      <c r="P1253">
        <f>IF(COUNTIF($E1253, _xlfn.CONCAT("*",Table13[[#Headers],[Family]],"*")),1,0)</f>
        <v>0</v>
      </c>
      <c r="Q1253">
        <f>IF(COUNTIF($E1253, _xlfn.CONCAT("*",Table13[[#Headers],[Fantasy]],"*")),1,0)</f>
        <v>0</v>
      </c>
      <c r="R1253">
        <f>IF(COUNTIF($E1253, _xlfn.CONCAT("*",Table13[[#Headers],[History]],"*")),1,0)</f>
        <v>0</v>
      </c>
      <c r="S1253">
        <f>IF(COUNTIF($E1253, _xlfn.CONCAT("*",Table13[[#Headers],[Horror]],"*")),1,0)</f>
        <v>0</v>
      </c>
      <c r="T1253">
        <f>IF(COUNTIF($E1253, _xlfn.CONCAT("*",Table13[[#Headers],[Music]],"*")),1,0)</f>
        <v>0</v>
      </c>
      <c r="U1253">
        <f>IF(COUNTIF($E1253, _xlfn.CONCAT("*",Table13[[#Headers],[Mystery]],"*")),1,0)</f>
        <v>0</v>
      </c>
      <c r="V1253">
        <f>IF(COUNTIF($E1253, _xlfn.CONCAT("*",Table13[[#Headers],[Romance]],"*")),1,0)</f>
        <v>0</v>
      </c>
      <c r="W1253">
        <f>IF(COUNTIF($E1253, _xlfn.CONCAT("*",Table13[[#Headers],[Science Fiction]],"*")),1,0)</f>
        <v>0</v>
      </c>
      <c r="X1253">
        <f>IF(COUNTIF($E1253, _xlfn.CONCAT("*",Table13[[#Headers],[TV Movie]],"*")),1,0)</f>
        <v>0</v>
      </c>
      <c r="Y1253">
        <f>IF(COUNTIF($E1253, _xlfn.CONCAT("*",Table13[[#Headers],[Thriller]],"*")),1,0)</f>
        <v>0</v>
      </c>
      <c r="Z1253">
        <f>IF(COUNTIF($E1253, _xlfn.CONCAT("*",Table13[[#Headers],[War]],"*")),1,0)</f>
        <v>0</v>
      </c>
      <c r="AA1253">
        <f>IF(COUNTIF($E1253, _xlfn.CONCAT("*",Table13[[#Headers],[Western]],"*")),1,0)</f>
        <v>0</v>
      </c>
    </row>
    <row r="1254" spans="1:27">
      <c r="A1254" t="s">
        <v>1151</v>
      </c>
      <c r="B1254">
        <v>82</v>
      </c>
      <c r="C1254">
        <f>MAX(Table13[Rank])-Table13[[#This Row],[Rank]]</f>
        <v>182</v>
      </c>
      <c r="D1254" t="s">
        <v>1131</v>
      </c>
      <c r="E1254" t="s">
        <v>17</v>
      </c>
      <c r="F1254" s="1">
        <v>41194</v>
      </c>
      <c r="G1254">
        <f>YEAR(Table13[[#This Row],[Date]])</f>
        <v>2012</v>
      </c>
      <c r="H1254" t="s">
        <v>1151</v>
      </c>
      <c r="I1254">
        <f>IF(COUNTIF($E1254, _xlfn.CONCAT("*",Table13[[#Headers],[Action]],"*")),1,0)</f>
        <v>0</v>
      </c>
      <c r="J1254">
        <f>IF(COUNTIF($E1254, _xlfn.CONCAT("*",Table13[[#Headers],[Adventure]],"*")),1,0)</f>
        <v>0</v>
      </c>
      <c r="K1254">
        <f>IF(COUNTIF($E1254, _xlfn.CONCAT("*",Table13[[#Headers],[Animation]],"*")),1,0)</f>
        <v>0</v>
      </c>
      <c r="L1254">
        <f>IF(COUNTIF($E1254, _xlfn.CONCAT("*",Table13[[#Headers],[Comedy]],"*")),1,0)</f>
        <v>0</v>
      </c>
      <c r="M1254">
        <f>IF(COUNTIF($E1254, _xlfn.CONCAT("*",Table13[[#Headers],[Crime]],"*")),1,0)</f>
        <v>0</v>
      </c>
      <c r="N1254">
        <f>IF(COUNTIF($E1254, _xlfn.CONCAT("*",Table13[[#Headers],[Documentary]],"*")),1,0)</f>
        <v>1</v>
      </c>
      <c r="O1254">
        <f>IF(COUNTIF($E1254, _xlfn.CONCAT("*",Table13[[#Headers],[Drama]],"*")),1,0)</f>
        <v>0</v>
      </c>
      <c r="P1254">
        <f>IF(COUNTIF($E1254, _xlfn.CONCAT("*",Table13[[#Headers],[Family]],"*")),1,0)</f>
        <v>0</v>
      </c>
      <c r="Q1254">
        <f>IF(COUNTIF($E1254, _xlfn.CONCAT("*",Table13[[#Headers],[Fantasy]],"*")),1,0)</f>
        <v>0</v>
      </c>
      <c r="R1254">
        <f>IF(COUNTIF($E1254, _xlfn.CONCAT("*",Table13[[#Headers],[History]],"*")),1,0)</f>
        <v>0</v>
      </c>
      <c r="S1254">
        <f>IF(COUNTIF($E1254, _xlfn.CONCAT("*",Table13[[#Headers],[Horror]],"*")),1,0)</f>
        <v>0</v>
      </c>
      <c r="T1254">
        <f>IF(COUNTIF($E1254, _xlfn.CONCAT("*",Table13[[#Headers],[Music]],"*")),1,0)</f>
        <v>0</v>
      </c>
      <c r="U1254">
        <f>IF(COUNTIF($E1254, _xlfn.CONCAT("*",Table13[[#Headers],[Mystery]],"*")),1,0)</f>
        <v>0</v>
      </c>
      <c r="V1254">
        <f>IF(COUNTIF($E1254, _xlfn.CONCAT("*",Table13[[#Headers],[Romance]],"*")),1,0)</f>
        <v>0</v>
      </c>
      <c r="W1254">
        <f>IF(COUNTIF($E1254, _xlfn.CONCAT("*",Table13[[#Headers],[Science Fiction]],"*")),1,0)</f>
        <v>0</v>
      </c>
      <c r="X1254">
        <f>IF(COUNTIF($E1254, _xlfn.CONCAT("*",Table13[[#Headers],[TV Movie]],"*")),1,0)</f>
        <v>0</v>
      </c>
      <c r="Y1254">
        <f>IF(COUNTIF($E1254, _xlfn.CONCAT("*",Table13[[#Headers],[Thriller]],"*")),1,0)</f>
        <v>0</v>
      </c>
      <c r="Z1254">
        <f>IF(COUNTIF($E1254, _xlfn.CONCAT("*",Table13[[#Headers],[War]],"*")),1,0)</f>
        <v>0</v>
      </c>
      <c r="AA1254">
        <f>IF(COUNTIF($E1254, _xlfn.CONCAT("*",Table13[[#Headers],[Western]],"*")),1,0)</f>
        <v>0</v>
      </c>
    </row>
    <row r="1255" spans="1:27">
      <c r="A1255" t="s">
        <v>1152</v>
      </c>
      <c r="B1255">
        <v>81</v>
      </c>
      <c r="C1255">
        <f>MAX(Table13[Rank])-Table13[[#This Row],[Rank]]</f>
        <v>183</v>
      </c>
      <c r="D1255" t="s">
        <v>1131</v>
      </c>
      <c r="E1255" t="s">
        <v>21</v>
      </c>
      <c r="F1255" s="1">
        <v>40067</v>
      </c>
      <c r="G1255">
        <f>YEAR(Table13[[#This Row],[Date]])</f>
        <v>2009</v>
      </c>
      <c r="H1255" t="s">
        <v>1152</v>
      </c>
      <c r="I1255">
        <f>IF(COUNTIF($E1255, _xlfn.CONCAT("*",Table13[[#Headers],[Action]],"*")),1,0)</f>
        <v>0</v>
      </c>
      <c r="J1255">
        <f>IF(COUNTIF($E1255, _xlfn.CONCAT("*",Table13[[#Headers],[Adventure]],"*")),1,0)</f>
        <v>0</v>
      </c>
      <c r="K1255">
        <f>IF(COUNTIF($E1255, _xlfn.CONCAT("*",Table13[[#Headers],[Animation]],"*")),1,0)</f>
        <v>0</v>
      </c>
      <c r="L1255">
        <f>IF(COUNTIF($E1255, _xlfn.CONCAT("*",Table13[[#Headers],[Comedy]],"*")),1,0)</f>
        <v>0</v>
      </c>
      <c r="M1255">
        <f>IF(COUNTIF($E1255, _xlfn.CONCAT("*",Table13[[#Headers],[Crime]],"*")),1,0)</f>
        <v>0</v>
      </c>
      <c r="N1255">
        <f>IF(COUNTIF($E1255, _xlfn.CONCAT("*",Table13[[#Headers],[Documentary]],"*")),1,0)</f>
        <v>0</v>
      </c>
      <c r="O1255">
        <f>IF(COUNTIF($E1255, _xlfn.CONCAT("*",Table13[[#Headers],[Drama]],"*")),1,0)</f>
        <v>1</v>
      </c>
      <c r="P1255">
        <f>IF(COUNTIF($E1255, _xlfn.CONCAT("*",Table13[[#Headers],[Family]],"*")),1,0)</f>
        <v>0</v>
      </c>
      <c r="Q1255">
        <f>IF(COUNTIF($E1255, _xlfn.CONCAT("*",Table13[[#Headers],[Fantasy]],"*")),1,0)</f>
        <v>0</v>
      </c>
      <c r="R1255">
        <f>IF(COUNTIF($E1255, _xlfn.CONCAT("*",Table13[[#Headers],[History]],"*")),1,0)</f>
        <v>0</v>
      </c>
      <c r="S1255">
        <f>IF(COUNTIF($E1255, _xlfn.CONCAT("*",Table13[[#Headers],[Horror]],"*")),1,0)</f>
        <v>0</v>
      </c>
      <c r="T1255">
        <f>IF(COUNTIF($E1255, _xlfn.CONCAT("*",Table13[[#Headers],[Music]],"*")),1,0)</f>
        <v>0</v>
      </c>
      <c r="U1255">
        <f>IF(COUNTIF($E1255, _xlfn.CONCAT("*",Table13[[#Headers],[Mystery]],"*")),1,0)</f>
        <v>0</v>
      </c>
      <c r="V1255">
        <f>IF(COUNTIF($E1255, _xlfn.CONCAT("*",Table13[[#Headers],[Romance]],"*")),1,0)</f>
        <v>0</v>
      </c>
      <c r="W1255">
        <f>IF(COUNTIF($E1255, _xlfn.CONCAT("*",Table13[[#Headers],[Science Fiction]],"*")),1,0)</f>
        <v>0</v>
      </c>
      <c r="X1255">
        <f>IF(COUNTIF($E1255, _xlfn.CONCAT("*",Table13[[#Headers],[TV Movie]],"*")),1,0)</f>
        <v>0</v>
      </c>
      <c r="Y1255">
        <f>IF(COUNTIF($E1255, _xlfn.CONCAT("*",Table13[[#Headers],[Thriller]],"*")),1,0)</f>
        <v>0</v>
      </c>
      <c r="Z1255">
        <f>IF(COUNTIF($E1255, _xlfn.CONCAT("*",Table13[[#Headers],[War]],"*")),1,0)</f>
        <v>0</v>
      </c>
      <c r="AA1255">
        <f>IF(COUNTIF($E1255, _xlfn.CONCAT("*",Table13[[#Headers],[Western]],"*")),1,0)</f>
        <v>0</v>
      </c>
    </row>
    <row r="1256" spans="1:27">
      <c r="A1256" t="s">
        <v>1153</v>
      </c>
      <c r="B1256">
        <v>80</v>
      </c>
      <c r="C1256">
        <f>MAX(Table13[Rank])-Table13[[#This Row],[Rank]]</f>
        <v>184</v>
      </c>
      <c r="D1256" t="s">
        <v>1131</v>
      </c>
      <c r="E1256" t="s">
        <v>156</v>
      </c>
      <c r="F1256" s="1">
        <v>36805</v>
      </c>
      <c r="G1256">
        <f>YEAR(Table13[[#This Row],[Date]])</f>
        <v>2000</v>
      </c>
      <c r="H1256" t="s">
        <v>1153</v>
      </c>
      <c r="I1256">
        <f>IF(COUNTIF($E1256, _xlfn.CONCAT("*",Table13[[#Headers],[Action]],"*")),1,0)</f>
        <v>0</v>
      </c>
      <c r="J1256">
        <f>IF(COUNTIF($E1256, _xlfn.CONCAT("*",Table13[[#Headers],[Adventure]],"*")),1,0)</f>
        <v>0</v>
      </c>
      <c r="K1256">
        <f>IF(COUNTIF($E1256, _xlfn.CONCAT("*",Table13[[#Headers],[Animation]],"*")),1,0)</f>
        <v>0</v>
      </c>
      <c r="L1256">
        <f>IF(COUNTIF($E1256, _xlfn.CONCAT("*",Table13[[#Headers],[Comedy]],"*")),1,0)</f>
        <v>0</v>
      </c>
      <c r="M1256">
        <f>IF(COUNTIF($E1256, _xlfn.CONCAT("*",Table13[[#Headers],[Crime]],"*")),1,0)</f>
        <v>1</v>
      </c>
      <c r="N1256">
        <f>IF(COUNTIF($E1256, _xlfn.CONCAT("*",Table13[[#Headers],[Documentary]],"*")),1,0)</f>
        <v>0</v>
      </c>
      <c r="O1256">
        <f>IF(COUNTIF($E1256, _xlfn.CONCAT("*",Table13[[#Headers],[Drama]],"*")),1,0)</f>
        <v>1</v>
      </c>
      <c r="P1256">
        <f>IF(COUNTIF($E1256, _xlfn.CONCAT("*",Table13[[#Headers],[Family]],"*")),1,0)</f>
        <v>0</v>
      </c>
      <c r="Q1256">
        <f>IF(COUNTIF($E1256, _xlfn.CONCAT("*",Table13[[#Headers],[Fantasy]],"*")),1,0)</f>
        <v>0</v>
      </c>
      <c r="R1256">
        <f>IF(COUNTIF($E1256, _xlfn.CONCAT("*",Table13[[#Headers],[History]],"*")),1,0)</f>
        <v>0</v>
      </c>
      <c r="S1256">
        <f>IF(COUNTIF($E1256, _xlfn.CONCAT("*",Table13[[#Headers],[Horror]],"*")),1,0)</f>
        <v>0</v>
      </c>
      <c r="T1256">
        <f>IF(COUNTIF($E1256, _xlfn.CONCAT("*",Table13[[#Headers],[Music]],"*")),1,0)</f>
        <v>0</v>
      </c>
      <c r="U1256">
        <f>IF(COUNTIF($E1256, _xlfn.CONCAT("*",Table13[[#Headers],[Mystery]],"*")),1,0)</f>
        <v>0</v>
      </c>
      <c r="V1256">
        <f>IF(COUNTIF($E1256, _xlfn.CONCAT("*",Table13[[#Headers],[Romance]],"*")),1,0)</f>
        <v>0</v>
      </c>
      <c r="W1256">
        <f>IF(COUNTIF($E1256, _xlfn.CONCAT("*",Table13[[#Headers],[Science Fiction]],"*")),1,0)</f>
        <v>0</v>
      </c>
      <c r="X1256">
        <f>IF(COUNTIF($E1256, _xlfn.CONCAT("*",Table13[[#Headers],[TV Movie]],"*")),1,0)</f>
        <v>0</v>
      </c>
      <c r="Y1256">
        <f>IF(COUNTIF($E1256, _xlfn.CONCAT("*",Table13[[#Headers],[Thriller]],"*")),1,0)</f>
        <v>0</v>
      </c>
      <c r="Z1256">
        <f>IF(COUNTIF($E1256, _xlfn.CONCAT("*",Table13[[#Headers],[War]],"*")),1,0)</f>
        <v>0</v>
      </c>
      <c r="AA1256">
        <f>IF(COUNTIF($E1256, _xlfn.CONCAT("*",Table13[[#Headers],[Western]],"*")),1,0)</f>
        <v>0</v>
      </c>
    </row>
    <row r="1257" spans="1:27">
      <c r="A1257" t="s">
        <v>1154</v>
      </c>
      <c r="B1257">
        <v>79</v>
      </c>
      <c r="C1257">
        <f>MAX(Table13[Rank])-Table13[[#This Row],[Rank]]</f>
        <v>185</v>
      </c>
      <c r="D1257" t="s">
        <v>1131</v>
      </c>
      <c r="E1257" t="s">
        <v>1155</v>
      </c>
      <c r="F1257" s="1">
        <v>39260</v>
      </c>
      <c r="G1257">
        <f>YEAR(Table13[[#This Row],[Date]])</f>
        <v>2007</v>
      </c>
      <c r="H1257" t="s">
        <v>1156</v>
      </c>
      <c r="I1257">
        <f>IF(COUNTIF($E1257, _xlfn.CONCAT("*",Table13[[#Headers],[Action]],"*")),1,0)</f>
        <v>0</v>
      </c>
      <c r="J1257">
        <f>IF(COUNTIF($E1257, _xlfn.CONCAT("*",Table13[[#Headers],[Adventure]],"*")),1,0)</f>
        <v>0</v>
      </c>
      <c r="K1257">
        <f>IF(COUNTIF($E1257, _xlfn.CONCAT("*",Table13[[#Headers],[Animation]],"*")),1,0)</f>
        <v>1</v>
      </c>
      <c r="L1257">
        <f>IF(COUNTIF($E1257, _xlfn.CONCAT("*",Table13[[#Headers],[Comedy]],"*")),1,0)</f>
        <v>0</v>
      </c>
      <c r="M1257">
        <f>IF(COUNTIF($E1257, _xlfn.CONCAT("*",Table13[[#Headers],[Crime]],"*")),1,0)</f>
        <v>0</v>
      </c>
      <c r="N1257">
        <f>IF(COUNTIF($E1257, _xlfn.CONCAT("*",Table13[[#Headers],[Documentary]],"*")),1,0)</f>
        <v>0</v>
      </c>
      <c r="O1257">
        <f>IF(COUNTIF($E1257, _xlfn.CONCAT("*",Table13[[#Headers],[Drama]],"*")),1,0)</f>
        <v>1</v>
      </c>
      <c r="P1257">
        <f>IF(COUNTIF($E1257, _xlfn.CONCAT("*",Table13[[#Headers],[Family]],"*")),1,0)</f>
        <v>0</v>
      </c>
      <c r="Q1257">
        <f>IF(COUNTIF($E1257, _xlfn.CONCAT("*",Table13[[#Headers],[Fantasy]],"*")),1,0)</f>
        <v>0</v>
      </c>
      <c r="R1257">
        <f>IF(COUNTIF($E1257, _xlfn.CONCAT("*",Table13[[#Headers],[History]],"*")),1,0)</f>
        <v>0</v>
      </c>
      <c r="S1257">
        <f>IF(COUNTIF($E1257, _xlfn.CONCAT("*",Table13[[#Headers],[Horror]],"*")),1,0)</f>
        <v>0</v>
      </c>
      <c r="T1257">
        <f>IF(COUNTIF($E1257, _xlfn.CONCAT("*",Table13[[#Headers],[Music]],"*")),1,0)</f>
        <v>0</v>
      </c>
      <c r="U1257">
        <f>IF(COUNTIF($E1257, _xlfn.CONCAT("*",Table13[[#Headers],[Mystery]],"*")),1,0)</f>
        <v>0</v>
      </c>
      <c r="V1257">
        <f>IF(COUNTIF($E1257, _xlfn.CONCAT("*",Table13[[#Headers],[Romance]],"*")),1,0)</f>
        <v>0</v>
      </c>
      <c r="W1257">
        <f>IF(COUNTIF($E1257, _xlfn.CONCAT("*",Table13[[#Headers],[Science Fiction]],"*")),1,0)</f>
        <v>0</v>
      </c>
      <c r="X1257">
        <f>IF(COUNTIF($E1257, _xlfn.CONCAT("*",Table13[[#Headers],[TV Movie]],"*")),1,0)</f>
        <v>0</v>
      </c>
      <c r="Y1257">
        <f>IF(COUNTIF($E1257, _xlfn.CONCAT("*",Table13[[#Headers],[Thriller]],"*")),1,0)</f>
        <v>0</v>
      </c>
      <c r="Z1257">
        <f>IF(COUNTIF($E1257, _xlfn.CONCAT("*",Table13[[#Headers],[War]],"*")),1,0)</f>
        <v>0</v>
      </c>
      <c r="AA1257">
        <f>IF(COUNTIF($E1257, _xlfn.CONCAT("*",Table13[[#Headers],[Western]],"*")),1,0)</f>
        <v>0</v>
      </c>
    </row>
    <row r="1258" spans="1:27">
      <c r="A1258" t="s">
        <v>1157</v>
      </c>
      <c r="B1258">
        <v>78</v>
      </c>
      <c r="C1258">
        <f>MAX(Table13[Rank])-Table13[[#This Row],[Rank]]</f>
        <v>186</v>
      </c>
      <c r="D1258" t="s">
        <v>1131</v>
      </c>
      <c r="E1258" t="s">
        <v>217</v>
      </c>
      <c r="F1258" s="1">
        <v>37232</v>
      </c>
      <c r="G1258">
        <f>YEAR(Table13[[#This Row],[Date]])</f>
        <v>2001</v>
      </c>
      <c r="H1258" t="s">
        <v>1158</v>
      </c>
      <c r="I1258">
        <f>IF(COUNTIF($E1258, _xlfn.CONCAT("*",Table13[[#Headers],[Action]],"*")),1,0)</f>
        <v>0</v>
      </c>
      <c r="J1258">
        <f>IF(COUNTIF($E1258, _xlfn.CONCAT("*",Table13[[#Headers],[Adventure]],"*")),1,0)</f>
        <v>0</v>
      </c>
      <c r="K1258">
        <f>IF(COUNTIF($E1258, _xlfn.CONCAT("*",Table13[[#Headers],[Animation]],"*")),1,0)</f>
        <v>0</v>
      </c>
      <c r="L1258">
        <f>IF(COUNTIF($E1258, _xlfn.CONCAT("*",Table13[[#Headers],[Comedy]],"*")),1,0)</f>
        <v>0</v>
      </c>
      <c r="M1258">
        <f>IF(COUNTIF($E1258, _xlfn.CONCAT("*",Table13[[#Headers],[Crime]],"*")),1,0)</f>
        <v>1</v>
      </c>
      <c r="N1258">
        <f>IF(COUNTIF($E1258, _xlfn.CONCAT("*",Table13[[#Headers],[Documentary]],"*")),1,0)</f>
        <v>0</v>
      </c>
      <c r="O1258">
        <f>IF(COUNTIF($E1258, _xlfn.CONCAT("*",Table13[[#Headers],[Drama]],"*")),1,0)</f>
        <v>0</v>
      </c>
      <c r="P1258">
        <f>IF(COUNTIF($E1258, _xlfn.CONCAT("*",Table13[[#Headers],[Family]],"*")),1,0)</f>
        <v>0</v>
      </c>
      <c r="Q1258">
        <f>IF(COUNTIF($E1258, _xlfn.CONCAT("*",Table13[[#Headers],[Fantasy]],"*")),1,0)</f>
        <v>0</v>
      </c>
      <c r="R1258">
        <f>IF(COUNTIF($E1258, _xlfn.CONCAT("*",Table13[[#Headers],[History]],"*")),1,0)</f>
        <v>0</v>
      </c>
      <c r="S1258">
        <f>IF(COUNTIF($E1258, _xlfn.CONCAT("*",Table13[[#Headers],[Horror]],"*")),1,0)</f>
        <v>0</v>
      </c>
      <c r="T1258">
        <f>IF(COUNTIF($E1258, _xlfn.CONCAT("*",Table13[[#Headers],[Music]],"*")),1,0)</f>
        <v>0</v>
      </c>
      <c r="U1258">
        <f>IF(COUNTIF($E1258, _xlfn.CONCAT("*",Table13[[#Headers],[Mystery]],"*")),1,0)</f>
        <v>0</v>
      </c>
      <c r="V1258">
        <f>IF(COUNTIF($E1258, _xlfn.CONCAT("*",Table13[[#Headers],[Romance]],"*")),1,0)</f>
        <v>0</v>
      </c>
      <c r="W1258">
        <f>IF(COUNTIF($E1258, _xlfn.CONCAT("*",Table13[[#Headers],[Science Fiction]],"*")),1,0)</f>
        <v>0</v>
      </c>
      <c r="X1258">
        <f>IF(COUNTIF($E1258, _xlfn.CONCAT("*",Table13[[#Headers],[TV Movie]],"*")),1,0)</f>
        <v>0</v>
      </c>
      <c r="Y1258">
        <f>IF(COUNTIF($E1258, _xlfn.CONCAT("*",Table13[[#Headers],[Thriller]],"*")),1,0)</f>
        <v>1</v>
      </c>
      <c r="Z1258">
        <f>IF(COUNTIF($E1258, _xlfn.CONCAT("*",Table13[[#Headers],[War]],"*")),1,0)</f>
        <v>0</v>
      </c>
      <c r="AA1258">
        <f>IF(COUNTIF($E1258, _xlfn.CONCAT("*",Table13[[#Headers],[Western]],"*")),1,0)</f>
        <v>0</v>
      </c>
    </row>
    <row r="1259" spans="1:27">
      <c r="A1259" t="s">
        <v>525</v>
      </c>
      <c r="B1259">
        <v>77</v>
      </c>
      <c r="C1259">
        <f>MAX(Table13[Rank])-Table13[[#This Row],[Rank]]</f>
        <v>187</v>
      </c>
      <c r="D1259" t="s">
        <v>1131</v>
      </c>
      <c r="E1259" t="s">
        <v>35</v>
      </c>
      <c r="F1259" s="1">
        <v>37882</v>
      </c>
      <c r="G1259">
        <f>YEAR(Table13[[#This Row],[Date]])</f>
        <v>2003</v>
      </c>
      <c r="H1259" t="s">
        <v>525</v>
      </c>
      <c r="I1259">
        <f>IF(COUNTIF($E1259, _xlfn.CONCAT("*",Table13[[#Headers],[Action]],"*")),1,0)</f>
        <v>0</v>
      </c>
      <c r="J1259">
        <f>IF(COUNTIF($E1259, _xlfn.CONCAT("*",Table13[[#Headers],[Adventure]],"*")),1,0)</f>
        <v>0</v>
      </c>
      <c r="K1259">
        <f>IF(COUNTIF($E1259, _xlfn.CONCAT("*",Table13[[#Headers],[Animation]],"*")),1,0)</f>
        <v>0</v>
      </c>
      <c r="L1259">
        <f>IF(COUNTIF($E1259, _xlfn.CONCAT("*",Table13[[#Headers],[Comedy]],"*")),1,0)</f>
        <v>0</v>
      </c>
      <c r="M1259">
        <f>IF(COUNTIF($E1259, _xlfn.CONCAT("*",Table13[[#Headers],[Crime]],"*")),1,0)</f>
        <v>0</v>
      </c>
      <c r="N1259">
        <f>IF(COUNTIF($E1259, _xlfn.CONCAT("*",Table13[[#Headers],[Documentary]],"*")),1,0)</f>
        <v>0</v>
      </c>
      <c r="O1259">
        <f>IF(COUNTIF($E1259, _xlfn.CONCAT("*",Table13[[#Headers],[Drama]],"*")),1,0)</f>
        <v>1</v>
      </c>
      <c r="P1259">
        <f>IF(COUNTIF($E1259, _xlfn.CONCAT("*",Table13[[#Headers],[Family]],"*")),1,0)</f>
        <v>0</v>
      </c>
      <c r="Q1259">
        <f>IF(COUNTIF($E1259, _xlfn.CONCAT("*",Table13[[#Headers],[Fantasy]],"*")),1,0)</f>
        <v>0</v>
      </c>
      <c r="R1259">
        <f>IF(COUNTIF($E1259, _xlfn.CONCAT("*",Table13[[#Headers],[History]],"*")),1,0)</f>
        <v>0</v>
      </c>
      <c r="S1259">
        <f>IF(COUNTIF($E1259, _xlfn.CONCAT("*",Table13[[#Headers],[Horror]],"*")),1,0)</f>
        <v>0</v>
      </c>
      <c r="T1259">
        <f>IF(COUNTIF($E1259, _xlfn.CONCAT("*",Table13[[#Headers],[Music]],"*")),1,0)</f>
        <v>0</v>
      </c>
      <c r="U1259">
        <f>IF(COUNTIF($E1259, _xlfn.CONCAT("*",Table13[[#Headers],[Mystery]],"*")),1,0)</f>
        <v>0</v>
      </c>
      <c r="V1259">
        <f>IF(COUNTIF($E1259, _xlfn.CONCAT("*",Table13[[#Headers],[Romance]],"*")),1,0)</f>
        <v>1</v>
      </c>
      <c r="W1259">
        <f>IF(COUNTIF($E1259, _xlfn.CONCAT("*",Table13[[#Headers],[Science Fiction]],"*")),1,0)</f>
        <v>0</v>
      </c>
      <c r="X1259">
        <f>IF(COUNTIF($E1259, _xlfn.CONCAT("*",Table13[[#Headers],[TV Movie]],"*")),1,0)</f>
        <v>0</v>
      </c>
      <c r="Y1259">
        <f>IF(COUNTIF($E1259, _xlfn.CONCAT("*",Table13[[#Headers],[Thriller]],"*")),1,0)</f>
        <v>0</v>
      </c>
      <c r="Z1259">
        <f>IF(COUNTIF($E1259, _xlfn.CONCAT("*",Table13[[#Headers],[War]],"*")),1,0)</f>
        <v>0</v>
      </c>
      <c r="AA1259">
        <f>IF(COUNTIF($E1259, _xlfn.CONCAT("*",Table13[[#Headers],[Western]],"*")),1,0)</f>
        <v>0</v>
      </c>
    </row>
    <row r="1260" spans="1:27">
      <c r="A1260" t="s">
        <v>1159</v>
      </c>
      <c r="B1260">
        <v>76</v>
      </c>
      <c r="C1260">
        <f>MAX(Table13[Rank])-Table13[[#This Row],[Rank]]</f>
        <v>188</v>
      </c>
      <c r="D1260" t="s">
        <v>1131</v>
      </c>
      <c r="E1260" t="s">
        <v>100</v>
      </c>
      <c r="F1260" s="1">
        <v>44678</v>
      </c>
      <c r="G1260">
        <f>YEAR(Table13[[#This Row],[Date]])</f>
        <v>2022</v>
      </c>
      <c r="H1260" t="s">
        <v>1313</v>
      </c>
      <c r="I1260">
        <f>IF(COUNTIF($E1260, _xlfn.CONCAT("*",Table13[[#Headers],[Action]],"*")),1,0)</f>
        <v>0</v>
      </c>
      <c r="J1260">
        <f>IF(COUNTIF($E1260, _xlfn.CONCAT("*",Table13[[#Headers],[Adventure]],"*")),1,0)</f>
        <v>0</v>
      </c>
      <c r="K1260">
        <f>IF(COUNTIF($E1260, _xlfn.CONCAT("*",Table13[[#Headers],[Animation]],"*")),1,0)</f>
        <v>0</v>
      </c>
      <c r="L1260">
        <f>IF(COUNTIF($E1260, _xlfn.CONCAT("*",Table13[[#Headers],[Comedy]],"*")),1,0)</f>
        <v>0</v>
      </c>
      <c r="M1260">
        <f>IF(COUNTIF($E1260, _xlfn.CONCAT("*",Table13[[#Headers],[Crime]],"*")),1,0)</f>
        <v>0</v>
      </c>
      <c r="N1260">
        <f>IF(COUNTIF($E1260, _xlfn.CONCAT("*",Table13[[#Headers],[Documentary]],"*")),1,0)</f>
        <v>0</v>
      </c>
      <c r="O1260">
        <f>IF(COUNTIF($E1260, _xlfn.CONCAT("*",Table13[[#Headers],[Drama]],"*")),1,0)</f>
        <v>1</v>
      </c>
      <c r="P1260">
        <f>IF(COUNTIF($E1260, _xlfn.CONCAT("*",Table13[[#Headers],[Family]],"*")),1,0)</f>
        <v>0</v>
      </c>
      <c r="Q1260">
        <f>IF(COUNTIF($E1260, _xlfn.CONCAT("*",Table13[[#Headers],[Fantasy]],"*")),1,0)</f>
        <v>0</v>
      </c>
      <c r="R1260">
        <f>IF(COUNTIF($E1260, _xlfn.CONCAT("*",Table13[[#Headers],[History]],"*")),1,0)</f>
        <v>0</v>
      </c>
      <c r="S1260">
        <f>IF(COUNTIF($E1260, _xlfn.CONCAT("*",Table13[[#Headers],[Horror]],"*")),1,0)</f>
        <v>0</v>
      </c>
      <c r="T1260">
        <f>IF(COUNTIF($E1260, _xlfn.CONCAT("*",Table13[[#Headers],[Music]],"*")),1,0)</f>
        <v>0</v>
      </c>
      <c r="U1260">
        <f>IF(COUNTIF($E1260, _xlfn.CONCAT("*",Table13[[#Headers],[Mystery]],"*")),1,0)</f>
        <v>0</v>
      </c>
      <c r="V1260">
        <f>IF(COUNTIF($E1260, _xlfn.CONCAT("*",Table13[[#Headers],[Romance]],"*")),1,0)</f>
        <v>1</v>
      </c>
      <c r="W1260">
        <f>IF(COUNTIF($E1260, _xlfn.CONCAT("*",Table13[[#Headers],[Science Fiction]],"*")),1,0)</f>
        <v>0</v>
      </c>
      <c r="X1260">
        <f>IF(COUNTIF($E1260, _xlfn.CONCAT("*",Table13[[#Headers],[TV Movie]],"*")),1,0)</f>
        <v>0</v>
      </c>
      <c r="Y1260">
        <f>IF(COUNTIF($E1260, _xlfn.CONCAT("*",Table13[[#Headers],[Thriller]],"*")),1,0)</f>
        <v>0</v>
      </c>
      <c r="Z1260">
        <f>IF(COUNTIF($E1260, _xlfn.CONCAT("*",Table13[[#Headers],[War]],"*")),1,0)</f>
        <v>0</v>
      </c>
      <c r="AA1260">
        <f>IF(COUNTIF($E1260, _xlfn.CONCAT("*",Table13[[#Headers],[Western]],"*")),1,0)</f>
        <v>0</v>
      </c>
    </row>
    <row r="1261" spans="1:27">
      <c r="A1261" t="s">
        <v>1160</v>
      </c>
      <c r="B1261">
        <v>75</v>
      </c>
      <c r="C1261">
        <f>MAX(Table13[Rank])-Table13[[#This Row],[Rank]]</f>
        <v>189</v>
      </c>
      <c r="D1261" t="s">
        <v>1131</v>
      </c>
      <c r="E1261" t="s">
        <v>21</v>
      </c>
      <c r="F1261" s="1">
        <v>41579</v>
      </c>
      <c r="G1261">
        <f>YEAR(Table13[[#This Row],[Date]])</f>
        <v>2013</v>
      </c>
      <c r="H1261" t="s">
        <v>1160</v>
      </c>
      <c r="I1261">
        <f>IF(COUNTIF($E1261, _xlfn.CONCAT("*",Table13[[#Headers],[Action]],"*")),1,0)</f>
        <v>0</v>
      </c>
      <c r="J1261">
        <f>IF(COUNTIF($E1261, _xlfn.CONCAT("*",Table13[[#Headers],[Adventure]],"*")),1,0)</f>
        <v>0</v>
      </c>
      <c r="K1261">
        <f>IF(COUNTIF($E1261, _xlfn.CONCAT("*",Table13[[#Headers],[Animation]],"*")),1,0)</f>
        <v>0</v>
      </c>
      <c r="L1261">
        <f>IF(COUNTIF($E1261, _xlfn.CONCAT("*",Table13[[#Headers],[Comedy]],"*")),1,0)</f>
        <v>0</v>
      </c>
      <c r="M1261">
        <f>IF(COUNTIF($E1261, _xlfn.CONCAT("*",Table13[[#Headers],[Crime]],"*")),1,0)</f>
        <v>0</v>
      </c>
      <c r="N1261">
        <f>IF(COUNTIF($E1261, _xlfn.CONCAT("*",Table13[[#Headers],[Documentary]],"*")),1,0)</f>
        <v>0</v>
      </c>
      <c r="O1261">
        <f>IF(COUNTIF($E1261, _xlfn.CONCAT("*",Table13[[#Headers],[Drama]],"*")),1,0)</f>
        <v>1</v>
      </c>
      <c r="P1261">
        <f>IF(COUNTIF($E1261, _xlfn.CONCAT("*",Table13[[#Headers],[Family]],"*")),1,0)</f>
        <v>0</v>
      </c>
      <c r="Q1261">
        <f>IF(COUNTIF($E1261, _xlfn.CONCAT("*",Table13[[#Headers],[Fantasy]],"*")),1,0)</f>
        <v>0</v>
      </c>
      <c r="R1261">
        <f>IF(COUNTIF($E1261, _xlfn.CONCAT("*",Table13[[#Headers],[History]],"*")),1,0)</f>
        <v>0</v>
      </c>
      <c r="S1261">
        <f>IF(COUNTIF($E1261, _xlfn.CONCAT("*",Table13[[#Headers],[Horror]],"*")),1,0)</f>
        <v>0</v>
      </c>
      <c r="T1261">
        <f>IF(COUNTIF($E1261, _xlfn.CONCAT("*",Table13[[#Headers],[Music]],"*")),1,0)</f>
        <v>0</v>
      </c>
      <c r="U1261">
        <f>IF(COUNTIF($E1261, _xlfn.CONCAT("*",Table13[[#Headers],[Mystery]],"*")),1,0)</f>
        <v>0</v>
      </c>
      <c r="V1261">
        <f>IF(COUNTIF($E1261, _xlfn.CONCAT("*",Table13[[#Headers],[Romance]],"*")),1,0)</f>
        <v>0</v>
      </c>
      <c r="W1261">
        <f>IF(COUNTIF($E1261, _xlfn.CONCAT("*",Table13[[#Headers],[Science Fiction]],"*")),1,0)</f>
        <v>0</v>
      </c>
      <c r="X1261">
        <f>IF(COUNTIF($E1261, _xlfn.CONCAT("*",Table13[[#Headers],[TV Movie]],"*")),1,0)</f>
        <v>0</v>
      </c>
      <c r="Y1261">
        <f>IF(COUNTIF($E1261, _xlfn.CONCAT("*",Table13[[#Headers],[Thriller]],"*")),1,0)</f>
        <v>0</v>
      </c>
      <c r="Z1261">
        <f>IF(COUNTIF($E1261, _xlfn.CONCAT("*",Table13[[#Headers],[War]],"*")),1,0)</f>
        <v>0</v>
      </c>
      <c r="AA1261">
        <f>IF(COUNTIF($E1261, _xlfn.CONCAT("*",Table13[[#Headers],[Western]],"*")),1,0)</f>
        <v>0</v>
      </c>
    </row>
    <row r="1262" spans="1:27">
      <c r="A1262" t="s">
        <v>1161</v>
      </c>
      <c r="B1262">
        <v>74</v>
      </c>
      <c r="C1262">
        <f>MAX(Table13[Rank])-Table13[[#This Row],[Rank]]</f>
        <v>190</v>
      </c>
      <c r="D1262" t="s">
        <v>1131</v>
      </c>
      <c r="E1262" t="s">
        <v>156</v>
      </c>
      <c r="F1262" s="1">
        <v>40051</v>
      </c>
      <c r="G1262">
        <f>YEAR(Table13[[#This Row],[Date]])</f>
        <v>2009</v>
      </c>
      <c r="H1262" t="s">
        <v>1161</v>
      </c>
      <c r="I1262">
        <f>IF(COUNTIF($E1262, _xlfn.CONCAT("*",Table13[[#Headers],[Action]],"*")),1,0)</f>
        <v>0</v>
      </c>
      <c r="J1262">
        <f>IF(COUNTIF($E1262, _xlfn.CONCAT("*",Table13[[#Headers],[Adventure]],"*")),1,0)</f>
        <v>0</v>
      </c>
      <c r="K1262">
        <f>IF(COUNTIF($E1262, _xlfn.CONCAT("*",Table13[[#Headers],[Animation]],"*")),1,0)</f>
        <v>0</v>
      </c>
      <c r="L1262">
        <f>IF(COUNTIF($E1262, _xlfn.CONCAT("*",Table13[[#Headers],[Comedy]],"*")),1,0)</f>
        <v>0</v>
      </c>
      <c r="M1262">
        <f>IF(COUNTIF($E1262, _xlfn.CONCAT("*",Table13[[#Headers],[Crime]],"*")),1,0)</f>
        <v>1</v>
      </c>
      <c r="N1262">
        <f>IF(COUNTIF($E1262, _xlfn.CONCAT("*",Table13[[#Headers],[Documentary]],"*")),1,0)</f>
        <v>0</v>
      </c>
      <c r="O1262">
        <f>IF(COUNTIF($E1262, _xlfn.CONCAT("*",Table13[[#Headers],[Drama]],"*")),1,0)</f>
        <v>1</v>
      </c>
      <c r="P1262">
        <f>IF(COUNTIF($E1262, _xlfn.CONCAT("*",Table13[[#Headers],[Family]],"*")),1,0)</f>
        <v>0</v>
      </c>
      <c r="Q1262">
        <f>IF(COUNTIF($E1262, _xlfn.CONCAT("*",Table13[[#Headers],[Fantasy]],"*")),1,0)</f>
        <v>0</v>
      </c>
      <c r="R1262">
        <f>IF(COUNTIF($E1262, _xlfn.CONCAT("*",Table13[[#Headers],[History]],"*")),1,0)</f>
        <v>0</v>
      </c>
      <c r="S1262">
        <f>IF(COUNTIF($E1262, _xlfn.CONCAT("*",Table13[[#Headers],[Horror]],"*")),1,0)</f>
        <v>0</v>
      </c>
      <c r="T1262">
        <f>IF(COUNTIF($E1262, _xlfn.CONCAT("*",Table13[[#Headers],[Music]],"*")),1,0)</f>
        <v>0</v>
      </c>
      <c r="U1262">
        <f>IF(COUNTIF($E1262, _xlfn.CONCAT("*",Table13[[#Headers],[Mystery]],"*")),1,0)</f>
        <v>0</v>
      </c>
      <c r="V1262">
        <f>IF(COUNTIF($E1262, _xlfn.CONCAT("*",Table13[[#Headers],[Romance]],"*")),1,0)</f>
        <v>0</v>
      </c>
      <c r="W1262">
        <f>IF(COUNTIF($E1262, _xlfn.CONCAT("*",Table13[[#Headers],[Science Fiction]],"*")),1,0)</f>
        <v>0</v>
      </c>
      <c r="X1262">
        <f>IF(COUNTIF($E1262, _xlfn.CONCAT("*",Table13[[#Headers],[TV Movie]],"*")),1,0)</f>
        <v>0</v>
      </c>
      <c r="Y1262">
        <f>IF(COUNTIF($E1262, _xlfn.CONCAT("*",Table13[[#Headers],[Thriller]],"*")),1,0)</f>
        <v>0</v>
      </c>
      <c r="Z1262">
        <f>IF(COUNTIF($E1262, _xlfn.CONCAT("*",Table13[[#Headers],[War]],"*")),1,0)</f>
        <v>0</v>
      </c>
      <c r="AA1262">
        <f>IF(COUNTIF($E1262, _xlfn.CONCAT("*",Table13[[#Headers],[Western]],"*")),1,0)</f>
        <v>0</v>
      </c>
    </row>
    <row r="1263" spans="1:27">
      <c r="A1263" t="s">
        <v>1162</v>
      </c>
      <c r="B1263">
        <v>73</v>
      </c>
      <c r="C1263">
        <f>MAX(Table13[Rank])-Table13[[#This Row],[Rank]]</f>
        <v>191</v>
      </c>
      <c r="D1263" t="s">
        <v>1131</v>
      </c>
      <c r="E1263" t="s">
        <v>198</v>
      </c>
      <c r="F1263" s="1">
        <v>42516</v>
      </c>
      <c r="G1263">
        <f>YEAR(Table13[[#This Row],[Date]])</f>
        <v>2016</v>
      </c>
      <c r="H1263" t="s">
        <v>1162</v>
      </c>
      <c r="I1263">
        <f>IF(COUNTIF($E1263, _xlfn.CONCAT("*",Table13[[#Headers],[Action]],"*")),1,0)</f>
        <v>0</v>
      </c>
      <c r="J1263">
        <f>IF(COUNTIF($E1263, _xlfn.CONCAT("*",Table13[[#Headers],[Adventure]],"*")),1,0)</f>
        <v>0</v>
      </c>
      <c r="K1263">
        <f>IF(COUNTIF($E1263, _xlfn.CONCAT("*",Table13[[#Headers],[Animation]],"*")),1,0)</f>
        <v>0</v>
      </c>
      <c r="L1263">
        <f>IF(COUNTIF($E1263, _xlfn.CONCAT("*",Table13[[#Headers],[Comedy]],"*")),1,0)</f>
        <v>1</v>
      </c>
      <c r="M1263">
        <f>IF(COUNTIF($E1263, _xlfn.CONCAT("*",Table13[[#Headers],[Crime]],"*")),1,0)</f>
        <v>0</v>
      </c>
      <c r="N1263">
        <f>IF(COUNTIF($E1263, _xlfn.CONCAT("*",Table13[[#Headers],[Documentary]],"*")),1,0)</f>
        <v>0</v>
      </c>
      <c r="O1263">
        <f>IF(COUNTIF($E1263, _xlfn.CONCAT("*",Table13[[#Headers],[Drama]],"*")),1,0)</f>
        <v>1</v>
      </c>
      <c r="P1263">
        <f>IF(COUNTIF($E1263, _xlfn.CONCAT("*",Table13[[#Headers],[Family]],"*")),1,0)</f>
        <v>0</v>
      </c>
      <c r="Q1263">
        <f>IF(COUNTIF($E1263, _xlfn.CONCAT("*",Table13[[#Headers],[Fantasy]],"*")),1,0)</f>
        <v>0</v>
      </c>
      <c r="R1263">
        <f>IF(COUNTIF($E1263, _xlfn.CONCAT("*",Table13[[#Headers],[History]],"*")),1,0)</f>
        <v>0</v>
      </c>
      <c r="S1263">
        <f>IF(COUNTIF($E1263, _xlfn.CONCAT("*",Table13[[#Headers],[Horror]],"*")),1,0)</f>
        <v>0</v>
      </c>
      <c r="T1263">
        <f>IF(COUNTIF($E1263, _xlfn.CONCAT("*",Table13[[#Headers],[Music]],"*")),1,0)</f>
        <v>0</v>
      </c>
      <c r="U1263">
        <f>IF(COUNTIF($E1263, _xlfn.CONCAT("*",Table13[[#Headers],[Mystery]],"*")),1,0)</f>
        <v>0</v>
      </c>
      <c r="V1263">
        <f>IF(COUNTIF($E1263, _xlfn.CONCAT("*",Table13[[#Headers],[Romance]],"*")),1,0)</f>
        <v>1</v>
      </c>
      <c r="W1263">
        <f>IF(COUNTIF($E1263, _xlfn.CONCAT("*",Table13[[#Headers],[Science Fiction]],"*")),1,0)</f>
        <v>0</v>
      </c>
      <c r="X1263">
        <f>IF(COUNTIF($E1263, _xlfn.CONCAT("*",Table13[[#Headers],[TV Movie]],"*")),1,0)</f>
        <v>0</v>
      </c>
      <c r="Y1263">
        <f>IF(COUNTIF($E1263, _xlfn.CONCAT("*",Table13[[#Headers],[Thriller]],"*")),1,0)</f>
        <v>0</v>
      </c>
      <c r="Z1263">
        <f>IF(COUNTIF($E1263, _xlfn.CONCAT("*",Table13[[#Headers],[War]],"*")),1,0)</f>
        <v>0</v>
      </c>
      <c r="AA1263">
        <f>IF(COUNTIF($E1263, _xlfn.CONCAT("*",Table13[[#Headers],[Western]],"*")),1,0)</f>
        <v>0</v>
      </c>
    </row>
    <row r="1264" spans="1:27">
      <c r="A1264" t="s">
        <v>1163</v>
      </c>
      <c r="B1264">
        <v>72</v>
      </c>
      <c r="C1264">
        <f>MAX(Table13[Rank])-Table13[[#This Row],[Rank]]</f>
        <v>192</v>
      </c>
      <c r="D1264" t="s">
        <v>1131</v>
      </c>
      <c r="E1264" t="s">
        <v>1164</v>
      </c>
      <c r="F1264" s="1">
        <v>39611</v>
      </c>
      <c r="G1264">
        <f>YEAR(Table13[[#This Row],[Date]])</f>
        <v>2008</v>
      </c>
      <c r="H1264" t="s">
        <v>1314</v>
      </c>
      <c r="I1264">
        <f>IF(COUNTIF($E1264, _xlfn.CONCAT("*",Table13[[#Headers],[Action]],"*")),1,0)</f>
        <v>0</v>
      </c>
      <c r="J1264">
        <f>IF(COUNTIF($E1264, _xlfn.CONCAT("*",Table13[[#Headers],[Adventure]],"*")),1,0)</f>
        <v>0</v>
      </c>
      <c r="K1264">
        <f>IF(COUNTIF($E1264, _xlfn.CONCAT("*",Table13[[#Headers],[Animation]],"*")),1,0)</f>
        <v>1</v>
      </c>
      <c r="L1264">
        <f>IF(COUNTIF($E1264, _xlfn.CONCAT("*",Table13[[#Headers],[Comedy]],"*")),1,0)</f>
        <v>0</v>
      </c>
      <c r="M1264">
        <f>IF(COUNTIF($E1264, _xlfn.CONCAT("*",Table13[[#Headers],[Crime]],"*")),1,0)</f>
        <v>0</v>
      </c>
      <c r="N1264">
        <f>IF(COUNTIF($E1264, _xlfn.CONCAT("*",Table13[[#Headers],[Documentary]],"*")),1,0)</f>
        <v>1</v>
      </c>
      <c r="O1264">
        <f>IF(COUNTIF($E1264, _xlfn.CONCAT("*",Table13[[#Headers],[Drama]],"*")),1,0)</f>
        <v>1</v>
      </c>
      <c r="P1264">
        <f>IF(COUNTIF($E1264, _xlfn.CONCAT("*",Table13[[#Headers],[Family]],"*")),1,0)</f>
        <v>0</v>
      </c>
      <c r="Q1264">
        <f>IF(COUNTIF($E1264, _xlfn.CONCAT("*",Table13[[#Headers],[Fantasy]],"*")),1,0)</f>
        <v>0</v>
      </c>
      <c r="R1264">
        <f>IF(COUNTIF($E1264, _xlfn.CONCAT("*",Table13[[#Headers],[History]],"*")),1,0)</f>
        <v>0</v>
      </c>
      <c r="S1264">
        <f>IF(COUNTIF($E1264, _xlfn.CONCAT("*",Table13[[#Headers],[Horror]],"*")),1,0)</f>
        <v>0</v>
      </c>
      <c r="T1264">
        <f>IF(COUNTIF($E1264, _xlfn.CONCAT("*",Table13[[#Headers],[Music]],"*")),1,0)</f>
        <v>0</v>
      </c>
      <c r="U1264">
        <f>IF(COUNTIF($E1264, _xlfn.CONCAT("*",Table13[[#Headers],[Mystery]],"*")),1,0)</f>
        <v>0</v>
      </c>
      <c r="V1264">
        <f>IF(COUNTIF($E1264, _xlfn.CONCAT("*",Table13[[#Headers],[Romance]],"*")),1,0)</f>
        <v>0</v>
      </c>
      <c r="W1264">
        <f>IF(COUNTIF($E1264, _xlfn.CONCAT("*",Table13[[#Headers],[Science Fiction]],"*")),1,0)</f>
        <v>0</v>
      </c>
      <c r="X1264">
        <f>IF(COUNTIF($E1264, _xlfn.CONCAT("*",Table13[[#Headers],[TV Movie]],"*")),1,0)</f>
        <v>0</v>
      </c>
      <c r="Y1264">
        <f>IF(COUNTIF($E1264, _xlfn.CONCAT("*",Table13[[#Headers],[Thriller]],"*")),1,0)</f>
        <v>0</v>
      </c>
      <c r="Z1264">
        <f>IF(COUNTIF($E1264, _xlfn.CONCAT("*",Table13[[#Headers],[War]],"*")),1,0)</f>
        <v>1</v>
      </c>
      <c r="AA1264">
        <f>IF(COUNTIF($E1264, _xlfn.CONCAT("*",Table13[[#Headers],[Western]],"*")),1,0)</f>
        <v>0</v>
      </c>
    </row>
    <row r="1265" spans="1:27">
      <c r="A1265" t="s">
        <v>1165</v>
      </c>
      <c r="B1265">
        <v>71</v>
      </c>
      <c r="C1265">
        <f>MAX(Table13[Rank])-Table13[[#This Row],[Rank]]</f>
        <v>193</v>
      </c>
      <c r="D1265" t="s">
        <v>1131</v>
      </c>
      <c r="E1265" t="s">
        <v>180</v>
      </c>
      <c r="F1265" t="s">
        <v>180</v>
      </c>
      <c r="G1265" t="e">
        <f>YEAR(Table13[[#This Row],[Date]])</f>
        <v>#VALUE!</v>
      </c>
      <c r="H1265" t="s">
        <v>180</v>
      </c>
      <c r="I1265">
        <f>IF(COUNTIF($E1265, _xlfn.CONCAT("*",Table13[[#Headers],[Action]],"*")),1,0)</f>
        <v>0</v>
      </c>
      <c r="J1265">
        <f>IF(COUNTIF($E1265, _xlfn.CONCAT("*",Table13[[#Headers],[Adventure]],"*")),1,0)</f>
        <v>0</v>
      </c>
      <c r="K1265">
        <f>IF(COUNTIF($E1265, _xlfn.CONCAT("*",Table13[[#Headers],[Animation]],"*")),1,0)</f>
        <v>0</v>
      </c>
      <c r="L1265">
        <f>IF(COUNTIF($E1265, _xlfn.CONCAT("*",Table13[[#Headers],[Comedy]],"*")),1,0)</f>
        <v>0</v>
      </c>
      <c r="M1265">
        <f>IF(COUNTIF($E1265, _xlfn.CONCAT("*",Table13[[#Headers],[Crime]],"*")),1,0)</f>
        <v>0</v>
      </c>
      <c r="N1265">
        <f>IF(COUNTIF($E1265, _xlfn.CONCAT("*",Table13[[#Headers],[Documentary]],"*")),1,0)</f>
        <v>0</v>
      </c>
      <c r="O1265">
        <f>IF(COUNTIF($E1265, _xlfn.CONCAT("*",Table13[[#Headers],[Drama]],"*")),1,0)</f>
        <v>0</v>
      </c>
      <c r="P1265">
        <f>IF(COUNTIF($E1265, _xlfn.CONCAT("*",Table13[[#Headers],[Family]],"*")),1,0)</f>
        <v>0</v>
      </c>
      <c r="Q1265">
        <f>IF(COUNTIF($E1265, _xlfn.CONCAT("*",Table13[[#Headers],[Fantasy]],"*")),1,0)</f>
        <v>0</v>
      </c>
      <c r="R1265">
        <f>IF(COUNTIF($E1265, _xlfn.CONCAT("*",Table13[[#Headers],[History]],"*")),1,0)</f>
        <v>0</v>
      </c>
      <c r="S1265">
        <f>IF(COUNTIF($E1265, _xlfn.CONCAT("*",Table13[[#Headers],[Horror]],"*")),1,0)</f>
        <v>0</v>
      </c>
      <c r="T1265">
        <f>IF(COUNTIF($E1265, _xlfn.CONCAT("*",Table13[[#Headers],[Music]],"*")),1,0)</f>
        <v>0</v>
      </c>
      <c r="U1265">
        <f>IF(COUNTIF($E1265, _xlfn.CONCAT("*",Table13[[#Headers],[Mystery]],"*")),1,0)</f>
        <v>0</v>
      </c>
      <c r="V1265">
        <f>IF(COUNTIF($E1265, _xlfn.CONCAT("*",Table13[[#Headers],[Romance]],"*")),1,0)</f>
        <v>0</v>
      </c>
      <c r="W1265">
        <f>IF(COUNTIF($E1265, _xlfn.CONCAT("*",Table13[[#Headers],[Science Fiction]],"*")),1,0)</f>
        <v>0</v>
      </c>
      <c r="X1265">
        <f>IF(COUNTIF($E1265, _xlfn.CONCAT("*",Table13[[#Headers],[TV Movie]],"*")),1,0)</f>
        <v>0</v>
      </c>
      <c r="Y1265">
        <f>IF(COUNTIF($E1265, _xlfn.CONCAT("*",Table13[[#Headers],[Thriller]],"*")),1,0)</f>
        <v>0</v>
      </c>
      <c r="Z1265">
        <f>IF(COUNTIF($E1265, _xlfn.CONCAT("*",Table13[[#Headers],[War]],"*")),1,0)</f>
        <v>0</v>
      </c>
      <c r="AA1265">
        <f>IF(COUNTIF($E1265, _xlfn.CONCAT("*",Table13[[#Headers],[Western]],"*")),1,0)</f>
        <v>0</v>
      </c>
    </row>
    <row r="1266" spans="1:27">
      <c r="A1266" t="s">
        <v>1166</v>
      </c>
      <c r="B1266">
        <v>70</v>
      </c>
      <c r="C1266">
        <f>MAX(Table13[Rank])-Table13[[#This Row],[Rank]]</f>
        <v>194</v>
      </c>
      <c r="D1266" t="s">
        <v>1131</v>
      </c>
      <c r="E1266" t="s">
        <v>44</v>
      </c>
      <c r="F1266" s="1">
        <v>38166</v>
      </c>
      <c r="G1266">
        <f>YEAR(Table13[[#This Row],[Date]])</f>
        <v>2004</v>
      </c>
      <c r="H1266" t="s">
        <v>1166</v>
      </c>
      <c r="I1266">
        <f>IF(COUNTIF($E1266, _xlfn.CONCAT("*",Table13[[#Headers],[Action]],"*")),1,0)</f>
        <v>0</v>
      </c>
      <c r="J1266">
        <f>IF(COUNTIF($E1266, _xlfn.CONCAT("*",Table13[[#Headers],[Adventure]],"*")),1,0)</f>
        <v>0</v>
      </c>
      <c r="K1266">
        <f>IF(COUNTIF($E1266, _xlfn.CONCAT("*",Table13[[#Headers],[Animation]],"*")),1,0)</f>
        <v>0</v>
      </c>
      <c r="L1266">
        <f>IF(COUNTIF($E1266, _xlfn.CONCAT("*",Table13[[#Headers],[Comedy]],"*")),1,0)</f>
        <v>1</v>
      </c>
      <c r="M1266">
        <f>IF(COUNTIF($E1266, _xlfn.CONCAT("*",Table13[[#Headers],[Crime]],"*")),1,0)</f>
        <v>0</v>
      </c>
      <c r="N1266">
        <f>IF(COUNTIF($E1266, _xlfn.CONCAT("*",Table13[[#Headers],[Documentary]],"*")),1,0)</f>
        <v>0</v>
      </c>
      <c r="O1266">
        <f>IF(COUNTIF($E1266, _xlfn.CONCAT("*",Table13[[#Headers],[Drama]],"*")),1,0)</f>
        <v>0</v>
      </c>
      <c r="P1266">
        <f>IF(COUNTIF($E1266, _xlfn.CONCAT("*",Table13[[#Headers],[Family]],"*")),1,0)</f>
        <v>0</v>
      </c>
      <c r="Q1266">
        <f>IF(COUNTIF($E1266, _xlfn.CONCAT("*",Table13[[#Headers],[Fantasy]],"*")),1,0)</f>
        <v>0</v>
      </c>
      <c r="R1266">
        <f>IF(COUNTIF($E1266, _xlfn.CONCAT("*",Table13[[#Headers],[History]],"*")),1,0)</f>
        <v>0</v>
      </c>
      <c r="S1266">
        <f>IF(COUNTIF($E1266, _xlfn.CONCAT("*",Table13[[#Headers],[Horror]],"*")),1,0)</f>
        <v>0</v>
      </c>
      <c r="T1266">
        <f>IF(COUNTIF($E1266, _xlfn.CONCAT("*",Table13[[#Headers],[Music]],"*")),1,0)</f>
        <v>0</v>
      </c>
      <c r="U1266">
        <f>IF(COUNTIF($E1266, _xlfn.CONCAT("*",Table13[[#Headers],[Mystery]],"*")),1,0)</f>
        <v>0</v>
      </c>
      <c r="V1266">
        <f>IF(COUNTIF($E1266, _xlfn.CONCAT("*",Table13[[#Headers],[Romance]],"*")),1,0)</f>
        <v>0</v>
      </c>
      <c r="W1266">
        <f>IF(COUNTIF($E1266, _xlfn.CONCAT("*",Table13[[#Headers],[Science Fiction]],"*")),1,0)</f>
        <v>0</v>
      </c>
      <c r="X1266">
        <f>IF(COUNTIF($E1266, _xlfn.CONCAT("*",Table13[[#Headers],[TV Movie]],"*")),1,0)</f>
        <v>0</v>
      </c>
      <c r="Y1266">
        <f>IF(COUNTIF($E1266, _xlfn.CONCAT("*",Table13[[#Headers],[Thriller]],"*")),1,0)</f>
        <v>0</v>
      </c>
      <c r="Z1266">
        <f>IF(COUNTIF($E1266, _xlfn.CONCAT("*",Table13[[#Headers],[War]],"*")),1,0)</f>
        <v>0</v>
      </c>
      <c r="AA1266">
        <f>IF(COUNTIF($E1266, _xlfn.CONCAT("*",Table13[[#Headers],[Western]],"*")),1,0)</f>
        <v>0</v>
      </c>
    </row>
    <row r="1267" spans="1:27">
      <c r="A1267" t="s">
        <v>496</v>
      </c>
      <c r="B1267">
        <v>69</v>
      </c>
      <c r="C1267">
        <f>MAX(Table13[Rank])-Table13[[#This Row],[Rank]]</f>
        <v>195</v>
      </c>
      <c r="D1267" t="s">
        <v>1131</v>
      </c>
      <c r="E1267" t="s">
        <v>495</v>
      </c>
      <c r="F1267" s="1">
        <v>43048</v>
      </c>
      <c r="G1267">
        <f>YEAR(Table13[[#This Row],[Date]])</f>
        <v>2017</v>
      </c>
      <c r="H1267" t="s">
        <v>496</v>
      </c>
      <c r="I1267">
        <f>IF(COUNTIF($E1267, _xlfn.CONCAT("*",Table13[[#Headers],[Action]],"*")),1,0)</f>
        <v>0</v>
      </c>
      <c r="J1267">
        <f>IF(COUNTIF($E1267, _xlfn.CONCAT("*",Table13[[#Headers],[Adventure]],"*")),1,0)</f>
        <v>1</v>
      </c>
      <c r="K1267">
        <f>IF(COUNTIF($E1267, _xlfn.CONCAT("*",Table13[[#Headers],[Animation]],"*")),1,0)</f>
        <v>0</v>
      </c>
      <c r="L1267">
        <f>IF(COUNTIF($E1267, _xlfn.CONCAT("*",Table13[[#Headers],[Comedy]],"*")),1,0)</f>
        <v>1</v>
      </c>
      <c r="M1267">
        <f>IF(COUNTIF($E1267, _xlfn.CONCAT("*",Table13[[#Headers],[Crime]],"*")),1,0)</f>
        <v>0</v>
      </c>
      <c r="N1267">
        <f>IF(COUNTIF($E1267, _xlfn.CONCAT("*",Table13[[#Headers],[Documentary]],"*")),1,0)</f>
        <v>0</v>
      </c>
      <c r="O1267">
        <f>IF(COUNTIF($E1267, _xlfn.CONCAT("*",Table13[[#Headers],[Drama]],"*")),1,0)</f>
        <v>0</v>
      </c>
      <c r="P1267">
        <f>IF(COUNTIF($E1267, _xlfn.CONCAT("*",Table13[[#Headers],[Family]],"*")),1,0)</f>
        <v>1</v>
      </c>
      <c r="Q1267">
        <f>IF(COUNTIF($E1267, _xlfn.CONCAT("*",Table13[[#Headers],[Fantasy]],"*")),1,0)</f>
        <v>0</v>
      </c>
      <c r="R1267">
        <f>IF(COUNTIF($E1267, _xlfn.CONCAT("*",Table13[[#Headers],[History]],"*")),1,0)</f>
        <v>0</v>
      </c>
      <c r="S1267">
        <f>IF(COUNTIF($E1267, _xlfn.CONCAT("*",Table13[[#Headers],[Horror]],"*")),1,0)</f>
        <v>0</v>
      </c>
      <c r="T1267">
        <f>IF(COUNTIF($E1267, _xlfn.CONCAT("*",Table13[[#Headers],[Music]],"*")),1,0)</f>
        <v>0</v>
      </c>
      <c r="U1267">
        <f>IF(COUNTIF($E1267, _xlfn.CONCAT("*",Table13[[#Headers],[Mystery]],"*")),1,0)</f>
        <v>0</v>
      </c>
      <c r="V1267">
        <f>IF(COUNTIF($E1267, _xlfn.CONCAT("*",Table13[[#Headers],[Romance]],"*")),1,0)</f>
        <v>0</v>
      </c>
      <c r="W1267">
        <f>IF(COUNTIF($E1267, _xlfn.CONCAT("*",Table13[[#Headers],[Science Fiction]],"*")),1,0)</f>
        <v>0</v>
      </c>
      <c r="X1267">
        <f>IF(COUNTIF($E1267, _xlfn.CONCAT("*",Table13[[#Headers],[TV Movie]],"*")),1,0)</f>
        <v>0</v>
      </c>
      <c r="Y1267">
        <f>IF(COUNTIF($E1267, _xlfn.CONCAT("*",Table13[[#Headers],[Thriller]],"*")),1,0)</f>
        <v>0</v>
      </c>
      <c r="Z1267">
        <f>IF(COUNTIF($E1267, _xlfn.CONCAT("*",Table13[[#Headers],[War]],"*")),1,0)</f>
        <v>0</v>
      </c>
      <c r="AA1267">
        <f>IF(COUNTIF($E1267, _xlfn.CONCAT("*",Table13[[#Headers],[Western]],"*")),1,0)</f>
        <v>0</v>
      </c>
    </row>
    <row r="1268" spans="1:27">
      <c r="A1268" t="s">
        <v>1167</v>
      </c>
      <c r="B1268">
        <v>68</v>
      </c>
      <c r="C1268">
        <f>MAX(Table13[Rank])-Table13[[#This Row],[Rank]]</f>
        <v>196</v>
      </c>
      <c r="D1268" t="s">
        <v>1131</v>
      </c>
      <c r="E1268" t="s">
        <v>1168</v>
      </c>
      <c r="F1268" s="1">
        <v>41943</v>
      </c>
      <c r="G1268">
        <f>YEAR(Table13[[#This Row],[Date]])</f>
        <v>2014</v>
      </c>
      <c r="H1268" t="s">
        <v>1169</v>
      </c>
      <c r="I1268">
        <f>IF(COUNTIF($E1268, _xlfn.CONCAT("*",Table13[[#Headers],[Action]],"*")),1,0)</f>
        <v>0</v>
      </c>
      <c r="J1268">
        <f>IF(COUNTIF($E1268, _xlfn.CONCAT("*",Table13[[#Headers],[Adventure]],"*")),1,0)</f>
        <v>0</v>
      </c>
      <c r="K1268">
        <f>IF(COUNTIF($E1268, _xlfn.CONCAT("*",Table13[[#Headers],[Animation]],"*")),1,0)</f>
        <v>0</v>
      </c>
      <c r="L1268">
        <f>IF(COUNTIF($E1268, _xlfn.CONCAT("*",Table13[[#Headers],[Comedy]],"*")),1,0)</f>
        <v>0</v>
      </c>
      <c r="M1268">
        <f>IF(COUNTIF($E1268, _xlfn.CONCAT("*",Table13[[#Headers],[Crime]],"*")),1,0)</f>
        <v>0</v>
      </c>
      <c r="N1268">
        <f>IF(COUNTIF($E1268, _xlfn.CONCAT("*",Table13[[#Headers],[Documentary]],"*")),1,0)</f>
        <v>0</v>
      </c>
      <c r="O1268">
        <f>IF(COUNTIF($E1268, _xlfn.CONCAT("*",Table13[[#Headers],[Drama]],"*")),1,0)</f>
        <v>1</v>
      </c>
      <c r="P1268">
        <f>IF(COUNTIF($E1268, _xlfn.CONCAT("*",Table13[[#Headers],[Family]],"*")),1,0)</f>
        <v>0</v>
      </c>
      <c r="Q1268">
        <f>IF(COUNTIF($E1268, _xlfn.CONCAT("*",Table13[[#Headers],[Fantasy]],"*")),1,0)</f>
        <v>0</v>
      </c>
      <c r="R1268">
        <f>IF(COUNTIF($E1268, _xlfn.CONCAT("*",Table13[[#Headers],[History]],"*")),1,0)</f>
        <v>1</v>
      </c>
      <c r="S1268">
        <f>IF(COUNTIF($E1268, _xlfn.CONCAT("*",Table13[[#Headers],[Horror]],"*")),1,0)</f>
        <v>0</v>
      </c>
      <c r="T1268">
        <f>IF(COUNTIF($E1268, _xlfn.CONCAT("*",Table13[[#Headers],[Music]],"*")),1,0)</f>
        <v>0</v>
      </c>
      <c r="U1268">
        <f>IF(COUNTIF($E1268, _xlfn.CONCAT("*",Table13[[#Headers],[Mystery]],"*")),1,0)</f>
        <v>0</v>
      </c>
      <c r="V1268">
        <f>IF(COUNTIF($E1268, _xlfn.CONCAT("*",Table13[[#Headers],[Romance]],"*")),1,0)</f>
        <v>0</v>
      </c>
      <c r="W1268">
        <f>IF(COUNTIF($E1268, _xlfn.CONCAT("*",Table13[[#Headers],[Science Fiction]],"*")),1,0)</f>
        <v>0</v>
      </c>
      <c r="X1268">
        <f>IF(COUNTIF($E1268, _xlfn.CONCAT("*",Table13[[#Headers],[TV Movie]],"*")),1,0)</f>
        <v>0</v>
      </c>
      <c r="Y1268">
        <f>IF(COUNTIF($E1268, _xlfn.CONCAT("*",Table13[[#Headers],[Thriller]],"*")),1,0)</f>
        <v>0</v>
      </c>
      <c r="Z1268">
        <f>IF(COUNTIF($E1268, _xlfn.CONCAT("*",Table13[[#Headers],[War]],"*")),1,0)</f>
        <v>0</v>
      </c>
      <c r="AA1268">
        <f>IF(COUNTIF($E1268, _xlfn.CONCAT("*",Table13[[#Headers],[Western]],"*")),1,0)</f>
        <v>0</v>
      </c>
    </row>
    <row r="1269" spans="1:27">
      <c r="A1269" t="s">
        <v>1170</v>
      </c>
      <c r="B1269">
        <v>67</v>
      </c>
      <c r="C1269">
        <f>MAX(Table13[Rank])-Table13[[#This Row],[Rank]]</f>
        <v>197</v>
      </c>
      <c r="D1269" t="s">
        <v>1131</v>
      </c>
      <c r="E1269" t="s">
        <v>21</v>
      </c>
      <c r="F1269" s="1">
        <v>39965</v>
      </c>
      <c r="G1269">
        <f>YEAR(Table13[[#This Row],[Date]])</f>
        <v>2009</v>
      </c>
      <c r="H1269" t="s">
        <v>1170</v>
      </c>
      <c r="I1269">
        <f>IF(COUNTIF($E1269, _xlfn.CONCAT("*",Table13[[#Headers],[Action]],"*")),1,0)</f>
        <v>0</v>
      </c>
      <c r="J1269">
        <f>IF(COUNTIF($E1269, _xlfn.CONCAT("*",Table13[[#Headers],[Adventure]],"*")),1,0)</f>
        <v>0</v>
      </c>
      <c r="K1269">
        <f>IF(COUNTIF($E1269, _xlfn.CONCAT("*",Table13[[#Headers],[Animation]],"*")),1,0)</f>
        <v>0</v>
      </c>
      <c r="L1269">
        <f>IF(COUNTIF($E1269, _xlfn.CONCAT("*",Table13[[#Headers],[Comedy]],"*")),1,0)</f>
        <v>0</v>
      </c>
      <c r="M1269">
        <f>IF(COUNTIF($E1269, _xlfn.CONCAT("*",Table13[[#Headers],[Crime]],"*")),1,0)</f>
        <v>0</v>
      </c>
      <c r="N1269">
        <f>IF(COUNTIF($E1269, _xlfn.CONCAT("*",Table13[[#Headers],[Documentary]],"*")),1,0)</f>
        <v>0</v>
      </c>
      <c r="O1269">
        <f>IF(COUNTIF($E1269, _xlfn.CONCAT("*",Table13[[#Headers],[Drama]],"*")),1,0)</f>
        <v>1</v>
      </c>
      <c r="P1269">
        <f>IF(COUNTIF($E1269, _xlfn.CONCAT("*",Table13[[#Headers],[Family]],"*")),1,0)</f>
        <v>0</v>
      </c>
      <c r="Q1269">
        <f>IF(COUNTIF($E1269, _xlfn.CONCAT("*",Table13[[#Headers],[Fantasy]],"*")),1,0)</f>
        <v>0</v>
      </c>
      <c r="R1269">
        <f>IF(COUNTIF($E1269, _xlfn.CONCAT("*",Table13[[#Headers],[History]],"*")),1,0)</f>
        <v>0</v>
      </c>
      <c r="S1269">
        <f>IF(COUNTIF($E1269, _xlfn.CONCAT("*",Table13[[#Headers],[Horror]],"*")),1,0)</f>
        <v>0</v>
      </c>
      <c r="T1269">
        <f>IF(COUNTIF($E1269, _xlfn.CONCAT("*",Table13[[#Headers],[Music]],"*")),1,0)</f>
        <v>0</v>
      </c>
      <c r="U1269">
        <f>IF(COUNTIF($E1269, _xlfn.CONCAT("*",Table13[[#Headers],[Mystery]],"*")),1,0)</f>
        <v>0</v>
      </c>
      <c r="V1269">
        <f>IF(COUNTIF($E1269, _xlfn.CONCAT("*",Table13[[#Headers],[Romance]],"*")),1,0)</f>
        <v>0</v>
      </c>
      <c r="W1269">
        <f>IF(COUNTIF($E1269, _xlfn.CONCAT("*",Table13[[#Headers],[Science Fiction]],"*")),1,0)</f>
        <v>0</v>
      </c>
      <c r="X1269">
        <f>IF(COUNTIF($E1269, _xlfn.CONCAT("*",Table13[[#Headers],[TV Movie]],"*")),1,0)</f>
        <v>0</v>
      </c>
      <c r="Y1269">
        <f>IF(COUNTIF($E1269, _xlfn.CONCAT("*",Table13[[#Headers],[Thriller]],"*")),1,0)</f>
        <v>0</v>
      </c>
      <c r="Z1269">
        <f>IF(COUNTIF($E1269, _xlfn.CONCAT("*",Table13[[#Headers],[War]],"*")),1,0)</f>
        <v>0</v>
      </c>
      <c r="AA1269">
        <f>IF(COUNTIF($E1269, _xlfn.CONCAT("*",Table13[[#Headers],[Western]],"*")),1,0)</f>
        <v>0</v>
      </c>
    </row>
    <row r="1270" spans="1:27">
      <c r="A1270" t="s">
        <v>1085</v>
      </c>
      <c r="B1270">
        <v>66</v>
      </c>
      <c r="C1270">
        <f>MAX(Table13[Rank])-Table13[[#This Row],[Rank]]</f>
        <v>198</v>
      </c>
      <c r="D1270" t="s">
        <v>1131</v>
      </c>
      <c r="E1270" t="s">
        <v>35</v>
      </c>
      <c r="F1270" s="1">
        <v>38605</v>
      </c>
      <c r="G1270">
        <f>YEAR(Table13[[#This Row],[Date]])</f>
        <v>2005</v>
      </c>
      <c r="H1270" t="s">
        <v>463</v>
      </c>
      <c r="I1270">
        <f>IF(COUNTIF($E1270, _xlfn.CONCAT("*",Table13[[#Headers],[Action]],"*")),1,0)</f>
        <v>0</v>
      </c>
      <c r="J1270">
        <f>IF(COUNTIF($E1270, _xlfn.CONCAT("*",Table13[[#Headers],[Adventure]],"*")),1,0)</f>
        <v>0</v>
      </c>
      <c r="K1270">
        <f>IF(COUNTIF($E1270, _xlfn.CONCAT("*",Table13[[#Headers],[Animation]],"*")),1,0)</f>
        <v>0</v>
      </c>
      <c r="L1270">
        <f>IF(COUNTIF($E1270, _xlfn.CONCAT("*",Table13[[#Headers],[Comedy]],"*")),1,0)</f>
        <v>0</v>
      </c>
      <c r="M1270">
        <f>IF(COUNTIF($E1270, _xlfn.CONCAT("*",Table13[[#Headers],[Crime]],"*")),1,0)</f>
        <v>0</v>
      </c>
      <c r="N1270">
        <f>IF(COUNTIF($E1270, _xlfn.CONCAT("*",Table13[[#Headers],[Documentary]],"*")),1,0)</f>
        <v>0</v>
      </c>
      <c r="O1270">
        <f>IF(COUNTIF($E1270, _xlfn.CONCAT("*",Table13[[#Headers],[Drama]],"*")),1,0)</f>
        <v>1</v>
      </c>
      <c r="P1270">
        <f>IF(COUNTIF($E1270, _xlfn.CONCAT("*",Table13[[#Headers],[Family]],"*")),1,0)</f>
        <v>0</v>
      </c>
      <c r="Q1270">
        <f>IF(COUNTIF($E1270, _xlfn.CONCAT("*",Table13[[#Headers],[Fantasy]],"*")),1,0)</f>
        <v>0</v>
      </c>
      <c r="R1270">
        <f>IF(COUNTIF($E1270, _xlfn.CONCAT("*",Table13[[#Headers],[History]],"*")),1,0)</f>
        <v>0</v>
      </c>
      <c r="S1270">
        <f>IF(COUNTIF($E1270, _xlfn.CONCAT("*",Table13[[#Headers],[Horror]],"*")),1,0)</f>
        <v>0</v>
      </c>
      <c r="T1270">
        <f>IF(COUNTIF($E1270, _xlfn.CONCAT("*",Table13[[#Headers],[Music]],"*")),1,0)</f>
        <v>0</v>
      </c>
      <c r="U1270">
        <f>IF(COUNTIF($E1270, _xlfn.CONCAT("*",Table13[[#Headers],[Mystery]],"*")),1,0)</f>
        <v>0</v>
      </c>
      <c r="V1270">
        <f>IF(COUNTIF($E1270, _xlfn.CONCAT("*",Table13[[#Headers],[Romance]],"*")),1,0)</f>
        <v>1</v>
      </c>
      <c r="W1270">
        <f>IF(COUNTIF($E1270, _xlfn.CONCAT("*",Table13[[#Headers],[Science Fiction]],"*")),1,0)</f>
        <v>0</v>
      </c>
      <c r="X1270">
        <f>IF(COUNTIF($E1270, _xlfn.CONCAT("*",Table13[[#Headers],[TV Movie]],"*")),1,0)</f>
        <v>0</v>
      </c>
      <c r="Y1270">
        <f>IF(COUNTIF($E1270, _xlfn.CONCAT("*",Table13[[#Headers],[Thriller]],"*")),1,0)</f>
        <v>0</v>
      </c>
      <c r="Z1270">
        <f>IF(COUNTIF($E1270, _xlfn.CONCAT("*",Table13[[#Headers],[War]],"*")),1,0)</f>
        <v>0</v>
      </c>
      <c r="AA1270">
        <f>IF(COUNTIF($E1270, _xlfn.CONCAT("*",Table13[[#Headers],[Western]],"*")),1,0)</f>
        <v>0</v>
      </c>
    </row>
    <row r="1271" spans="1:27">
      <c r="A1271" t="s">
        <v>1171</v>
      </c>
      <c r="B1271">
        <v>65</v>
      </c>
      <c r="C1271">
        <f>MAX(Table13[Rank])-Table13[[#This Row],[Rank]]</f>
        <v>199</v>
      </c>
      <c r="D1271" t="s">
        <v>1131</v>
      </c>
      <c r="E1271" t="s">
        <v>113</v>
      </c>
      <c r="F1271" s="1">
        <v>43251</v>
      </c>
      <c r="G1271">
        <f>YEAR(Table13[[#This Row],[Date]])</f>
        <v>2018</v>
      </c>
      <c r="H1271" t="s">
        <v>1171</v>
      </c>
      <c r="I1271">
        <f>IF(COUNTIF($E1271, _xlfn.CONCAT("*",Table13[[#Headers],[Action]],"*")),1,0)</f>
        <v>0</v>
      </c>
      <c r="J1271">
        <f>IF(COUNTIF($E1271, _xlfn.CONCAT("*",Table13[[#Headers],[Adventure]],"*")),1,0)</f>
        <v>0</v>
      </c>
      <c r="K1271">
        <f>IF(COUNTIF($E1271, _xlfn.CONCAT("*",Table13[[#Headers],[Animation]],"*")),1,0)</f>
        <v>0</v>
      </c>
      <c r="L1271">
        <f>IF(COUNTIF($E1271, _xlfn.CONCAT("*",Table13[[#Headers],[Comedy]],"*")),1,0)</f>
        <v>0</v>
      </c>
      <c r="M1271">
        <f>IF(COUNTIF($E1271, _xlfn.CONCAT("*",Table13[[#Headers],[Crime]],"*")),1,0)</f>
        <v>0</v>
      </c>
      <c r="N1271">
        <f>IF(COUNTIF($E1271, _xlfn.CONCAT("*",Table13[[#Headers],[Documentary]],"*")),1,0)</f>
        <v>0</v>
      </c>
      <c r="O1271">
        <f>IF(COUNTIF($E1271, _xlfn.CONCAT("*",Table13[[#Headers],[Drama]],"*")),1,0)</f>
        <v>1</v>
      </c>
      <c r="P1271">
        <f>IF(COUNTIF($E1271, _xlfn.CONCAT("*",Table13[[#Headers],[Family]],"*")),1,0)</f>
        <v>0</v>
      </c>
      <c r="Q1271">
        <f>IF(COUNTIF($E1271, _xlfn.CONCAT("*",Table13[[#Headers],[Fantasy]],"*")),1,0)</f>
        <v>1</v>
      </c>
      <c r="R1271">
        <f>IF(COUNTIF($E1271, _xlfn.CONCAT("*",Table13[[#Headers],[History]],"*")),1,0)</f>
        <v>0</v>
      </c>
      <c r="S1271">
        <f>IF(COUNTIF($E1271, _xlfn.CONCAT("*",Table13[[#Headers],[Horror]],"*")),1,0)</f>
        <v>0</v>
      </c>
      <c r="T1271">
        <f>IF(COUNTIF($E1271, _xlfn.CONCAT("*",Table13[[#Headers],[Music]],"*")),1,0)</f>
        <v>0</v>
      </c>
      <c r="U1271">
        <f>IF(COUNTIF($E1271, _xlfn.CONCAT("*",Table13[[#Headers],[Mystery]],"*")),1,0)</f>
        <v>0</v>
      </c>
      <c r="V1271">
        <f>IF(COUNTIF($E1271, _xlfn.CONCAT("*",Table13[[#Headers],[Romance]],"*")),1,0)</f>
        <v>0</v>
      </c>
      <c r="W1271">
        <f>IF(COUNTIF($E1271, _xlfn.CONCAT("*",Table13[[#Headers],[Science Fiction]],"*")),1,0)</f>
        <v>0</v>
      </c>
      <c r="X1271">
        <f>IF(COUNTIF($E1271, _xlfn.CONCAT("*",Table13[[#Headers],[TV Movie]],"*")),1,0)</f>
        <v>0</v>
      </c>
      <c r="Y1271">
        <f>IF(COUNTIF($E1271, _xlfn.CONCAT("*",Table13[[#Headers],[Thriller]],"*")),1,0)</f>
        <v>0</v>
      </c>
      <c r="Z1271">
        <f>IF(COUNTIF($E1271, _xlfn.CONCAT("*",Table13[[#Headers],[War]],"*")),1,0)</f>
        <v>0</v>
      </c>
      <c r="AA1271">
        <f>IF(COUNTIF($E1271, _xlfn.CONCAT("*",Table13[[#Headers],[Western]],"*")),1,0)</f>
        <v>0</v>
      </c>
    </row>
    <row r="1272" spans="1:27">
      <c r="A1272" t="s">
        <v>1172</v>
      </c>
      <c r="B1272">
        <v>64</v>
      </c>
      <c r="C1272">
        <f>MAX(Table13[Rank])-Table13[[#This Row],[Rank]]</f>
        <v>200</v>
      </c>
      <c r="D1272" t="s">
        <v>1131</v>
      </c>
      <c r="E1272" t="s">
        <v>1173</v>
      </c>
      <c r="F1272" s="1">
        <v>38287</v>
      </c>
      <c r="G1272">
        <f>YEAR(Table13[[#This Row],[Date]])</f>
        <v>2004</v>
      </c>
      <c r="H1272" t="s">
        <v>1172</v>
      </c>
      <c r="I1272">
        <f>IF(COUNTIF($E1272, _xlfn.CONCAT("*",Table13[[#Headers],[Action]],"*")),1,0)</f>
        <v>1</v>
      </c>
      <c r="J1272">
        <f>IF(COUNTIF($E1272, _xlfn.CONCAT("*",Table13[[#Headers],[Adventure]],"*")),1,0)</f>
        <v>1</v>
      </c>
      <c r="K1272">
        <f>IF(COUNTIF($E1272, _xlfn.CONCAT("*",Table13[[#Headers],[Animation]],"*")),1,0)</f>
        <v>1</v>
      </c>
      <c r="L1272">
        <f>IF(COUNTIF($E1272, _xlfn.CONCAT("*",Table13[[#Headers],[Comedy]],"*")),1,0)</f>
        <v>0</v>
      </c>
      <c r="M1272">
        <f>IF(COUNTIF($E1272, _xlfn.CONCAT("*",Table13[[#Headers],[Crime]],"*")),1,0)</f>
        <v>0</v>
      </c>
      <c r="N1272">
        <f>IF(COUNTIF($E1272, _xlfn.CONCAT("*",Table13[[#Headers],[Documentary]],"*")),1,0)</f>
        <v>0</v>
      </c>
      <c r="O1272">
        <f>IF(COUNTIF($E1272, _xlfn.CONCAT("*",Table13[[#Headers],[Drama]],"*")),1,0)</f>
        <v>0</v>
      </c>
      <c r="P1272">
        <f>IF(COUNTIF($E1272, _xlfn.CONCAT("*",Table13[[#Headers],[Family]],"*")),1,0)</f>
        <v>1</v>
      </c>
      <c r="Q1272">
        <f>IF(COUNTIF($E1272, _xlfn.CONCAT("*",Table13[[#Headers],[Fantasy]],"*")),1,0)</f>
        <v>0</v>
      </c>
      <c r="R1272">
        <f>IF(COUNTIF($E1272, _xlfn.CONCAT("*",Table13[[#Headers],[History]],"*")),1,0)</f>
        <v>0</v>
      </c>
      <c r="S1272">
        <f>IF(COUNTIF($E1272, _xlfn.CONCAT("*",Table13[[#Headers],[Horror]],"*")),1,0)</f>
        <v>0</v>
      </c>
      <c r="T1272">
        <f>IF(COUNTIF($E1272, _xlfn.CONCAT("*",Table13[[#Headers],[Music]],"*")),1,0)</f>
        <v>0</v>
      </c>
      <c r="U1272">
        <f>IF(COUNTIF($E1272, _xlfn.CONCAT("*",Table13[[#Headers],[Mystery]],"*")),1,0)</f>
        <v>0</v>
      </c>
      <c r="V1272">
        <f>IF(COUNTIF($E1272, _xlfn.CONCAT("*",Table13[[#Headers],[Romance]],"*")),1,0)</f>
        <v>0</v>
      </c>
      <c r="W1272">
        <f>IF(COUNTIF($E1272, _xlfn.CONCAT("*",Table13[[#Headers],[Science Fiction]],"*")),1,0)</f>
        <v>0</v>
      </c>
      <c r="X1272">
        <f>IF(COUNTIF($E1272, _xlfn.CONCAT("*",Table13[[#Headers],[TV Movie]],"*")),1,0)</f>
        <v>0</v>
      </c>
      <c r="Y1272">
        <f>IF(COUNTIF($E1272, _xlfn.CONCAT("*",Table13[[#Headers],[Thriller]],"*")),1,0)</f>
        <v>0</v>
      </c>
      <c r="Z1272">
        <f>IF(COUNTIF($E1272, _xlfn.CONCAT("*",Table13[[#Headers],[War]],"*")),1,0)</f>
        <v>0</v>
      </c>
      <c r="AA1272">
        <f>IF(COUNTIF($E1272, _xlfn.CONCAT("*",Table13[[#Headers],[Western]],"*")),1,0)</f>
        <v>0</v>
      </c>
    </row>
    <row r="1273" spans="1:27">
      <c r="A1273" t="s">
        <v>1174</v>
      </c>
      <c r="B1273">
        <v>63</v>
      </c>
      <c r="C1273">
        <f>MAX(Table13[Rank])-Table13[[#This Row],[Rank]]</f>
        <v>201</v>
      </c>
      <c r="D1273" t="s">
        <v>1131</v>
      </c>
      <c r="E1273" t="s">
        <v>105</v>
      </c>
      <c r="F1273" s="1">
        <v>40814</v>
      </c>
      <c r="G1273">
        <f>YEAR(Table13[[#This Row],[Date]])</f>
        <v>2011</v>
      </c>
      <c r="H1273" t="s">
        <v>1175</v>
      </c>
      <c r="I1273">
        <f>IF(COUNTIF($E1273, _xlfn.CONCAT("*",Table13[[#Headers],[Action]],"*")),1,0)</f>
        <v>0</v>
      </c>
      <c r="J1273">
        <f>IF(COUNTIF($E1273, _xlfn.CONCAT("*",Table13[[#Headers],[Adventure]],"*")),1,0)</f>
        <v>0</v>
      </c>
      <c r="K1273">
        <f>IF(COUNTIF($E1273, _xlfn.CONCAT("*",Table13[[#Headers],[Animation]],"*")),1,0)</f>
        <v>0</v>
      </c>
      <c r="L1273">
        <f>IF(COUNTIF($E1273, _xlfn.CONCAT("*",Table13[[#Headers],[Comedy]],"*")),1,0)</f>
        <v>0</v>
      </c>
      <c r="M1273">
        <f>IF(COUNTIF($E1273, _xlfn.CONCAT("*",Table13[[#Headers],[Crime]],"*")),1,0)</f>
        <v>0</v>
      </c>
      <c r="N1273">
        <f>IF(COUNTIF($E1273, _xlfn.CONCAT("*",Table13[[#Headers],[Documentary]],"*")),1,0)</f>
        <v>0</v>
      </c>
      <c r="O1273">
        <f>IF(COUNTIF($E1273, _xlfn.CONCAT("*",Table13[[#Headers],[Drama]],"*")),1,0)</f>
        <v>1</v>
      </c>
      <c r="P1273">
        <f>IF(COUNTIF($E1273, _xlfn.CONCAT("*",Table13[[#Headers],[Family]],"*")),1,0)</f>
        <v>0</v>
      </c>
      <c r="Q1273">
        <f>IF(COUNTIF($E1273, _xlfn.CONCAT("*",Table13[[#Headers],[Fantasy]],"*")),1,0)</f>
        <v>0</v>
      </c>
      <c r="R1273">
        <f>IF(COUNTIF($E1273, _xlfn.CONCAT("*",Table13[[#Headers],[History]],"*")),1,0)</f>
        <v>0</v>
      </c>
      <c r="S1273">
        <f>IF(COUNTIF($E1273, _xlfn.CONCAT("*",Table13[[#Headers],[Horror]],"*")),1,0)</f>
        <v>0</v>
      </c>
      <c r="T1273">
        <f>IF(COUNTIF($E1273, _xlfn.CONCAT("*",Table13[[#Headers],[Music]],"*")),1,0)</f>
        <v>0</v>
      </c>
      <c r="U1273">
        <f>IF(COUNTIF($E1273, _xlfn.CONCAT("*",Table13[[#Headers],[Mystery]],"*")),1,0)</f>
        <v>0</v>
      </c>
      <c r="V1273">
        <f>IF(COUNTIF($E1273, _xlfn.CONCAT("*",Table13[[#Headers],[Romance]],"*")),1,0)</f>
        <v>0</v>
      </c>
      <c r="W1273">
        <f>IF(COUNTIF($E1273, _xlfn.CONCAT("*",Table13[[#Headers],[Science Fiction]],"*")),1,0)</f>
        <v>0</v>
      </c>
      <c r="X1273">
        <f>IF(COUNTIF($E1273, _xlfn.CONCAT("*",Table13[[#Headers],[TV Movie]],"*")),1,0)</f>
        <v>0</v>
      </c>
      <c r="Y1273">
        <f>IF(COUNTIF($E1273, _xlfn.CONCAT("*",Table13[[#Headers],[Thriller]],"*")),1,0)</f>
        <v>1</v>
      </c>
      <c r="Z1273">
        <f>IF(COUNTIF($E1273, _xlfn.CONCAT("*",Table13[[#Headers],[War]],"*")),1,0)</f>
        <v>0</v>
      </c>
      <c r="AA1273">
        <f>IF(COUNTIF($E1273, _xlfn.CONCAT("*",Table13[[#Headers],[Western]],"*")),1,0)</f>
        <v>0</v>
      </c>
    </row>
    <row r="1274" spans="1:27">
      <c r="A1274" t="s">
        <v>1176</v>
      </c>
      <c r="B1274">
        <v>62</v>
      </c>
      <c r="C1274">
        <f>MAX(Table13[Rank])-Table13[[#This Row],[Rank]]</f>
        <v>202</v>
      </c>
      <c r="D1274" t="s">
        <v>1131</v>
      </c>
      <c r="E1274" t="s">
        <v>21</v>
      </c>
      <c r="F1274" s="1">
        <v>37395</v>
      </c>
      <c r="G1274">
        <f>YEAR(Table13[[#This Row],[Date]])</f>
        <v>2002</v>
      </c>
      <c r="H1274" t="s">
        <v>1176</v>
      </c>
      <c r="I1274">
        <f>IF(COUNTIF($E1274, _xlfn.CONCAT("*",Table13[[#Headers],[Action]],"*")),1,0)</f>
        <v>0</v>
      </c>
      <c r="J1274">
        <f>IF(COUNTIF($E1274, _xlfn.CONCAT("*",Table13[[#Headers],[Adventure]],"*")),1,0)</f>
        <v>0</v>
      </c>
      <c r="K1274">
        <f>IF(COUNTIF($E1274, _xlfn.CONCAT("*",Table13[[#Headers],[Animation]],"*")),1,0)</f>
        <v>0</v>
      </c>
      <c r="L1274">
        <f>IF(COUNTIF($E1274, _xlfn.CONCAT("*",Table13[[#Headers],[Comedy]],"*")),1,0)</f>
        <v>0</v>
      </c>
      <c r="M1274">
        <f>IF(COUNTIF($E1274, _xlfn.CONCAT("*",Table13[[#Headers],[Crime]],"*")),1,0)</f>
        <v>0</v>
      </c>
      <c r="N1274">
        <f>IF(COUNTIF($E1274, _xlfn.CONCAT("*",Table13[[#Headers],[Documentary]],"*")),1,0)</f>
        <v>0</v>
      </c>
      <c r="O1274">
        <f>IF(COUNTIF($E1274, _xlfn.CONCAT("*",Table13[[#Headers],[Drama]],"*")),1,0)</f>
        <v>1</v>
      </c>
      <c r="P1274">
        <f>IF(COUNTIF($E1274, _xlfn.CONCAT("*",Table13[[#Headers],[Family]],"*")),1,0)</f>
        <v>0</v>
      </c>
      <c r="Q1274">
        <f>IF(COUNTIF($E1274, _xlfn.CONCAT("*",Table13[[#Headers],[Fantasy]],"*")),1,0)</f>
        <v>0</v>
      </c>
      <c r="R1274">
        <f>IF(COUNTIF($E1274, _xlfn.CONCAT("*",Table13[[#Headers],[History]],"*")),1,0)</f>
        <v>0</v>
      </c>
      <c r="S1274">
        <f>IF(COUNTIF($E1274, _xlfn.CONCAT("*",Table13[[#Headers],[Horror]],"*")),1,0)</f>
        <v>0</v>
      </c>
      <c r="T1274">
        <f>IF(COUNTIF($E1274, _xlfn.CONCAT("*",Table13[[#Headers],[Music]],"*")),1,0)</f>
        <v>0</v>
      </c>
      <c r="U1274">
        <f>IF(COUNTIF($E1274, _xlfn.CONCAT("*",Table13[[#Headers],[Mystery]],"*")),1,0)</f>
        <v>0</v>
      </c>
      <c r="V1274">
        <f>IF(COUNTIF($E1274, _xlfn.CONCAT("*",Table13[[#Headers],[Romance]],"*")),1,0)</f>
        <v>0</v>
      </c>
      <c r="W1274">
        <f>IF(COUNTIF($E1274, _xlfn.CONCAT("*",Table13[[#Headers],[Science Fiction]],"*")),1,0)</f>
        <v>0</v>
      </c>
      <c r="X1274">
        <f>IF(COUNTIF($E1274, _xlfn.CONCAT("*",Table13[[#Headers],[TV Movie]],"*")),1,0)</f>
        <v>0</v>
      </c>
      <c r="Y1274">
        <f>IF(COUNTIF($E1274, _xlfn.CONCAT("*",Table13[[#Headers],[Thriller]],"*")),1,0)</f>
        <v>0</v>
      </c>
      <c r="Z1274">
        <f>IF(COUNTIF($E1274, _xlfn.CONCAT("*",Table13[[#Headers],[War]],"*")),1,0)</f>
        <v>0</v>
      </c>
      <c r="AA1274">
        <f>IF(COUNTIF($E1274, _xlfn.CONCAT("*",Table13[[#Headers],[Western]],"*")),1,0)</f>
        <v>0</v>
      </c>
    </row>
    <row r="1275" spans="1:27">
      <c r="A1275" t="s">
        <v>1177</v>
      </c>
      <c r="B1275">
        <v>61</v>
      </c>
      <c r="C1275">
        <f>MAX(Table13[Rank])-Table13[[#This Row],[Rank]]</f>
        <v>203</v>
      </c>
      <c r="D1275" t="s">
        <v>1131</v>
      </c>
      <c r="E1275" t="s">
        <v>100</v>
      </c>
      <c r="F1275" s="1">
        <v>43602</v>
      </c>
      <c r="G1275">
        <f>YEAR(Table13[[#This Row],[Date]])</f>
        <v>2019</v>
      </c>
      <c r="H1275" t="s">
        <v>1177</v>
      </c>
      <c r="I1275">
        <f>IF(COUNTIF($E1275, _xlfn.CONCAT("*",Table13[[#Headers],[Action]],"*")),1,0)</f>
        <v>0</v>
      </c>
      <c r="J1275">
        <f>IF(COUNTIF($E1275, _xlfn.CONCAT("*",Table13[[#Headers],[Adventure]],"*")),1,0)</f>
        <v>0</v>
      </c>
      <c r="K1275">
        <f>IF(COUNTIF($E1275, _xlfn.CONCAT("*",Table13[[#Headers],[Animation]],"*")),1,0)</f>
        <v>0</v>
      </c>
      <c r="L1275">
        <f>IF(COUNTIF($E1275, _xlfn.CONCAT("*",Table13[[#Headers],[Comedy]],"*")),1,0)</f>
        <v>0</v>
      </c>
      <c r="M1275">
        <f>IF(COUNTIF($E1275, _xlfn.CONCAT("*",Table13[[#Headers],[Crime]],"*")),1,0)</f>
        <v>0</v>
      </c>
      <c r="N1275">
        <f>IF(COUNTIF($E1275, _xlfn.CONCAT("*",Table13[[#Headers],[Documentary]],"*")),1,0)</f>
        <v>0</v>
      </c>
      <c r="O1275">
        <f>IF(COUNTIF($E1275, _xlfn.CONCAT("*",Table13[[#Headers],[Drama]],"*")),1,0)</f>
        <v>1</v>
      </c>
      <c r="P1275">
        <f>IF(COUNTIF($E1275, _xlfn.CONCAT("*",Table13[[#Headers],[Family]],"*")),1,0)</f>
        <v>0</v>
      </c>
      <c r="Q1275">
        <f>IF(COUNTIF($E1275, _xlfn.CONCAT("*",Table13[[#Headers],[Fantasy]],"*")),1,0)</f>
        <v>0</v>
      </c>
      <c r="R1275">
        <f>IF(COUNTIF($E1275, _xlfn.CONCAT("*",Table13[[#Headers],[History]],"*")),1,0)</f>
        <v>0</v>
      </c>
      <c r="S1275">
        <f>IF(COUNTIF($E1275, _xlfn.CONCAT("*",Table13[[#Headers],[Horror]],"*")),1,0)</f>
        <v>0</v>
      </c>
      <c r="T1275">
        <f>IF(COUNTIF($E1275, _xlfn.CONCAT("*",Table13[[#Headers],[Music]],"*")),1,0)</f>
        <v>0</v>
      </c>
      <c r="U1275">
        <f>IF(COUNTIF($E1275, _xlfn.CONCAT("*",Table13[[#Headers],[Mystery]],"*")),1,0)</f>
        <v>0</v>
      </c>
      <c r="V1275">
        <f>IF(COUNTIF($E1275, _xlfn.CONCAT("*",Table13[[#Headers],[Romance]],"*")),1,0)</f>
        <v>1</v>
      </c>
      <c r="W1275">
        <f>IF(COUNTIF($E1275, _xlfn.CONCAT("*",Table13[[#Headers],[Science Fiction]],"*")),1,0)</f>
        <v>0</v>
      </c>
      <c r="X1275">
        <f>IF(COUNTIF($E1275, _xlfn.CONCAT("*",Table13[[#Headers],[TV Movie]],"*")),1,0)</f>
        <v>0</v>
      </c>
      <c r="Y1275">
        <f>IF(COUNTIF($E1275, _xlfn.CONCAT("*",Table13[[#Headers],[Thriller]],"*")),1,0)</f>
        <v>0</v>
      </c>
      <c r="Z1275">
        <f>IF(COUNTIF($E1275, _xlfn.CONCAT("*",Table13[[#Headers],[War]],"*")),1,0)</f>
        <v>0</v>
      </c>
      <c r="AA1275">
        <f>IF(COUNTIF($E1275, _xlfn.CONCAT("*",Table13[[#Headers],[Western]],"*")),1,0)</f>
        <v>0</v>
      </c>
    </row>
    <row r="1276" spans="1:27">
      <c r="A1276" t="s">
        <v>1178</v>
      </c>
      <c r="B1276">
        <v>60</v>
      </c>
      <c r="C1276">
        <f>MAX(Table13[Rank])-Table13[[#This Row],[Rank]]</f>
        <v>204</v>
      </c>
      <c r="D1276" t="s">
        <v>1131</v>
      </c>
      <c r="E1276" t="s">
        <v>1179</v>
      </c>
      <c r="F1276" s="1">
        <v>41089</v>
      </c>
      <c r="G1276">
        <f>YEAR(Table13[[#This Row],[Date]])</f>
        <v>2012</v>
      </c>
      <c r="H1276" t="s">
        <v>1178</v>
      </c>
      <c r="I1276">
        <f>IF(COUNTIF($E1276, _xlfn.CONCAT("*",Table13[[#Headers],[Action]],"*")),1,0)</f>
        <v>0</v>
      </c>
      <c r="J1276">
        <f>IF(COUNTIF($E1276, _xlfn.CONCAT("*",Table13[[#Headers],[Adventure]],"*")),1,0)</f>
        <v>0</v>
      </c>
      <c r="K1276">
        <f>IF(COUNTIF($E1276, _xlfn.CONCAT("*",Table13[[#Headers],[Animation]],"*")),1,0)</f>
        <v>0</v>
      </c>
      <c r="L1276">
        <f>IF(COUNTIF($E1276, _xlfn.CONCAT("*",Table13[[#Headers],[Comedy]],"*")),1,0)</f>
        <v>1</v>
      </c>
      <c r="M1276">
        <f>IF(COUNTIF($E1276, _xlfn.CONCAT("*",Table13[[#Headers],[Crime]],"*")),1,0)</f>
        <v>0</v>
      </c>
      <c r="N1276">
        <f>IF(COUNTIF($E1276, _xlfn.CONCAT("*",Table13[[#Headers],[Documentary]],"*")),1,0)</f>
        <v>0</v>
      </c>
      <c r="O1276">
        <f>IF(COUNTIF($E1276, _xlfn.CONCAT("*",Table13[[#Headers],[Drama]],"*")),1,0)</f>
        <v>0</v>
      </c>
      <c r="P1276">
        <f>IF(COUNTIF($E1276, _xlfn.CONCAT("*",Table13[[#Headers],[Family]],"*")),1,0)</f>
        <v>0</v>
      </c>
      <c r="Q1276">
        <f>IF(COUNTIF($E1276, _xlfn.CONCAT("*",Table13[[#Headers],[Fantasy]],"*")),1,0)</f>
        <v>1</v>
      </c>
      <c r="R1276">
        <f>IF(COUNTIF($E1276, _xlfn.CONCAT("*",Table13[[#Headers],[History]],"*")),1,0)</f>
        <v>0</v>
      </c>
      <c r="S1276">
        <f>IF(COUNTIF($E1276, _xlfn.CONCAT("*",Table13[[#Headers],[Horror]],"*")),1,0)</f>
        <v>0</v>
      </c>
      <c r="T1276">
        <f>IF(COUNTIF($E1276, _xlfn.CONCAT("*",Table13[[#Headers],[Music]],"*")),1,0)</f>
        <v>0</v>
      </c>
      <c r="U1276">
        <f>IF(COUNTIF($E1276, _xlfn.CONCAT("*",Table13[[#Headers],[Mystery]],"*")),1,0)</f>
        <v>0</v>
      </c>
      <c r="V1276">
        <f>IF(COUNTIF($E1276, _xlfn.CONCAT("*",Table13[[#Headers],[Romance]],"*")),1,0)</f>
        <v>0</v>
      </c>
      <c r="W1276">
        <f>IF(COUNTIF($E1276, _xlfn.CONCAT("*",Table13[[#Headers],[Science Fiction]],"*")),1,0)</f>
        <v>0</v>
      </c>
      <c r="X1276">
        <f>IF(COUNTIF($E1276, _xlfn.CONCAT("*",Table13[[#Headers],[TV Movie]],"*")),1,0)</f>
        <v>0</v>
      </c>
      <c r="Y1276">
        <f>IF(COUNTIF($E1276, _xlfn.CONCAT("*",Table13[[#Headers],[Thriller]],"*")),1,0)</f>
        <v>0</v>
      </c>
      <c r="Z1276">
        <f>IF(COUNTIF($E1276, _xlfn.CONCAT("*",Table13[[#Headers],[War]],"*")),1,0)</f>
        <v>0</v>
      </c>
      <c r="AA1276">
        <f>IF(COUNTIF($E1276, _xlfn.CONCAT("*",Table13[[#Headers],[Western]],"*")),1,0)</f>
        <v>0</v>
      </c>
    </row>
    <row r="1277" spans="1:27">
      <c r="A1277" t="s">
        <v>1180</v>
      </c>
      <c r="B1277">
        <v>59</v>
      </c>
      <c r="C1277">
        <f>MAX(Table13[Rank])-Table13[[#This Row],[Rank]]</f>
        <v>205</v>
      </c>
      <c r="D1277" t="s">
        <v>1131</v>
      </c>
      <c r="E1277" t="s">
        <v>589</v>
      </c>
      <c r="F1277" s="1">
        <v>41082</v>
      </c>
      <c r="G1277">
        <f>YEAR(Table13[[#This Row],[Date]])</f>
        <v>2012</v>
      </c>
      <c r="H1277" t="s">
        <v>1315</v>
      </c>
      <c r="I1277">
        <f>IF(COUNTIF($E1277, _xlfn.CONCAT("*",Table13[[#Headers],[Action]],"*")),1,0)</f>
        <v>1</v>
      </c>
      <c r="J1277">
        <f>IF(COUNTIF($E1277, _xlfn.CONCAT("*",Table13[[#Headers],[Adventure]],"*")),1,0)</f>
        <v>0</v>
      </c>
      <c r="K1277">
        <f>IF(COUNTIF($E1277, _xlfn.CONCAT("*",Table13[[#Headers],[Animation]],"*")),1,0)</f>
        <v>0</v>
      </c>
      <c r="L1277">
        <f>IF(COUNTIF($E1277, _xlfn.CONCAT("*",Table13[[#Headers],[Comedy]],"*")),1,0)</f>
        <v>0</v>
      </c>
      <c r="M1277">
        <f>IF(COUNTIF($E1277, _xlfn.CONCAT("*",Table13[[#Headers],[Crime]],"*")),1,0)</f>
        <v>1</v>
      </c>
      <c r="N1277">
        <f>IF(COUNTIF($E1277, _xlfn.CONCAT("*",Table13[[#Headers],[Documentary]],"*")),1,0)</f>
        <v>0</v>
      </c>
      <c r="O1277">
        <f>IF(COUNTIF($E1277, _xlfn.CONCAT("*",Table13[[#Headers],[Drama]],"*")),1,0)</f>
        <v>0</v>
      </c>
      <c r="P1277">
        <f>IF(COUNTIF($E1277, _xlfn.CONCAT("*",Table13[[#Headers],[Family]],"*")),1,0)</f>
        <v>0</v>
      </c>
      <c r="Q1277">
        <f>IF(COUNTIF($E1277, _xlfn.CONCAT("*",Table13[[#Headers],[Fantasy]],"*")),1,0)</f>
        <v>0</v>
      </c>
      <c r="R1277">
        <f>IF(COUNTIF($E1277, _xlfn.CONCAT("*",Table13[[#Headers],[History]],"*")),1,0)</f>
        <v>0</v>
      </c>
      <c r="S1277">
        <f>IF(COUNTIF($E1277, _xlfn.CONCAT("*",Table13[[#Headers],[Horror]],"*")),1,0)</f>
        <v>0</v>
      </c>
      <c r="T1277">
        <f>IF(COUNTIF($E1277, _xlfn.CONCAT("*",Table13[[#Headers],[Music]],"*")),1,0)</f>
        <v>0</v>
      </c>
      <c r="U1277">
        <f>IF(COUNTIF($E1277, _xlfn.CONCAT("*",Table13[[#Headers],[Mystery]],"*")),1,0)</f>
        <v>0</v>
      </c>
      <c r="V1277">
        <f>IF(COUNTIF($E1277, _xlfn.CONCAT("*",Table13[[#Headers],[Romance]],"*")),1,0)</f>
        <v>0</v>
      </c>
      <c r="W1277">
        <f>IF(COUNTIF($E1277, _xlfn.CONCAT("*",Table13[[#Headers],[Science Fiction]],"*")),1,0)</f>
        <v>0</v>
      </c>
      <c r="X1277">
        <f>IF(COUNTIF($E1277, _xlfn.CONCAT("*",Table13[[#Headers],[TV Movie]],"*")),1,0)</f>
        <v>0</v>
      </c>
      <c r="Y1277">
        <f>IF(COUNTIF($E1277, _xlfn.CONCAT("*",Table13[[#Headers],[Thriller]],"*")),1,0)</f>
        <v>1</v>
      </c>
      <c r="Z1277">
        <f>IF(COUNTIF($E1277, _xlfn.CONCAT("*",Table13[[#Headers],[War]],"*")),1,0)</f>
        <v>0</v>
      </c>
      <c r="AA1277">
        <f>IF(COUNTIF($E1277, _xlfn.CONCAT("*",Table13[[#Headers],[Western]],"*")),1,0)</f>
        <v>0</v>
      </c>
    </row>
    <row r="1278" spans="1:27">
      <c r="A1278" t="s">
        <v>1181</v>
      </c>
      <c r="B1278">
        <v>58</v>
      </c>
      <c r="C1278">
        <f>MAX(Table13[Rank])-Table13[[#This Row],[Rank]]</f>
        <v>206</v>
      </c>
      <c r="D1278" t="s">
        <v>1131</v>
      </c>
      <c r="E1278" t="s">
        <v>35</v>
      </c>
      <c r="F1278" s="1">
        <v>14342</v>
      </c>
      <c r="G1278">
        <f>YEAR(Table13[[#This Row],[Date]])</f>
        <v>1939</v>
      </c>
      <c r="H1278" t="s">
        <v>1181</v>
      </c>
      <c r="I1278">
        <f>IF(COUNTIF($E1278, _xlfn.CONCAT("*",Table13[[#Headers],[Action]],"*")),1,0)</f>
        <v>0</v>
      </c>
      <c r="J1278">
        <f>IF(COUNTIF($E1278, _xlfn.CONCAT("*",Table13[[#Headers],[Adventure]],"*")),1,0)</f>
        <v>0</v>
      </c>
      <c r="K1278">
        <f>IF(COUNTIF($E1278, _xlfn.CONCAT("*",Table13[[#Headers],[Animation]],"*")),1,0)</f>
        <v>0</v>
      </c>
      <c r="L1278">
        <f>IF(COUNTIF($E1278, _xlfn.CONCAT("*",Table13[[#Headers],[Comedy]],"*")),1,0)</f>
        <v>0</v>
      </c>
      <c r="M1278">
        <f>IF(COUNTIF($E1278, _xlfn.CONCAT("*",Table13[[#Headers],[Crime]],"*")),1,0)</f>
        <v>0</v>
      </c>
      <c r="N1278">
        <f>IF(COUNTIF($E1278, _xlfn.CONCAT("*",Table13[[#Headers],[Documentary]],"*")),1,0)</f>
        <v>0</v>
      </c>
      <c r="O1278">
        <f>IF(COUNTIF($E1278, _xlfn.CONCAT("*",Table13[[#Headers],[Drama]],"*")),1,0)</f>
        <v>1</v>
      </c>
      <c r="P1278">
        <f>IF(COUNTIF($E1278, _xlfn.CONCAT("*",Table13[[#Headers],[Family]],"*")),1,0)</f>
        <v>0</v>
      </c>
      <c r="Q1278">
        <f>IF(COUNTIF($E1278, _xlfn.CONCAT("*",Table13[[#Headers],[Fantasy]],"*")),1,0)</f>
        <v>0</v>
      </c>
      <c r="R1278">
        <f>IF(COUNTIF($E1278, _xlfn.CONCAT("*",Table13[[#Headers],[History]],"*")),1,0)</f>
        <v>0</v>
      </c>
      <c r="S1278">
        <f>IF(COUNTIF($E1278, _xlfn.CONCAT("*",Table13[[#Headers],[Horror]],"*")),1,0)</f>
        <v>0</v>
      </c>
      <c r="T1278">
        <f>IF(COUNTIF($E1278, _xlfn.CONCAT("*",Table13[[#Headers],[Music]],"*")),1,0)</f>
        <v>0</v>
      </c>
      <c r="U1278">
        <f>IF(COUNTIF($E1278, _xlfn.CONCAT("*",Table13[[#Headers],[Mystery]],"*")),1,0)</f>
        <v>0</v>
      </c>
      <c r="V1278">
        <f>IF(COUNTIF($E1278, _xlfn.CONCAT("*",Table13[[#Headers],[Romance]],"*")),1,0)</f>
        <v>1</v>
      </c>
      <c r="W1278">
        <f>IF(COUNTIF($E1278, _xlfn.CONCAT("*",Table13[[#Headers],[Science Fiction]],"*")),1,0)</f>
        <v>0</v>
      </c>
      <c r="X1278">
        <f>IF(COUNTIF($E1278, _xlfn.CONCAT("*",Table13[[#Headers],[TV Movie]],"*")),1,0)</f>
        <v>0</v>
      </c>
      <c r="Y1278">
        <f>IF(COUNTIF($E1278, _xlfn.CONCAT("*",Table13[[#Headers],[Thriller]],"*")),1,0)</f>
        <v>0</v>
      </c>
      <c r="Z1278">
        <f>IF(COUNTIF($E1278, _xlfn.CONCAT("*",Table13[[#Headers],[War]],"*")),1,0)</f>
        <v>0</v>
      </c>
      <c r="AA1278">
        <f>IF(COUNTIF($E1278, _xlfn.CONCAT("*",Table13[[#Headers],[Western]],"*")),1,0)</f>
        <v>0</v>
      </c>
    </row>
    <row r="1279" spans="1:27">
      <c r="A1279" t="s">
        <v>1182</v>
      </c>
      <c r="B1279">
        <v>57</v>
      </c>
      <c r="C1279">
        <f>MAX(Table13[Rank])-Table13[[#This Row],[Rank]]</f>
        <v>207</v>
      </c>
      <c r="D1279" t="s">
        <v>1131</v>
      </c>
      <c r="E1279" t="s">
        <v>21</v>
      </c>
      <c r="F1279" s="1">
        <v>43280</v>
      </c>
      <c r="G1279">
        <f>YEAR(Table13[[#This Row],[Date]])</f>
        <v>2018</v>
      </c>
      <c r="H1279" t="s">
        <v>1182</v>
      </c>
      <c r="I1279">
        <f>IF(COUNTIF($E1279, _xlfn.CONCAT("*",Table13[[#Headers],[Action]],"*")),1,0)</f>
        <v>0</v>
      </c>
      <c r="J1279">
        <f>IF(COUNTIF($E1279, _xlfn.CONCAT("*",Table13[[#Headers],[Adventure]],"*")),1,0)</f>
        <v>0</v>
      </c>
      <c r="K1279">
        <f>IF(COUNTIF($E1279, _xlfn.CONCAT("*",Table13[[#Headers],[Animation]],"*")),1,0)</f>
        <v>0</v>
      </c>
      <c r="L1279">
        <f>IF(COUNTIF($E1279, _xlfn.CONCAT("*",Table13[[#Headers],[Comedy]],"*")),1,0)</f>
        <v>0</v>
      </c>
      <c r="M1279">
        <f>IF(COUNTIF($E1279, _xlfn.CONCAT("*",Table13[[#Headers],[Crime]],"*")),1,0)</f>
        <v>0</v>
      </c>
      <c r="N1279">
        <f>IF(COUNTIF($E1279, _xlfn.CONCAT("*",Table13[[#Headers],[Documentary]],"*")),1,0)</f>
        <v>0</v>
      </c>
      <c r="O1279">
        <f>IF(COUNTIF($E1279, _xlfn.CONCAT("*",Table13[[#Headers],[Drama]],"*")),1,0)</f>
        <v>1</v>
      </c>
      <c r="P1279">
        <f>IF(COUNTIF($E1279, _xlfn.CONCAT("*",Table13[[#Headers],[Family]],"*")),1,0)</f>
        <v>0</v>
      </c>
      <c r="Q1279">
        <f>IF(COUNTIF($E1279, _xlfn.CONCAT("*",Table13[[#Headers],[Fantasy]],"*")),1,0)</f>
        <v>0</v>
      </c>
      <c r="R1279">
        <f>IF(COUNTIF($E1279, _xlfn.CONCAT("*",Table13[[#Headers],[History]],"*")),1,0)</f>
        <v>0</v>
      </c>
      <c r="S1279">
        <f>IF(COUNTIF($E1279, _xlfn.CONCAT("*",Table13[[#Headers],[Horror]],"*")),1,0)</f>
        <v>0</v>
      </c>
      <c r="T1279">
        <f>IF(COUNTIF($E1279, _xlfn.CONCAT("*",Table13[[#Headers],[Music]],"*")),1,0)</f>
        <v>0</v>
      </c>
      <c r="U1279">
        <f>IF(COUNTIF($E1279, _xlfn.CONCAT("*",Table13[[#Headers],[Mystery]],"*")),1,0)</f>
        <v>0</v>
      </c>
      <c r="V1279">
        <f>IF(COUNTIF($E1279, _xlfn.CONCAT("*",Table13[[#Headers],[Romance]],"*")),1,0)</f>
        <v>0</v>
      </c>
      <c r="W1279">
        <f>IF(COUNTIF($E1279, _xlfn.CONCAT("*",Table13[[#Headers],[Science Fiction]],"*")),1,0)</f>
        <v>0</v>
      </c>
      <c r="X1279">
        <f>IF(COUNTIF($E1279, _xlfn.CONCAT("*",Table13[[#Headers],[TV Movie]],"*")),1,0)</f>
        <v>0</v>
      </c>
      <c r="Y1279">
        <f>IF(COUNTIF($E1279, _xlfn.CONCAT("*",Table13[[#Headers],[Thriller]],"*")),1,0)</f>
        <v>0</v>
      </c>
      <c r="Z1279">
        <f>IF(COUNTIF($E1279, _xlfn.CONCAT("*",Table13[[#Headers],[War]],"*")),1,0)</f>
        <v>0</v>
      </c>
      <c r="AA1279">
        <f>IF(COUNTIF($E1279, _xlfn.CONCAT("*",Table13[[#Headers],[Western]],"*")),1,0)</f>
        <v>0</v>
      </c>
    </row>
    <row r="1280" spans="1:27">
      <c r="A1280" t="s">
        <v>1183</v>
      </c>
      <c r="B1280">
        <v>56</v>
      </c>
      <c r="C1280">
        <f>MAX(Table13[Rank])-Table13[[#This Row],[Rank]]</f>
        <v>208</v>
      </c>
      <c r="D1280" t="s">
        <v>1131</v>
      </c>
      <c r="E1280" t="s">
        <v>35</v>
      </c>
      <c r="F1280" s="1">
        <v>41420</v>
      </c>
      <c r="G1280">
        <f>YEAR(Table13[[#This Row],[Date]])</f>
        <v>2013</v>
      </c>
      <c r="H1280" t="s">
        <v>1183</v>
      </c>
      <c r="I1280">
        <f>IF(COUNTIF($E1280, _xlfn.CONCAT("*",Table13[[#Headers],[Action]],"*")),1,0)</f>
        <v>0</v>
      </c>
      <c r="J1280">
        <f>IF(COUNTIF($E1280, _xlfn.CONCAT("*",Table13[[#Headers],[Adventure]],"*")),1,0)</f>
        <v>0</v>
      </c>
      <c r="K1280">
        <f>IF(COUNTIF($E1280, _xlfn.CONCAT("*",Table13[[#Headers],[Animation]],"*")),1,0)</f>
        <v>0</v>
      </c>
      <c r="L1280">
        <f>IF(COUNTIF($E1280, _xlfn.CONCAT("*",Table13[[#Headers],[Comedy]],"*")),1,0)</f>
        <v>0</v>
      </c>
      <c r="M1280">
        <f>IF(COUNTIF($E1280, _xlfn.CONCAT("*",Table13[[#Headers],[Crime]],"*")),1,0)</f>
        <v>0</v>
      </c>
      <c r="N1280">
        <f>IF(COUNTIF($E1280, _xlfn.CONCAT("*",Table13[[#Headers],[Documentary]],"*")),1,0)</f>
        <v>0</v>
      </c>
      <c r="O1280">
        <f>IF(COUNTIF($E1280, _xlfn.CONCAT("*",Table13[[#Headers],[Drama]],"*")),1,0)</f>
        <v>1</v>
      </c>
      <c r="P1280">
        <f>IF(COUNTIF($E1280, _xlfn.CONCAT("*",Table13[[#Headers],[Family]],"*")),1,0)</f>
        <v>0</v>
      </c>
      <c r="Q1280">
        <f>IF(COUNTIF($E1280, _xlfn.CONCAT("*",Table13[[#Headers],[Fantasy]],"*")),1,0)</f>
        <v>0</v>
      </c>
      <c r="R1280">
        <f>IF(COUNTIF($E1280, _xlfn.CONCAT("*",Table13[[#Headers],[History]],"*")),1,0)</f>
        <v>0</v>
      </c>
      <c r="S1280">
        <f>IF(COUNTIF($E1280, _xlfn.CONCAT("*",Table13[[#Headers],[Horror]],"*")),1,0)</f>
        <v>0</v>
      </c>
      <c r="T1280">
        <f>IF(COUNTIF($E1280, _xlfn.CONCAT("*",Table13[[#Headers],[Music]],"*")),1,0)</f>
        <v>0</v>
      </c>
      <c r="U1280">
        <f>IF(COUNTIF($E1280, _xlfn.CONCAT("*",Table13[[#Headers],[Mystery]],"*")),1,0)</f>
        <v>0</v>
      </c>
      <c r="V1280">
        <f>IF(COUNTIF($E1280, _xlfn.CONCAT("*",Table13[[#Headers],[Romance]],"*")),1,0)</f>
        <v>1</v>
      </c>
      <c r="W1280">
        <f>IF(COUNTIF($E1280, _xlfn.CONCAT("*",Table13[[#Headers],[Science Fiction]],"*")),1,0)</f>
        <v>0</v>
      </c>
      <c r="X1280">
        <f>IF(COUNTIF($E1280, _xlfn.CONCAT("*",Table13[[#Headers],[TV Movie]],"*")),1,0)</f>
        <v>0</v>
      </c>
      <c r="Y1280">
        <f>IF(COUNTIF($E1280, _xlfn.CONCAT("*",Table13[[#Headers],[Thriller]],"*")),1,0)</f>
        <v>0</v>
      </c>
      <c r="Z1280">
        <f>IF(COUNTIF($E1280, _xlfn.CONCAT("*",Table13[[#Headers],[War]],"*")),1,0)</f>
        <v>0</v>
      </c>
      <c r="AA1280">
        <f>IF(COUNTIF($E1280, _xlfn.CONCAT("*",Table13[[#Headers],[Western]],"*")),1,0)</f>
        <v>0</v>
      </c>
    </row>
    <row r="1281" spans="1:27">
      <c r="A1281" t="s">
        <v>1184</v>
      </c>
      <c r="B1281">
        <v>55</v>
      </c>
      <c r="C1281">
        <f>MAX(Table13[Rank])-Table13[[#This Row],[Rank]]</f>
        <v>209</v>
      </c>
      <c r="D1281" t="s">
        <v>1131</v>
      </c>
      <c r="E1281" t="s">
        <v>1185</v>
      </c>
      <c r="F1281" s="1">
        <v>37398</v>
      </c>
      <c r="G1281">
        <f>YEAR(Table13[[#This Row],[Date]])</f>
        <v>2002</v>
      </c>
      <c r="H1281" t="s">
        <v>1184</v>
      </c>
      <c r="I1281">
        <f>IF(COUNTIF($E1281, _xlfn.CONCAT("*",Table13[[#Headers],[Action]],"*")),1,0)</f>
        <v>0</v>
      </c>
      <c r="J1281">
        <f>IF(COUNTIF($E1281, _xlfn.CONCAT("*",Table13[[#Headers],[Adventure]],"*")),1,0)</f>
        <v>0</v>
      </c>
      <c r="K1281">
        <f>IF(COUNTIF($E1281, _xlfn.CONCAT("*",Table13[[#Headers],[Animation]],"*")),1,0)</f>
        <v>0</v>
      </c>
      <c r="L1281">
        <f>IF(COUNTIF($E1281, _xlfn.CONCAT("*",Table13[[#Headers],[Comedy]],"*")),1,0)</f>
        <v>0</v>
      </c>
      <c r="M1281">
        <f>IF(COUNTIF($E1281, _xlfn.CONCAT("*",Table13[[#Headers],[Crime]],"*")),1,0)</f>
        <v>0</v>
      </c>
      <c r="N1281">
        <f>IF(COUNTIF($E1281, _xlfn.CONCAT("*",Table13[[#Headers],[Documentary]],"*")),1,0)</f>
        <v>0</v>
      </c>
      <c r="O1281">
        <f>IF(COUNTIF($E1281, _xlfn.CONCAT("*",Table13[[#Headers],[Drama]],"*")),1,0)</f>
        <v>1</v>
      </c>
      <c r="P1281">
        <f>IF(COUNTIF($E1281, _xlfn.CONCAT("*",Table13[[#Headers],[Family]],"*")),1,0)</f>
        <v>0</v>
      </c>
      <c r="Q1281">
        <f>IF(COUNTIF($E1281, _xlfn.CONCAT("*",Table13[[#Headers],[Fantasy]],"*")),1,0)</f>
        <v>1</v>
      </c>
      <c r="R1281">
        <f>IF(COUNTIF($E1281, _xlfn.CONCAT("*",Table13[[#Headers],[History]],"*")),1,0)</f>
        <v>1</v>
      </c>
      <c r="S1281">
        <f>IF(COUNTIF($E1281, _xlfn.CONCAT("*",Table13[[#Headers],[Horror]],"*")),1,0)</f>
        <v>0</v>
      </c>
      <c r="T1281">
        <f>IF(COUNTIF($E1281, _xlfn.CONCAT("*",Table13[[#Headers],[Music]],"*")),1,0)</f>
        <v>0</v>
      </c>
      <c r="U1281">
        <f>IF(COUNTIF($E1281, _xlfn.CONCAT("*",Table13[[#Headers],[Mystery]],"*")),1,0)</f>
        <v>0</v>
      </c>
      <c r="V1281">
        <f>IF(COUNTIF($E1281, _xlfn.CONCAT("*",Table13[[#Headers],[Romance]],"*")),1,0)</f>
        <v>0</v>
      </c>
      <c r="W1281">
        <f>IF(COUNTIF($E1281, _xlfn.CONCAT("*",Table13[[#Headers],[Science Fiction]],"*")),1,0)</f>
        <v>0</v>
      </c>
      <c r="X1281">
        <f>IF(COUNTIF($E1281, _xlfn.CONCAT("*",Table13[[#Headers],[TV Movie]],"*")),1,0)</f>
        <v>0</v>
      </c>
      <c r="Y1281">
        <f>IF(COUNTIF($E1281, _xlfn.CONCAT("*",Table13[[#Headers],[Thriller]],"*")),1,0)</f>
        <v>0</v>
      </c>
      <c r="Z1281">
        <f>IF(COUNTIF($E1281, _xlfn.CONCAT("*",Table13[[#Headers],[War]],"*")),1,0)</f>
        <v>0</v>
      </c>
      <c r="AA1281">
        <f>IF(COUNTIF($E1281, _xlfn.CONCAT("*",Table13[[#Headers],[Western]],"*")),1,0)</f>
        <v>0</v>
      </c>
    </row>
    <row r="1282" spans="1:27">
      <c r="A1282" t="s">
        <v>582</v>
      </c>
      <c r="B1282">
        <v>54</v>
      </c>
      <c r="C1282">
        <f>MAX(Table13[Rank])-Table13[[#This Row],[Rank]]</f>
        <v>210</v>
      </c>
      <c r="D1282" t="s">
        <v>1131</v>
      </c>
      <c r="E1282" t="s">
        <v>21</v>
      </c>
      <c r="F1282" s="1">
        <v>40452</v>
      </c>
      <c r="G1282">
        <f>YEAR(Table13[[#This Row],[Date]])</f>
        <v>2010</v>
      </c>
      <c r="H1282" t="s">
        <v>582</v>
      </c>
      <c r="I1282">
        <f>IF(COUNTIF($E1282, _xlfn.CONCAT("*",Table13[[#Headers],[Action]],"*")),1,0)</f>
        <v>0</v>
      </c>
      <c r="J1282">
        <f>IF(COUNTIF($E1282, _xlfn.CONCAT("*",Table13[[#Headers],[Adventure]],"*")),1,0)</f>
        <v>0</v>
      </c>
      <c r="K1282">
        <f>IF(COUNTIF($E1282, _xlfn.CONCAT("*",Table13[[#Headers],[Animation]],"*")),1,0)</f>
        <v>0</v>
      </c>
      <c r="L1282">
        <f>IF(COUNTIF($E1282, _xlfn.CONCAT("*",Table13[[#Headers],[Comedy]],"*")),1,0)</f>
        <v>0</v>
      </c>
      <c r="M1282">
        <f>IF(COUNTIF($E1282, _xlfn.CONCAT("*",Table13[[#Headers],[Crime]],"*")),1,0)</f>
        <v>0</v>
      </c>
      <c r="N1282">
        <f>IF(COUNTIF($E1282, _xlfn.CONCAT("*",Table13[[#Headers],[Documentary]],"*")),1,0)</f>
        <v>0</v>
      </c>
      <c r="O1282">
        <f>IF(COUNTIF($E1282, _xlfn.CONCAT("*",Table13[[#Headers],[Drama]],"*")),1,0)</f>
        <v>1</v>
      </c>
      <c r="P1282">
        <f>IF(COUNTIF($E1282, _xlfn.CONCAT("*",Table13[[#Headers],[Family]],"*")),1,0)</f>
        <v>0</v>
      </c>
      <c r="Q1282">
        <f>IF(COUNTIF($E1282, _xlfn.CONCAT("*",Table13[[#Headers],[Fantasy]],"*")),1,0)</f>
        <v>0</v>
      </c>
      <c r="R1282">
        <f>IF(COUNTIF($E1282, _xlfn.CONCAT("*",Table13[[#Headers],[History]],"*")),1,0)</f>
        <v>0</v>
      </c>
      <c r="S1282">
        <f>IF(COUNTIF($E1282, _xlfn.CONCAT("*",Table13[[#Headers],[Horror]],"*")),1,0)</f>
        <v>0</v>
      </c>
      <c r="T1282">
        <f>IF(COUNTIF($E1282, _xlfn.CONCAT("*",Table13[[#Headers],[Music]],"*")),1,0)</f>
        <v>0</v>
      </c>
      <c r="U1282">
        <f>IF(COUNTIF($E1282, _xlfn.CONCAT("*",Table13[[#Headers],[Mystery]],"*")),1,0)</f>
        <v>0</v>
      </c>
      <c r="V1282">
        <f>IF(COUNTIF($E1282, _xlfn.CONCAT("*",Table13[[#Headers],[Romance]],"*")),1,0)</f>
        <v>0</v>
      </c>
      <c r="W1282">
        <f>IF(COUNTIF($E1282, _xlfn.CONCAT("*",Table13[[#Headers],[Science Fiction]],"*")),1,0)</f>
        <v>0</v>
      </c>
      <c r="X1282">
        <f>IF(COUNTIF($E1282, _xlfn.CONCAT("*",Table13[[#Headers],[TV Movie]],"*")),1,0)</f>
        <v>0</v>
      </c>
      <c r="Y1282">
        <f>IF(COUNTIF($E1282, _xlfn.CONCAT("*",Table13[[#Headers],[Thriller]],"*")),1,0)</f>
        <v>0</v>
      </c>
      <c r="Z1282">
        <f>IF(COUNTIF($E1282, _xlfn.CONCAT("*",Table13[[#Headers],[War]],"*")),1,0)</f>
        <v>0</v>
      </c>
      <c r="AA1282">
        <f>IF(COUNTIF($E1282, _xlfn.CONCAT("*",Table13[[#Headers],[Western]],"*")),1,0)</f>
        <v>0</v>
      </c>
    </row>
    <row r="1283" spans="1:27">
      <c r="A1283" t="s">
        <v>1186</v>
      </c>
      <c r="B1283">
        <v>53</v>
      </c>
      <c r="C1283">
        <f>MAX(Table13[Rank])-Table13[[#This Row],[Rank]]</f>
        <v>211</v>
      </c>
      <c r="D1283" t="s">
        <v>1131</v>
      </c>
      <c r="E1283" t="s">
        <v>17</v>
      </c>
      <c r="F1283" s="1">
        <v>42418</v>
      </c>
      <c r="G1283">
        <f>YEAR(Table13[[#This Row],[Date]])</f>
        <v>2016</v>
      </c>
      <c r="H1283" t="s">
        <v>1186</v>
      </c>
      <c r="I1283">
        <f>IF(COUNTIF($E1283, _xlfn.CONCAT("*",Table13[[#Headers],[Action]],"*")),1,0)</f>
        <v>0</v>
      </c>
      <c r="J1283">
        <f>IF(COUNTIF($E1283, _xlfn.CONCAT("*",Table13[[#Headers],[Adventure]],"*")),1,0)</f>
        <v>0</v>
      </c>
      <c r="K1283">
        <f>IF(COUNTIF($E1283, _xlfn.CONCAT("*",Table13[[#Headers],[Animation]],"*")),1,0)</f>
        <v>0</v>
      </c>
      <c r="L1283">
        <f>IF(COUNTIF($E1283, _xlfn.CONCAT("*",Table13[[#Headers],[Comedy]],"*")),1,0)</f>
        <v>0</v>
      </c>
      <c r="M1283">
        <f>IF(COUNTIF($E1283, _xlfn.CONCAT("*",Table13[[#Headers],[Crime]],"*")),1,0)</f>
        <v>0</v>
      </c>
      <c r="N1283">
        <f>IF(COUNTIF($E1283, _xlfn.CONCAT("*",Table13[[#Headers],[Documentary]],"*")),1,0)</f>
        <v>1</v>
      </c>
      <c r="O1283">
        <f>IF(COUNTIF($E1283, _xlfn.CONCAT("*",Table13[[#Headers],[Drama]],"*")),1,0)</f>
        <v>0</v>
      </c>
      <c r="P1283">
        <f>IF(COUNTIF($E1283, _xlfn.CONCAT("*",Table13[[#Headers],[Family]],"*")),1,0)</f>
        <v>0</v>
      </c>
      <c r="Q1283">
        <f>IF(COUNTIF($E1283, _xlfn.CONCAT("*",Table13[[#Headers],[Fantasy]],"*")),1,0)</f>
        <v>0</v>
      </c>
      <c r="R1283">
        <f>IF(COUNTIF($E1283, _xlfn.CONCAT("*",Table13[[#Headers],[History]],"*")),1,0)</f>
        <v>0</v>
      </c>
      <c r="S1283">
        <f>IF(COUNTIF($E1283, _xlfn.CONCAT("*",Table13[[#Headers],[Horror]],"*")),1,0)</f>
        <v>0</v>
      </c>
      <c r="T1283">
        <f>IF(COUNTIF($E1283, _xlfn.CONCAT("*",Table13[[#Headers],[Music]],"*")),1,0)</f>
        <v>0</v>
      </c>
      <c r="U1283">
        <f>IF(COUNTIF($E1283, _xlfn.CONCAT("*",Table13[[#Headers],[Mystery]],"*")),1,0)</f>
        <v>0</v>
      </c>
      <c r="V1283">
        <f>IF(COUNTIF($E1283, _xlfn.CONCAT("*",Table13[[#Headers],[Romance]],"*")),1,0)</f>
        <v>0</v>
      </c>
      <c r="W1283">
        <f>IF(COUNTIF($E1283, _xlfn.CONCAT("*",Table13[[#Headers],[Science Fiction]],"*")),1,0)</f>
        <v>0</v>
      </c>
      <c r="X1283">
        <f>IF(COUNTIF($E1283, _xlfn.CONCAT("*",Table13[[#Headers],[TV Movie]],"*")),1,0)</f>
        <v>0</v>
      </c>
      <c r="Y1283">
        <f>IF(COUNTIF($E1283, _xlfn.CONCAT("*",Table13[[#Headers],[Thriller]],"*")),1,0)</f>
        <v>0</v>
      </c>
      <c r="Z1283">
        <f>IF(COUNTIF($E1283, _xlfn.CONCAT("*",Table13[[#Headers],[War]],"*")),1,0)</f>
        <v>0</v>
      </c>
      <c r="AA1283">
        <f>IF(COUNTIF($E1283, _xlfn.CONCAT("*",Table13[[#Headers],[Western]],"*")),1,0)</f>
        <v>0</v>
      </c>
    </row>
    <row r="1284" spans="1:27">
      <c r="A1284" t="s">
        <v>1187</v>
      </c>
      <c r="B1284">
        <v>52</v>
      </c>
      <c r="C1284">
        <f>MAX(Table13[Rank])-Table13[[#This Row],[Rank]]</f>
        <v>212</v>
      </c>
      <c r="D1284" t="s">
        <v>1131</v>
      </c>
      <c r="E1284" t="s">
        <v>105</v>
      </c>
      <c r="F1284" s="1">
        <v>36693</v>
      </c>
      <c r="G1284">
        <f>YEAR(Table13[[#This Row],[Date]])</f>
        <v>2000</v>
      </c>
      <c r="H1284" t="s">
        <v>1187</v>
      </c>
      <c r="I1284">
        <f>IF(COUNTIF($E1284, _xlfn.CONCAT("*",Table13[[#Headers],[Action]],"*")),1,0)</f>
        <v>0</v>
      </c>
      <c r="J1284">
        <f>IF(COUNTIF($E1284, _xlfn.CONCAT("*",Table13[[#Headers],[Adventure]],"*")),1,0)</f>
        <v>0</v>
      </c>
      <c r="K1284">
        <f>IF(COUNTIF($E1284, _xlfn.CONCAT("*",Table13[[#Headers],[Animation]],"*")),1,0)</f>
        <v>0</v>
      </c>
      <c r="L1284">
        <f>IF(COUNTIF($E1284, _xlfn.CONCAT("*",Table13[[#Headers],[Comedy]],"*")),1,0)</f>
        <v>0</v>
      </c>
      <c r="M1284">
        <f>IF(COUNTIF($E1284, _xlfn.CONCAT("*",Table13[[#Headers],[Crime]],"*")),1,0)</f>
        <v>0</v>
      </c>
      <c r="N1284">
        <f>IF(COUNTIF($E1284, _xlfn.CONCAT("*",Table13[[#Headers],[Documentary]],"*")),1,0)</f>
        <v>0</v>
      </c>
      <c r="O1284">
        <f>IF(COUNTIF($E1284, _xlfn.CONCAT("*",Table13[[#Headers],[Drama]],"*")),1,0)</f>
        <v>1</v>
      </c>
      <c r="P1284">
        <f>IF(COUNTIF($E1284, _xlfn.CONCAT("*",Table13[[#Headers],[Family]],"*")),1,0)</f>
        <v>0</v>
      </c>
      <c r="Q1284">
        <f>IF(COUNTIF($E1284, _xlfn.CONCAT("*",Table13[[#Headers],[Fantasy]],"*")),1,0)</f>
        <v>0</v>
      </c>
      <c r="R1284">
        <f>IF(COUNTIF($E1284, _xlfn.CONCAT("*",Table13[[#Headers],[History]],"*")),1,0)</f>
        <v>0</v>
      </c>
      <c r="S1284">
        <f>IF(COUNTIF($E1284, _xlfn.CONCAT("*",Table13[[#Headers],[Horror]],"*")),1,0)</f>
        <v>0</v>
      </c>
      <c r="T1284">
        <f>IF(COUNTIF($E1284, _xlfn.CONCAT("*",Table13[[#Headers],[Music]],"*")),1,0)</f>
        <v>0</v>
      </c>
      <c r="U1284">
        <f>IF(COUNTIF($E1284, _xlfn.CONCAT("*",Table13[[#Headers],[Mystery]],"*")),1,0)</f>
        <v>0</v>
      </c>
      <c r="V1284">
        <f>IF(COUNTIF($E1284, _xlfn.CONCAT("*",Table13[[#Headers],[Romance]],"*")),1,0)</f>
        <v>0</v>
      </c>
      <c r="W1284">
        <f>IF(COUNTIF($E1284, _xlfn.CONCAT("*",Table13[[#Headers],[Science Fiction]],"*")),1,0)</f>
        <v>0</v>
      </c>
      <c r="X1284">
        <f>IF(COUNTIF($E1284, _xlfn.CONCAT("*",Table13[[#Headers],[TV Movie]],"*")),1,0)</f>
        <v>0</v>
      </c>
      <c r="Y1284">
        <f>IF(COUNTIF($E1284, _xlfn.CONCAT("*",Table13[[#Headers],[Thriller]],"*")),1,0)</f>
        <v>1</v>
      </c>
      <c r="Z1284">
        <f>IF(COUNTIF($E1284, _xlfn.CONCAT("*",Table13[[#Headers],[War]],"*")),1,0)</f>
        <v>0</v>
      </c>
      <c r="AA1284">
        <f>IF(COUNTIF($E1284, _xlfn.CONCAT("*",Table13[[#Headers],[Western]],"*")),1,0)</f>
        <v>0</v>
      </c>
    </row>
    <row r="1285" spans="1:27">
      <c r="A1285" t="s">
        <v>1188</v>
      </c>
      <c r="B1285">
        <v>51</v>
      </c>
      <c r="C1285">
        <f>MAX(Table13[Rank])-Table13[[#This Row],[Rank]]</f>
        <v>213</v>
      </c>
      <c r="D1285" t="s">
        <v>1131</v>
      </c>
      <c r="E1285" t="s">
        <v>1189</v>
      </c>
      <c r="F1285" s="1">
        <v>36713</v>
      </c>
      <c r="G1285">
        <f>YEAR(Table13[[#This Row],[Date]])</f>
        <v>2000</v>
      </c>
      <c r="H1285" t="s">
        <v>1188</v>
      </c>
      <c r="I1285">
        <f>IF(COUNTIF($E1285, _xlfn.CONCAT("*",Table13[[#Headers],[Action]],"*")),1,0)</f>
        <v>1</v>
      </c>
      <c r="J1285">
        <f>IF(COUNTIF($E1285, _xlfn.CONCAT("*",Table13[[#Headers],[Adventure]],"*")),1,0)</f>
        <v>1</v>
      </c>
      <c r="K1285">
        <f>IF(COUNTIF($E1285, _xlfn.CONCAT("*",Table13[[#Headers],[Animation]],"*")),1,0)</f>
        <v>0</v>
      </c>
      <c r="L1285">
        <f>IF(COUNTIF($E1285, _xlfn.CONCAT("*",Table13[[#Headers],[Comedy]],"*")),1,0)</f>
        <v>0</v>
      </c>
      <c r="M1285">
        <f>IF(COUNTIF($E1285, _xlfn.CONCAT("*",Table13[[#Headers],[Crime]],"*")),1,0)</f>
        <v>0</v>
      </c>
      <c r="N1285">
        <f>IF(COUNTIF($E1285, _xlfn.CONCAT("*",Table13[[#Headers],[Documentary]],"*")),1,0)</f>
        <v>0</v>
      </c>
      <c r="O1285">
        <f>IF(COUNTIF($E1285, _xlfn.CONCAT("*",Table13[[#Headers],[Drama]],"*")),1,0)</f>
        <v>1</v>
      </c>
      <c r="P1285">
        <f>IF(COUNTIF($E1285, _xlfn.CONCAT("*",Table13[[#Headers],[Family]],"*")),1,0)</f>
        <v>0</v>
      </c>
      <c r="Q1285">
        <f>IF(COUNTIF($E1285, _xlfn.CONCAT("*",Table13[[#Headers],[Fantasy]],"*")),1,0)</f>
        <v>0</v>
      </c>
      <c r="R1285">
        <f>IF(COUNTIF($E1285, _xlfn.CONCAT("*",Table13[[#Headers],[History]],"*")),1,0)</f>
        <v>0</v>
      </c>
      <c r="S1285">
        <f>IF(COUNTIF($E1285, _xlfn.CONCAT("*",Table13[[#Headers],[Horror]],"*")),1,0)</f>
        <v>0</v>
      </c>
      <c r="T1285">
        <f>IF(COUNTIF($E1285, _xlfn.CONCAT("*",Table13[[#Headers],[Music]],"*")),1,0)</f>
        <v>0</v>
      </c>
      <c r="U1285">
        <f>IF(COUNTIF($E1285, _xlfn.CONCAT("*",Table13[[#Headers],[Mystery]],"*")),1,0)</f>
        <v>0</v>
      </c>
      <c r="V1285">
        <f>IF(COUNTIF($E1285, _xlfn.CONCAT("*",Table13[[#Headers],[Romance]],"*")),1,0)</f>
        <v>1</v>
      </c>
      <c r="W1285">
        <f>IF(COUNTIF($E1285, _xlfn.CONCAT("*",Table13[[#Headers],[Science Fiction]],"*")),1,0)</f>
        <v>0</v>
      </c>
      <c r="X1285">
        <f>IF(COUNTIF($E1285, _xlfn.CONCAT("*",Table13[[#Headers],[TV Movie]],"*")),1,0)</f>
        <v>0</v>
      </c>
      <c r="Y1285">
        <f>IF(COUNTIF($E1285, _xlfn.CONCAT("*",Table13[[#Headers],[Thriller]],"*")),1,0)</f>
        <v>0</v>
      </c>
      <c r="Z1285">
        <f>IF(COUNTIF($E1285, _xlfn.CONCAT("*",Table13[[#Headers],[War]],"*")),1,0)</f>
        <v>0</v>
      </c>
      <c r="AA1285">
        <f>IF(COUNTIF($E1285, _xlfn.CONCAT("*",Table13[[#Headers],[Western]],"*")),1,0)</f>
        <v>0</v>
      </c>
    </row>
    <row r="1286" spans="1:27">
      <c r="A1286" t="s">
        <v>815</v>
      </c>
      <c r="B1286">
        <v>50</v>
      </c>
      <c r="C1286">
        <f>MAX(Table13[Rank])-Table13[[#This Row],[Rank]]</f>
        <v>214</v>
      </c>
      <c r="D1286" t="s">
        <v>1131</v>
      </c>
      <c r="E1286" t="s">
        <v>35</v>
      </c>
      <c r="F1286" s="1">
        <v>38154</v>
      </c>
      <c r="G1286">
        <f>YEAR(Table13[[#This Row],[Date]])</f>
        <v>2004</v>
      </c>
      <c r="H1286" t="s">
        <v>815</v>
      </c>
      <c r="I1286">
        <f>IF(COUNTIF($E1286, _xlfn.CONCAT("*",Table13[[#Headers],[Action]],"*")),1,0)</f>
        <v>0</v>
      </c>
      <c r="J1286">
        <f>IF(COUNTIF($E1286, _xlfn.CONCAT("*",Table13[[#Headers],[Adventure]],"*")),1,0)</f>
        <v>0</v>
      </c>
      <c r="K1286">
        <f>IF(COUNTIF($E1286, _xlfn.CONCAT("*",Table13[[#Headers],[Animation]],"*")),1,0)</f>
        <v>0</v>
      </c>
      <c r="L1286">
        <f>IF(COUNTIF($E1286, _xlfn.CONCAT("*",Table13[[#Headers],[Comedy]],"*")),1,0)</f>
        <v>0</v>
      </c>
      <c r="M1286">
        <f>IF(COUNTIF($E1286, _xlfn.CONCAT("*",Table13[[#Headers],[Crime]],"*")),1,0)</f>
        <v>0</v>
      </c>
      <c r="N1286">
        <f>IF(COUNTIF($E1286, _xlfn.CONCAT("*",Table13[[#Headers],[Documentary]],"*")),1,0)</f>
        <v>0</v>
      </c>
      <c r="O1286">
        <f>IF(COUNTIF($E1286, _xlfn.CONCAT("*",Table13[[#Headers],[Drama]],"*")),1,0)</f>
        <v>1</v>
      </c>
      <c r="P1286">
        <f>IF(COUNTIF($E1286, _xlfn.CONCAT("*",Table13[[#Headers],[Family]],"*")),1,0)</f>
        <v>0</v>
      </c>
      <c r="Q1286">
        <f>IF(COUNTIF($E1286, _xlfn.CONCAT("*",Table13[[#Headers],[Fantasy]],"*")),1,0)</f>
        <v>0</v>
      </c>
      <c r="R1286">
        <f>IF(COUNTIF($E1286, _xlfn.CONCAT("*",Table13[[#Headers],[History]],"*")),1,0)</f>
        <v>0</v>
      </c>
      <c r="S1286">
        <f>IF(COUNTIF($E1286, _xlfn.CONCAT("*",Table13[[#Headers],[Horror]],"*")),1,0)</f>
        <v>0</v>
      </c>
      <c r="T1286">
        <f>IF(COUNTIF($E1286, _xlfn.CONCAT("*",Table13[[#Headers],[Music]],"*")),1,0)</f>
        <v>0</v>
      </c>
      <c r="U1286">
        <f>IF(COUNTIF($E1286, _xlfn.CONCAT("*",Table13[[#Headers],[Mystery]],"*")),1,0)</f>
        <v>0</v>
      </c>
      <c r="V1286">
        <f>IF(COUNTIF($E1286, _xlfn.CONCAT("*",Table13[[#Headers],[Romance]],"*")),1,0)</f>
        <v>1</v>
      </c>
      <c r="W1286">
        <f>IF(COUNTIF($E1286, _xlfn.CONCAT("*",Table13[[#Headers],[Science Fiction]],"*")),1,0)</f>
        <v>0</v>
      </c>
      <c r="X1286">
        <f>IF(COUNTIF($E1286, _xlfn.CONCAT("*",Table13[[#Headers],[TV Movie]],"*")),1,0)</f>
        <v>0</v>
      </c>
      <c r="Y1286">
        <f>IF(COUNTIF($E1286, _xlfn.CONCAT("*",Table13[[#Headers],[Thriller]],"*")),1,0)</f>
        <v>0</v>
      </c>
      <c r="Z1286">
        <f>IF(COUNTIF($E1286, _xlfn.CONCAT("*",Table13[[#Headers],[War]],"*")),1,0)</f>
        <v>0</v>
      </c>
      <c r="AA1286">
        <f>IF(COUNTIF($E1286, _xlfn.CONCAT("*",Table13[[#Headers],[Western]],"*")),1,0)</f>
        <v>0</v>
      </c>
    </row>
    <row r="1287" spans="1:27">
      <c r="A1287" t="s">
        <v>1190</v>
      </c>
      <c r="B1287">
        <v>49</v>
      </c>
      <c r="C1287">
        <f>MAX(Table13[Rank])-Table13[[#This Row],[Rank]]</f>
        <v>215</v>
      </c>
      <c r="D1287" t="s">
        <v>1131</v>
      </c>
      <c r="E1287" t="s">
        <v>1191</v>
      </c>
      <c r="F1287" s="1">
        <v>37300</v>
      </c>
      <c r="G1287">
        <f>YEAR(Table13[[#This Row],[Date]])</f>
        <v>2002</v>
      </c>
      <c r="H1287" t="s">
        <v>1190</v>
      </c>
      <c r="I1287">
        <f>IF(COUNTIF($E1287, _xlfn.CONCAT("*",Table13[[#Headers],[Action]],"*")),1,0)</f>
        <v>0</v>
      </c>
      <c r="J1287">
        <f>IF(COUNTIF($E1287, _xlfn.CONCAT("*",Table13[[#Headers],[Adventure]],"*")),1,0)</f>
        <v>0</v>
      </c>
      <c r="K1287">
        <f>IF(COUNTIF($E1287, _xlfn.CONCAT("*",Table13[[#Headers],[Animation]],"*")),1,0)</f>
        <v>0</v>
      </c>
      <c r="L1287">
        <f>IF(COUNTIF($E1287, _xlfn.CONCAT("*",Table13[[#Headers],[Comedy]],"*")),1,0)</f>
        <v>1</v>
      </c>
      <c r="M1287">
        <f>IF(COUNTIF($E1287, _xlfn.CONCAT("*",Table13[[#Headers],[Crime]],"*")),1,0)</f>
        <v>0</v>
      </c>
      <c r="N1287">
        <f>IF(COUNTIF($E1287, _xlfn.CONCAT("*",Table13[[#Headers],[Documentary]],"*")),1,0)</f>
        <v>0</v>
      </c>
      <c r="O1287">
        <f>IF(COUNTIF($E1287, _xlfn.CONCAT("*",Table13[[#Headers],[Drama]],"*")),1,0)</f>
        <v>1</v>
      </c>
      <c r="P1287">
        <f>IF(COUNTIF($E1287, _xlfn.CONCAT("*",Table13[[#Headers],[Family]],"*")),1,0)</f>
        <v>0</v>
      </c>
      <c r="Q1287">
        <f>IF(COUNTIF($E1287, _xlfn.CONCAT("*",Table13[[#Headers],[Fantasy]],"*")),1,0)</f>
        <v>0</v>
      </c>
      <c r="R1287">
        <f>IF(COUNTIF($E1287, _xlfn.CONCAT("*",Table13[[#Headers],[History]],"*")),1,0)</f>
        <v>0</v>
      </c>
      <c r="S1287">
        <f>IF(COUNTIF($E1287, _xlfn.CONCAT("*",Table13[[#Headers],[Horror]],"*")),1,0)</f>
        <v>0</v>
      </c>
      <c r="T1287">
        <f>IF(COUNTIF($E1287, _xlfn.CONCAT("*",Table13[[#Headers],[Music]],"*")),1,0)</f>
        <v>1</v>
      </c>
      <c r="U1287">
        <f>IF(COUNTIF($E1287, _xlfn.CONCAT("*",Table13[[#Headers],[Mystery]],"*")),1,0)</f>
        <v>0</v>
      </c>
      <c r="V1287">
        <f>IF(COUNTIF($E1287, _xlfn.CONCAT("*",Table13[[#Headers],[Romance]],"*")),1,0)</f>
        <v>0</v>
      </c>
      <c r="W1287">
        <f>IF(COUNTIF($E1287, _xlfn.CONCAT("*",Table13[[#Headers],[Science Fiction]],"*")),1,0)</f>
        <v>0</v>
      </c>
      <c r="X1287">
        <f>IF(COUNTIF($E1287, _xlfn.CONCAT("*",Table13[[#Headers],[TV Movie]],"*")),1,0)</f>
        <v>0</v>
      </c>
      <c r="Y1287">
        <f>IF(COUNTIF($E1287, _xlfn.CONCAT("*",Table13[[#Headers],[Thriller]],"*")),1,0)</f>
        <v>0</v>
      </c>
      <c r="Z1287">
        <f>IF(COUNTIF($E1287, _xlfn.CONCAT("*",Table13[[#Headers],[War]],"*")),1,0)</f>
        <v>0</v>
      </c>
      <c r="AA1287">
        <f>IF(COUNTIF($E1287, _xlfn.CONCAT("*",Table13[[#Headers],[Western]],"*")),1,0)</f>
        <v>0</v>
      </c>
    </row>
    <row r="1288" spans="1:27">
      <c r="A1288" t="s">
        <v>1192</v>
      </c>
      <c r="B1288">
        <v>48</v>
      </c>
      <c r="C1288">
        <f>MAX(Table13[Rank])-Table13[[#This Row],[Rank]]</f>
        <v>216</v>
      </c>
      <c r="D1288" t="s">
        <v>1131</v>
      </c>
      <c r="E1288" t="s">
        <v>35</v>
      </c>
      <c r="F1288" s="1">
        <v>36792</v>
      </c>
      <c r="G1288">
        <f>YEAR(Table13[[#This Row],[Date]])</f>
        <v>2000</v>
      </c>
      <c r="H1288" t="s">
        <v>1192</v>
      </c>
      <c r="I1288">
        <f>IF(COUNTIF($E1288, _xlfn.CONCAT("*",Table13[[#Headers],[Action]],"*")),1,0)</f>
        <v>0</v>
      </c>
      <c r="J1288">
        <f>IF(COUNTIF($E1288, _xlfn.CONCAT("*",Table13[[#Headers],[Adventure]],"*")),1,0)</f>
        <v>0</v>
      </c>
      <c r="K1288">
        <f>IF(COUNTIF($E1288, _xlfn.CONCAT("*",Table13[[#Headers],[Animation]],"*")),1,0)</f>
        <v>0</v>
      </c>
      <c r="L1288">
        <f>IF(COUNTIF($E1288, _xlfn.CONCAT("*",Table13[[#Headers],[Comedy]],"*")),1,0)</f>
        <v>0</v>
      </c>
      <c r="M1288">
        <f>IF(COUNTIF($E1288, _xlfn.CONCAT("*",Table13[[#Headers],[Crime]],"*")),1,0)</f>
        <v>0</v>
      </c>
      <c r="N1288">
        <f>IF(COUNTIF($E1288, _xlfn.CONCAT("*",Table13[[#Headers],[Documentary]],"*")),1,0)</f>
        <v>0</v>
      </c>
      <c r="O1288">
        <f>IF(COUNTIF($E1288, _xlfn.CONCAT("*",Table13[[#Headers],[Drama]],"*")),1,0)</f>
        <v>1</v>
      </c>
      <c r="P1288">
        <f>IF(COUNTIF($E1288, _xlfn.CONCAT("*",Table13[[#Headers],[Family]],"*")),1,0)</f>
        <v>0</v>
      </c>
      <c r="Q1288">
        <f>IF(COUNTIF($E1288, _xlfn.CONCAT("*",Table13[[#Headers],[Fantasy]],"*")),1,0)</f>
        <v>0</v>
      </c>
      <c r="R1288">
        <f>IF(COUNTIF($E1288, _xlfn.CONCAT("*",Table13[[#Headers],[History]],"*")),1,0)</f>
        <v>0</v>
      </c>
      <c r="S1288">
        <f>IF(COUNTIF($E1288, _xlfn.CONCAT("*",Table13[[#Headers],[Horror]],"*")),1,0)</f>
        <v>0</v>
      </c>
      <c r="T1288">
        <f>IF(COUNTIF($E1288, _xlfn.CONCAT("*",Table13[[#Headers],[Music]],"*")),1,0)</f>
        <v>0</v>
      </c>
      <c r="U1288">
        <f>IF(COUNTIF($E1288, _xlfn.CONCAT("*",Table13[[#Headers],[Mystery]],"*")),1,0)</f>
        <v>0</v>
      </c>
      <c r="V1288">
        <f>IF(COUNTIF($E1288, _xlfn.CONCAT("*",Table13[[#Headers],[Romance]],"*")),1,0)</f>
        <v>1</v>
      </c>
      <c r="W1288">
        <f>IF(COUNTIF($E1288, _xlfn.CONCAT("*",Table13[[#Headers],[Science Fiction]],"*")),1,0)</f>
        <v>0</v>
      </c>
      <c r="X1288">
        <f>IF(COUNTIF($E1288, _xlfn.CONCAT("*",Table13[[#Headers],[TV Movie]],"*")),1,0)</f>
        <v>0</v>
      </c>
      <c r="Y1288">
        <f>IF(COUNTIF($E1288, _xlfn.CONCAT("*",Table13[[#Headers],[Thriller]],"*")),1,0)</f>
        <v>0</v>
      </c>
      <c r="Z1288">
        <f>IF(COUNTIF($E1288, _xlfn.CONCAT("*",Table13[[#Headers],[War]],"*")),1,0)</f>
        <v>0</v>
      </c>
      <c r="AA1288">
        <f>IF(COUNTIF($E1288, _xlfn.CONCAT("*",Table13[[#Headers],[Western]],"*")),1,0)</f>
        <v>0</v>
      </c>
    </row>
    <row r="1289" spans="1:27">
      <c r="A1289" t="s">
        <v>1193</v>
      </c>
      <c r="B1289">
        <v>47</v>
      </c>
      <c r="C1289">
        <f>MAX(Table13[Rank])-Table13[[#This Row],[Rank]]</f>
        <v>217</v>
      </c>
      <c r="D1289" t="s">
        <v>1131</v>
      </c>
      <c r="E1289" t="s">
        <v>21</v>
      </c>
      <c r="F1289" s="1">
        <v>40816</v>
      </c>
      <c r="G1289">
        <f>YEAR(Table13[[#This Row],[Date]])</f>
        <v>2011</v>
      </c>
      <c r="H1289" t="s">
        <v>1193</v>
      </c>
      <c r="I1289">
        <f>IF(COUNTIF($E1289, _xlfn.CONCAT("*",Table13[[#Headers],[Action]],"*")),1,0)</f>
        <v>0</v>
      </c>
      <c r="J1289">
        <f>IF(COUNTIF($E1289, _xlfn.CONCAT("*",Table13[[#Headers],[Adventure]],"*")),1,0)</f>
        <v>0</v>
      </c>
      <c r="K1289">
        <f>IF(COUNTIF($E1289, _xlfn.CONCAT("*",Table13[[#Headers],[Animation]],"*")),1,0)</f>
        <v>0</v>
      </c>
      <c r="L1289">
        <f>IF(COUNTIF($E1289, _xlfn.CONCAT("*",Table13[[#Headers],[Comedy]],"*")),1,0)</f>
        <v>0</v>
      </c>
      <c r="M1289">
        <f>IF(COUNTIF($E1289, _xlfn.CONCAT("*",Table13[[#Headers],[Crime]],"*")),1,0)</f>
        <v>0</v>
      </c>
      <c r="N1289">
        <f>IF(COUNTIF($E1289, _xlfn.CONCAT("*",Table13[[#Headers],[Documentary]],"*")),1,0)</f>
        <v>0</v>
      </c>
      <c r="O1289">
        <f>IF(COUNTIF($E1289, _xlfn.CONCAT("*",Table13[[#Headers],[Drama]],"*")),1,0)</f>
        <v>1</v>
      </c>
      <c r="P1289">
        <f>IF(COUNTIF($E1289, _xlfn.CONCAT("*",Table13[[#Headers],[Family]],"*")),1,0)</f>
        <v>0</v>
      </c>
      <c r="Q1289">
        <f>IF(COUNTIF($E1289, _xlfn.CONCAT("*",Table13[[#Headers],[Fantasy]],"*")),1,0)</f>
        <v>0</v>
      </c>
      <c r="R1289">
        <f>IF(COUNTIF($E1289, _xlfn.CONCAT("*",Table13[[#Headers],[History]],"*")),1,0)</f>
        <v>0</v>
      </c>
      <c r="S1289">
        <f>IF(COUNTIF($E1289, _xlfn.CONCAT("*",Table13[[#Headers],[Horror]],"*")),1,0)</f>
        <v>0</v>
      </c>
      <c r="T1289">
        <f>IF(COUNTIF($E1289, _xlfn.CONCAT("*",Table13[[#Headers],[Music]],"*")),1,0)</f>
        <v>0</v>
      </c>
      <c r="U1289">
        <f>IF(COUNTIF($E1289, _xlfn.CONCAT("*",Table13[[#Headers],[Mystery]],"*")),1,0)</f>
        <v>0</v>
      </c>
      <c r="V1289">
        <f>IF(COUNTIF($E1289, _xlfn.CONCAT("*",Table13[[#Headers],[Romance]],"*")),1,0)</f>
        <v>0</v>
      </c>
      <c r="W1289">
        <f>IF(COUNTIF($E1289, _xlfn.CONCAT("*",Table13[[#Headers],[Science Fiction]],"*")),1,0)</f>
        <v>0</v>
      </c>
      <c r="X1289">
        <f>IF(COUNTIF($E1289, _xlfn.CONCAT("*",Table13[[#Headers],[TV Movie]],"*")),1,0)</f>
        <v>0</v>
      </c>
      <c r="Y1289">
        <f>IF(COUNTIF($E1289, _xlfn.CONCAT("*",Table13[[#Headers],[Thriller]],"*")),1,0)</f>
        <v>0</v>
      </c>
      <c r="Z1289">
        <f>IF(COUNTIF($E1289, _xlfn.CONCAT("*",Table13[[#Headers],[War]],"*")),1,0)</f>
        <v>0</v>
      </c>
      <c r="AA1289">
        <f>IF(COUNTIF($E1289, _xlfn.CONCAT("*",Table13[[#Headers],[Western]],"*")),1,0)</f>
        <v>0</v>
      </c>
    </row>
    <row r="1290" spans="1:27">
      <c r="A1290" t="s">
        <v>1194</v>
      </c>
      <c r="B1290">
        <v>46</v>
      </c>
      <c r="C1290">
        <f>MAX(Table13[Rank])-Table13[[#This Row],[Rank]]</f>
        <v>218</v>
      </c>
      <c r="D1290" t="s">
        <v>1131</v>
      </c>
      <c r="E1290" t="s">
        <v>15</v>
      </c>
      <c r="F1290" s="1">
        <v>38793</v>
      </c>
      <c r="G1290">
        <f>YEAR(Table13[[#This Row],[Date]])</f>
        <v>2006</v>
      </c>
      <c r="H1290" t="s">
        <v>1194</v>
      </c>
      <c r="I1290">
        <f>IF(COUNTIF($E1290, _xlfn.CONCAT("*",Table13[[#Headers],[Action]],"*")),1,0)</f>
        <v>0</v>
      </c>
      <c r="J1290">
        <f>IF(COUNTIF($E1290, _xlfn.CONCAT("*",Table13[[#Headers],[Adventure]],"*")),1,0)</f>
        <v>0</v>
      </c>
      <c r="K1290">
        <f>IF(COUNTIF($E1290, _xlfn.CONCAT("*",Table13[[#Headers],[Animation]],"*")),1,0)</f>
        <v>0</v>
      </c>
      <c r="L1290">
        <f>IF(COUNTIF($E1290, _xlfn.CONCAT("*",Table13[[#Headers],[Comedy]],"*")),1,0)</f>
        <v>1</v>
      </c>
      <c r="M1290">
        <f>IF(COUNTIF($E1290, _xlfn.CONCAT("*",Table13[[#Headers],[Crime]],"*")),1,0)</f>
        <v>0</v>
      </c>
      <c r="N1290">
        <f>IF(COUNTIF($E1290, _xlfn.CONCAT("*",Table13[[#Headers],[Documentary]],"*")),1,0)</f>
        <v>0</v>
      </c>
      <c r="O1290">
        <f>IF(COUNTIF($E1290, _xlfn.CONCAT("*",Table13[[#Headers],[Drama]],"*")),1,0)</f>
        <v>1</v>
      </c>
      <c r="P1290">
        <f>IF(COUNTIF($E1290, _xlfn.CONCAT("*",Table13[[#Headers],[Family]],"*")),1,0)</f>
        <v>0</v>
      </c>
      <c r="Q1290">
        <f>IF(COUNTIF($E1290, _xlfn.CONCAT("*",Table13[[#Headers],[Fantasy]],"*")),1,0)</f>
        <v>0</v>
      </c>
      <c r="R1290">
        <f>IF(COUNTIF($E1290, _xlfn.CONCAT("*",Table13[[#Headers],[History]],"*")),1,0)</f>
        <v>0</v>
      </c>
      <c r="S1290">
        <f>IF(COUNTIF($E1290, _xlfn.CONCAT("*",Table13[[#Headers],[Horror]],"*")),1,0)</f>
        <v>0</v>
      </c>
      <c r="T1290">
        <f>IF(COUNTIF($E1290, _xlfn.CONCAT("*",Table13[[#Headers],[Music]],"*")),1,0)</f>
        <v>0</v>
      </c>
      <c r="U1290">
        <f>IF(COUNTIF($E1290, _xlfn.CONCAT("*",Table13[[#Headers],[Mystery]],"*")),1,0)</f>
        <v>0</v>
      </c>
      <c r="V1290">
        <f>IF(COUNTIF($E1290, _xlfn.CONCAT("*",Table13[[#Headers],[Romance]],"*")),1,0)</f>
        <v>1</v>
      </c>
      <c r="W1290">
        <f>IF(COUNTIF($E1290, _xlfn.CONCAT("*",Table13[[#Headers],[Science Fiction]],"*")),1,0)</f>
        <v>0</v>
      </c>
      <c r="X1290">
        <f>IF(COUNTIF($E1290, _xlfn.CONCAT("*",Table13[[#Headers],[TV Movie]],"*")),1,0)</f>
        <v>0</v>
      </c>
      <c r="Y1290">
        <f>IF(COUNTIF($E1290, _xlfn.CONCAT("*",Table13[[#Headers],[Thriller]],"*")),1,0)</f>
        <v>0</v>
      </c>
      <c r="Z1290">
        <f>IF(COUNTIF($E1290, _xlfn.CONCAT("*",Table13[[#Headers],[War]],"*")),1,0)</f>
        <v>0</v>
      </c>
      <c r="AA1290">
        <f>IF(COUNTIF($E1290, _xlfn.CONCAT("*",Table13[[#Headers],[Western]],"*")),1,0)</f>
        <v>0</v>
      </c>
    </row>
    <row r="1291" spans="1:27">
      <c r="A1291" t="s">
        <v>1195</v>
      </c>
      <c r="B1291">
        <v>45</v>
      </c>
      <c r="C1291">
        <f>MAX(Table13[Rank])-Table13[[#This Row],[Rank]]</f>
        <v>219</v>
      </c>
      <c r="D1291" t="s">
        <v>1131</v>
      </c>
      <c r="E1291" t="s">
        <v>180</v>
      </c>
      <c r="F1291" t="s">
        <v>180</v>
      </c>
      <c r="G1291" t="e">
        <f>YEAR(Table13[[#This Row],[Date]])</f>
        <v>#VALUE!</v>
      </c>
      <c r="H1291" t="s">
        <v>180</v>
      </c>
      <c r="I1291">
        <f>IF(COUNTIF($E1291, _xlfn.CONCAT("*",Table13[[#Headers],[Action]],"*")),1,0)</f>
        <v>0</v>
      </c>
      <c r="J1291">
        <f>IF(COUNTIF($E1291, _xlfn.CONCAT("*",Table13[[#Headers],[Adventure]],"*")),1,0)</f>
        <v>0</v>
      </c>
      <c r="K1291">
        <f>IF(COUNTIF($E1291, _xlfn.CONCAT("*",Table13[[#Headers],[Animation]],"*")),1,0)</f>
        <v>0</v>
      </c>
      <c r="L1291">
        <f>IF(COUNTIF($E1291, _xlfn.CONCAT("*",Table13[[#Headers],[Comedy]],"*")),1,0)</f>
        <v>0</v>
      </c>
      <c r="M1291">
        <f>IF(COUNTIF($E1291, _xlfn.CONCAT("*",Table13[[#Headers],[Crime]],"*")),1,0)</f>
        <v>0</v>
      </c>
      <c r="N1291">
        <f>IF(COUNTIF($E1291, _xlfn.CONCAT("*",Table13[[#Headers],[Documentary]],"*")),1,0)</f>
        <v>0</v>
      </c>
      <c r="O1291">
        <f>IF(COUNTIF($E1291, _xlfn.CONCAT("*",Table13[[#Headers],[Drama]],"*")),1,0)</f>
        <v>0</v>
      </c>
      <c r="P1291">
        <f>IF(COUNTIF($E1291, _xlfn.CONCAT("*",Table13[[#Headers],[Family]],"*")),1,0)</f>
        <v>0</v>
      </c>
      <c r="Q1291">
        <f>IF(COUNTIF($E1291, _xlfn.CONCAT("*",Table13[[#Headers],[Fantasy]],"*")),1,0)</f>
        <v>0</v>
      </c>
      <c r="R1291">
        <f>IF(COUNTIF($E1291, _xlfn.CONCAT("*",Table13[[#Headers],[History]],"*")),1,0)</f>
        <v>0</v>
      </c>
      <c r="S1291">
        <f>IF(COUNTIF($E1291, _xlfn.CONCAT("*",Table13[[#Headers],[Horror]],"*")),1,0)</f>
        <v>0</v>
      </c>
      <c r="T1291">
        <f>IF(COUNTIF($E1291, _xlfn.CONCAT("*",Table13[[#Headers],[Music]],"*")),1,0)</f>
        <v>0</v>
      </c>
      <c r="U1291">
        <f>IF(COUNTIF($E1291, _xlfn.CONCAT("*",Table13[[#Headers],[Mystery]],"*")),1,0)</f>
        <v>0</v>
      </c>
      <c r="V1291">
        <f>IF(COUNTIF($E1291, _xlfn.CONCAT("*",Table13[[#Headers],[Romance]],"*")),1,0)</f>
        <v>0</v>
      </c>
      <c r="W1291">
        <f>IF(COUNTIF($E1291, _xlfn.CONCAT("*",Table13[[#Headers],[Science Fiction]],"*")),1,0)</f>
        <v>0</v>
      </c>
      <c r="X1291">
        <f>IF(COUNTIF($E1291, _xlfn.CONCAT("*",Table13[[#Headers],[TV Movie]],"*")),1,0)</f>
        <v>0</v>
      </c>
      <c r="Y1291">
        <f>IF(COUNTIF($E1291, _xlfn.CONCAT("*",Table13[[#Headers],[Thriller]],"*")),1,0)</f>
        <v>0</v>
      </c>
      <c r="Z1291">
        <f>IF(COUNTIF($E1291, _xlfn.CONCAT("*",Table13[[#Headers],[War]],"*")),1,0)</f>
        <v>0</v>
      </c>
      <c r="AA1291">
        <f>IF(COUNTIF($E1291, _xlfn.CONCAT("*",Table13[[#Headers],[Western]],"*")),1,0)</f>
        <v>0</v>
      </c>
    </row>
    <row r="1292" spans="1:27">
      <c r="A1292" t="s">
        <v>1196</v>
      </c>
      <c r="B1292">
        <v>44</v>
      </c>
      <c r="C1292">
        <f>MAX(Table13[Rank])-Table13[[#This Row],[Rank]]</f>
        <v>220</v>
      </c>
      <c r="D1292" t="s">
        <v>1131</v>
      </c>
      <c r="E1292" t="s">
        <v>164</v>
      </c>
      <c r="F1292" s="1">
        <v>42565</v>
      </c>
      <c r="G1292">
        <f>YEAR(Table13[[#This Row],[Date]])</f>
        <v>2016</v>
      </c>
      <c r="H1292" t="s">
        <v>1196</v>
      </c>
      <c r="I1292">
        <f>IF(COUNTIF($E1292, _xlfn.CONCAT("*",Table13[[#Headers],[Action]],"*")),1,0)</f>
        <v>0</v>
      </c>
      <c r="J1292">
        <f>IF(COUNTIF($E1292, _xlfn.CONCAT("*",Table13[[#Headers],[Adventure]],"*")),1,0)</f>
        <v>0</v>
      </c>
      <c r="K1292">
        <f>IF(COUNTIF($E1292, _xlfn.CONCAT("*",Table13[[#Headers],[Animation]],"*")),1,0)</f>
        <v>0</v>
      </c>
      <c r="L1292">
        <f>IF(COUNTIF($E1292, _xlfn.CONCAT("*",Table13[[#Headers],[Comedy]],"*")),1,0)</f>
        <v>1</v>
      </c>
      <c r="M1292">
        <f>IF(COUNTIF($E1292, _xlfn.CONCAT("*",Table13[[#Headers],[Crime]],"*")),1,0)</f>
        <v>0</v>
      </c>
      <c r="N1292">
        <f>IF(COUNTIF($E1292, _xlfn.CONCAT("*",Table13[[#Headers],[Documentary]],"*")),1,0)</f>
        <v>0</v>
      </c>
      <c r="O1292">
        <f>IF(COUNTIF($E1292, _xlfn.CONCAT("*",Table13[[#Headers],[Drama]],"*")),1,0)</f>
        <v>1</v>
      </c>
      <c r="P1292">
        <f>IF(COUNTIF($E1292, _xlfn.CONCAT("*",Table13[[#Headers],[Family]],"*")),1,0)</f>
        <v>0</v>
      </c>
      <c r="Q1292">
        <f>IF(COUNTIF($E1292, _xlfn.CONCAT("*",Table13[[#Headers],[Fantasy]],"*")),1,0)</f>
        <v>0</v>
      </c>
      <c r="R1292">
        <f>IF(COUNTIF($E1292, _xlfn.CONCAT("*",Table13[[#Headers],[History]],"*")),1,0)</f>
        <v>0</v>
      </c>
      <c r="S1292">
        <f>IF(COUNTIF($E1292, _xlfn.CONCAT("*",Table13[[#Headers],[Horror]],"*")),1,0)</f>
        <v>0</v>
      </c>
      <c r="T1292">
        <f>IF(COUNTIF($E1292, _xlfn.CONCAT("*",Table13[[#Headers],[Music]],"*")),1,0)</f>
        <v>0</v>
      </c>
      <c r="U1292">
        <f>IF(COUNTIF($E1292, _xlfn.CONCAT("*",Table13[[#Headers],[Mystery]],"*")),1,0)</f>
        <v>0</v>
      </c>
      <c r="V1292">
        <f>IF(COUNTIF($E1292, _xlfn.CONCAT("*",Table13[[#Headers],[Romance]],"*")),1,0)</f>
        <v>0</v>
      </c>
      <c r="W1292">
        <f>IF(COUNTIF($E1292, _xlfn.CONCAT("*",Table13[[#Headers],[Science Fiction]],"*")),1,0)</f>
        <v>0</v>
      </c>
      <c r="X1292">
        <f>IF(COUNTIF($E1292, _xlfn.CONCAT("*",Table13[[#Headers],[TV Movie]],"*")),1,0)</f>
        <v>0</v>
      </c>
      <c r="Y1292">
        <f>IF(COUNTIF($E1292, _xlfn.CONCAT("*",Table13[[#Headers],[Thriller]],"*")),1,0)</f>
        <v>0</v>
      </c>
      <c r="Z1292">
        <f>IF(COUNTIF($E1292, _xlfn.CONCAT("*",Table13[[#Headers],[War]],"*")),1,0)</f>
        <v>0</v>
      </c>
      <c r="AA1292">
        <f>IF(COUNTIF($E1292, _xlfn.CONCAT("*",Table13[[#Headers],[Western]],"*")),1,0)</f>
        <v>0</v>
      </c>
    </row>
    <row r="1293" spans="1:27">
      <c r="A1293" t="s">
        <v>1197</v>
      </c>
      <c r="B1293">
        <v>43</v>
      </c>
      <c r="C1293">
        <f>MAX(Table13[Rank])-Table13[[#This Row],[Rank]]</f>
        <v>221</v>
      </c>
      <c r="D1293" t="s">
        <v>1131</v>
      </c>
      <c r="E1293" t="s">
        <v>1198</v>
      </c>
      <c r="F1293" s="1">
        <v>41633</v>
      </c>
      <c r="G1293">
        <f>YEAR(Table13[[#This Row],[Date]])</f>
        <v>2013</v>
      </c>
      <c r="H1293" t="s">
        <v>1197</v>
      </c>
      <c r="I1293">
        <f>IF(COUNTIF($E1293, _xlfn.CONCAT("*",Table13[[#Headers],[Action]],"*")),1,0)</f>
        <v>0</v>
      </c>
      <c r="J1293">
        <f>IF(COUNTIF($E1293, _xlfn.CONCAT("*",Table13[[#Headers],[Adventure]],"*")),1,0)</f>
        <v>0</v>
      </c>
      <c r="K1293">
        <f>IF(COUNTIF($E1293, _xlfn.CONCAT("*",Table13[[#Headers],[Animation]],"*")),1,0)</f>
        <v>0</v>
      </c>
      <c r="L1293">
        <f>IF(COUNTIF($E1293, _xlfn.CONCAT("*",Table13[[#Headers],[Comedy]],"*")),1,0)</f>
        <v>1</v>
      </c>
      <c r="M1293">
        <f>IF(COUNTIF($E1293, _xlfn.CONCAT("*",Table13[[#Headers],[Crime]],"*")),1,0)</f>
        <v>1</v>
      </c>
      <c r="N1293">
        <f>IF(COUNTIF($E1293, _xlfn.CONCAT("*",Table13[[#Headers],[Documentary]],"*")),1,0)</f>
        <v>0</v>
      </c>
      <c r="O1293">
        <f>IF(COUNTIF($E1293, _xlfn.CONCAT("*",Table13[[#Headers],[Drama]],"*")),1,0)</f>
        <v>1</v>
      </c>
      <c r="P1293">
        <f>IF(COUNTIF($E1293, _xlfn.CONCAT("*",Table13[[#Headers],[Family]],"*")),1,0)</f>
        <v>0</v>
      </c>
      <c r="Q1293">
        <f>IF(COUNTIF($E1293, _xlfn.CONCAT("*",Table13[[#Headers],[Fantasy]],"*")),1,0)</f>
        <v>0</v>
      </c>
      <c r="R1293">
        <f>IF(COUNTIF($E1293, _xlfn.CONCAT("*",Table13[[#Headers],[History]],"*")),1,0)</f>
        <v>0</v>
      </c>
      <c r="S1293">
        <f>IF(COUNTIF($E1293, _xlfn.CONCAT("*",Table13[[#Headers],[Horror]],"*")),1,0)</f>
        <v>0</v>
      </c>
      <c r="T1293">
        <f>IF(COUNTIF($E1293, _xlfn.CONCAT("*",Table13[[#Headers],[Music]],"*")),1,0)</f>
        <v>0</v>
      </c>
      <c r="U1293">
        <f>IF(COUNTIF($E1293, _xlfn.CONCAT("*",Table13[[#Headers],[Mystery]],"*")),1,0)</f>
        <v>0</v>
      </c>
      <c r="V1293">
        <f>IF(COUNTIF($E1293, _xlfn.CONCAT("*",Table13[[#Headers],[Romance]],"*")),1,0)</f>
        <v>0</v>
      </c>
      <c r="W1293">
        <f>IF(COUNTIF($E1293, _xlfn.CONCAT("*",Table13[[#Headers],[Science Fiction]],"*")),1,0)</f>
        <v>0</v>
      </c>
      <c r="X1293">
        <f>IF(COUNTIF($E1293, _xlfn.CONCAT("*",Table13[[#Headers],[TV Movie]],"*")),1,0)</f>
        <v>0</v>
      </c>
      <c r="Y1293">
        <f>IF(COUNTIF($E1293, _xlfn.CONCAT("*",Table13[[#Headers],[Thriller]],"*")),1,0)</f>
        <v>0</v>
      </c>
      <c r="Z1293">
        <f>IF(COUNTIF($E1293, _xlfn.CONCAT("*",Table13[[#Headers],[War]],"*")),1,0)</f>
        <v>0</v>
      </c>
      <c r="AA1293">
        <f>IF(COUNTIF($E1293, _xlfn.CONCAT("*",Table13[[#Headers],[Western]],"*")),1,0)</f>
        <v>0</v>
      </c>
    </row>
    <row r="1294" spans="1:27">
      <c r="A1294" t="s">
        <v>933</v>
      </c>
      <c r="B1294">
        <v>42</v>
      </c>
      <c r="C1294">
        <f>MAX(Table13[Rank])-Table13[[#This Row],[Rank]]</f>
        <v>222</v>
      </c>
      <c r="D1294" t="s">
        <v>1131</v>
      </c>
      <c r="E1294" t="s">
        <v>21</v>
      </c>
      <c r="F1294" s="1">
        <v>39318</v>
      </c>
      <c r="G1294">
        <f>YEAR(Table13[[#This Row],[Date]])</f>
        <v>2007</v>
      </c>
      <c r="H1294" t="s">
        <v>933</v>
      </c>
      <c r="I1294">
        <f>IF(COUNTIF($E1294, _xlfn.CONCAT("*",Table13[[#Headers],[Action]],"*")),1,0)</f>
        <v>0</v>
      </c>
      <c r="J1294">
        <f>IF(COUNTIF($E1294, _xlfn.CONCAT("*",Table13[[#Headers],[Adventure]],"*")),1,0)</f>
        <v>0</v>
      </c>
      <c r="K1294">
        <f>IF(COUNTIF($E1294, _xlfn.CONCAT("*",Table13[[#Headers],[Animation]],"*")),1,0)</f>
        <v>0</v>
      </c>
      <c r="L1294">
        <f>IF(COUNTIF($E1294, _xlfn.CONCAT("*",Table13[[#Headers],[Comedy]],"*")),1,0)</f>
        <v>0</v>
      </c>
      <c r="M1294">
        <f>IF(COUNTIF($E1294, _xlfn.CONCAT("*",Table13[[#Headers],[Crime]],"*")),1,0)</f>
        <v>0</v>
      </c>
      <c r="N1294">
        <f>IF(COUNTIF($E1294, _xlfn.CONCAT("*",Table13[[#Headers],[Documentary]],"*")),1,0)</f>
        <v>0</v>
      </c>
      <c r="O1294">
        <f>IF(COUNTIF($E1294, _xlfn.CONCAT("*",Table13[[#Headers],[Drama]],"*")),1,0)</f>
        <v>1</v>
      </c>
      <c r="P1294">
        <f>IF(COUNTIF($E1294, _xlfn.CONCAT("*",Table13[[#Headers],[Family]],"*")),1,0)</f>
        <v>0</v>
      </c>
      <c r="Q1294">
        <f>IF(COUNTIF($E1294, _xlfn.CONCAT("*",Table13[[#Headers],[Fantasy]],"*")),1,0)</f>
        <v>0</v>
      </c>
      <c r="R1294">
        <f>IF(COUNTIF($E1294, _xlfn.CONCAT("*",Table13[[#Headers],[History]],"*")),1,0)</f>
        <v>0</v>
      </c>
      <c r="S1294">
        <f>IF(COUNTIF($E1294, _xlfn.CONCAT("*",Table13[[#Headers],[Horror]],"*")),1,0)</f>
        <v>0</v>
      </c>
      <c r="T1294">
        <f>IF(COUNTIF($E1294, _xlfn.CONCAT("*",Table13[[#Headers],[Music]],"*")),1,0)</f>
        <v>0</v>
      </c>
      <c r="U1294">
        <f>IF(COUNTIF($E1294, _xlfn.CONCAT("*",Table13[[#Headers],[Mystery]],"*")),1,0)</f>
        <v>0</v>
      </c>
      <c r="V1294">
        <f>IF(COUNTIF($E1294, _xlfn.CONCAT("*",Table13[[#Headers],[Romance]],"*")),1,0)</f>
        <v>0</v>
      </c>
      <c r="W1294">
        <f>IF(COUNTIF($E1294, _xlfn.CONCAT("*",Table13[[#Headers],[Science Fiction]],"*")),1,0)</f>
        <v>0</v>
      </c>
      <c r="X1294">
        <f>IF(COUNTIF($E1294, _xlfn.CONCAT("*",Table13[[#Headers],[TV Movie]],"*")),1,0)</f>
        <v>0</v>
      </c>
      <c r="Y1294">
        <f>IF(COUNTIF($E1294, _xlfn.CONCAT("*",Table13[[#Headers],[Thriller]],"*")),1,0)</f>
        <v>0</v>
      </c>
      <c r="Z1294">
        <f>IF(COUNTIF($E1294, _xlfn.CONCAT("*",Table13[[#Headers],[War]],"*")),1,0)</f>
        <v>0</v>
      </c>
      <c r="AA1294">
        <f>IF(COUNTIF($E1294, _xlfn.CONCAT("*",Table13[[#Headers],[Western]],"*")),1,0)</f>
        <v>0</v>
      </c>
    </row>
    <row r="1295" spans="1:27">
      <c r="A1295" t="s">
        <v>795</v>
      </c>
      <c r="B1295">
        <v>41</v>
      </c>
      <c r="C1295">
        <f>MAX(Table13[Rank])-Table13[[#This Row],[Rank]]</f>
        <v>223</v>
      </c>
      <c r="D1295" t="s">
        <v>1131</v>
      </c>
      <c r="E1295" t="s">
        <v>796</v>
      </c>
      <c r="F1295" s="1">
        <v>42522</v>
      </c>
      <c r="G1295">
        <f>YEAR(Table13[[#This Row],[Date]])</f>
        <v>2016</v>
      </c>
      <c r="H1295" t="s">
        <v>795</v>
      </c>
      <c r="I1295">
        <f>IF(COUNTIF($E1295, _xlfn.CONCAT("*",Table13[[#Headers],[Action]],"*")),1,0)</f>
        <v>0</v>
      </c>
      <c r="J1295">
        <f>IF(COUNTIF($E1295, _xlfn.CONCAT("*",Table13[[#Headers],[Adventure]],"*")),1,0)</f>
        <v>0</v>
      </c>
      <c r="K1295">
        <f>IF(COUNTIF($E1295, _xlfn.CONCAT("*",Table13[[#Headers],[Animation]],"*")),1,0)</f>
        <v>0</v>
      </c>
      <c r="L1295">
        <f>IF(COUNTIF($E1295, _xlfn.CONCAT("*",Table13[[#Headers],[Comedy]],"*")),1,0)</f>
        <v>0</v>
      </c>
      <c r="M1295">
        <f>IF(COUNTIF($E1295, _xlfn.CONCAT("*",Table13[[#Headers],[Crime]],"*")),1,0)</f>
        <v>0</v>
      </c>
      <c r="N1295">
        <f>IF(COUNTIF($E1295, _xlfn.CONCAT("*",Table13[[#Headers],[Documentary]],"*")),1,0)</f>
        <v>0</v>
      </c>
      <c r="O1295">
        <f>IF(COUNTIF($E1295, _xlfn.CONCAT("*",Table13[[#Headers],[Drama]],"*")),1,0)</f>
        <v>1</v>
      </c>
      <c r="P1295">
        <f>IF(COUNTIF($E1295, _xlfn.CONCAT("*",Table13[[#Headers],[Family]],"*")),1,0)</f>
        <v>0</v>
      </c>
      <c r="Q1295">
        <f>IF(COUNTIF($E1295, _xlfn.CONCAT("*",Table13[[#Headers],[Fantasy]],"*")),1,0)</f>
        <v>0</v>
      </c>
      <c r="R1295">
        <f>IF(COUNTIF($E1295, _xlfn.CONCAT("*",Table13[[#Headers],[History]],"*")),1,0)</f>
        <v>0</v>
      </c>
      <c r="S1295">
        <f>IF(COUNTIF($E1295, _xlfn.CONCAT("*",Table13[[#Headers],[Horror]],"*")),1,0)</f>
        <v>0</v>
      </c>
      <c r="T1295">
        <f>IF(COUNTIF($E1295, _xlfn.CONCAT("*",Table13[[#Headers],[Music]],"*")),1,0)</f>
        <v>0</v>
      </c>
      <c r="U1295">
        <f>IF(COUNTIF($E1295, _xlfn.CONCAT("*",Table13[[#Headers],[Mystery]],"*")),1,0)</f>
        <v>0</v>
      </c>
      <c r="V1295">
        <f>IF(COUNTIF($E1295, _xlfn.CONCAT("*",Table13[[#Headers],[Romance]],"*")),1,0)</f>
        <v>1</v>
      </c>
      <c r="W1295">
        <f>IF(COUNTIF($E1295, _xlfn.CONCAT("*",Table13[[#Headers],[Science Fiction]],"*")),1,0)</f>
        <v>0</v>
      </c>
      <c r="X1295">
        <f>IF(COUNTIF($E1295, _xlfn.CONCAT("*",Table13[[#Headers],[TV Movie]],"*")),1,0)</f>
        <v>0</v>
      </c>
      <c r="Y1295">
        <f>IF(COUNTIF($E1295, _xlfn.CONCAT("*",Table13[[#Headers],[Thriller]],"*")),1,0)</f>
        <v>1</v>
      </c>
      <c r="Z1295">
        <f>IF(COUNTIF($E1295, _xlfn.CONCAT("*",Table13[[#Headers],[War]],"*")),1,0)</f>
        <v>0</v>
      </c>
      <c r="AA1295">
        <f>IF(COUNTIF($E1295, _xlfn.CONCAT("*",Table13[[#Headers],[Western]],"*")),1,0)</f>
        <v>0</v>
      </c>
    </row>
    <row r="1296" spans="1:27">
      <c r="A1296" t="s">
        <v>1199</v>
      </c>
      <c r="B1296">
        <v>40</v>
      </c>
      <c r="C1296">
        <f>MAX(Table13[Rank])-Table13[[#This Row],[Rank]]</f>
        <v>224</v>
      </c>
      <c r="D1296" t="s">
        <v>1131</v>
      </c>
      <c r="E1296" t="s">
        <v>21</v>
      </c>
      <c r="F1296" s="1">
        <v>39710</v>
      </c>
      <c r="G1296">
        <f>YEAR(Table13[[#This Row],[Date]])</f>
        <v>2008</v>
      </c>
      <c r="H1296" t="s">
        <v>1199</v>
      </c>
      <c r="I1296">
        <f>IF(COUNTIF($E1296, _xlfn.CONCAT("*",Table13[[#Headers],[Action]],"*")),1,0)</f>
        <v>0</v>
      </c>
      <c r="J1296">
        <f>IF(COUNTIF($E1296, _xlfn.CONCAT("*",Table13[[#Headers],[Adventure]],"*")),1,0)</f>
        <v>0</v>
      </c>
      <c r="K1296">
        <f>IF(COUNTIF($E1296, _xlfn.CONCAT("*",Table13[[#Headers],[Animation]],"*")),1,0)</f>
        <v>0</v>
      </c>
      <c r="L1296">
        <f>IF(COUNTIF($E1296, _xlfn.CONCAT("*",Table13[[#Headers],[Comedy]],"*")),1,0)</f>
        <v>0</v>
      </c>
      <c r="M1296">
        <f>IF(COUNTIF($E1296, _xlfn.CONCAT("*",Table13[[#Headers],[Crime]],"*")),1,0)</f>
        <v>0</v>
      </c>
      <c r="N1296">
        <f>IF(COUNTIF($E1296, _xlfn.CONCAT("*",Table13[[#Headers],[Documentary]],"*")),1,0)</f>
        <v>0</v>
      </c>
      <c r="O1296">
        <f>IF(COUNTIF($E1296, _xlfn.CONCAT("*",Table13[[#Headers],[Drama]],"*")),1,0)</f>
        <v>1</v>
      </c>
      <c r="P1296">
        <f>IF(COUNTIF($E1296, _xlfn.CONCAT("*",Table13[[#Headers],[Family]],"*")),1,0)</f>
        <v>0</v>
      </c>
      <c r="Q1296">
        <f>IF(COUNTIF($E1296, _xlfn.CONCAT("*",Table13[[#Headers],[Fantasy]],"*")),1,0)</f>
        <v>0</v>
      </c>
      <c r="R1296">
        <f>IF(COUNTIF($E1296, _xlfn.CONCAT("*",Table13[[#Headers],[History]],"*")),1,0)</f>
        <v>0</v>
      </c>
      <c r="S1296">
        <f>IF(COUNTIF($E1296, _xlfn.CONCAT("*",Table13[[#Headers],[Horror]],"*")),1,0)</f>
        <v>0</v>
      </c>
      <c r="T1296">
        <f>IF(COUNTIF($E1296, _xlfn.CONCAT("*",Table13[[#Headers],[Music]],"*")),1,0)</f>
        <v>0</v>
      </c>
      <c r="U1296">
        <f>IF(COUNTIF($E1296, _xlfn.CONCAT("*",Table13[[#Headers],[Mystery]],"*")),1,0)</f>
        <v>0</v>
      </c>
      <c r="V1296">
        <f>IF(COUNTIF($E1296, _xlfn.CONCAT("*",Table13[[#Headers],[Romance]],"*")),1,0)</f>
        <v>0</v>
      </c>
      <c r="W1296">
        <f>IF(COUNTIF($E1296, _xlfn.CONCAT("*",Table13[[#Headers],[Science Fiction]],"*")),1,0)</f>
        <v>0</v>
      </c>
      <c r="X1296">
        <f>IF(COUNTIF($E1296, _xlfn.CONCAT("*",Table13[[#Headers],[TV Movie]],"*")),1,0)</f>
        <v>0</v>
      </c>
      <c r="Y1296">
        <f>IF(COUNTIF($E1296, _xlfn.CONCAT("*",Table13[[#Headers],[Thriller]],"*")),1,0)</f>
        <v>0</v>
      </c>
      <c r="Z1296">
        <f>IF(COUNTIF($E1296, _xlfn.CONCAT("*",Table13[[#Headers],[War]],"*")),1,0)</f>
        <v>0</v>
      </c>
      <c r="AA1296">
        <f>IF(COUNTIF($E1296, _xlfn.CONCAT("*",Table13[[#Headers],[Western]],"*")),1,0)</f>
        <v>0</v>
      </c>
    </row>
    <row r="1297" spans="1:27">
      <c r="A1297" t="s">
        <v>1200</v>
      </c>
      <c r="B1297">
        <v>39</v>
      </c>
      <c r="C1297">
        <f>MAX(Table13[Rank])-Table13[[#This Row],[Rank]]</f>
        <v>225</v>
      </c>
      <c r="D1297" t="s">
        <v>1131</v>
      </c>
      <c r="E1297" t="s">
        <v>141</v>
      </c>
      <c r="F1297" s="1">
        <v>40641</v>
      </c>
      <c r="G1297">
        <f>YEAR(Table13[[#This Row],[Date]])</f>
        <v>2011</v>
      </c>
      <c r="H1297" t="s">
        <v>1201</v>
      </c>
      <c r="I1297">
        <f>IF(COUNTIF($E1297, _xlfn.CONCAT("*",Table13[[#Headers],[Action]],"*")),1,0)</f>
        <v>0</v>
      </c>
      <c r="J1297">
        <f>IF(COUNTIF($E1297, _xlfn.CONCAT("*",Table13[[#Headers],[Adventure]],"*")),1,0)</f>
        <v>0</v>
      </c>
      <c r="K1297">
        <f>IF(COUNTIF($E1297, _xlfn.CONCAT("*",Table13[[#Headers],[Animation]],"*")),1,0)</f>
        <v>0</v>
      </c>
      <c r="L1297">
        <f>IF(COUNTIF($E1297, _xlfn.CONCAT("*",Table13[[#Headers],[Comedy]],"*")),1,0)</f>
        <v>0</v>
      </c>
      <c r="M1297">
        <f>IF(COUNTIF($E1297, _xlfn.CONCAT("*",Table13[[#Headers],[Crime]],"*")),1,0)</f>
        <v>0</v>
      </c>
      <c r="N1297">
        <f>IF(COUNTIF($E1297, _xlfn.CONCAT("*",Table13[[#Headers],[Documentary]],"*")),1,0)</f>
        <v>0</v>
      </c>
      <c r="O1297">
        <f>IF(COUNTIF($E1297, _xlfn.CONCAT("*",Table13[[#Headers],[Drama]],"*")),1,0)</f>
        <v>0</v>
      </c>
      <c r="P1297">
        <f>IF(COUNTIF($E1297, _xlfn.CONCAT("*",Table13[[#Headers],[Family]],"*")),1,0)</f>
        <v>0</v>
      </c>
      <c r="Q1297">
        <f>IF(COUNTIF($E1297, _xlfn.CONCAT("*",Table13[[#Headers],[Fantasy]],"*")),1,0)</f>
        <v>0</v>
      </c>
      <c r="R1297">
        <f>IF(COUNTIF($E1297, _xlfn.CONCAT("*",Table13[[#Headers],[History]],"*")),1,0)</f>
        <v>0</v>
      </c>
      <c r="S1297">
        <f>IF(COUNTIF($E1297, _xlfn.CONCAT("*",Table13[[#Headers],[Horror]],"*")),1,0)</f>
        <v>0</v>
      </c>
      <c r="T1297">
        <f>IF(COUNTIF($E1297, _xlfn.CONCAT("*",Table13[[#Headers],[Music]],"*")),1,0)</f>
        <v>0</v>
      </c>
      <c r="U1297">
        <f>IF(COUNTIF($E1297, _xlfn.CONCAT("*",Table13[[#Headers],[Mystery]],"*")),1,0)</f>
        <v>0</v>
      </c>
      <c r="V1297">
        <f>IF(COUNTIF($E1297, _xlfn.CONCAT("*",Table13[[#Headers],[Romance]],"*")),1,0)</f>
        <v>0</v>
      </c>
      <c r="W1297">
        <f>IF(COUNTIF($E1297, _xlfn.CONCAT("*",Table13[[#Headers],[Science Fiction]],"*")),1,0)</f>
        <v>0</v>
      </c>
      <c r="X1297">
        <f>IF(COUNTIF($E1297, _xlfn.CONCAT("*",Table13[[#Headers],[TV Movie]],"*")),1,0)</f>
        <v>0</v>
      </c>
      <c r="Y1297">
        <f>IF(COUNTIF($E1297, _xlfn.CONCAT("*",Table13[[#Headers],[Thriller]],"*")),1,0)</f>
        <v>0</v>
      </c>
      <c r="Z1297">
        <f>IF(COUNTIF($E1297, _xlfn.CONCAT("*",Table13[[#Headers],[War]],"*")),1,0)</f>
        <v>0</v>
      </c>
      <c r="AA1297">
        <f>IF(COUNTIF($E1297, _xlfn.CONCAT("*",Table13[[#Headers],[Western]],"*")),1,0)</f>
        <v>1</v>
      </c>
    </row>
    <row r="1298" spans="1:27">
      <c r="A1298" t="s">
        <v>1202</v>
      </c>
      <c r="B1298">
        <v>38</v>
      </c>
      <c r="C1298">
        <f>MAX(Table13[Rank])-Table13[[#This Row],[Rank]]</f>
        <v>226</v>
      </c>
      <c r="D1298" t="s">
        <v>1131</v>
      </c>
      <c r="E1298" t="s">
        <v>166</v>
      </c>
      <c r="F1298" s="1">
        <v>40809</v>
      </c>
      <c r="G1298">
        <f>YEAR(Table13[[#This Row],[Date]])</f>
        <v>2011</v>
      </c>
      <c r="H1298" t="s">
        <v>1202</v>
      </c>
      <c r="I1298">
        <f>IF(COUNTIF($E1298, _xlfn.CONCAT("*",Table13[[#Headers],[Action]],"*")),1,0)</f>
        <v>0</v>
      </c>
      <c r="J1298">
        <f>IF(COUNTIF($E1298, _xlfn.CONCAT("*",Table13[[#Headers],[Adventure]],"*")),1,0)</f>
        <v>0</v>
      </c>
      <c r="K1298">
        <f>IF(COUNTIF($E1298, _xlfn.CONCAT("*",Table13[[#Headers],[Animation]],"*")),1,0)</f>
        <v>0</v>
      </c>
      <c r="L1298">
        <f>IF(COUNTIF($E1298, _xlfn.CONCAT("*",Table13[[#Headers],[Comedy]],"*")),1,0)</f>
        <v>0</v>
      </c>
      <c r="M1298">
        <f>IF(COUNTIF($E1298, _xlfn.CONCAT("*",Table13[[#Headers],[Crime]],"*")),1,0)</f>
        <v>1</v>
      </c>
      <c r="N1298">
        <f>IF(COUNTIF($E1298, _xlfn.CONCAT("*",Table13[[#Headers],[Documentary]],"*")),1,0)</f>
        <v>0</v>
      </c>
      <c r="O1298">
        <f>IF(COUNTIF($E1298, _xlfn.CONCAT("*",Table13[[#Headers],[Drama]],"*")),1,0)</f>
        <v>1</v>
      </c>
      <c r="P1298">
        <f>IF(COUNTIF($E1298, _xlfn.CONCAT("*",Table13[[#Headers],[Family]],"*")),1,0)</f>
        <v>0</v>
      </c>
      <c r="Q1298">
        <f>IF(COUNTIF($E1298, _xlfn.CONCAT("*",Table13[[#Headers],[Fantasy]],"*")),1,0)</f>
        <v>0</v>
      </c>
      <c r="R1298">
        <f>IF(COUNTIF($E1298, _xlfn.CONCAT("*",Table13[[#Headers],[History]],"*")),1,0)</f>
        <v>0</v>
      </c>
      <c r="S1298">
        <f>IF(COUNTIF($E1298, _xlfn.CONCAT("*",Table13[[#Headers],[Horror]],"*")),1,0)</f>
        <v>0</v>
      </c>
      <c r="T1298">
        <f>IF(COUNTIF($E1298, _xlfn.CONCAT("*",Table13[[#Headers],[Music]],"*")),1,0)</f>
        <v>0</v>
      </c>
      <c r="U1298">
        <f>IF(COUNTIF($E1298, _xlfn.CONCAT("*",Table13[[#Headers],[Mystery]],"*")),1,0)</f>
        <v>0</v>
      </c>
      <c r="V1298">
        <f>IF(COUNTIF($E1298, _xlfn.CONCAT("*",Table13[[#Headers],[Romance]],"*")),1,0)</f>
        <v>0</v>
      </c>
      <c r="W1298">
        <f>IF(COUNTIF($E1298, _xlfn.CONCAT("*",Table13[[#Headers],[Science Fiction]],"*")),1,0)</f>
        <v>0</v>
      </c>
      <c r="X1298">
        <f>IF(COUNTIF($E1298, _xlfn.CONCAT("*",Table13[[#Headers],[TV Movie]],"*")),1,0)</f>
        <v>0</v>
      </c>
      <c r="Y1298">
        <f>IF(COUNTIF($E1298, _xlfn.CONCAT("*",Table13[[#Headers],[Thriller]],"*")),1,0)</f>
        <v>0</v>
      </c>
      <c r="Z1298">
        <f>IF(COUNTIF($E1298, _xlfn.CONCAT("*",Table13[[#Headers],[War]],"*")),1,0)</f>
        <v>0</v>
      </c>
      <c r="AA1298">
        <f>IF(COUNTIF($E1298, _xlfn.CONCAT("*",Table13[[#Headers],[Western]],"*")),1,0)</f>
        <v>0</v>
      </c>
    </row>
    <row r="1299" spans="1:27">
      <c r="A1299" t="s">
        <v>1203</v>
      </c>
      <c r="B1299">
        <v>37</v>
      </c>
      <c r="C1299">
        <f>MAX(Table13[Rank])-Table13[[#This Row],[Rank]]</f>
        <v>227</v>
      </c>
      <c r="D1299" t="s">
        <v>1131</v>
      </c>
      <c r="E1299" t="s">
        <v>367</v>
      </c>
      <c r="F1299" s="1">
        <v>37760</v>
      </c>
      <c r="G1299">
        <f>YEAR(Table13[[#This Row],[Date]])</f>
        <v>2003</v>
      </c>
      <c r="H1299" t="s">
        <v>1203</v>
      </c>
      <c r="I1299">
        <f>IF(COUNTIF($E1299, _xlfn.CONCAT("*",Table13[[#Headers],[Action]],"*")),1,0)</f>
        <v>0</v>
      </c>
      <c r="J1299">
        <f>IF(COUNTIF($E1299, _xlfn.CONCAT("*",Table13[[#Headers],[Adventure]],"*")),1,0)</f>
        <v>0</v>
      </c>
      <c r="K1299">
        <f>IF(COUNTIF($E1299, _xlfn.CONCAT("*",Table13[[#Headers],[Animation]],"*")),1,0)</f>
        <v>0</v>
      </c>
      <c r="L1299">
        <f>IF(COUNTIF($E1299, _xlfn.CONCAT("*",Table13[[#Headers],[Comedy]],"*")),1,0)</f>
        <v>0</v>
      </c>
      <c r="M1299">
        <f>IF(COUNTIF($E1299, _xlfn.CONCAT("*",Table13[[#Headers],[Crime]],"*")),1,0)</f>
        <v>1</v>
      </c>
      <c r="N1299">
        <f>IF(COUNTIF($E1299, _xlfn.CONCAT("*",Table13[[#Headers],[Documentary]],"*")),1,0)</f>
        <v>0</v>
      </c>
      <c r="O1299">
        <f>IF(COUNTIF($E1299, _xlfn.CONCAT("*",Table13[[#Headers],[Drama]],"*")),1,0)</f>
        <v>1</v>
      </c>
      <c r="P1299">
        <f>IF(COUNTIF($E1299, _xlfn.CONCAT("*",Table13[[#Headers],[Family]],"*")),1,0)</f>
        <v>0</v>
      </c>
      <c r="Q1299">
        <f>IF(COUNTIF($E1299, _xlfn.CONCAT("*",Table13[[#Headers],[Fantasy]],"*")),1,0)</f>
        <v>0</v>
      </c>
      <c r="R1299">
        <f>IF(COUNTIF($E1299, _xlfn.CONCAT("*",Table13[[#Headers],[History]],"*")),1,0)</f>
        <v>0</v>
      </c>
      <c r="S1299">
        <f>IF(COUNTIF($E1299, _xlfn.CONCAT("*",Table13[[#Headers],[Horror]],"*")),1,0)</f>
        <v>0</v>
      </c>
      <c r="T1299">
        <f>IF(COUNTIF($E1299, _xlfn.CONCAT("*",Table13[[#Headers],[Music]],"*")),1,0)</f>
        <v>0</v>
      </c>
      <c r="U1299">
        <f>IF(COUNTIF($E1299, _xlfn.CONCAT("*",Table13[[#Headers],[Mystery]],"*")),1,0)</f>
        <v>0</v>
      </c>
      <c r="V1299">
        <f>IF(COUNTIF($E1299, _xlfn.CONCAT("*",Table13[[#Headers],[Romance]],"*")),1,0)</f>
        <v>0</v>
      </c>
      <c r="W1299">
        <f>IF(COUNTIF($E1299, _xlfn.CONCAT("*",Table13[[#Headers],[Science Fiction]],"*")),1,0)</f>
        <v>0</v>
      </c>
      <c r="X1299">
        <f>IF(COUNTIF($E1299, _xlfn.CONCAT("*",Table13[[#Headers],[TV Movie]],"*")),1,0)</f>
        <v>0</v>
      </c>
      <c r="Y1299">
        <f>IF(COUNTIF($E1299, _xlfn.CONCAT("*",Table13[[#Headers],[Thriller]],"*")),1,0)</f>
        <v>1</v>
      </c>
      <c r="Z1299">
        <f>IF(COUNTIF($E1299, _xlfn.CONCAT("*",Table13[[#Headers],[War]],"*")),1,0)</f>
        <v>0</v>
      </c>
      <c r="AA1299">
        <f>IF(COUNTIF($E1299, _xlfn.CONCAT("*",Table13[[#Headers],[Western]],"*")),1,0)</f>
        <v>0</v>
      </c>
    </row>
    <row r="1300" spans="1:27">
      <c r="A1300" t="s">
        <v>813</v>
      </c>
      <c r="B1300">
        <v>36</v>
      </c>
      <c r="C1300">
        <f>MAX(Table13[Rank])-Table13[[#This Row],[Rank]]</f>
        <v>228</v>
      </c>
      <c r="D1300" t="s">
        <v>1131</v>
      </c>
      <c r="E1300" t="s">
        <v>21</v>
      </c>
      <c r="F1300" s="1">
        <v>43680</v>
      </c>
      <c r="G1300">
        <f>YEAR(Table13[[#This Row],[Date]])</f>
        <v>2019</v>
      </c>
      <c r="H1300" t="s">
        <v>813</v>
      </c>
      <c r="I1300">
        <f>IF(COUNTIF($E1300, _xlfn.CONCAT("*",Table13[[#Headers],[Action]],"*")),1,0)</f>
        <v>0</v>
      </c>
      <c r="J1300">
        <f>IF(COUNTIF($E1300, _xlfn.CONCAT("*",Table13[[#Headers],[Adventure]],"*")),1,0)</f>
        <v>0</v>
      </c>
      <c r="K1300">
        <f>IF(COUNTIF($E1300, _xlfn.CONCAT("*",Table13[[#Headers],[Animation]],"*")),1,0)</f>
        <v>0</v>
      </c>
      <c r="L1300">
        <f>IF(COUNTIF($E1300, _xlfn.CONCAT("*",Table13[[#Headers],[Comedy]],"*")),1,0)</f>
        <v>0</v>
      </c>
      <c r="M1300">
        <f>IF(COUNTIF($E1300, _xlfn.CONCAT("*",Table13[[#Headers],[Crime]],"*")),1,0)</f>
        <v>0</v>
      </c>
      <c r="N1300">
        <f>IF(COUNTIF($E1300, _xlfn.CONCAT("*",Table13[[#Headers],[Documentary]],"*")),1,0)</f>
        <v>0</v>
      </c>
      <c r="O1300">
        <f>IF(COUNTIF($E1300, _xlfn.CONCAT("*",Table13[[#Headers],[Drama]],"*")),1,0)</f>
        <v>1</v>
      </c>
      <c r="P1300">
        <f>IF(COUNTIF($E1300, _xlfn.CONCAT("*",Table13[[#Headers],[Family]],"*")),1,0)</f>
        <v>0</v>
      </c>
      <c r="Q1300">
        <f>IF(COUNTIF($E1300, _xlfn.CONCAT("*",Table13[[#Headers],[Fantasy]],"*")),1,0)</f>
        <v>0</v>
      </c>
      <c r="R1300">
        <f>IF(COUNTIF($E1300, _xlfn.CONCAT("*",Table13[[#Headers],[History]],"*")),1,0)</f>
        <v>0</v>
      </c>
      <c r="S1300">
        <f>IF(COUNTIF($E1300, _xlfn.CONCAT("*",Table13[[#Headers],[Horror]],"*")),1,0)</f>
        <v>0</v>
      </c>
      <c r="T1300">
        <f>IF(COUNTIF($E1300, _xlfn.CONCAT("*",Table13[[#Headers],[Music]],"*")),1,0)</f>
        <v>0</v>
      </c>
      <c r="U1300">
        <f>IF(COUNTIF($E1300, _xlfn.CONCAT("*",Table13[[#Headers],[Mystery]],"*")),1,0)</f>
        <v>0</v>
      </c>
      <c r="V1300">
        <f>IF(COUNTIF($E1300, _xlfn.CONCAT("*",Table13[[#Headers],[Romance]],"*")),1,0)</f>
        <v>0</v>
      </c>
      <c r="W1300">
        <f>IF(COUNTIF($E1300, _xlfn.CONCAT("*",Table13[[#Headers],[Science Fiction]],"*")),1,0)</f>
        <v>0</v>
      </c>
      <c r="X1300">
        <f>IF(COUNTIF($E1300, _xlfn.CONCAT("*",Table13[[#Headers],[TV Movie]],"*")),1,0)</f>
        <v>0</v>
      </c>
      <c r="Y1300">
        <f>IF(COUNTIF($E1300, _xlfn.CONCAT("*",Table13[[#Headers],[Thriller]],"*")),1,0)</f>
        <v>0</v>
      </c>
      <c r="Z1300">
        <f>IF(COUNTIF($E1300, _xlfn.CONCAT("*",Table13[[#Headers],[War]],"*")),1,0)</f>
        <v>0</v>
      </c>
      <c r="AA1300">
        <f>IF(COUNTIF($E1300, _xlfn.CONCAT("*",Table13[[#Headers],[Western]],"*")),1,0)</f>
        <v>0</v>
      </c>
    </row>
    <row r="1301" spans="1:27">
      <c r="A1301" t="s">
        <v>1204</v>
      </c>
      <c r="B1301">
        <v>35</v>
      </c>
      <c r="C1301">
        <f>MAX(Table13[Rank])-Table13[[#This Row],[Rank]]</f>
        <v>229</v>
      </c>
      <c r="D1301" t="s">
        <v>1131</v>
      </c>
      <c r="E1301" t="s">
        <v>35</v>
      </c>
      <c r="F1301" s="1">
        <v>42220</v>
      </c>
      <c r="G1301">
        <f>YEAR(Table13[[#This Row],[Date]])</f>
        <v>2015</v>
      </c>
      <c r="H1301" t="s">
        <v>1204</v>
      </c>
      <c r="I1301">
        <f>IF(COUNTIF($E1301, _xlfn.CONCAT("*",Table13[[#Headers],[Action]],"*")),1,0)</f>
        <v>0</v>
      </c>
      <c r="J1301">
        <f>IF(COUNTIF($E1301, _xlfn.CONCAT("*",Table13[[#Headers],[Adventure]],"*")),1,0)</f>
        <v>0</v>
      </c>
      <c r="K1301">
        <f>IF(COUNTIF($E1301, _xlfn.CONCAT("*",Table13[[#Headers],[Animation]],"*")),1,0)</f>
        <v>0</v>
      </c>
      <c r="L1301">
        <f>IF(COUNTIF($E1301, _xlfn.CONCAT("*",Table13[[#Headers],[Comedy]],"*")),1,0)</f>
        <v>0</v>
      </c>
      <c r="M1301">
        <f>IF(COUNTIF($E1301, _xlfn.CONCAT("*",Table13[[#Headers],[Crime]],"*")),1,0)</f>
        <v>0</v>
      </c>
      <c r="N1301">
        <f>IF(COUNTIF($E1301, _xlfn.CONCAT("*",Table13[[#Headers],[Documentary]],"*")),1,0)</f>
        <v>0</v>
      </c>
      <c r="O1301">
        <f>IF(COUNTIF($E1301, _xlfn.CONCAT("*",Table13[[#Headers],[Drama]],"*")),1,0)</f>
        <v>1</v>
      </c>
      <c r="P1301">
        <f>IF(COUNTIF($E1301, _xlfn.CONCAT("*",Table13[[#Headers],[Family]],"*")),1,0)</f>
        <v>0</v>
      </c>
      <c r="Q1301">
        <f>IF(COUNTIF($E1301, _xlfn.CONCAT("*",Table13[[#Headers],[Fantasy]],"*")),1,0)</f>
        <v>0</v>
      </c>
      <c r="R1301">
        <f>IF(COUNTIF($E1301, _xlfn.CONCAT("*",Table13[[#Headers],[History]],"*")),1,0)</f>
        <v>0</v>
      </c>
      <c r="S1301">
        <f>IF(COUNTIF($E1301, _xlfn.CONCAT("*",Table13[[#Headers],[Horror]],"*")),1,0)</f>
        <v>0</v>
      </c>
      <c r="T1301">
        <f>IF(COUNTIF($E1301, _xlfn.CONCAT("*",Table13[[#Headers],[Music]],"*")),1,0)</f>
        <v>0</v>
      </c>
      <c r="U1301">
        <f>IF(COUNTIF($E1301, _xlfn.CONCAT("*",Table13[[#Headers],[Mystery]],"*")),1,0)</f>
        <v>0</v>
      </c>
      <c r="V1301">
        <f>IF(COUNTIF($E1301, _xlfn.CONCAT("*",Table13[[#Headers],[Romance]],"*")),1,0)</f>
        <v>1</v>
      </c>
      <c r="W1301">
        <f>IF(COUNTIF($E1301, _xlfn.CONCAT("*",Table13[[#Headers],[Science Fiction]],"*")),1,0)</f>
        <v>0</v>
      </c>
      <c r="X1301">
        <f>IF(COUNTIF($E1301, _xlfn.CONCAT("*",Table13[[#Headers],[TV Movie]],"*")),1,0)</f>
        <v>0</v>
      </c>
      <c r="Y1301">
        <f>IF(COUNTIF($E1301, _xlfn.CONCAT("*",Table13[[#Headers],[Thriller]],"*")),1,0)</f>
        <v>0</v>
      </c>
      <c r="Z1301">
        <f>IF(COUNTIF($E1301, _xlfn.CONCAT("*",Table13[[#Headers],[War]],"*")),1,0)</f>
        <v>0</v>
      </c>
      <c r="AA1301">
        <f>IF(COUNTIF($E1301, _xlfn.CONCAT("*",Table13[[#Headers],[Western]],"*")),1,0)</f>
        <v>0</v>
      </c>
    </row>
    <row r="1302" spans="1:27">
      <c r="A1302" t="s">
        <v>1205</v>
      </c>
      <c r="B1302">
        <v>34</v>
      </c>
      <c r="C1302">
        <f>MAX(Table13[Rank])-Table13[[#This Row],[Rank]]</f>
        <v>230</v>
      </c>
      <c r="D1302" t="s">
        <v>1131</v>
      </c>
      <c r="E1302" t="s">
        <v>127</v>
      </c>
      <c r="F1302" s="1">
        <v>31758</v>
      </c>
      <c r="G1302">
        <f>YEAR(Table13[[#This Row],[Date]])</f>
        <v>1986</v>
      </c>
      <c r="H1302" t="s">
        <v>1206</v>
      </c>
      <c r="I1302">
        <f>IF(COUNTIF($E1302, _xlfn.CONCAT("*",Table13[[#Headers],[Action]],"*")),1,0)</f>
        <v>1</v>
      </c>
      <c r="J1302">
        <f>IF(COUNTIF($E1302, _xlfn.CONCAT("*",Table13[[#Headers],[Adventure]],"*")),1,0)</f>
        <v>1</v>
      </c>
      <c r="K1302">
        <f>IF(COUNTIF($E1302, _xlfn.CONCAT("*",Table13[[#Headers],[Animation]],"*")),1,0)</f>
        <v>0</v>
      </c>
      <c r="L1302">
        <f>IF(COUNTIF($E1302, _xlfn.CONCAT("*",Table13[[#Headers],[Comedy]],"*")),1,0)</f>
        <v>1</v>
      </c>
      <c r="M1302">
        <f>IF(COUNTIF($E1302, _xlfn.CONCAT("*",Table13[[#Headers],[Crime]],"*")),1,0)</f>
        <v>0</v>
      </c>
      <c r="N1302">
        <f>IF(COUNTIF($E1302, _xlfn.CONCAT("*",Table13[[#Headers],[Documentary]],"*")),1,0)</f>
        <v>0</v>
      </c>
      <c r="O1302">
        <f>IF(COUNTIF($E1302, _xlfn.CONCAT("*",Table13[[#Headers],[Drama]],"*")),1,0)</f>
        <v>0</v>
      </c>
      <c r="P1302">
        <f>IF(COUNTIF($E1302, _xlfn.CONCAT("*",Table13[[#Headers],[Family]],"*")),1,0)</f>
        <v>0</v>
      </c>
      <c r="Q1302">
        <f>IF(COUNTIF($E1302, _xlfn.CONCAT("*",Table13[[#Headers],[Fantasy]],"*")),1,0)</f>
        <v>0</v>
      </c>
      <c r="R1302">
        <f>IF(COUNTIF($E1302, _xlfn.CONCAT("*",Table13[[#Headers],[History]],"*")),1,0)</f>
        <v>0</v>
      </c>
      <c r="S1302">
        <f>IF(COUNTIF($E1302, _xlfn.CONCAT("*",Table13[[#Headers],[Horror]],"*")),1,0)</f>
        <v>0</v>
      </c>
      <c r="T1302">
        <f>IF(COUNTIF($E1302, _xlfn.CONCAT("*",Table13[[#Headers],[Music]],"*")),1,0)</f>
        <v>0</v>
      </c>
      <c r="U1302">
        <f>IF(COUNTIF($E1302, _xlfn.CONCAT("*",Table13[[#Headers],[Mystery]],"*")),1,0)</f>
        <v>0</v>
      </c>
      <c r="V1302">
        <f>IF(COUNTIF($E1302, _xlfn.CONCAT("*",Table13[[#Headers],[Romance]],"*")),1,0)</f>
        <v>0</v>
      </c>
      <c r="W1302">
        <f>IF(COUNTIF($E1302, _xlfn.CONCAT("*",Table13[[#Headers],[Science Fiction]],"*")),1,0)</f>
        <v>0</v>
      </c>
      <c r="X1302">
        <f>IF(COUNTIF($E1302, _xlfn.CONCAT("*",Table13[[#Headers],[TV Movie]],"*")),1,0)</f>
        <v>0</v>
      </c>
      <c r="Y1302">
        <f>IF(COUNTIF($E1302, _xlfn.CONCAT("*",Table13[[#Headers],[Thriller]],"*")),1,0)</f>
        <v>0</v>
      </c>
      <c r="Z1302">
        <f>IF(COUNTIF($E1302, _xlfn.CONCAT("*",Table13[[#Headers],[War]],"*")),1,0)</f>
        <v>0</v>
      </c>
      <c r="AA1302">
        <f>IF(COUNTIF($E1302, _xlfn.CONCAT("*",Table13[[#Headers],[Western]],"*")),1,0)</f>
        <v>0</v>
      </c>
    </row>
    <row r="1303" spans="1:27">
      <c r="A1303" t="s">
        <v>1207</v>
      </c>
      <c r="B1303">
        <v>33</v>
      </c>
      <c r="C1303">
        <f>MAX(Table13[Rank])-Table13[[#This Row],[Rank]]</f>
        <v>231</v>
      </c>
      <c r="D1303" t="s">
        <v>1131</v>
      </c>
      <c r="E1303" t="s">
        <v>164</v>
      </c>
      <c r="F1303" s="1">
        <v>37169</v>
      </c>
      <c r="G1303">
        <f>YEAR(Table13[[#This Row],[Date]])</f>
        <v>2001</v>
      </c>
      <c r="H1303" t="s">
        <v>1207</v>
      </c>
      <c r="I1303">
        <f>IF(COUNTIF($E1303, _xlfn.CONCAT("*",Table13[[#Headers],[Action]],"*")),1,0)</f>
        <v>0</v>
      </c>
      <c r="J1303">
        <f>IF(COUNTIF($E1303, _xlfn.CONCAT("*",Table13[[#Headers],[Adventure]],"*")),1,0)</f>
        <v>0</v>
      </c>
      <c r="K1303">
        <f>IF(COUNTIF($E1303, _xlfn.CONCAT("*",Table13[[#Headers],[Animation]],"*")),1,0)</f>
        <v>0</v>
      </c>
      <c r="L1303">
        <f>IF(COUNTIF($E1303, _xlfn.CONCAT("*",Table13[[#Headers],[Comedy]],"*")),1,0)</f>
        <v>1</v>
      </c>
      <c r="M1303">
        <f>IF(COUNTIF($E1303, _xlfn.CONCAT("*",Table13[[#Headers],[Crime]],"*")),1,0)</f>
        <v>0</v>
      </c>
      <c r="N1303">
        <f>IF(COUNTIF($E1303, _xlfn.CONCAT("*",Table13[[#Headers],[Documentary]],"*")),1,0)</f>
        <v>0</v>
      </c>
      <c r="O1303">
        <f>IF(COUNTIF($E1303, _xlfn.CONCAT("*",Table13[[#Headers],[Drama]],"*")),1,0)</f>
        <v>1</v>
      </c>
      <c r="P1303">
        <f>IF(COUNTIF($E1303, _xlfn.CONCAT("*",Table13[[#Headers],[Family]],"*")),1,0)</f>
        <v>0</v>
      </c>
      <c r="Q1303">
        <f>IF(COUNTIF($E1303, _xlfn.CONCAT("*",Table13[[#Headers],[Fantasy]],"*")),1,0)</f>
        <v>0</v>
      </c>
      <c r="R1303">
        <f>IF(COUNTIF($E1303, _xlfn.CONCAT("*",Table13[[#Headers],[History]],"*")),1,0)</f>
        <v>0</v>
      </c>
      <c r="S1303">
        <f>IF(COUNTIF($E1303, _xlfn.CONCAT("*",Table13[[#Headers],[Horror]],"*")),1,0)</f>
        <v>0</v>
      </c>
      <c r="T1303">
        <f>IF(COUNTIF($E1303, _xlfn.CONCAT("*",Table13[[#Headers],[Music]],"*")),1,0)</f>
        <v>0</v>
      </c>
      <c r="U1303">
        <f>IF(COUNTIF($E1303, _xlfn.CONCAT("*",Table13[[#Headers],[Mystery]],"*")),1,0)</f>
        <v>0</v>
      </c>
      <c r="V1303">
        <f>IF(COUNTIF($E1303, _xlfn.CONCAT("*",Table13[[#Headers],[Romance]],"*")),1,0)</f>
        <v>0</v>
      </c>
      <c r="W1303">
        <f>IF(COUNTIF($E1303, _xlfn.CONCAT("*",Table13[[#Headers],[Science Fiction]],"*")),1,0)</f>
        <v>0</v>
      </c>
      <c r="X1303">
        <f>IF(COUNTIF($E1303, _xlfn.CONCAT("*",Table13[[#Headers],[TV Movie]],"*")),1,0)</f>
        <v>0</v>
      </c>
      <c r="Y1303">
        <f>IF(COUNTIF($E1303, _xlfn.CONCAT("*",Table13[[#Headers],[Thriller]],"*")),1,0)</f>
        <v>0</v>
      </c>
      <c r="Z1303">
        <f>IF(COUNTIF($E1303, _xlfn.CONCAT("*",Table13[[#Headers],[War]],"*")),1,0)</f>
        <v>0</v>
      </c>
      <c r="AA1303">
        <f>IF(COUNTIF($E1303, _xlfn.CONCAT("*",Table13[[#Headers],[Western]],"*")),1,0)</f>
        <v>0</v>
      </c>
    </row>
    <row r="1304" spans="1:27">
      <c r="A1304" t="s">
        <v>1208</v>
      </c>
      <c r="B1304">
        <v>32</v>
      </c>
      <c r="C1304">
        <f>MAX(Table13[Rank])-Table13[[#This Row],[Rank]]</f>
        <v>232</v>
      </c>
      <c r="D1304" t="s">
        <v>1131</v>
      </c>
      <c r="E1304" t="s">
        <v>1209</v>
      </c>
      <c r="F1304" s="1">
        <v>41550</v>
      </c>
      <c r="G1304">
        <f>YEAR(Table13[[#This Row],[Date]])</f>
        <v>2013</v>
      </c>
      <c r="H1304" t="s">
        <v>1208</v>
      </c>
      <c r="I1304">
        <f>IF(COUNTIF($E1304, _xlfn.CONCAT("*",Table13[[#Headers],[Action]],"*")),1,0)</f>
        <v>0</v>
      </c>
      <c r="J1304">
        <f>IF(COUNTIF($E1304, _xlfn.CONCAT("*",Table13[[#Headers],[Adventure]],"*")),1,0)</f>
        <v>0</v>
      </c>
      <c r="K1304">
        <f>IF(COUNTIF($E1304, _xlfn.CONCAT("*",Table13[[#Headers],[Animation]],"*")),1,0)</f>
        <v>0</v>
      </c>
      <c r="L1304">
        <f>IF(COUNTIF($E1304, _xlfn.CONCAT("*",Table13[[#Headers],[Comedy]],"*")),1,0)</f>
        <v>0</v>
      </c>
      <c r="M1304">
        <f>IF(COUNTIF($E1304, _xlfn.CONCAT("*",Table13[[#Headers],[Crime]],"*")),1,0)</f>
        <v>0</v>
      </c>
      <c r="N1304">
        <f>IF(COUNTIF($E1304, _xlfn.CONCAT("*",Table13[[#Headers],[Documentary]],"*")),1,0)</f>
        <v>0</v>
      </c>
      <c r="O1304">
        <f>IF(COUNTIF($E1304, _xlfn.CONCAT("*",Table13[[#Headers],[Drama]],"*")),1,0)</f>
        <v>1</v>
      </c>
      <c r="P1304">
        <f>IF(COUNTIF($E1304, _xlfn.CONCAT("*",Table13[[#Headers],[Family]],"*")),1,0)</f>
        <v>0</v>
      </c>
      <c r="Q1304">
        <f>IF(COUNTIF($E1304, _xlfn.CONCAT("*",Table13[[#Headers],[Fantasy]],"*")),1,0)</f>
        <v>0</v>
      </c>
      <c r="R1304">
        <f>IF(COUNTIF($E1304, _xlfn.CONCAT("*",Table13[[#Headers],[History]],"*")),1,0)</f>
        <v>0</v>
      </c>
      <c r="S1304">
        <f>IF(COUNTIF($E1304, _xlfn.CONCAT("*",Table13[[#Headers],[Horror]],"*")),1,0)</f>
        <v>0</v>
      </c>
      <c r="T1304">
        <f>IF(COUNTIF($E1304, _xlfn.CONCAT("*",Table13[[#Headers],[Music]],"*")),1,0)</f>
        <v>0</v>
      </c>
      <c r="U1304">
        <f>IF(COUNTIF($E1304, _xlfn.CONCAT("*",Table13[[#Headers],[Mystery]],"*")),1,0)</f>
        <v>0</v>
      </c>
      <c r="V1304">
        <f>IF(COUNTIF($E1304, _xlfn.CONCAT("*",Table13[[#Headers],[Romance]],"*")),1,0)</f>
        <v>0</v>
      </c>
      <c r="W1304">
        <f>IF(COUNTIF($E1304, _xlfn.CONCAT("*",Table13[[#Headers],[Science Fiction]],"*")),1,0)</f>
        <v>1</v>
      </c>
      <c r="X1304">
        <f>IF(COUNTIF($E1304, _xlfn.CONCAT("*",Table13[[#Headers],[TV Movie]],"*")),1,0)</f>
        <v>0</v>
      </c>
      <c r="Y1304">
        <f>IF(COUNTIF($E1304, _xlfn.CONCAT("*",Table13[[#Headers],[Thriller]],"*")),1,0)</f>
        <v>1</v>
      </c>
      <c r="Z1304">
        <f>IF(COUNTIF($E1304, _xlfn.CONCAT("*",Table13[[#Headers],[War]],"*")),1,0)</f>
        <v>0</v>
      </c>
      <c r="AA1304">
        <f>IF(COUNTIF($E1304, _xlfn.CONCAT("*",Table13[[#Headers],[Western]],"*")),1,0)</f>
        <v>0</v>
      </c>
    </row>
    <row r="1305" spans="1:27">
      <c r="A1305" t="s">
        <v>1210</v>
      </c>
      <c r="B1305">
        <v>31</v>
      </c>
      <c r="C1305">
        <f>MAX(Table13[Rank])-Table13[[#This Row],[Rank]]</f>
        <v>233</v>
      </c>
      <c r="D1305" t="s">
        <v>1131</v>
      </c>
      <c r="E1305" t="s">
        <v>1211</v>
      </c>
      <c r="F1305" s="1">
        <v>42368</v>
      </c>
      <c r="G1305">
        <f>YEAR(Table13[[#This Row],[Date]])</f>
        <v>2015</v>
      </c>
      <c r="H1305" t="s">
        <v>1210</v>
      </c>
      <c r="I1305">
        <f>IF(COUNTIF($E1305, _xlfn.CONCAT("*",Table13[[#Headers],[Action]],"*")),1,0)</f>
        <v>0</v>
      </c>
      <c r="J1305">
        <f>IF(COUNTIF($E1305, _xlfn.CONCAT("*",Table13[[#Headers],[Adventure]],"*")),1,0)</f>
        <v>0</v>
      </c>
      <c r="K1305">
        <f>IF(COUNTIF($E1305, _xlfn.CONCAT("*",Table13[[#Headers],[Animation]],"*")),1,0)</f>
        <v>1</v>
      </c>
      <c r="L1305">
        <f>IF(COUNTIF($E1305, _xlfn.CONCAT("*",Table13[[#Headers],[Comedy]],"*")),1,0)</f>
        <v>1</v>
      </c>
      <c r="M1305">
        <f>IF(COUNTIF($E1305, _xlfn.CONCAT("*",Table13[[#Headers],[Crime]],"*")),1,0)</f>
        <v>0</v>
      </c>
      <c r="N1305">
        <f>IF(COUNTIF($E1305, _xlfn.CONCAT("*",Table13[[#Headers],[Documentary]],"*")),1,0)</f>
        <v>0</v>
      </c>
      <c r="O1305">
        <f>IF(COUNTIF($E1305, _xlfn.CONCAT("*",Table13[[#Headers],[Drama]],"*")),1,0)</f>
        <v>1</v>
      </c>
      <c r="P1305">
        <f>IF(COUNTIF($E1305, _xlfn.CONCAT("*",Table13[[#Headers],[Family]],"*")),1,0)</f>
        <v>0</v>
      </c>
      <c r="Q1305">
        <f>IF(COUNTIF($E1305, _xlfn.CONCAT("*",Table13[[#Headers],[Fantasy]],"*")),1,0)</f>
        <v>0</v>
      </c>
      <c r="R1305">
        <f>IF(COUNTIF($E1305, _xlfn.CONCAT("*",Table13[[#Headers],[History]],"*")),1,0)</f>
        <v>0</v>
      </c>
      <c r="S1305">
        <f>IF(COUNTIF($E1305, _xlfn.CONCAT("*",Table13[[#Headers],[Horror]],"*")),1,0)</f>
        <v>0</v>
      </c>
      <c r="T1305">
        <f>IF(COUNTIF($E1305, _xlfn.CONCAT("*",Table13[[#Headers],[Music]],"*")),1,0)</f>
        <v>0</v>
      </c>
      <c r="U1305">
        <f>IF(COUNTIF($E1305, _xlfn.CONCAT("*",Table13[[#Headers],[Mystery]],"*")),1,0)</f>
        <v>0</v>
      </c>
      <c r="V1305">
        <f>IF(COUNTIF($E1305, _xlfn.CONCAT("*",Table13[[#Headers],[Romance]],"*")),1,0)</f>
        <v>1</v>
      </c>
      <c r="W1305">
        <f>IF(COUNTIF($E1305, _xlfn.CONCAT("*",Table13[[#Headers],[Science Fiction]],"*")),1,0)</f>
        <v>0</v>
      </c>
      <c r="X1305">
        <f>IF(COUNTIF($E1305, _xlfn.CONCAT("*",Table13[[#Headers],[TV Movie]],"*")),1,0)</f>
        <v>0</v>
      </c>
      <c r="Y1305">
        <f>IF(COUNTIF($E1305, _xlfn.CONCAT("*",Table13[[#Headers],[Thriller]],"*")),1,0)</f>
        <v>0</v>
      </c>
      <c r="Z1305">
        <f>IF(COUNTIF($E1305, _xlfn.CONCAT("*",Table13[[#Headers],[War]],"*")),1,0)</f>
        <v>0</v>
      </c>
      <c r="AA1305">
        <f>IF(COUNTIF($E1305, _xlfn.CONCAT("*",Table13[[#Headers],[Western]],"*")),1,0)</f>
        <v>0</v>
      </c>
    </row>
    <row r="1306" spans="1:27">
      <c r="A1306" t="s">
        <v>1212</v>
      </c>
      <c r="B1306">
        <v>30</v>
      </c>
      <c r="C1306">
        <f>MAX(Table13[Rank])-Table13[[#This Row],[Rank]]</f>
        <v>234</v>
      </c>
      <c r="D1306" t="s">
        <v>1131</v>
      </c>
      <c r="E1306" t="s">
        <v>1213</v>
      </c>
      <c r="F1306" s="1">
        <v>32584</v>
      </c>
      <c r="G1306">
        <f>YEAR(Table13[[#This Row],[Date]])</f>
        <v>1989</v>
      </c>
      <c r="H1306" t="s">
        <v>1212</v>
      </c>
      <c r="I1306">
        <f>IF(COUNTIF($E1306, _xlfn.CONCAT("*",Table13[[#Headers],[Action]],"*")),1,0)</f>
        <v>1</v>
      </c>
      <c r="J1306">
        <f>IF(COUNTIF($E1306, _xlfn.CONCAT("*",Table13[[#Headers],[Adventure]],"*")),1,0)</f>
        <v>1</v>
      </c>
      <c r="K1306">
        <f>IF(COUNTIF($E1306, _xlfn.CONCAT("*",Table13[[#Headers],[Animation]],"*")),1,0)</f>
        <v>0</v>
      </c>
      <c r="L1306">
        <f>IF(COUNTIF($E1306, _xlfn.CONCAT("*",Table13[[#Headers],[Comedy]],"*")),1,0)</f>
        <v>0</v>
      </c>
      <c r="M1306">
        <f>IF(COUNTIF($E1306, _xlfn.CONCAT("*",Table13[[#Headers],[Crime]],"*")),1,0)</f>
        <v>0</v>
      </c>
      <c r="N1306">
        <f>IF(COUNTIF($E1306, _xlfn.CONCAT("*",Table13[[#Headers],[Documentary]],"*")),1,0)</f>
        <v>0</v>
      </c>
      <c r="O1306">
        <f>IF(COUNTIF($E1306, _xlfn.CONCAT("*",Table13[[#Headers],[Drama]],"*")),1,0)</f>
        <v>0</v>
      </c>
      <c r="P1306">
        <f>IF(COUNTIF($E1306, _xlfn.CONCAT("*",Table13[[#Headers],[Family]],"*")),1,0)</f>
        <v>0</v>
      </c>
      <c r="Q1306">
        <f>IF(COUNTIF($E1306, _xlfn.CONCAT("*",Table13[[#Headers],[Fantasy]],"*")),1,0)</f>
        <v>0</v>
      </c>
      <c r="R1306">
        <f>IF(COUNTIF($E1306, _xlfn.CONCAT("*",Table13[[#Headers],[History]],"*")),1,0)</f>
        <v>0</v>
      </c>
      <c r="S1306">
        <f>IF(COUNTIF($E1306, _xlfn.CONCAT("*",Table13[[#Headers],[Horror]],"*")),1,0)</f>
        <v>1</v>
      </c>
      <c r="T1306">
        <f>IF(COUNTIF($E1306, _xlfn.CONCAT("*",Table13[[#Headers],[Music]],"*")),1,0)</f>
        <v>0</v>
      </c>
      <c r="U1306">
        <f>IF(COUNTIF($E1306, _xlfn.CONCAT("*",Table13[[#Headers],[Mystery]],"*")),1,0)</f>
        <v>0</v>
      </c>
      <c r="V1306">
        <f>IF(COUNTIF($E1306, _xlfn.CONCAT("*",Table13[[#Headers],[Romance]],"*")),1,0)</f>
        <v>0</v>
      </c>
      <c r="W1306">
        <f>IF(COUNTIF($E1306, _xlfn.CONCAT("*",Table13[[#Headers],[Science Fiction]],"*")),1,0)</f>
        <v>1</v>
      </c>
      <c r="X1306">
        <f>IF(COUNTIF($E1306, _xlfn.CONCAT("*",Table13[[#Headers],[TV Movie]],"*")),1,0)</f>
        <v>0</v>
      </c>
      <c r="Y1306">
        <f>IF(COUNTIF($E1306, _xlfn.CONCAT("*",Table13[[#Headers],[Thriller]],"*")),1,0)</f>
        <v>1</v>
      </c>
      <c r="Z1306">
        <f>IF(COUNTIF($E1306, _xlfn.CONCAT("*",Table13[[#Headers],[War]],"*")),1,0)</f>
        <v>0</v>
      </c>
      <c r="AA1306">
        <f>IF(COUNTIF($E1306, _xlfn.CONCAT("*",Table13[[#Headers],[Western]],"*")),1,0)</f>
        <v>0</v>
      </c>
    </row>
    <row r="1307" spans="1:27">
      <c r="A1307" t="s">
        <v>1214</v>
      </c>
      <c r="B1307">
        <v>29</v>
      </c>
      <c r="C1307">
        <f>MAX(Table13[Rank])-Table13[[#This Row],[Rank]]</f>
        <v>235</v>
      </c>
      <c r="D1307" t="s">
        <v>1131</v>
      </c>
      <c r="E1307" t="s">
        <v>93</v>
      </c>
      <c r="F1307" s="1">
        <v>41538</v>
      </c>
      <c r="G1307">
        <f>YEAR(Table13[[#This Row],[Date]])</f>
        <v>2013</v>
      </c>
      <c r="H1307" t="s">
        <v>1214</v>
      </c>
      <c r="I1307">
        <f>IF(COUNTIF($E1307, _xlfn.CONCAT("*",Table13[[#Headers],[Action]],"*")),1,0)</f>
        <v>0</v>
      </c>
      <c r="J1307">
        <f>IF(COUNTIF($E1307, _xlfn.CONCAT("*",Table13[[#Headers],[Adventure]],"*")),1,0)</f>
        <v>1</v>
      </c>
      <c r="K1307">
        <f>IF(COUNTIF($E1307, _xlfn.CONCAT("*",Table13[[#Headers],[Animation]],"*")),1,0)</f>
        <v>0</v>
      </c>
      <c r="L1307">
        <f>IF(COUNTIF($E1307, _xlfn.CONCAT("*",Table13[[#Headers],[Comedy]],"*")),1,0)</f>
        <v>0</v>
      </c>
      <c r="M1307">
        <f>IF(COUNTIF($E1307, _xlfn.CONCAT("*",Table13[[#Headers],[Crime]],"*")),1,0)</f>
        <v>0</v>
      </c>
      <c r="N1307">
        <f>IF(COUNTIF($E1307, _xlfn.CONCAT("*",Table13[[#Headers],[Documentary]],"*")),1,0)</f>
        <v>0</v>
      </c>
      <c r="O1307">
        <f>IF(COUNTIF($E1307, _xlfn.CONCAT("*",Table13[[#Headers],[Drama]],"*")),1,0)</f>
        <v>1</v>
      </c>
      <c r="P1307">
        <f>IF(COUNTIF($E1307, _xlfn.CONCAT("*",Table13[[#Headers],[Family]],"*")),1,0)</f>
        <v>0</v>
      </c>
      <c r="Q1307">
        <f>IF(COUNTIF($E1307, _xlfn.CONCAT("*",Table13[[#Headers],[Fantasy]],"*")),1,0)</f>
        <v>0</v>
      </c>
      <c r="R1307">
        <f>IF(COUNTIF($E1307, _xlfn.CONCAT("*",Table13[[#Headers],[History]],"*")),1,0)</f>
        <v>0</v>
      </c>
      <c r="S1307">
        <f>IF(COUNTIF($E1307, _xlfn.CONCAT("*",Table13[[#Headers],[Horror]],"*")),1,0)</f>
        <v>0</v>
      </c>
      <c r="T1307">
        <f>IF(COUNTIF($E1307, _xlfn.CONCAT("*",Table13[[#Headers],[Music]],"*")),1,0)</f>
        <v>0</v>
      </c>
      <c r="U1307">
        <f>IF(COUNTIF($E1307, _xlfn.CONCAT("*",Table13[[#Headers],[Mystery]],"*")),1,0)</f>
        <v>0</v>
      </c>
      <c r="V1307">
        <f>IF(COUNTIF($E1307, _xlfn.CONCAT("*",Table13[[#Headers],[Romance]],"*")),1,0)</f>
        <v>0</v>
      </c>
      <c r="W1307">
        <f>IF(COUNTIF($E1307, _xlfn.CONCAT("*",Table13[[#Headers],[Science Fiction]],"*")),1,0)</f>
        <v>0</v>
      </c>
      <c r="X1307">
        <f>IF(COUNTIF($E1307, _xlfn.CONCAT("*",Table13[[#Headers],[TV Movie]],"*")),1,0)</f>
        <v>0</v>
      </c>
      <c r="Y1307">
        <f>IF(COUNTIF($E1307, _xlfn.CONCAT("*",Table13[[#Headers],[Thriller]],"*")),1,0)</f>
        <v>0</v>
      </c>
      <c r="Z1307">
        <f>IF(COUNTIF($E1307, _xlfn.CONCAT("*",Table13[[#Headers],[War]],"*")),1,0)</f>
        <v>0</v>
      </c>
      <c r="AA1307">
        <f>IF(COUNTIF($E1307, _xlfn.CONCAT("*",Table13[[#Headers],[Western]],"*")),1,0)</f>
        <v>0</v>
      </c>
    </row>
    <row r="1308" spans="1:27">
      <c r="A1308" t="s">
        <v>112</v>
      </c>
      <c r="B1308">
        <v>28</v>
      </c>
      <c r="C1308">
        <f>MAX(Table13[Rank])-Table13[[#This Row],[Rank]]</f>
        <v>236</v>
      </c>
      <c r="D1308" t="s">
        <v>1131</v>
      </c>
      <c r="E1308" t="s">
        <v>113</v>
      </c>
      <c r="F1308" s="1">
        <v>40680</v>
      </c>
      <c r="G1308">
        <f>YEAR(Table13[[#This Row],[Date]])</f>
        <v>2011</v>
      </c>
      <c r="H1308" t="s">
        <v>112</v>
      </c>
      <c r="I1308">
        <f>IF(COUNTIF($E1308, _xlfn.CONCAT("*",Table13[[#Headers],[Action]],"*")),1,0)</f>
        <v>0</v>
      </c>
      <c r="J1308">
        <f>IF(COUNTIF($E1308, _xlfn.CONCAT("*",Table13[[#Headers],[Adventure]],"*")),1,0)</f>
        <v>0</v>
      </c>
      <c r="K1308">
        <f>IF(COUNTIF($E1308, _xlfn.CONCAT("*",Table13[[#Headers],[Animation]],"*")),1,0)</f>
        <v>0</v>
      </c>
      <c r="L1308">
        <f>IF(COUNTIF($E1308, _xlfn.CONCAT("*",Table13[[#Headers],[Comedy]],"*")),1,0)</f>
        <v>0</v>
      </c>
      <c r="M1308">
        <f>IF(COUNTIF($E1308, _xlfn.CONCAT("*",Table13[[#Headers],[Crime]],"*")),1,0)</f>
        <v>0</v>
      </c>
      <c r="N1308">
        <f>IF(COUNTIF($E1308, _xlfn.CONCAT("*",Table13[[#Headers],[Documentary]],"*")),1,0)</f>
        <v>0</v>
      </c>
      <c r="O1308">
        <f>IF(COUNTIF($E1308, _xlfn.CONCAT("*",Table13[[#Headers],[Drama]],"*")),1,0)</f>
        <v>1</v>
      </c>
      <c r="P1308">
        <f>IF(COUNTIF($E1308, _xlfn.CONCAT("*",Table13[[#Headers],[Family]],"*")),1,0)</f>
        <v>0</v>
      </c>
      <c r="Q1308">
        <f>IF(COUNTIF($E1308, _xlfn.CONCAT("*",Table13[[#Headers],[Fantasy]],"*")),1,0)</f>
        <v>1</v>
      </c>
      <c r="R1308">
        <f>IF(COUNTIF($E1308, _xlfn.CONCAT("*",Table13[[#Headers],[History]],"*")),1,0)</f>
        <v>0</v>
      </c>
      <c r="S1308">
        <f>IF(COUNTIF($E1308, _xlfn.CONCAT("*",Table13[[#Headers],[Horror]],"*")),1,0)</f>
        <v>0</v>
      </c>
      <c r="T1308">
        <f>IF(COUNTIF($E1308, _xlfn.CONCAT("*",Table13[[#Headers],[Music]],"*")),1,0)</f>
        <v>0</v>
      </c>
      <c r="U1308">
        <f>IF(COUNTIF($E1308, _xlfn.CONCAT("*",Table13[[#Headers],[Mystery]],"*")),1,0)</f>
        <v>0</v>
      </c>
      <c r="V1308">
        <f>IF(COUNTIF($E1308, _xlfn.CONCAT("*",Table13[[#Headers],[Romance]],"*")),1,0)</f>
        <v>0</v>
      </c>
      <c r="W1308">
        <f>IF(COUNTIF($E1308, _xlfn.CONCAT("*",Table13[[#Headers],[Science Fiction]],"*")),1,0)</f>
        <v>0</v>
      </c>
      <c r="X1308">
        <f>IF(COUNTIF($E1308, _xlfn.CONCAT("*",Table13[[#Headers],[TV Movie]],"*")),1,0)</f>
        <v>0</v>
      </c>
      <c r="Y1308">
        <f>IF(COUNTIF($E1308, _xlfn.CONCAT("*",Table13[[#Headers],[Thriller]],"*")),1,0)</f>
        <v>0</v>
      </c>
      <c r="Z1308">
        <f>IF(COUNTIF($E1308, _xlfn.CONCAT("*",Table13[[#Headers],[War]],"*")),1,0)</f>
        <v>0</v>
      </c>
      <c r="AA1308">
        <f>IF(COUNTIF($E1308, _xlfn.CONCAT("*",Table13[[#Headers],[Western]],"*")),1,0)</f>
        <v>0</v>
      </c>
    </row>
    <row r="1309" spans="1:27">
      <c r="A1309" t="s">
        <v>882</v>
      </c>
      <c r="B1309">
        <v>27</v>
      </c>
      <c r="C1309">
        <f>MAX(Table13[Rank])-Table13[[#This Row],[Rank]]</f>
        <v>237</v>
      </c>
      <c r="D1309" t="s">
        <v>1131</v>
      </c>
      <c r="E1309" t="s">
        <v>164</v>
      </c>
      <c r="F1309" s="1">
        <v>41696</v>
      </c>
      <c r="G1309">
        <f>YEAR(Table13[[#This Row],[Date]])</f>
        <v>2014</v>
      </c>
      <c r="H1309" t="s">
        <v>882</v>
      </c>
      <c r="I1309">
        <f>IF(COUNTIF($E1309, _xlfn.CONCAT("*",Table13[[#Headers],[Action]],"*")),1,0)</f>
        <v>0</v>
      </c>
      <c r="J1309">
        <f>IF(COUNTIF($E1309, _xlfn.CONCAT("*",Table13[[#Headers],[Adventure]],"*")),1,0)</f>
        <v>0</v>
      </c>
      <c r="K1309">
        <f>IF(COUNTIF($E1309, _xlfn.CONCAT("*",Table13[[#Headers],[Animation]],"*")),1,0)</f>
        <v>0</v>
      </c>
      <c r="L1309">
        <f>IF(COUNTIF($E1309, _xlfn.CONCAT("*",Table13[[#Headers],[Comedy]],"*")),1,0)</f>
        <v>1</v>
      </c>
      <c r="M1309">
        <f>IF(COUNTIF($E1309, _xlfn.CONCAT("*",Table13[[#Headers],[Crime]],"*")),1,0)</f>
        <v>0</v>
      </c>
      <c r="N1309">
        <f>IF(COUNTIF($E1309, _xlfn.CONCAT("*",Table13[[#Headers],[Documentary]],"*")),1,0)</f>
        <v>0</v>
      </c>
      <c r="O1309">
        <f>IF(COUNTIF($E1309, _xlfn.CONCAT("*",Table13[[#Headers],[Drama]],"*")),1,0)</f>
        <v>1</v>
      </c>
      <c r="P1309">
        <f>IF(COUNTIF($E1309, _xlfn.CONCAT("*",Table13[[#Headers],[Family]],"*")),1,0)</f>
        <v>0</v>
      </c>
      <c r="Q1309">
        <f>IF(COUNTIF($E1309, _xlfn.CONCAT("*",Table13[[#Headers],[Fantasy]],"*")),1,0)</f>
        <v>0</v>
      </c>
      <c r="R1309">
        <f>IF(COUNTIF($E1309, _xlfn.CONCAT("*",Table13[[#Headers],[History]],"*")),1,0)</f>
        <v>0</v>
      </c>
      <c r="S1309">
        <f>IF(COUNTIF($E1309, _xlfn.CONCAT("*",Table13[[#Headers],[Horror]],"*")),1,0)</f>
        <v>0</v>
      </c>
      <c r="T1309">
        <f>IF(COUNTIF($E1309, _xlfn.CONCAT("*",Table13[[#Headers],[Music]],"*")),1,0)</f>
        <v>0</v>
      </c>
      <c r="U1309">
        <f>IF(COUNTIF($E1309, _xlfn.CONCAT("*",Table13[[#Headers],[Mystery]],"*")),1,0)</f>
        <v>0</v>
      </c>
      <c r="V1309">
        <f>IF(COUNTIF($E1309, _xlfn.CONCAT("*",Table13[[#Headers],[Romance]],"*")),1,0)</f>
        <v>0</v>
      </c>
      <c r="W1309">
        <f>IF(COUNTIF($E1309, _xlfn.CONCAT("*",Table13[[#Headers],[Science Fiction]],"*")),1,0)</f>
        <v>0</v>
      </c>
      <c r="X1309">
        <f>IF(COUNTIF($E1309, _xlfn.CONCAT("*",Table13[[#Headers],[TV Movie]],"*")),1,0)</f>
        <v>0</v>
      </c>
      <c r="Y1309">
        <f>IF(COUNTIF($E1309, _xlfn.CONCAT("*",Table13[[#Headers],[Thriller]],"*")),1,0)</f>
        <v>0</v>
      </c>
      <c r="Z1309">
        <f>IF(COUNTIF($E1309, _xlfn.CONCAT("*",Table13[[#Headers],[War]],"*")),1,0)</f>
        <v>0</v>
      </c>
      <c r="AA1309">
        <f>IF(COUNTIF($E1309, _xlfn.CONCAT("*",Table13[[#Headers],[Western]],"*")),1,0)</f>
        <v>0</v>
      </c>
    </row>
    <row r="1310" spans="1:27">
      <c r="A1310" t="s">
        <v>1215</v>
      </c>
      <c r="B1310">
        <v>26</v>
      </c>
      <c r="C1310">
        <f>MAX(Table13[Rank])-Table13[[#This Row],[Rank]]</f>
        <v>238</v>
      </c>
      <c r="D1310" t="s">
        <v>1131</v>
      </c>
      <c r="E1310" t="s">
        <v>21</v>
      </c>
      <c r="F1310" s="1">
        <v>36789</v>
      </c>
      <c r="G1310">
        <f>YEAR(Table13[[#This Row],[Date]])</f>
        <v>2000</v>
      </c>
      <c r="H1310" t="s">
        <v>276</v>
      </c>
      <c r="I1310">
        <f>IF(COUNTIF($E1310, _xlfn.CONCAT("*",Table13[[#Headers],[Action]],"*")),1,0)</f>
        <v>0</v>
      </c>
      <c r="J1310">
        <f>IF(COUNTIF($E1310, _xlfn.CONCAT("*",Table13[[#Headers],[Adventure]],"*")),1,0)</f>
        <v>0</v>
      </c>
      <c r="K1310">
        <f>IF(COUNTIF($E1310, _xlfn.CONCAT("*",Table13[[#Headers],[Animation]],"*")),1,0)</f>
        <v>0</v>
      </c>
      <c r="L1310">
        <f>IF(COUNTIF($E1310, _xlfn.CONCAT("*",Table13[[#Headers],[Comedy]],"*")),1,0)</f>
        <v>0</v>
      </c>
      <c r="M1310">
        <f>IF(COUNTIF($E1310, _xlfn.CONCAT("*",Table13[[#Headers],[Crime]],"*")),1,0)</f>
        <v>0</v>
      </c>
      <c r="N1310">
        <f>IF(COUNTIF($E1310, _xlfn.CONCAT("*",Table13[[#Headers],[Documentary]],"*")),1,0)</f>
        <v>0</v>
      </c>
      <c r="O1310">
        <f>IF(COUNTIF($E1310, _xlfn.CONCAT("*",Table13[[#Headers],[Drama]],"*")),1,0)</f>
        <v>1</v>
      </c>
      <c r="P1310">
        <f>IF(COUNTIF($E1310, _xlfn.CONCAT("*",Table13[[#Headers],[Family]],"*")),1,0)</f>
        <v>0</v>
      </c>
      <c r="Q1310">
        <f>IF(COUNTIF($E1310, _xlfn.CONCAT("*",Table13[[#Headers],[Fantasy]],"*")),1,0)</f>
        <v>0</v>
      </c>
      <c r="R1310">
        <f>IF(COUNTIF($E1310, _xlfn.CONCAT("*",Table13[[#Headers],[History]],"*")),1,0)</f>
        <v>0</v>
      </c>
      <c r="S1310">
        <f>IF(COUNTIF($E1310, _xlfn.CONCAT("*",Table13[[#Headers],[Horror]],"*")),1,0)</f>
        <v>0</v>
      </c>
      <c r="T1310">
        <f>IF(COUNTIF($E1310, _xlfn.CONCAT("*",Table13[[#Headers],[Music]],"*")),1,0)</f>
        <v>0</v>
      </c>
      <c r="U1310">
        <f>IF(COUNTIF($E1310, _xlfn.CONCAT("*",Table13[[#Headers],[Mystery]],"*")),1,0)</f>
        <v>0</v>
      </c>
      <c r="V1310">
        <f>IF(COUNTIF($E1310, _xlfn.CONCAT("*",Table13[[#Headers],[Romance]],"*")),1,0)</f>
        <v>0</v>
      </c>
      <c r="W1310">
        <f>IF(COUNTIF($E1310, _xlfn.CONCAT("*",Table13[[#Headers],[Science Fiction]],"*")),1,0)</f>
        <v>0</v>
      </c>
      <c r="X1310">
        <f>IF(COUNTIF($E1310, _xlfn.CONCAT("*",Table13[[#Headers],[TV Movie]],"*")),1,0)</f>
        <v>0</v>
      </c>
      <c r="Y1310">
        <f>IF(COUNTIF($E1310, _xlfn.CONCAT("*",Table13[[#Headers],[Thriller]],"*")),1,0)</f>
        <v>0</v>
      </c>
      <c r="Z1310">
        <f>IF(COUNTIF($E1310, _xlfn.CONCAT("*",Table13[[#Headers],[War]],"*")),1,0)</f>
        <v>0</v>
      </c>
      <c r="AA1310">
        <f>IF(COUNTIF($E1310, _xlfn.CONCAT("*",Table13[[#Headers],[Western]],"*")),1,0)</f>
        <v>0</v>
      </c>
    </row>
    <row r="1311" spans="1:27">
      <c r="A1311" t="s">
        <v>273</v>
      </c>
      <c r="B1311">
        <v>25</v>
      </c>
      <c r="C1311">
        <f>MAX(Table13[Rank])-Table13[[#This Row],[Rank]]</f>
        <v>239</v>
      </c>
      <c r="D1311" t="s">
        <v>1131</v>
      </c>
      <c r="E1311" t="s">
        <v>274</v>
      </c>
      <c r="F1311" s="1">
        <v>42790</v>
      </c>
      <c r="G1311">
        <f>YEAR(Table13[[#This Row],[Date]])</f>
        <v>2017</v>
      </c>
      <c r="H1311" t="s">
        <v>273</v>
      </c>
      <c r="I1311">
        <f>IF(COUNTIF($E1311, _xlfn.CONCAT("*",Table13[[#Headers],[Action]],"*")),1,0)</f>
        <v>0</v>
      </c>
      <c r="J1311">
        <f>IF(COUNTIF($E1311, _xlfn.CONCAT("*",Table13[[#Headers],[Adventure]],"*")),1,0)</f>
        <v>0</v>
      </c>
      <c r="K1311">
        <f>IF(COUNTIF($E1311, _xlfn.CONCAT("*",Table13[[#Headers],[Animation]],"*")),1,0)</f>
        <v>0</v>
      </c>
      <c r="L1311">
        <f>IF(COUNTIF($E1311, _xlfn.CONCAT("*",Table13[[#Headers],[Comedy]],"*")),1,0)</f>
        <v>0</v>
      </c>
      <c r="M1311">
        <f>IF(COUNTIF($E1311, _xlfn.CONCAT("*",Table13[[#Headers],[Crime]],"*")),1,0)</f>
        <v>0</v>
      </c>
      <c r="N1311">
        <f>IF(COUNTIF($E1311, _xlfn.CONCAT("*",Table13[[#Headers],[Documentary]],"*")),1,0)</f>
        <v>0</v>
      </c>
      <c r="O1311">
        <f>IF(COUNTIF($E1311, _xlfn.CONCAT("*",Table13[[#Headers],[Drama]],"*")),1,0)</f>
        <v>0</v>
      </c>
      <c r="P1311">
        <f>IF(COUNTIF($E1311, _xlfn.CONCAT("*",Table13[[#Headers],[Family]],"*")),1,0)</f>
        <v>0</v>
      </c>
      <c r="Q1311">
        <f>IF(COUNTIF($E1311, _xlfn.CONCAT("*",Table13[[#Headers],[Fantasy]],"*")),1,0)</f>
        <v>0</v>
      </c>
      <c r="R1311">
        <f>IF(COUNTIF($E1311, _xlfn.CONCAT("*",Table13[[#Headers],[History]],"*")),1,0)</f>
        <v>0</v>
      </c>
      <c r="S1311">
        <f>IF(COUNTIF($E1311, _xlfn.CONCAT("*",Table13[[#Headers],[Horror]],"*")),1,0)</f>
        <v>1</v>
      </c>
      <c r="T1311">
        <f>IF(COUNTIF($E1311, _xlfn.CONCAT("*",Table13[[#Headers],[Music]],"*")),1,0)</f>
        <v>0</v>
      </c>
      <c r="U1311">
        <f>IF(COUNTIF($E1311, _xlfn.CONCAT("*",Table13[[#Headers],[Mystery]],"*")),1,0)</f>
        <v>1</v>
      </c>
      <c r="V1311">
        <f>IF(COUNTIF($E1311, _xlfn.CONCAT("*",Table13[[#Headers],[Romance]],"*")),1,0)</f>
        <v>0</v>
      </c>
      <c r="W1311">
        <f>IF(COUNTIF($E1311, _xlfn.CONCAT("*",Table13[[#Headers],[Science Fiction]],"*")),1,0)</f>
        <v>0</v>
      </c>
      <c r="X1311">
        <f>IF(COUNTIF($E1311, _xlfn.CONCAT("*",Table13[[#Headers],[TV Movie]],"*")),1,0)</f>
        <v>0</v>
      </c>
      <c r="Y1311">
        <f>IF(COUNTIF($E1311, _xlfn.CONCAT("*",Table13[[#Headers],[Thriller]],"*")),1,0)</f>
        <v>1</v>
      </c>
      <c r="Z1311">
        <f>IF(COUNTIF($E1311, _xlfn.CONCAT("*",Table13[[#Headers],[War]],"*")),1,0)</f>
        <v>0</v>
      </c>
      <c r="AA1311">
        <f>IF(COUNTIF($E1311, _xlfn.CONCAT("*",Table13[[#Headers],[Western]],"*")),1,0)</f>
        <v>0</v>
      </c>
    </row>
    <row r="1312" spans="1:27">
      <c r="A1312" t="s">
        <v>1216</v>
      </c>
      <c r="B1312">
        <v>24</v>
      </c>
      <c r="C1312">
        <f>MAX(Table13[Rank])-Table13[[#This Row],[Rank]]</f>
        <v>240</v>
      </c>
      <c r="D1312" t="s">
        <v>1131</v>
      </c>
      <c r="E1312" t="s">
        <v>21</v>
      </c>
      <c r="F1312" s="1">
        <v>41572</v>
      </c>
      <c r="G1312">
        <f>YEAR(Table13[[#This Row],[Date]])</f>
        <v>2013</v>
      </c>
      <c r="H1312" t="s">
        <v>1216</v>
      </c>
      <c r="I1312">
        <f>IF(COUNTIF($E1312, _xlfn.CONCAT("*",Table13[[#Headers],[Action]],"*")),1,0)</f>
        <v>0</v>
      </c>
      <c r="J1312">
        <f>IF(COUNTIF($E1312, _xlfn.CONCAT("*",Table13[[#Headers],[Adventure]],"*")),1,0)</f>
        <v>0</v>
      </c>
      <c r="K1312">
        <f>IF(COUNTIF($E1312, _xlfn.CONCAT("*",Table13[[#Headers],[Animation]],"*")),1,0)</f>
        <v>0</v>
      </c>
      <c r="L1312">
        <f>IF(COUNTIF($E1312, _xlfn.CONCAT("*",Table13[[#Headers],[Comedy]],"*")),1,0)</f>
        <v>0</v>
      </c>
      <c r="M1312">
        <f>IF(COUNTIF($E1312, _xlfn.CONCAT("*",Table13[[#Headers],[Crime]],"*")),1,0)</f>
        <v>0</v>
      </c>
      <c r="N1312">
        <f>IF(COUNTIF($E1312, _xlfn.CONCAT("*",Table13[[#Headers],[Documentary]],"*")),1,0)</f>
        <v>0</v>
      </c>
      <c r="O1312">
        <f>IF(COUNTIF($E1312, _xlfn.CONCAT("*",Table13[[#Headers],[Drama]],"*")),1,0)</f>
        <v>1</v>
      </c>
      <c r="P1312">
        <f>IF(COUNTIF($E1312, _xlfn.CONCAT("*",Table13[[#Headers],[Family]],"*")),1,0)</f>
        <v>0</v>
      </c>
      <c r="Q1312">
        <f>IF(COUNTIF($E1312, _xlfn.CONCAT("*",Table13[[#Headers],[Fantasy]],"*")),1,0)</f>
        <v>0</v>
      </c>
      <c r="R1312">
        <f>IF(COUNTIF($E1312, _xlfn.CONCAT("*",Table13[[#Headers],[History]],"*")),1,0)</f>
        <v>0</v>
      </c>
      <c r="S1312">
        <f>IF(COUNTIF($E1312, _xlfn.CONCAT("*",Table13[[#Headers],[Horror]],"*")),1,0)</f>
        <v>0</v>
      </c>
      <c r="T1312">
        <f>IF(COUNTIF($E1312, _xlfn.CONCAT("*",Table13[[#Headers],[Music]],"*")),1,0)</f>
        <v>0</v>
      </c>
      <c r="U1312">
        <f>IF(COUNTIF($E1312, _xlfn.CONCAT("*",Table13[[#Headers],[Mystery]],"*")),1,0)</f>
        <v>0</v>
      </c>
      <c r="V1312">
        <f>IF(COUNTIF($E1312, _xlfn.CONCAT("*",Table13[[#Headers],[Romance]],"*")),1,0)</f>
        <v>0</v>
      </c>
      <c r="W1312">
        <f>IF(COUNTIF($E1312, _xlfn.CONCAT("*",Table13[[#Headers],[Science Fiction]],"*")),1,0)</f>
        <v>0</v>
      </c>
      <c r="X1312">
        <f>IF(COUNTIF($E1312, _xlfn.CONCAT("*",Table13[[#Headers],[TV Movie]],"*")),1,0)</f>
        <v>0</v>
      </c>
      <c r="Y1312">
        <f>IF(COUNTIF($E1312, _xlfn.CONCAT("*",Table13[[#Headers],[Thriller]],"*")),1,0)</f>
        <v>0</v>
      </c>
      <c r="Z1312">
        <f>IF(COUNTIF($E1312, _xlfn.CONCAT("*",Table13[[#Headers],[War]],"*")),1,0)</f>
        <v>0</v>
      </c>
      <c r="AA1312">
        <f>IF(COUNTIF($E1312, _xlfn.CONCAT("*",Table13[[#Headers],[Western]],"*")),1,0)</f>
        <v>0</v>
      </c>
    </row>
    <row r="1313" spans="1:27">
      <c r="A1313" t="s">
        <v>1217</v>
      </c>
      <c r="B1313">
        <v>23</v>
      </c>
      <c r="C1313">
        <f>MAX(Table13[Rank])-Table13[[#This Row],[Rank]]</f>
        <v>241</v>
      </c>
      <c r="D1313" t="s">
        <v>1131</v>
      </c>
      <c r="E1313" t="s">
        <v>44</v>
      </c>
      <c r="F1313" s="1">
        <v>39022</v>
      </c>
      <c r="G1313">
        <f>YEAR(Table13[[#This Row],[Date]])</f>
        <v>2006</v>
      </c>
      <c r="H1313" t="s">
        <v>1217</v>
      </c>
      <c r="I1313">
        <f>IF(COUNTIF($E1313, _xlfn.CONCAT("*",Table13[[#Headers],[Action]],"*")),1,0)</f>
        <v>0</v>
      </c>
      <c r="J1313">
        <f>IF(COUNTIF($E1313, _xlfn.CONCAT("*",Table13[[#Headers],[Adventure]],"*")),1,0)</f>
        <v>0</v>
      </c>
      <c r="K1313">
        <f>IF(COUNTIF($E1313, _xlfn.CONCAT("*",Table13[[#Headers],[Animation]],"*")),1,0)</f>
        <v>0</v>
      </c>
      <c r="L1313">
        <f>IF(COUNTIF($E1313, _xlfn.CONCAT("*",Table13[[#Headers],[Comedy]],"*")),1,0)</f>
        <v>1</v>
      </c>
      <c r="M1313">
        <f>IF(COUNTIF($E1313, _xlfn.CONCAT("*",Table13[[#Headers],[Crime]],"*")),1,0)</f>
        <v>0</v>
      </c>
      <c r="N1313">
        <f>IF(COUNTIF($E1313, _xlfn.CONCAT("*",Table13[[#Headers],[Documentary]],"*")),1,0)</f>
        <v>0</v>
      </c>
      <c r="O1313">
        <f>IF(COUNTIF($E1313, _xlfn.CONCAT("*",Table13[[#Headers],[Drama]],"*")),1,0)</f>
        <v>0</v>
      </c>
      <c r="P1313">
        <f>IF(COUNTIF($E1313, _xlfn.CONCAT("*",Table13[[#Headers],[Family]],"*")),1,0)</f>
        <v>0</v>
      </c>
      <c r="Q1313">
        <f>IF(COUNTIF($E1313, _xlfn.CONCAT("*",Table13[[#Headers],[Fantasy]],"*")),1,0)</f>
        <v>0</v>
      </c>
      <c r="R1313">
        <f>IF(COUNTIF($E1313, _xlfn.CONCAT("*",Table13[[#Headers],[History]],"*")),1,0)</f>
        <v>0</v>
      </c>
      <c r="S1313">
        <f>IF(COUNTIF($E1313, _xlfn.CONCAT("*",Table13[[#Headers],[Horror]],"*")),1,0)</f>
        <v>0</v>
      </c>
      <c r="T1313">
        <f>IF(COUNTIF($E1313, _xlfn.CONCAT("*",Table13[[#Headers],[Music]],"*")),1,0)</f>
        <v>0</v>
      </c>
      <c r="U1313">
        <f>IF(COUNTIF($E1313, _xlfn.CONCAT("*",Table13[[#Headers],[Mystery]],"*")),1,0)</f>
        <v>0</v>
      </c>
      <c r="V1313">
        <f>IF(COUNTIF($E1313, _xlfn.CONCAT("*",Table13[[#Headers],[Romance]],"*")),1,0)</f>
        <v>0</v>
      </c>
      <c r="W1313">
        <f>IF(COUNTIF($E1313, _xlfn.CONCAT("*",Table13[[#Headers],[Science Fiction]],"*")),1,0)</f>
        <v>0</v>
      </c>
      <c r="X1313">
        <f>IF(COUNTIF($E1313, _xlfn.CONCAT("*",Table13[[#Headers],[TV Movie]],"*")),1,0)</f>
        <v>0</v>
      </c>
      <c r="Y1313">
        <f>IF(COUNTIF($E1313, _xlfn.CONCAT("*",Table13[[#Headers],[Thriller]],"*")),1,0)</f>
        <v>0</v>
      </c>
      <c r="Z1313">
        <f>IF(COUNTIF($E1313, _xlfn.CONCAT("*",Table13[[#Headers],[War]],"*")),1,0)</f>
        <v>0</v>
      </c>
      <c r="AA1313">
        <f>IF(COUNTIF($E1313, _xlfn.CONCAT("*",Table13[[#Headers],[Western]],"*")),1,0)</f>
        <v>0</v>
      </c>
    </row>
    <row r="1314" spans="1:27">
      <c r="A1314" t="s">
        <v>298</v>
      </c>
      <c r="B1314">
        <v>22</v>
      </c>
      <c r="C1314">
        <f>MAX(Table13[Rank])-Table13[[#This Row],[Rank]]</f>
        <v>242</v>
      </c>
      <c r="D1314" t="s">
        <v>1131</v>
      </c>
      <c r="E1314" t="s">
        <v>299</v>
      </c>
      <c r="F1314" s="1">
        <v>37092</v>
      </c>
      <c r="G1314">
        <f>YEAR(Table13[[#This Row],[Date]])</f>
        <v>2001</v>
      </c>
      <c r="H1314" t="s">
        <v>298</v>
      </c>
      <c r="I1314">
        <f>IF(COUNTIF($E1314, _xlfn.CONCAT("*",Table13[[#Headers],[Action]],"*")),1,0)</f>
        <v>0</v>
      </c>
      <c r="J1314">
        <f>IF(COUNTIF($E1314, _xlfn.CONCAT("*",Table13[[#Headers],[Adventure]],"*")),1,0)</f>
        <v>0</v>
      </c>
      <c r="K1314">
        <f>IF(COUNTIF($E1314, _xlfn.CONCAT("*",Table13[[#Headers],[Animation]],"*")),1,0)</f>
        <v>1</v>
      </c>
      <c r="L1314">
        <f>IF(COUNTIF($E1314, _xlfn.CONCAT("*",Table13[[#Headers],[Comedy]],"*")),1,0)</f>
        <v>0</v>
      </c>
      <c r="M1314">
        <f>IF(COUNTIF($E1314, _xlfn.CONCAT("*",Table13[[#Headers],[Crime]],"*")),1,0)</f>
        <v>0</v>
      </c>
      <c r="N1314">
        <f>IF(COUNTIF($E1314, _xlfn.CONCAT("*",Table13[[#Headers],[Documentary]],"*")),1,0)</f>
        <v>0</v>
      </c>
      <c r="O1314">
        <f>IF(COUNTIF($E1314, _xlfn.CONCAT("*",Table13[[#Headers],[Drama]],"*")),1,0)</f>
        <v>0</v>
      </c>
      <c r="P1314">
        <f>IF(COUNTIF($E1314, _xlfn.CONCAT("*",Table13[[#Headers],[Family]],"*")),1,0)</f>
        <v>1</v>
      </c>
      <c r="Q1314">
        <f>IF(COUNTIF($E1314, _xlfn.CONCAT("*",Table13[[#Headers],[Fantasy]],"*")),1,0)</f>
        <v>1</v>
      </c>
      <c r="R1314">
        <f>IF(COUNTIF($E1314, _xlfn.CONCAT("*",Table13[[#Headers],[History]],"*")),1,0)</f>
        <v>0</v>
      </c>
      <c r="S1314">
        <f>IF(COUNTIF($E1314, _xlfn.CONCAT("*",Table13[[#Headers],[Horror]],"*")),1,0)</f>
        <v>0</v>
      </c>
      <c r="T1314">
        <f>IF(COUNTIF($E1314, _xlfn.CONCAT("*",Table13[[#Headers],[Music]],"*")),1,0)</f>
        <v>0</v>
      </c>
      <c r="U1314">
        <f>IF(COUNTIF($E1314, _xlfn.CONCAT("*",Table13[[#Headers],[Mystery]],"*")),1,0)</f>
        <v>0</v>
      </c>
      <c r="V1314">
        <f>IF(COUNTIF($E1314, _xlfn.CONCAT("*",Table13[[#Headers],[Romance]],"*")),1,0)</f>
        <v>0</v>
      </c>
      <c r="W1314">
        <f>IF(COUNTIF($E1314, _xlfn.CONCAT("*",Table13[[#Headers],[Science Fiction]],"*")),1,0)</f>
        <v>0</v>
      </c>
      <c r="X1314">
        <f>IF(COUNTIF($E1314, _xlfn.CONCAT("*",Table13[[#Headers],[TV Movie]],"*")),1,0)</f>
        <v>0</v>
      </c>
      <c r="Y1314">
        <f>IF(COUNTIF($E1314, _xlfn.CONCAT("*",Table13[[#Headers],[Thriller]],"*")),1,0)</f>
        <v>0</v>
      </c>
      <c r="Z1314">
        <f>IF(COUNTIF($E1314, _xlfn.CONCAT("*",Table13[[#Headers],[War]],"*")),1,0)</f>
        <v>0</v>
      </c>
      <c r="AA1314">
        <f>IF(COUNTIF($E1314, _xlfn.CONCAT("*",Table13[[#Headers],[Western]],"*")),1,0)</f>
        <v>0</v>
      </c>
    </row>
    <row r="1315" spans="1:27">
      <c r="A1315" t="s">
        <v>1218</v>
      </c>
      <c r="B1315">
        <v>21</v>
      </c>
      <c r="C1315">
        <f>MAX(Table13[Rank])-Table13[[#This Row],[Rank]]</f>
        <v>243</v>
      </c>
      <c r="D1315" t="s">
        <v>1131</v>
      </c>
      <c r="E1315" t="s">
        <v>303</v>
      </c>
      <c r="F1315" s="1">
        <v>40080</v>
      </c>
      <c r="G1315">
        <f>YEAR(Table13[[#This Row],[Date]])</f>
        <v>2009</v>
      </c>
      <c r="H1315" t="s">
        <v>1218</v>
      </c>
      <c r="I1315">
        <f>IF(COUNTIF($E1315, _xlfn.CONCAT("*",Table13[[#Headers],[Action]],"*")),1,0)</f>
        <v>0</v>
      </c>
      <c r="J1315">
        <f>IF(COUNTIF($E1315, _xlfn.CONCAT("*",Table13[[#Headers],[Adventure]],"*")),1,0)</f>
        <v>0</v>
      </c>
      <c r="K1315">
        <f>IF(COUNTIF($E1315, _xlfn.CONCAT("*",Table13[[#Headers],[Animation]],"*")),1,0)</f>
        <v>0</v>
      </c>
      <c r="L1315">
        <f>IF(COUNTIF($E1315, _xlfn.CONCAT("*",Table13[[#Headers],[Comedy]],"*")),1,0)</f>
        <v>0</v>
      </c>
      <c r="M1315">
        <f>IF(COUNTIF($E1315, _xlfn.CONCAT("*",Table13[[#Headers],[Crime]],"*")),1,0)</f>
        <v>0</v>
      </c>
      <c r="N1315">
        <f>IF(COUNTIF($E1315, _xlfn.CONCAT("*",Table13[[#Headers],[Documentary]],"*")),1,0)</f>
        <v>0</v>
      </c>
      <c r="O1315">
        <f>IF(COUNTIF($E1315, _xlfn.CONCAT("*",Table13[[#Headers],[Drama]],"*")),1,0)</f>
        <v>1</v>
      </c>
      <c r="P1315">
        <f>IF(COUNTIF($E1315, _xlfn.CONCAT("*",Table13[[#Headers],[Family]],"*")),1,0)</f>
        <v>0</v>
      </c>
      <c r="Q1315">
        <f>IF(COUNTIF($E1315, _xlfn.CONCAT("*",Table13[[#Headers],[Fantasy]],"*")),1,0)</f>
        <v>0</v>
      </c>
      <c r="R1315">
        <f>IF(COUNTIF($E1315, _xlfn.CONCAT("*",Table13[[#Headers],[History]],"*")),1,0)</f>
        <v>0</v>
      </c>
      <c r="S1315">
        <f>IF(COUNTIF($E1315, _xlfn.CONCAT("*",Table13[[#Headers],[Horror]],"*")),1,0)</f>
        <v>0</v>
      </c>
      <c r="T1315">
        <f>IF(COUNTIF($E1315, _xlfn.CONCAT("*",Table13[[#Headers],[Music]],"*")),1,0)</f>
        <v>0</v>
      </c>
      <c r="U1315">
        <f>IF(COUNTIF($E1315, _xlfn.CONCAT("*",Table13[[#Headers],[Mystery]],"*")),1,0)</f>
        <v>1</v>
      </c>
      <c r="V1315">
        <f>IF(COUNTIF($E1315, _xlfn.CONCAT("*",Table13[[#Headers],[Romance]],"*")),1,0)</f>
        <v>0</v>
      </c>
      <c r="W1315">
        <f>IF(COUNTIF($E1315, _xlfn.CONCAT("*",Table13[[#Headers],[Science Fiction]],"*")),1,0)</f>
        <v>0</v>
      </c>
      <c r="X1315">
        <f>IF(COUNTIF($E1315, _xlfn.CONCAT("*",Table13[[#Headers],[TV Movie]],"*")),1,0)</f>
        <v>0</v>
      </c>
      <c r="Y1315">
        <f>IF(COUNTIF($E1315, _xlfn.CONCAT("*",Table13[[#Headers],[Thriller]],"*")),1,0)</f>
        <v>0</v>
      </c>
      <c r="Z1315">
        <f>IF(COUNTIF($E1315, _xlfn.CONCAT("*",Table13[[#Headers],[War]],"*")),1,0)</f>
        <v>0</v>
      </c>
      <c r="AA1315">
        <f>IF(COUNTIF($E1315, _xlfn.CONCAT("*",Table13[[#Headers],[Western]],"*")),1,0)</f>
        <v>0</v>
      </c>
    </row>
    <row r="1316" spans="1:27">
      <c r="A1316" t="s">
        <v>1219</v>
      </c>
      <c r="B1316">
        <v>20</v>
      </c>
      <c r="C1316">
        <f>MAX(Table13[Rank])-Table13[[#This Row],[Rank]]</f>
        <v>244</v>
      </c>
      <c r="D1316" t="s">
        <v>1131</v>
      </c>
      <c r="E1316" t="s">
        <v>21</v>
      </c>
      <c r="F1316" s="1">
        <v>43337</v>
      </c>
      <c r="G1316">
        <f>YEAR(Table13[[#This Row],[Date]])</f>
        <v>2018</v>
      </c>
      <c r="H1316" t="s">
        <v>1219</v>
      </c>
      <c r="I1316">
        <f>IF(COUNTIF($E1316, _xlfn.CONCAT("*",Table13[[#Headers],[Action]],"*")),1,0)</f>
        <v>0</v>
      </c>
      <c r="J1316">
        <f>IF(COUNTIF($E1316, _xlfn.CONCAT("*",Table13[[#Headers],[Adventure]],"*")),1,0)</f>
        <v>0</v>
      </c>
      <c r="K1316">
        <f>IF(COUNTIF($E1316, _xlfn.CONCAT("*",Table13[[#Headers],[Animation]],"*")),1,0)</f>
        <v>0</v>
      </c>
      <c r="L1316">
        <f>IF(COUNTIF($E1316, _xlfn.CONCAT("*",Table13[[#Headers],[Comedy]],"*")),1,0)</f>
        <v>0</v>
      </c>
      <c r="M1316">
        <f>IF(COUNTIF($E1316, _xlfn.CONCAT("*",Table13[[#Headers],[Crime]],"*")),1,0)</f>
        <v>0</v>
      </c>
      <c r="N1316">
        <f>IF(COUNTIF($E1316, _xlfn.CONCAT("*",Table13[[#Headers],[Documentary]],"*")),1,0)</f>
        <v>0</v>
      </c>
      <c r="O1316">
        <f>IF(COUNTIF($E1316, _xlfn.CONCAT("*",Table13[[#Headers],[Drama]],"*")),1,0)</f>
        <v>1</v>
      </c>
      <c r="P1316">
        <f>IF(COUNTIF($E1316, _xlfn.CONCAT("*",Table13[[#Headers],[Family]],"*")),1,0)</f>
        <v>0</v>
      </c>
      <c r="Q1316">
        <f>IF(COUNTIF($E1316, _xlfn.CONCAT("*",Table13[[#Headers],[Fantasy]],"*")),1,0)</f>
        <v>0</v>
      </c>
      <c r="R1316">
        <f>IF(COUNTIF($E1316, _xlfn.CONCAT("*",Table13[[#Headers],[History]],"*")),1,0)</f>
        <v>0</v>
      </c>
      <c r="S1316">
        <f>IF(COUNTIF($E1316, _xlfn.CONCAT("*",Table13[[#Headers],[Horror]],"*")),1,0)</f>
        <v>0</v>
      </c>
      <c r="T1316">
        <f>IF(COUNTIF($E1316, _xlfn.CONCAT("*",Table13[[#Headers],[Music]],"*")),1,0)</f>
        <v>0</v>
      </c>
      <c r="U1316">
        <f>IF(COUNTIF($E1316, _xlfn.CONCAT("*",Table13[[#Headers],[Mystery]],"*")),1,0)</f>
        <v>0</v>
      </c>
      <c r="V1316">
        <f>IF(COUNTIF($E1316, _xlfn.CONCAT("*",Table13[[#Headers],[Romance]],"*")),1,0)</f>
        <v>0</v>
      </c>
      <c r="W1316">
        <f>IF(COUNTIF($E1316, _xlfn.CONCAT("*",Table13[[#Headers],[Science Fiction]],"*")),1,0)</f>
        <v>0</v>
      </c>
      <c r="X1316">
        <f>IF(COUNTIF($E1316, _xlfn.CONCAT("*",Table13[[#Headers],[TV Movie]],"*")),1,0)</f>
        <v>0</v>
      </c>
      <c r="Y1316">
        <f>IF(COUNTIF($E1316, _xlfn.CONCAT("*",Table13[[#Headers],[Thriller]],"*")),1,0)</f>
        <v>0</v>
      </c>
      <c r="Z1316">
        <f>IF(COUNTIF($E1316, _xlfn.CONCAT("*",Table13[[#Headers],[War]],"*")),1,0)</f>
        <v>0</v>
      </c>
      <c r="AA1316">
        <f>IF(COUNTIF($E1316, _xlfn.CONCAT("*",Table13[[#Headers],[Western]],"*")),1,0)</f>
        <v>0</v>
      </c>
    </row>
    <row r="1317" spans="1:27">
      <c r="A1317" t="s">
        <v>1220</v>
      </c>
      <c r="B1317">
        <v>19</v>
      </c>
      <c r="C1317">
        <f>MAX(Table13[Rank])-Table13[[#This Row],[Rank]]</f>
        <v>245</v>
      </c>
      <c r="D1317" t="s">
        <v>1131</v>
      </c>
      <c r="E1317" t="s">
        <v>1168</v>
      </c>
      <c r="F1317" s="1">
        <v>41222</v>
      </c>
      <c r="G1317">
        <f>YEAR(Table13[[#This Row],[Date]])</f>
        <v>2012</v>
      </c>
      <c r="H1317" t="s">
        <v>1220</v>
      </c>
      <c r="I1317">
        <f>IF(COUNTIF($E1317, _xlfn.CONCAT("*",Table13[[#Headers],[Action]],"*")),1,0)</f>
        <v>0</v>
      </c>
      <c r="J1317">
        <f>IF(COUNTIF($E1317, _xlfn.CONCAT("*",Table13[[#Headers],[Adventure]],"*")),1,0)</f>
        <v>0</v>
      </c>
      <c r="K1317">
        <f>IF(COUNTIF($E1317, _xlfn.CONCAT("*",Table13[[#Headers],[Animation]],"*")),1,0)</f>
        <v>0</v>
      </c>
      <c r="L1317">
        <f>IF(COUNTIF($E1317, _xlfn.CONCAT("*",Table13[[#Headers],[Comedy]],"*")),1,0)</f>
        <v>0</v>
      </c>
      <c r="M1317">
        <f>IF(COUNTIF($E1317, _xlfn.CONCAT("*",Table13[[#Headers],[Crime]],"*")),1,0)</f>
        <v>0</v>
      </c>
      <c r="N1317">
        <f>IF(COUNTIF($E1317, _xlfn.CONCAT("*",Table13[[#Headers],[Documentary]],"*")),1,0)</f>
        <v>0</v>
      </c>
      <c r="O1317">
        <f>IF(COUNTIF($E1317, _xlfn.CONCAT("*",Table13[[#Headers],[Drama]],"*")),1,0)</f>
        <v>1</v>
      </c>
      <c r="P1317">
        <f>IF(COUNTIF($E1317, _xlfn.CONCAT("*",Table13[[#Headers],[Family]],"*")),1,0)</f>
        <v>0</v>
      </c>
      <c r="Q1317">
        <f>IF(COUNTIF($E1317, _xlfn.CONCAT("*",Table13[[#Headers],[Fantasy]],"*")),1,0)</f>
        <v>0</v>
      </c>
      <c r="R1317">
        <f>IF(COUNTIF($E1317, _xlfn.CONCAT("*",Table13[[#Headers],[History]],"*")),1,0)</f>
        <v>1</v>
      </c>
      <c r="S1317">
        <f>IF(COUNTIF($E1317, _xlfn.CONCAT("*",Table13[[#Headers],[Horror]],"*")),1,0)</f>
        <v>0</v>
      </c>
      <c r="T1317">
        <f>IF(COUNTIF($E1317, _xlfn.CONCAT("*",Table13[[#Headers],[Music]],"*")),1,0)</f>
        <v>0</v>
      </c>
      <c r="U1317">
        <f>IF(COUNTIF($E1317, _xlfn.CONCAT("*",Table13[[#Headers],[Mystery]],"*")),1,0)</f>
        <v>0</v>
      </c>
      <c r="V1317">
        <f>IF(COUNTIF($E1317, _xlfn.CONCAT("*",Table13[[#Headers],[Romance]],"*")),1,0)</f>
        <v>0</v>
      </c>
      <c r="W1317">
        <f>IF(COUNTIF($E1317, _xlfn.CONCAT("*",Table13[[#Headers],[Science Fiction]],"*")),1,0)</f>
        <v>0</v>
      </c>
      <c r="X1317">
        <f>IF(COUNTIF($E1317, _xlfn.CONCAT("*",Table13[[#Headers],[TV Movie]],"*")),1,0)</f>
        <v>0</v>
      </c>
      <c r="Y1317">
        <f>IF(COUNTIF($E1317, _xlfn.CONCAT("*",Table13[[#Headers],[Thriller]],"*")),1,0)</f>
        <v>0</v>
      </c>
      <c r="Z1317">
        <f>IF(COUNTIF($E1317, _xlfn.CONCAT("*",Table13[[#Headers],[War]],"*")),1,0)</f>
        <v>0</v>
      </c>
      <c r="AA1317">
        <f>IF(COUNTIF($E1317, _xlfn.CONCAT("*",Table13[[#Headers],[Western]],"*")),1,0)</f>
        <v>0</v>
      </c>
    </row>
    <row r="1318" spans="1:27">
      <c r="A1318" t="s">
        <v>1221</v>
      </c>
      <c r="B1318">
        <v>18</v>
      </c>
      <c r="C1318">
        <f>MAX(Table13[Rank])-Table13[[#This Row],[Rank]]</f>
        <v>246</v>
      </c>
      <c r="D1318" t="s">
        <v>1131</v>
      </c>
      <c r="E1318" t="s">
        <v>164</v>
      </c>
      <c r="F1318" s="1">
        <v>40086</v>
      </c>
      <c r="G1318">
        <f>YEAR(Table13[[#This Row],[Date]])</f>
        <v>2009</v>
      </c>
      <c r="H1318" t="s">
        <v>1221</v>
      </c>
      <c r="I1318">
        <f>IF(COUNTIF($E1318, _xlfn.CONCAT("*",Table13[[#Headers],[Action]],"*")),1,0)</f>
        <v>0</v>
      </c>
      <c r="J1318">
        <f>IF(COUNTIF($E1318, _xlfn.CONCAT("*",Table13[[#Headers],[Adventure]],"*")),1,0)</f>
        <v>0</v>
      </c>
      <c r="K1318">
        <f>IF(COUNTIF($E1318, _xlfn.CONCAT("*",Table13[[#Headers],[Animation]],"*")),1,0)</f>
        <v>0</v>
      </c>
      <c r="L1318">
        <f>IF(COUNTIF($E1318, _xlfn.CONCAT("*",Table13[[#Headers],[Comedy]],"*")),1,0)</f>
        <v>1</v>
      </c>
      <c r="M1318">
        <f>IF(COUNTIF($E1318, _xlfn.CONCAT("*",Table13[[#Headers],[Crime]],"*")),1,0)</f>
        <v>0</v>
      </c>
      <c r="N1318">
        <f>IF(COUNTIF($E1318, _xlfn.CONCAT("*",Table13[[#Headers],[Documentary]],"*")),1,0)</f>
        <v>0</v>
      </c>
      <c r="O1318">
        <f>IF(COUNTIF($E1318, _xlfn.CONCAT("*",Table13[[#Headers],[Drama]],"*")),1,0)</f>
        <v>1</v>
      </c>
      <c r="P1318">
        <f>IF(COUNTIF($E1318, _xlfn.CONCAT("*",Table13[[#Headers],[Family]],"*")),1,0)</f>
        <v>0</v>
      </c>
      <c r="Q1318">
        <f>IF(COUNTIF($E1318, _xlfn.CONCAT("*",Table13[[#Headers],[Fantasy]],"*")),1,0)</f>
        <v>0</v>
      </c>
      <c r="R1318">
        <f>IF(COUNTIF($E1318, _xlfn.CONCAT("*",Table13[[#Headers],[History]],"*")),1,0)</f>
        <v>0</v>
      </c>
      <c r="S1318">
        <f>IF(COUNTIF($E1318, _xlfn.CONCAT("*",Table13[[#Headers],[Horror]],"*")),1,0)</f>
        <v>0</v>
      </c>
      <c r="T1318">
        <f>IF(COUNTIF($E1318, _xlfn.CONCAT("*",Table13[[#Headers],[Music]],"*")),1,0)</f>
        <v>0</v>
      </c>
      <c r="U1318">
        <f>IF(COUNTIF($E1318, _xlfn.CONCAT("*",Table13[[#Headers],[Mystery]],"*")),1,0)</f>
        <v>0</v>
      </c>
      <c r="V1318">
        <f>IF(COUNTIF($E1318, _xlfn.CONCAT("*",Table13[[#Headers],[Romance]],"*")),1,0)</f>
        <v>0</v>
      </c>
      <c r="W1318">
        <f>IF(COUNTIF($E1318, _xlfn.CONCAT("*",Table13[[#Headers],[Science Fiction]],"*")),1,0)</f>
        <v>0</v>
      </c>
      <c r="X1318">
        <f>IF(COUNTIF($E1318, _xlfn.CONCAT("*",Table13[[#Headers],[TV Movie]],"*")),1,0)</f>
        <v>0</v>
      </c>
      <c r="Y1318">
        <f>IF(COUNTIF($E1318, _xlfn.CONCAT("*",Table13[[#Headers],[Thriller]],"*")),1,0)</f>
        <v>0</v>
      </c>
      <c r="Z1318">
        <f>IF(COUNTIF($E1318, _xlfn.CONCAT("*",Table13[[#Headers],[War]],"*")),1,0)</f>
        <v>0</v>
      </c>
      <c r="AA1318">
        <f>IF(COUNTIF($E1318, _xlfn.CONCAT("*",Table13[[#Headers],[Western]],"*")),1,0)</f>
        <v>0</v>
      </c>
    </row>
    <row r="1319" spans="1:27">
      <c r="A1319" t="s">
        <v>1222</v>
      </c>
      <c r="B1319">
        <v>17</v>
      </c>
      <c r="C1319">
        <f>MAX(Table13[Rank])-Table13[[#This Row],[Rank]]</f>
        <v>247</v>
      </c>
      <c r="D1319" t="s">
        <v>1131</v>
      </c>
      <c r="E1319" t="s">
        <v>21</v>
      </c>
      <c r="F1319" s="1">
        <v>41415</v>
      </c>
      <c r="G1319">
        <f>YEAR(Table13[[#This Row],[Date]])</f>
        <v>2013</v>
      </c>
      <c r="H1319" t="s">
        <v>1222</v>
      </c>
      <c r="I1319">
        <f>IF(COUNTIF($E1319, _xlfn.CONCAT("*",Table13[[#Headers],[Action]],"*")),1,0)</f>
        <v>0</v>
      </c>
      <c r="J1319">
        <f>IF(COUNTIF($E1319, _xlfn.CONCAT("*",Table13[[#Headers],[Adventure]],"*")),1,0)</f>
        <v>0</v>
      </c>
      <c r="K1319">
        <f>IF(COUNTIF($E1319, _xlfn.CONCAT("*",Table13[[#Headers],[Animation]],"*")),1,0)</f>
        <v>0</v>
      </c>
      <c r="L1319">
        <f>IF(COUNTIF($E1319, _xlfn.CONCAT("*",Table13[[#Headers],[Comedy]],"*")),1,0)</f>
        <v>0</v>
      </c>
      <c r="M1319">
        <f>IF(COUNTIF($E1319, _xlfn.CONCAT("*",Table13[[#Headers],[Crime]],"*")),1,0)</f>
        <v>0</v>
      </c>
      <c r="N1319">
        <f>IF(COUNTIF($E1319, _xlfn.CONCAT("*",Table13[[#Headers],[Documentary]],"*")),1,0)</f>
        <v>0</v>
      </c>
      <c r="O1319">
        <f>IF(COUNTIF($E1319, _xlfn.CONCAT("*",Table13[[#Headers],[Drama]],"*")),1,0)</f>
        <v>1</v>
      </c>
      <c r="P1319">
        <f>IF(COUNTIF($E1319, _xlfn.CONCAT("*",Table13[[#Headers],[Family]],"*")),1,0)</f>
        <v>0</v>
      </c>
      <c r="Q1319">
        <f>IF(COUNTIF($E1319, _xlfn.CONCAT("*",Table13[[#Headers],[Fantasy]],"*")),1,0)</f>
        <v>0</v>
      </c>
      <c r="R1319">
        <f>IF(COUNTIF($E1319, _xlfn.CONCAT("*",Table13[[#Headers],[History]],"*")),1,0)</f>
        <v>0</v>
      </c>
      <c r="S1319">
        <f>IF(COUNTIF($E1319, _xlfn.CONCAT("*",Table13[[#Headers],[Horror]],"*")),1,0)</f>
        <v>0</v>
      </c>
      <c r="T1319">
        <f>IF(COUNTIF($E1319, _xlfn.CONCAT("*",Table13[[#Headers],[Music]],"*")),1,0)</f>
        <v>0</v>
      </c>
      <c r="U1319">
        <f>IF(COUNTIF($E1319, _xlfn.CONCAT("*",Table13[[#Headers],[Mystery]],"*")),1,0)</f>
        <v>0</v>
      </c>
      <c r="V1319">
        <f>IF(COUNTIF($E1319, _xlfn.CONCAT("*",Table13[[#Headers],[Romance]],"*")),1,0)</f>
        <v>0</v>
      </c>
      <c r="W1319">
        <f>IF(COUNTIF($E1319, _xlfn.CONCAT("*",Table13[[#Headers],[Science Fiction]],"*")),1,0)</f>
        <v>0</v>
      </c>
      <c r="X1319">
        <f>IF(COUNTIF($E1319, _xlfn.CONCAT("*",Table13[[#Headers],[TV Movie]],"*")),1,0)</f>
        <v>0</v>
      </c>
      <c r="Y1319">
        <f>IF(COUNTIF($E1319, _xlfn.CONCAT("*",Table13[[#Headers],[Thriller]],"*")),1,0)</f>
        <v>0</v>
      </c>
      <c r="Z1319">
        <f>IF(COUNTIF($E1319, _xlfn.CONCAT("*",Table13[[#Headers],[War]],"*")),1,0)</f>
        <v>0</v>
      </c>
      <c r="AA1319">
        <f>IF(COUNTIF($E1319, _xlfn.CONCAT("*",Table13[[#Headers],[Western]],"*")),1,0)</f>
        <v>0</v>
      </c>
    </row>
    <row r="1320" spans="1:27">
      <c r="A1320" t="s">
        <v>1223</v>
      </c>
      <c r="B1320">
        <v>16</v>
      </c>
      <c r="C1320">
        <f>MAX(Table13[Rank])-Table13[[#This Row],[Rank]]</f>
        <v>248</v>
      </c>
      <c r="D1320" t="s">
        <v>1131</v>
      </c>
      <c r="E1320" t="s">
        <v>17</v>
      </c>
      <c r="F1320" s="1">
        <v>41214</v>
      </c>
      <c r="G1320">
        <f>YEAR(Table13[[#This Row],[Date]])</f>
        <v>2012</v>
      </c>
      <c r="H1320" t="s">
        <v>1223</v>
      </c>
      <c r="I1320">
        <f>IF(COUNTIF($E1320, _xlfn.CONCAT("*",Table13[[#Headers],[Action]],"*")),1,0)</f>
        <v>0</v>
      </c>
      <c r="J1320">
        <f>IF(COUNTIF($E1320, _xlfn.CONCAT("*",Table13[[#Headers],[Adventure]],"*")),1,0)</f>
        <v>0</v>
      </c>
      <c r="K1320">
        <f>IF(COUNTIF($E1320, _xlfn.CONCAT("*",Table13[[#Headers],[Animation]],"*")),1,0)</f>
        <v>0</v>
      </c>
      <c r="L1320">
        <f>IF(COUNTIF($E1320, _xlfn.CONCAT("*",Table13[[#Headers],[Comedy]],"*")),1,0)</f>
        <v>0</v>
      </c>
      <c r="M1320">
        <f>IF(COUNTIF($E1320, _xlfn.CONCAT("*",Table13[[#Headers],[Crime]],"*")),1,0)</f>
        <v>0</v>
      </c>
      <c r="N1320">
        <f>IF(COUNTIF($E1320, _xlfn.CONCAT("*",Table13[[#Headers],[Documentary]],"*")),1,0)</f>
        <v>1</v>
      </c>
      <c r="O1320">
        <f>IF(COUNTIF($E1320, _xlfn.CONCAT("*",Table13[[#Headers],[Drama]],"*")),1,0)</f>
        <v>0</v>
      </c>
      <c r="P1320">
        <f>IF(COUNTIF($E1320, _xlfn.CONCAT("*",Table13[[#Headers],[Family]],"*")),1,0)</f>
        <v>0</v>
      </c>
      <c r="Q1320">
        <f>IF(COUNTIF($E1320, _xlfn.CONCAT("*",Table13[[#Headers],[Fantasy]],"*")),1,0)</f>
        <v>0</v>
      </c>
      <c r="R1320">
        <f>IF(COUNTIF($E1320, _xlfn.CONCAT("*",Table13[[#Headers],[History]],"*")),1,0)</f>
        <v>0</v>
      </c>
      <c r="S1320">
        <f>IF(COUNTIF($E1320, _xlfn.CONCAT("*",Table13[[#Headers],[Horror]],"*")),1,0)</f>
        <v>0</v>
      </c>
      <c r="T1320">
        <f>IF(COUNTIF($E1320, _xlfn.CONCAT("*",Table13[[#Headers],[Music]],"*")),1,0)</f>
        <v>0</v>
      </c>
      <c r="U1320">
        <f>IF(COUNTIF($E1320, _xlfn.CONCAT("*",Table13[[#Headers],[Mystery]],"*")),1,0)</f>
        <v>0</v>
      </c>
      <c r="V1320">
        <f>IF(COUNTIF($E1320, _xlfn.CONCAT("*",Table13[[#Headers],[Romance]],"*")),1,0)</f>
        <v>0</v>
      </c>
      <c r="W1320">
        <f>IF(COUNTIF($E1320, _xlfn.CONCAT("*",Table13[[#Headers],[Science Fiction]],"*")),1,0)</f>
        <v>0</v>
      </c>
      <c r="X1320">
        <f>IF(COUNTIF($E1320, _xlfn.CONCAT("*",Table13[[#Headers],[TV Movie]],"*")),1,0)</f>
        <v>0</v>
      </c>
      <c r="Y1320">
        <f>IF(COUNTIF($E1320, _xlfn.CONCAT("*",Table13[[#Headers],[Thriller]],"*")),1,0)</f>
        <v>0</v>
      </c>
      <c r="Z1320">
        <f>IF(COUNTIF($E1320, _xlfn.CONCAT("*",Table13[[#Headers],[War]],"*")),1,0)</f>
        <v>0</v>
      </c>
      <c r="AA1320">
        <f>IF(COUNTIF($E1320, _xlfn.CONCAT("*",Table13[[#Headers],[Western]],"*")),1,0)</f>
        <v>0</v>
      </c>
    </row>
    <row r="1321" spans="1:27">
      <c r="A1321" t="s">
        <v>848</v>
      </c>
      <c r="B1321">
        <v>15</v>
      </c>
      <c r="C1321">
        <f>MAX(Table13[Rank])-Table13[[#This Row],[Rank]]</f>
        <v>249</v>
      </c>
      <c r="D1321" t="s">
        <v>1131</v>
      </c>
      <c r="E1321" t="s">
        <v>529</v>
      </c>
      <c r="F1321" s="1">
        <v>43253</v>
      </c>
      <c r="G1321">
        <f>YEAR(Table13[[#This Row],[Date]])</f>
        <v>2018</v>
      </c>
      <c r="H1321" t="s">
        <v>848</v>
      </c>
      <c r="I1321">
        <f>IF(COUNTIF($E1321, _xlfn.CONCAT("*",Table13[[#Headers],[Action]],"*")),1,0)</f>
        <v>0</v>
      </c>
      <c r="J1321">
        <f>IF(COUNTIF($E1321, _xlfn.CONCAT("*",Table13[[#Headers],[Adventure]],"*")),1,0)</f>
        <v>0</v>
      </c>
      <c r="K1321">
        <f>IF(COUNTIF($E1321, _xlfn.CONCAT("*",Table13[[#Headers],[Animation]],"*")),1,0)</f>
        <v>0</v>
      </c>
      <c r="L1321">
        <f>IF(COUNTIF($E1321, _xlfn.CONCAT("*",Table13[[#Headers],[Comedy]],"*")),1,0)</f>
        <v>0</v>
      </c>
      <c r="M1321">
        <f>IF(COUNTIF($E1321, _xlfn.CONCAT("*",Table13[[#Headers],[Crime]],"*")),1,0)</f>
        <v>1</v>
      </c>
      <c r="N1321">
        <f>IF(COUNTIF($E1321, _xlfn.CONCAT("*",Table13[[#Headers],[Documentary]],"*")),1,0)</f>
        <v>0</v>
      </c>
      <c r="O1321">
        <f>IF(COUNTIF($E1321, _xlfn.CONCAT("*",Table13[[#Headers],[Drama]],"*")),1,0)</f>
        <v>1</v>
      </c>
      <c r="P1321">
        <f>IF(COUNTIF($E1321, _xlfn.CONCAT("*",Table13[[#Headers],[Family]],"*")),1,0)</f>
        <v>0</v>
      </c>
      <c r="Q1321">
        <f>IF(COUNTIF($E1321, _xlfn.CONCAT("*",Table13[[#Headers],[Fantasy]],"*")),1,0)</f>
        <v>0</v>
      </c>
      <c r="R1321">
        <f>IF(COUNTIF($E1321, _xlfn.CONCAT("*",Table13[[#Headers],[History]],"*")),1,0)</f>
        <v>0</v>
      </c>
      <c r="S1321">
        <f>IF(COUNTIF($E1321, _xlfn.CONCAT("*",Table13[[#Headers],[Horror]],"*")),1,0)</f>
        <v>0</v>
      </c>
      <c r="T1321">
        <f>IF(COUNTIF($E1321, _xlfn.CONCAT("*",Table13[[#Headers],[Music]],"*")),1,0)</f>
        <v>0</v>
      </c>
      <c r="U1321">
        <f>IF(COUNTIF($E1321, _xlfn.CONCAT("*",Table13[[#Headers],[Mystery]],"*")),1,0)</f>
        <v>0</v>
      </c>
      <c r="V1321">
        <f>IF(COUNTIF($E1321, _xlfn.CONCAT("*",Table13[[#Headers],[Romance]],"*")),1,0)</f>
        <v>0</v>
      </c>
      <c r="W1321">
        <f>IF(COUNTIF($E1321, _xlfn.CONCAT("*",Table13[[#Headers],[Science Fiction]],"*")),1,0)</f>
        <v>0</v>
      </c>
      <c r="X1321">
        <f>IF(COUNTIF($E1321, _xlfn.CONCAT("*",Table13[[#Headers],[TV Movie]],"*")),1,0)</f>
        <v>0</v>
      </c>
      <c r="Y1321">
        <f>IF(COUNTIF($E1321, _xlfn.CONCAT("*",Table13[[#Headers],[Thriller]],"*")),1,0)</f>
        <v>1</v>
      </c>
      <c r="Z1321">
        <f>IF(COUNTIF($E1321, _xlfn.CONCAT("*",Table13[[#Headers],[War]],"*")),1,0)</f>
        <v>0</v>
      </c>
      <c r="AA1321">
        <f>IF(COUNTIF($E1321, _xlfn.CONCAT("*",Table13[[#Headers],[Western]],"*")),1,0)</f>
        <v>0</v>
      </c>
    </row>
    <row r="1322" spans="1:27">
      <c r="A1322" t="s">
        <v>1224</v>
      </c>
      <c r="B1322">
        <v>14</v>
      </c>
      <c r="C1322">
        <f>MAX(Table13[Rank])-Table13[[#This Row],[Rank]]</f>
        <v>250</v>
      </c>
      <c r="D1322" t="s">
        <v>1131</v>
      </c>
      <c r="E1322" t="s">
        <v>21</v>
      </c>
      <c r="F1322" s="1">
        <v>40261</v>
      </c>
      <c r="G1322">
        <f>YEAR(Table13[[#This Row],[Date]])</f>
        <v>2010</v>
      </c>
      <c r="H1322" t="s">
        <v>1224</v>
      </c>
      <c r="I1322">
        <f>IF(COUNTIF($E1322, _xlfn.CONCAT("*",Table13[[#Headers],[Action]],"*")),1,0)</f>
        <v>0</v>
      </c>
      <c r="J1322">
        <f>IF(COUNTIF($E1322, _xlfn.CONCAT("*",Table13[[#Headers],[Adventure]],"*")),1,0)</f>
        <v>0</v>
      </c>
      <c r="K1322">
        <f>IF(COUNTIF($E1322, _xlfn.CONCAT("*",Table13[[#Headers],[Animation]],"*")),1,0)</f>
        <v>0</v>
      </c>
      <c r="L1322">
        <f>IF(COUNTIF($E1322, _xlfn.CONCAT("*",Table13[[#Headers],[Comedy]],"*")),1,0)</f>
        <v>0</v>
      </c>
      <c r="M1322">
        <f>IF(COUNTIF($E1322, _xlfn.CONCAT("*",Table13[[#Headers],[Crime]],"*")),1,0)</f>
        <v>0</v>
      </c>
      <c r="N1322">
        <f>IF(COUNTIF($E1322, _xlfn.CONCAT("*",Table13[[#Headers],[Documentary]],"*")),1,0)</f>
        <v>0</v>
      </c>
      <c r="O1322">
        <f>IF(COUNTIF($E1322, _xlfn.CONCAT("*",Table13[[#Headers],[Drama]],"*")),1,0)</f>
        <v>1</v>
      </c>
      <c r="P1322">
        <f>IF(COUNTIF($E1322, _xlfn.CONCAT("*",Table13[[#Headers],[Family]],"*")),1,0)</f>
        <v>0</v>
      </c>
      <c r="Q1322">
        <f>IF(COUNTIF($E1322, _xlfn.CONCAT("*",Table13[[#Headers],[Fantasy]],"*")),1,0)</f>
        <v>0</v>
      </c>
      <c r="R1322">
        <f>IF(COUNTIF($E1322, _xlfn.CONCAT("*",Table13[[#Headers],[History]],"*")),1,0)</f>
        <v>0</v>
      </c>
      <c r="S1322">
        <f>IF(COUNTIF($E1322, _xlfn.CONCAT("*",Table13[[#Headers],[Horror]],"*")),1,0)</f>
        <v>0</v>
      </c>
      <c r="T1322">
        <f>IF(COUNTIF($E1322, _xlfn.CONCAT("*",Table13[[#Headers],[Music]],"*")),1,0)</f>
        <v>0</v>
      </c>
      <c r="U1322">
        <f>IF(COUNTIF($E1322, _xlfn.CONCAT("*",Table13[[#Headers],[Mystery]],"*")),1,0)</f>
        <v>0</v>
      </c>
      <c r="V1322">
        <f>IF(COUNTIF($E1322, _xlfn.CONCAT("*",Table13[[#Headers],[Romance]],"*")),1,0)</f>
        <v>0</v>
      </c>
      <c r="W1322">
        <f>IF(COUNTIF($E1322, _xlfn.CONCAT("*",Table13[[#Headers],[Science Fiction]],"*")),1,0)</f>
        <v>0</v>
      </c>
      <c r="X1322">
        <f>IF(COUNTIF($E1322, _xlfn.CONCAT("*",Table13[[#Headers],[TV Movie]],"*")),1,0)</f>
        <v>0</v>
      </c>
      <c r="Y1322">
        <f>IF(COUNTIF($E1322, _xlfn.CONCAT("*",Table13[[#Headers],[Thriller]],"*")),1,0)</f>
        <v>0</v>
      </c>
      <c r="Z1322">
        <f>IF(COUNTIF($E1322, _xlfn.CONCAT("*",Table13[[#Headers],[War]],"*")),1,0)</f>
        <v>0</v>
      </c>
      <c r="AA1322">
        <f>IF(COUNTIF($E1322, _xlfn.CONCAT("*",Table13[[#Headers],[Western]],"*")),1,0)</f>
        <v>0</v>
      </c>
    </row>
    <row r="1323" spans="1:27">
      <c r="A1323" t="s">
        <v>1225</v>
      </c>
      <c r="B1323">
        <v>13</v>
      </c>
      <c r="C1323">
        <f>MAX(Table13[Rank])-Table13[[#This Row],[Rank]]</f>
        <v>251</v>
      </c>
      <c r="D1323" t="s">
        <v>1131</v>
      </c>
      <c r="E1323" t="s">
        <v>35</v>
      </c>
      <c r="F1323" s="1">
        <v>37501</v>
      </c>
      <c r="G1323">
        <f>YEAR(Table13[[#This Row],[Date]])</f>
        <v>2002</v>
      </c>
      <c r="H1323" t="s">
        <v>1226</v>
      </c>
      <c r="I1323">
        <f>IF(COUNTIF($E1323, _xlfn.CONCAT("*",Table13[[#Headers],[Action]],"*")),1,0)</f>
        <v>0</v>
      </c>
      <c r="J1323">
        <f>IF(COUNTIF($E1323, _xlfn.CONCAT("*",Table13[[#Headers],[Adventure]],"*")),1,0)</f>
        <v>0</v>
      </c>
      <c r="K1323">
        <f>IF(COUNTIF($E1323, _xlfn.CONCAT("*",Table13[[#Headers],[Animation]],"*")),1,0)</f>
        <v>0</v>
      </c>
      <c r="L1323">
        <f>IF(COUNTIF($E1323, _xlfn.CONCAT("*",Table13[[#Headers],[Comedy]],"*")),1,0)</f>
        <v>0</v>
      </c>
      <c r="M1323">
        <f>IF(COUNTIF($E1323, _xlfn.CONCAT("*",Table13[[#Headers],[Crime]],"*")),1,0)</f>
        <v>0</v>
      </c>
      <c r="N1323">
        <f>IF(COUNTIF($E1323, _xlfn.CONCAT("*",Table13[[#Headers],[Documentary]],"*")),1,0)</f>
        <v>0</v>
      </c>
      <c r="O1323">
        <f>IF(COUNTIF($E1323, _xlfn.CONCAT("*",Table13[[#Headers],[Drama]],"*")),1,0)</f>
        <v>1</v>
      </c>
      <c r="P1323">
        <f>IF(COUNTIF($E1323, _xlfn.CONCAT("*",Table13[[#Headers],[Family]],"*")),1,0)</f>
        <v>0</v>
      </c>
      <c r="Q1323">
        <f>IF(COUNTIF($E1323, _xlfn.CONCAT("*",Table13[[#Headers],[Fantasy]],"*")),1,0)</f>
        <v>0</v>
      </c>
      <c r="R1323">
        <f>IF(COUNTIF($E1323, _xlfn.CONCAT("*",Table13[[#Headers],[History]],"*")),1,0)</f>
        <v>0</v>
      </c>
      <c r="S1323">
        <f>IF(COUNTIF($E1323, _xlfn.CONCAT("*",Table13[[#Headers],[Horror]],"*")),1,0)</f>
        <v>0</v>
      </c>
      <c r="T1323">
        <f>IF(COUNTIF($E1323, _xlfn.CONCAT("*",Table13[[#Headers],[Music]],"*")),1,0)</f>
        <v>0</v>
      </c>
      <c r="U1323">
        <f>IF(COUNTIF($E1323, _xlfn.CONCAT("*",Table13[[#Headers],[Mystery]],"*")),1,0)</f>
        <v>0</v>
      </c>
      <c r="V1323">
        <f>IF(COUNTIF($E1323, _xlfn.CONCAT("*",Table13[[#Headers],[Romance]],"*")),1,0)</f>
        <v>1</v>
      </c>
      <c r="W1323">
        <f>IF(COUNTIF($E1323, _xlfn.CONCAT("*",Table13[[#Headers],[Science Fiction]],"*")),1,0)</f>
        <v>0</v>
      </c>
      <c r="X1323">
        <f>IF(COUNTIF($E1323, _xlfn.CONCAT("*",Table13[[#Headers],[TV Movie]],"*")),1,0)</f>
        <v>0</v>
      </c>
      <c r="Y1323">
        <f>IF(COUNTIF($E1323, _xlfn.CONCAT("*",Table13[[#Headers],[Thriller]],"*")),1,0)</f>
        <v>0</v>
      </c>
      <c r="Z1323">
        <f>IF(COUNTIF($E1323, _xlfn.CONCAT("*",Table13[[#Headers],[War]],"*")),1,0)</f>
        <v>0</v>
      </c>
      <c r="AA1323">
        <f>IF(COUNTIF($E1323, _xlfn.CONCAT("*",Table13[[#Headers],[Western]],"*")),1,0)</f>
        <v>0</v>
      </c>
    </row>
    <row r="1324" spans="1:27">
      <c r="A1324" t="s">
        <v>1227</v>
      </c>
      <c r="B1324">
        <v>12</v>
      </c>
      <c r="C1324">
        <f>MAX(Table13[Rank])-Table13[[#This Row],[Rank]]</f>
        <v>252</v>
      </c>
      <c r="D1324" t="s">
        <v>1131</v>
      </c>
      <c r="E1324" t="s">
        <v>83</v>
      </c>
      <c r="F1324" s="1">
        <v>42166</v>
      </c>
      <c r="G1324">
        <f>YEAR(Table13[[#This Row],[Date]])</f>
        <v>2015</v>
      </c>
      <c r="H1324" t="s">
        <v>1227</v>
      </c>
      <c r="I1324">
        <f>IF(COUNTIF($E1324, _xlfn.CONCAT("*",Table13[[#Headers],[Action]],"*")),1,0)</f>
        <v>0</v>
      </c>
      <c r="J1324">
        <f>IF(COUNTIF($E1324, _xlfn.CONCAT("*",Table13[[#Headers],[Adventure]],"*")),1,0)</f>
        <v>0</v>
      </c>
      <c r="K1324">
        <f>IF(COUNTIF($E1324, _xlfn.CONCAT("*",Table13[[#Headers],[Animation]],"*")),1,0)</f>
        <v>0</v>
      </c>
      <c r="L1324">
        <f>IF(COUNTIF($E1324, _xlfn.CONCAT("*",Table13[[#Headers],[Comedy]],"*")),1,0)</f>
        <v>0</v>
      </c>
      <c r="M1324">
        <f>IF(COUNTIF($E1324, _xlfn.CONCAT("*",Table13[[#Headers],[Crime]],"*")),1,0)</f>
        <v>0</v>
      </c>
      <c r="N1324">
        <f>IF(COUNTIF($E1324, _xlfn.CONCAT("*",Table13[[#Headers],[Documentary]],"*")),1,0)</f>
        <v>0</v>
      </c>
      <c r="O1324">
        <f>IF(COUNTIF($E1324, _xlfn.CONCAT("*",Table13[[#Headers],[Drama]],"*")),1,0)</f>
        <v>1</v>
      </c>
      <c r="P1324">
        <f>IF(COUNTIF($E1324, _xlfn.CONCAT("*",Table13[[#Headers],[Family]],"*")),1,0)</f>
        <v>0</v>
      </c>
      <c r="Q1324">
        <f>IF(COUNTIF($E1324, _xlfn.CONCAT("*",Table13[[#Headers],[Fantasy]],"*")),1,0)</f>
        <v>0</v>
      </c>
      <c r="R1324">
        <f>IF(COUNTIF($E1324, _xlfn.CONCAT("*",Table13[[#Headers],[History]],"*")),1,0)</f>
        <v>0</v>
      </c>
      <c r="S1324">
        <f>IF(COUNTIF($E1324, _xlfn.CONCAT("*",Table13[[#Headers],[Horror]],"*")),1,0)</f>
        <v>0</v>
      </c>
      <c r="T1324">
        <f>IF(COUNTIF($E1324, _xlfn.CONCAT("*",Table13[[#Headers],[Music]],"*")),1,0)</f>
        <v>0</v>
      </c>
      <c r="U1324">
        <f>IF(COUNTIF($E1324, _xlfn.CONCAT("*",Table13[[#Headers],[Mystery]],"*")),1,0)</f>
        <v>0</v>
      </c>
      <c r="V1324">
        <f>IF(COUNTIF($E1324, _xlfn.CONCAT("*",Table13[[#Headers],[Romance]],"*")),1,0)</f>
        <v>0</v>
      </c>
      <c r="W1324">
        <f>IF(COUNTIF($E1324, _xlfn.CONCAT("*",Table13[[#Headers],[Science Fiction]],"*")),1,0)</f>
        <v>0</v>
      </c>
      <c r="X1324">
        <f>IF(COUNTIF($E1324, _xlfn.CONCAT("*",Table13[[#Headers],[TV Movie]],"*")),1,0)</f>
        <v>0</v>
      </c>
      <c r="Y1324">
        <f>IF(COUNTIF($E1324, _xlfn.CONCAT("*",Table13[[#Headers],[Thriller]],"*")),1,0)</f>
        <v>1</v>
      </c>
      <c r="Z1324">
        <f>IF(COUNTIF($E1324, _xlfn.CONCAT("*",Table13[[#Headers],[War]],"*")),1,0)</f>
        <v>1</v>
      </c>
      <c r="AA1324">
        <f>IF(COUNTIF($E1324, _xlfn.CONCAT("*",Table13[[#Headers],[Western]],"*")),1,0)</f>
        <v>0</v>
      </c>
    </row>
    <row r="1325" spans="1:27">
      <c r="A1325" t="s">
        <v>549</v>
      </c>
      <c r="B1325">
        <v>11</v>
      </c>
      <c r="C1325">
        <f>MAX(Table13[Rank])-Table13[[#This Row],[Rank]]</f>
        <v>253</v>
      </c>
      <c r="D1325" t="s">
        <v>1131</v>
      </c>
      <c r="E1325" t="s">
        <v>548</v>
      </c>
      <c r="F1325" s="1">
        <v>37048</v>
      </c>
      <c r="G1325">
        <f>YEAR(Table13[[#This Row],[Date]])</f>
        <v>2001</v>
      </c>
      <c r="H1325" t="s">
        <v>549</v>
      </c>
      <c r="I1325">
        <f>IF(COUNTIF($E1325, _xlfn.CONCAT("*",Table13[[#Headers],[Action]],"*")),1,0)</f>
        <v>0</v>
      </c>
      <c r="J1325">
        <f>IF(COUNTIF($E1325, _xlfn.CONCAT("*",Table13[[#Headers],[Adventure]],"*")),1,0)</f>
        <v>0</v>
      </c>
      <c r="K1325">
        <f>IF(COUNTIF($E1325, _xlfn.CONCAT("*",Table13[[#Headers],[Animation]],"*")),1,0)</f>
        <v>0</v>
      </c>
      <c r="L1325">
        <f>IF(COUNTIF($E1325, _xlfn.CONCAT("*",Table13[[#Headers],[Comedy]],"*")),1,0)</f>
        <v>0</v>
      </c>
      <c r="M1325">
        <f>IF(COUNTIF($E1325, _xlfn.CONCAT("*",Table13[[#Headers],[Crime]],"*")),1,0)</f>
        <v>0</v>
      </c>
      <c r="N1325">
        <f>IF(COUNTIF($E1325, _xlfn.CONCAT("*",Table13[[#Headers],[Documentary]],"*")),1,0)</f>
        <v>0</v>
      </c>
      <c r="O1325">
        <f>IF(COUNTIF($E1325, _xlfn.CONCAT("*",Table13[[#Headers],[Drama]],"*")),1,0)</f>
        <v>1</v>
      </c>
      <c r="P1325">
        <f>IF(COUNTIF($E1325, _xlfn.CONCAT("*",Table13[[#Headers],[Family]],"*")),1,0)</f>
        <v>0</v>
      </c>
      <c r="Q1325">
        <f>IF(COUNTIF($E1325, _xlfn.CONCAT("*",Table13[[#Headers],[Fantasy]],"*")),1,0)</f>
        <v>0</v>
      </c>
      <c r="R1325">
        <f>IF(COUNTIF($E1325, _xlfn.CONCAT("*",Table13[[#Headers],[History]],"*")),1,0)</f>
        <v>0</v>
      </c>
      <c r="S1325">
        <f>IF(COUNTIF($E1325, _xlfn.CONCAT("*",Table13[[#Headers],[Horror]],"*")),1,0)</f>
        <v>0</v>
      </c>
      <c r="T1325">
        <f>IF(COUNTIF($E1325, _xlfn.CONCAT("*",Table13[[#Headers],[Music]],"*")),1,0)</f>
        <v>0</v>
      </c>
      <c r="U1325">
        <f>IF(COUNTIF($E1325, _xlfn.CONCAT("*",Table13[[#Headers],[Mystery]],"*")),1,0)</f>
        <v>1</v>
      </c>
      <c r="V1325">
        <f>IF(COUNTIF($E1325, _xlfn.CONCAT("*",Table13[[#Headers],[Romance]],"*")),1,0)</f>
        <v>0</v>
      </c>
      <c r="W1325">
        <f>IF(COUNTIF($E1325, _xlfn.CONCAT("*",Table13[[#Headers],[Science Fiction]],"*")),1,0)</f>
        <v>0</v>
      </c>
      <c r="X1325">
        <f>IF(COUNTIF($E1325, _xlfn.CONCAT("*",Table13[[#Headers],[TV Movie]],"*")),1,0)</f>
        <v>0</v>
      </c>
      <c r="Y1325">
        <f>IF(COUNTIF($E1325, _xlfn.CONCAT("*",Table13[[#Headers],[Thriller]],"*")),1,0)</f>
        <v>1</v>
      </c>
      <c r="Z1325">
        <f>IF(COUNTIF($E1325, _xlfn.CONCAT("*",Table13[[#Headers],[War]],"*")),1,0)</f>
        <v>0</v>
      </c>
      <c r="AA1325">
        <f>IF(COUNTIF($E1325, _xlfn.CONCAT("*",Table13[[#Headers],[Western]],"*")),1,0)</f>
        <v>0</v>
      </c>
    </row>
    <row r="1326" spans="1:27">
      <c r="A1326" t="s">
        <v>1228</v>
      </c>
      <c r="B1326">
        <v>10</v>
      </c>
      <c r="C1326">
        <f>MAX(Table13[Rank])-Table13[[#This Row],[Rank]]</f>
        <v>254</v>
      </c>
      <c r="D1326" t="s">
        <v>1131</v>
      </c>
      <c r="E1326" t="s">
        <v>1229</v>
      </c>
      <c r="F1326" s="1">
        <v>38270</v>
      </c>
      <c r="G1326">
        <f>YEAR(Table13[[#This Row],[Date]])</f>
        <v>2004</v>
      </c>
      <c r="H1326" t="s">
        <v>1228</v>
      </c>
      <c r="I1326">
        <f>IF(COUNTIF($E1326, _xlfn.CONCAT("*",Table13[[#Headers],[Action]],"*")),1,0)</f>
        <v>1</v>
      </c>
      <c r="J1326">
        <f>IF(COUNTIF($E1326, _xlfn.CONCAT("*",Table13[[#Headers],[Adventure]],"*")),1,0)</f>
        <v>1</v>
      </c>
      <c r="K1326">
        <f>IF(COUNTIF($E1326, _xlfn.CONCAT("*",Table13[[#Headers],[Animation]],"*")),1,0)</f>
        <v>0</v>
      </c>
      <c r="L1326">
        <f>IF(COUNTIF($E1326, _xlfn.CONCAT("*",Table13[[#Headers],[Comedy]],"*")),1,0)</f>
        <v>1</v>
      </c>
      <c r="M1326">
        <f>IF(COUNTIF($E1326, _xlfn.CONCAT("*",Table13[[#Headers],[Crime]],"*")),1,0)</f>
        <v>0</v>
      </c>
      <c r="N1326">
        <f>IF(COUNTIF($E1326, _xlfn.CONCAT("*",Table13[[#Headers],[Documentary]],"*")),1,0)</f>
        <v>0</v>
      </c>
      <c r="O1326">
        <f>IF(COUNTIF($E1326, _xlfn.CONCAT("*",Table13[[#Headers],[Drama]],"*")),1,0)</f>
        <v>0</v>
      </c>
      <c r="P1326">
        <f>IF(COUNTIF($E1326, _xlfn.CONCAT("*",Table13[[#Headers],[Family]],"*")),1,0)</f>
        <v>0</v>
      </c>
      <c r="Q1326">
        <f>IF(COUNTIF($E1326, _xlfn.CONCAT("*",Table13[[#Headers],[Fantasy]],"*")),1,0)</f>
        <v>0</v>
      </c>
      <c r="R1326">
        <f>IF(COUNTIF($E1326, _xlfn.CONCAT("*",Table13[[#Headers],[History]],"*")),1,0)</f>
        <v>0</v>
      </c>
      <c r="S1326">
        <f>IF(COUNTIF($E1326, _xlfn.CONCAT("*",Table13[[#Headers],[Horror]],"*")),1,0)</f>
        <v>0</v>
      </c>
      <c r="T1326">
        <f>IF(COUNTIF($E1326, _xlfn.CONCAT("*",Table13[[#Headers],[Music]],"*")),1,0)</f>
        <v>0</v>
      </c>
      <c r="U1326">
        <f>IF(COUNTIF($E1326, _xlfn.CONCAT("*",Table13[[#Headers],[Mystery]],"*")),1,0)</f>
        <v>0</v>
      </c>
      <c r="V1326">
        <f>IF(COUNTIF($E1326, _xlfn.CONCAT("*",Table13[[#Headers],[Romance]],"*")),1,0)</f>
        <v>0</v>
      </c>
      <c r="W1326">
        <f>IF(COUNTIF($E1326, _xlfn.CONCAT("*",Table13[[#Headers],[Science Fiction]],"*")),1,0)</f>
        <v>0</v>
      </c>
      <c r="X1326">
        <f>IF(COUNTIF($E1326, _xlfn.CONCAT("*",Table13[[#Headers],[TV Movie]],"*")),1,0)</f>
        <v>0</v>
      </c>
      <c r="Y1326">
        <f>IF(COUNTIF($E1326, _xlfn.CONCAT("*",Table13[[#Headers],[Thriller]],"*")),1,0)</f>
        <v>0</v>
      </c>
      <c r="Z1326">
        <f>IF(COUNTIF($E1326, _xlfn.CONCAT("*",Table13[[#Headers],[War]],"*")),1,0)</f>
        <v>0</v>
      </c>
      <c r="AA1326">
        <f>IF(COUNTIF($E1326, _xlfn.CONCAT("*",Table13[[#Headers],[Western]],"*")),1,0)</f>
        <v>0</v>
      </c>
    </row>
    <row r="1327" spans="1:27">
      <c r="A1327" t="s">
        <v>108</v>
      </c>
      <c r="B1327">
        <v>9</v>
      </c>
      <c r="C1327">
        <f>MAX(Table13[Rank])-Table13[[#This Row],[Rank]]</f>
        <v>255</v>
      </c>
      <c r="D1327" t="s">
        <v>1131</v>
      </c>
      <c r="E1327" t="s">
        <v>109</v>
      </c>
      <c r="F1327" s="1">
        <v>43006</v>
      </c>
      <c r="G1327">
        <f>YEAR(Table13[[#This Row],[Date]])</f>
        <v>2017</v>
      </c>
      <c r="H1327" t="s">
        <v>108</v>
      </c>
      <c r="I1327">
        <f>IF(COUNTIF($E1327, _xlfn.CONCAT("*",Table13[[#Headers],[Action]],"*")),1,0)</f>
        <v>0</v>
      </c>
      <c r="J1327">
        <f>IF(COUNTIF($E1327, _xlfn.CONCAT("*",Table13[[#Headers],[Adventure]],"*")),1,0)</f>
        <v>0</v>
      </c>
      <c r="K1327">
        <f>IF(COUNTIF($E1327, _xlfn.CONCAT("*",Table13[[#Headers],[Animation]],"*")),1,0)</f>
        <v>0</v>
      </c>
      <c r="L1327">
        <f>IF(COUNTIF($E1327, _xlfn.CONCAT("*",Table13[[#Headers],[Comedy]],"*")),1,0)</f>
        <v>0</v>
      </c>
      <c r="M1327">
        <f>IF(COUNTIF($E1327, _xlfn.CONCAT("*",Table13[[#Headers],[Crime]],"*")),1,0)</f>
        <v>0</v>
      </c>
      <c r="N1327">
        <f>IF(COUNTIF($E1327, _xlfn.CONCAT("*",Table13[[#Headers],[Documentary]],"*")),1,0)</f>
        <v>0</v>
      </c>
      <c r="O1327">
        <f>IF(COUNTIF($E1327, _xlfn.CONCAT("*",Table13[[#Headers],[Drama]],"*")),1,0)</f>
        <v>1</v>
      </c>
      <c r="P1327">
        <f>IF(COUNTIF($E1327, _xlfn.CONCAT("*",Table13[[#Headers],[Family]],"*")),1,0)</f>
        <v>0</v>
      </c>
      <c r="Q1327">
        <f>IF(COUNTIF($E1327, _xlfn.CONCAT("*",Table13[[#Headers],[Fantasy]],"*")),1,0)</f>
        <v>0</v>
      </c>
      <c r="R1327">
        <f>IF(COUNTIF($E1327, _xlfn.CONCAT("*",Table13[[#Headers],[History]],"*")),1,0)</f>
        <v>1</v>
      </c>
      <c r="S1327">
        <f>IF(COUNTIF($E1327, _xlfn.CONCAT("*",Table13[[#Headers],[Horror]],"*")),1,0)</f>
        <v>0</v>
      </c>
      <c r="T1327">
        <f>IF(COUNTIF($E1327, _xlfn.CONCAT("*",Table13[[#Headers],[Music]],"*")),1,0)</f>
        <v>0</v>
      </c>
      <c r="U1327">
        <f>IF(COUNTIF($E1327, _xlfn.CONCAT("*",Table13[[#Headers],[Mystery]],"*")),1,0)</f>
        <v>0</v>
      </c>
      <c r="V1327">
        <f>IF(COUNTIF($E1327, _xlfn.CONCAT("*",Table13[[#Headers],[Romance]],"*")),1,0)</f>
        <v>0</v>
      </c>
      <c r="W1327">
        <f>IF(COUNTIF($E1327, _xlfn.CONCAT("*",Table13[[#Headers],[Science Fiction]],"*")),1,0)</f>
        <v>0</v>
      </c>
      <c r="X1327">
        <f>IF(COUNTIF($E1327, _xlfn.CONCAT("*",Table13[[#Headers],[TV Movie]],"*")),1,0)</f>
        <v>0</v>
      </c>
      <c r="Y1327">
        <f>IF(COUNTIF($E1327, _xlfn.CONCAT("*",Table13[[#Headers],[Thriller]],"*")),1,0)</f>
        <v>0</v>
      </c>
      <c r="Z1327">
        <f>IF(COUNTIF($E1327, _xlfn.CONCAT("*",Table13[[#Headers],[War]],"*")),1,0)</f>
        <v>0</v>
      </c>
      <c r="AA1327">
        <f>IF(COUNTIF($E1327, _xlfn.CONCAT("*",Table13[[#Headers],[Western]],"*")),1,0)</f>
        <v>0</v>
      </c>
    </row>
    <row r="1328" spans="1:27">
      <c r="A1328" t="s">
        <v>320</v>
      </c>
      <c r="B1328">
        <v>8</v>
      </c>
      <c r="C1328">
        <f>MAX(Table13[Rank])-Table13[[#This Row],[Rank]]</f>
        <v>256</v>
      </c>
      <c r="D1328" t="s">
        <v>1131</v>
      </c>
      <c r="E1328" t="s">
        <v>21</v>
      </c>
      <c r="F1328" s="1">
        <v>42664</v>
      </c>
      <c r="G1328">
        <f>YEAR(Table13[[#This Row],[Date]])</f>
        <v>2016</v>
      </c>
      <c r="H1328" t="s">
        <v>320</v>
      </c>
      <c r="I1328">
        <f>IF(COUNTIF($E1328, _xlfn.CONCAT("*",Table13[[#Headers],[Action]],"*")),1,0)</f>
        <v>0</v>
      </c>
      <c r="J1328">
        <f>IF(COUNTIF($E1328, _xlfn.CONCAT("*",Table13[[#Headers],[Adventure]],"*")),1,0)</f>
        <v>0</v>
      </c>
      <c r="K1328">
        <f>IF(COUNTIF($E1328, _xlfn.CONCAT("*",Table13[[#Headers],[Animation]],"*")),1,0)</f>
        <v>0</v>
      </c>
      <c r="L1328">
        <f>IF(COUNTIF($E1328, _xlfn.CONCAT("*",Table13[[#Headers],[Comedy]],"*")),1,0)</f>
        <v>0</v>
      </c>
      <c r="M1328">
        <f>IF(COUNTIF($E1328, _xlfn.CONCAT("*",Table13[[#Headers],[Crime]],"*")),1,0)</f>
        <v>0</v>
      </c>
      <c r="N1328">
        <f>IF(COUNTIF($E1328, _xlfn.CONCAT("*",Table13[[#Headers],[Documentary]],"*")),1,0)</f>
        <v>0</v>
      </c>
      <c r="O1328">
        <f>IF(COUNTIF($E1328, _xlfn.CONCAT("*",Table13[[#Headers],[Drama]],"*")),1,0)</f>
        <v>1</v>
      </c>
      <c r="P1328">
        <f>IF(COUNTIF($E1328, _xlfn.CONCAT("*",Table13[[#Headers],[Family]],"*")),1,0)</f>
        <v>0</v>
      </c>
      <c r="Q1328">
        <f>IF(COUNTIF($E1328, _xlfn.CONCAT("*",Table13[[#Headers],[Fantasy]],"*")),1,0)</f>
        <v>0</v>
      </c>
      <c r="R1328">
        <f>IF(COUNTIF($E1328, _xlfn.CONCAT("*",Table13[[#Headers],[History]],"*")),1,0)</f>
        <v>0</v>
      </c>
      <c r="S1328">
        <f>IF(COUNTIF($E1328, _xlfn.CONCAT("*",Table13[[#Headers],[Horror]],"*")),1,0)</f>
        <v>0</v>
      </c>
      <c r="T1328">
        <f>IF(COUNTIF($E1328, _xlfn.CONCAT("*",Table13[[#Headers],[Music]],"*")),1,0)</f>
        <v>0</v>
      </c>
      <c r="U1328">
        <f>IF(COUNTIF($E1328, _xlfn.CONCAT("*",Table13[[#Headers],[Mystery]],"*")),1,0)</f>
        <v>0</v>
      </c>
      <c r="V1328">
        <f>IF(COUNTIF($E1328, _xlfn.CONCAT("*",Table13[[#Headers],[Romance]],"*")),1,0)</f>
        <v>0</v>
      </c>
      <c r="W1328">
        <f>IF(COUNTIF($E1328, _xlfn.CONCAT("*",Table13[[#Headers],[Science Fiction]],"*")),1,0)</f>
        <v>0</v>
      </c>
      <c r="X1328">
        <f>IF(COUNTIF($E1328, _xlfn.CONCAT("*",Table13[[#Headers],[TV Movie]],"*")),1,0)</f>
        <v>0</v>
      </c>
      <c r="Y1328">
        <f>IF(COUNTIF($E1328, _xlfn.CONCAT("*",Table13[[#Headers],[Thriller]],"*")),1,0)</f>
        <v>0</v>
      </c>
      <c r="Z1328">
        <f>IF(COUNTIF($E1328, _xlfn.CONCAT("*",Table13[[#Headers],[War]],"*")),1,0)</f>
        <v>0</v>
      </c>
      <c r="AA1328">
        <f>IF(COUNTIF($E1328, _xlfn.CONCAT("*",Table13[[#Headers],[Western]],"*")),1,0)</f>
        <v>0</v>
      </c>
    </row>
    <row r="1329" spans="1:27">
      <c r="A1329" t="s">
        <v>1230</v>
      </c>
      <c r="B1329">
        <v>7</v>
      </c>
      <c r="C1329">
        <f>MAX(Table13[Rank])-Table13[[#This Row],[Rank]]</f>
        <v>257</v>
      </c>
      <c r="D1329" t="s">
        <v>1131</v>
      </c>
      <c r="E1329" t="s">
        <v>21</v>
      </c>
      <c r="F1329" s="1">
        <v>39745</v>
      </c>
      <c r="G1329">
        <f>YEAR(Table13[[#This Row],[Date]])</f>
        <v>2008</v>
      </c>
      <c r="H1329" t="s">
        <v>1230</v>
      </c>
      <c r="I1329">
        <f>IF(COUNTIF($E1329, _xlfn.CONCAT("*",Table13[[#Headers],[Action]],"*")),1,0)</f>
        <v>0</v>
      </c>
      <c r="J1329">
        <f>IF(COUNTIF($E1329, _xlfn.CONCAT("*",Table13[[#Headers],[Adventure]],"*")),1,0)</f>
        <v>0</v>
      </c>
      <c r="K1329">
        <f>IF(COUNTIF($E1329, _xlfn.CONCAT("*",Table13[[#Headers],[Animation]],"*")),1,0)</f>
        <v>0</v>
      </c>
      <c r="L1329">
        <f>IF(COUNTIF($E1329, _xlfn.CONCAT("*",Table13[[#Headers],[Comedy]],"*")),1,0)</f>
        <v>0</v>
      </c>
      <c r="M1329">
        <f>IF(COUNTIF($E1329, _xlfn.CONCAT("*",Table13[[#Headers],[Crime]],"*")),1,0)</f>
        <v>0</v>
      </c>
      <c r="N1329">
        <f>IF(COUNTIF($E1329, _xlfn.CONCAT("*",Table13[[#Headers],[Documentary]],"*")),1,0)</f>
        <v>0</v>
      </c>
      <c r="O1329">
        <f>IF(COUNTIF($E1329, _xlfn.CONCAT("*",Table13[[#Headers],[Drama]],"*")),1,0)</f>
        <v>1</v>
      </c>
      <c r="P1329">
        <f>IF(COUNTIF($E1329, _xlfn.CONCAT("*",Table13[[#Headers],[Family]],"*")),1,0)</f>
        <v>0</v>
      </c>
      <c r="Q1329">
        <f>IF(COUNTIF($E1329, _xlfn.CONCAT("*",Table13[[#Headers],[Fantasy]],"*")),1,0)</f>
        <v>0</v>
      </c>
      <c r="R1329">
        <f>IF(COUNTIF($E1329, _xlfn.CONCAT("*",Table13[[#Headers],[History]],"*")),1,0)</f>
        <v>0</v>
      </c>
      <c r="S1329">
        <f>IF(COUNTIF($E1329, _xlfn.CONCAT("*",Table13[[#Headers],[Horror]],"*")),1,0)</f>
        <v>0</v>
      </c>
      <c r="T1329">
        <f>IF(COUNTIF($E1329, _xlfn.CONCAT("*",Table13[[#Headers],[Music]],"*")),1,0)</f>
        <v>0</v>
      </c>
      <c r="U1329">
        <f>IF(COUNTIF($E1329, _xlfn.CONCAT("*",Table13[[#Headers],[Mystery]],"*")),1,0)</f>
        <v>0</v>
      </c>
      <c r="V1329">
        <f>IF(COUNTIF($E1329, _xlfn.CONCAT("*",Table13[[#Headers],[Romance]],"*")),1,0)</f>
        <v>0</v>
      </c>
      <c r="W1329">
        <f>IF(COUNTIF($E1329, _xlfn.CONCAT("*",Table13[[#Headers],[Science Fiction]],"*")),1,0)</f>
        <v>0</v>
      </c>
      <c r="X1329">
        <f>IF(COUNTIF($E1329, _xlfn.CONCAT("*",Table13[[#Headers],[TV Movie]],"*")),1,0)</f>
        <v>0</v>
      </c>
      <c r="Y1329">
        <f>IF(COUNTIF($E1329, _xlfn.CONCAT("*",Table13[[#Headers],[Thriller]],"*")),1,0)</f>
        <v>0</v>
      </c>
      <c r="Z1329">
        <f>IF(COUNTIF($E1329, _xlfn.CONCAT("*",Table13[[#Headers],[War]],"*")),1,0)</f>
        <v>0</v>
      </c>
      <c r="AA1329">
        <f>IF(COUNTIF($E1329, _xlfn.CONCAT("*",Table13[[#Headers],[Western]],"*")),1,0)</f>
        <v>0</v>
      </c>
    </row>
    <row r="1330" spans="1:27">
      <c r="A1330" t="s">
        <v>1231</v>
      </c>
      <c r="B1330">
        <v>6</v>
      </c>
      <c r="C1330">
        <f>MAX(Table13[Rank])-Table13[[#This Row],[Rank]]</f>
        <v>258</v>
      </c>
      <c r="D1330" t="s">
        <v>1131</v>
      </c>
      <c r="E1330" t="s">
        <v>342</v>
      </c>
      <c r="F1330" s="1">
        <v>42262</v>
      </c>
      <c r="G1330">
        <f>YEAR(Table13[[#This Row],[Date]])</f>
        <v>2015</v>
      </c>
      <c r="H1330" t="s">
        <v>1231</v>
      </c>
      <c r="I1330">
        <f>IF(COUNTIF($E1330, _xlfn.CONCAT("*",Table13[[#Headers],[Action]],"*")),1,0)</f>
        <v>0</v>
      </c>
      <c r="J1330">
        <f>IF(COUNTIF($E1330, _xlfn.CONCAT("*",Table13[[#Headers],[Adventure]],"*")),1,0)</f>
        <v>0</v>
      </c>
      <c r="K1330">
        <f>IF(COUNTIF($E1330, _xlfn.CONCAT("*",Table13[[#Headers],[Animation]],"*")),1,0)</f>
        <v>0</v>
      </c>
      <c r="L1330">
        <f>IF(COUNTIF($E1330, _xlfn.CONCAT("*",Table13[[#Headers],[Comedy]],"*")),1,0)</f>
        <v>0</v>
      </c>
      <c r="M1330">
        <f>IF(COUNTIF($E1330, _xlfn.CONCAT("*",Table13[[#Headers],[Crime]],"*")),1,0)</f>
        <v>0</v>
      </c>
      <c r="N1330">
        <f>IF(COUNTIF($E1330, _xlfn.CONCAT("*",Table13[[#Headers],[Documentary]],"*")),1,0)</f>
        <v>0</v>
      </c>
      <c r="O1330">
        <f>IF(COUNTIF($E1330, _xlfn.CONCAT("*",Table13[[#Headers],[Drama]],"*")),1,0)</f>
        <v>0</v>
      </c>
      <c r="P1330">
        <f>IF(COUNTIF($E1330, _xlfn.CONCAT("*",Table13[[#Headers],[Family]],"*")),1,0)</f>
        <v>0</v>
      </c>
      <c r="Q1330">
        <f>IF(COUNTIF($E1330, _xlfn.CONCAT("*",Table13[[#Headers],[Fantasy]],"*")),1,0)</f>
        <v>0</v>
      </c>
      <c r="R1330">
        <f>IF(COUNTIF($E1330, _xlfn.CONCAT("*",Table13[[#Headers],[History]],"*")),1,0)</f>
        <v>0</v>
      </c>
      <c r="S1330">
        <f>IF(COUNTIF($E1330, _xlfn.CONCAT("*",Table13[[#Headers],[Horror]],"*")),1,0)</f>
        <v>1</v>
      </c>
      <c r="T1330">
        <f>IF(COUNTIF($E1330, _xlfn.CONCAT("*",Table13[[#Headers],[Music]],"*")),1,0)</f>
        <v>0</v>
      </c>
      <c r="U1330">
        <f>IF(COUNTIF($E1330, _xlfn.CONCAT("*",Table13[[#Headers],[Mystery]],"*")),1,0)</f>
        <v>0</v>
      </c>
      <c r="V1330">
        <f>IF(COUNTIF($E1330, _xlfn.CONCAT("*",Table13[[#Headers],[Romance]],"*")),1,0)</f>
        <v>0</v>
      </c>
      <c r="W1330">
        <f>IF(COUNTIF($E1330, _xlfn.CONCAT("*",Table13[[#Headers],[Science Fiction]],"*")),1,0)</f>
        <v>0</v>
      </c>
      <c r="X1330">
        <f>IF(COUNTIF($E1330, _xlfn.CONCAT("*",Table13[[#Headers],[TV Movie]],"*")),1,0)</f>
        <v>0</v>
      </c>
      <c r="Y1330">
        <f>IF(COUNTIF($E1330, _xlfn.CONCAT("*",Table13[[#Headers],[Thriller]],"*")),1,0)</f>
        <v>1</v>
      </c>
      <c r="Z1330">
        <f>IF(COUNTIF($E1330, _xlfn.CONCAT("*",Table13[[#Headers],[War]],"*")),1,0)</f>
        <v>0</v>
      </c>
      <c r="AA1330">
        <f>IF(COUNTIF($E1330, _xlfn.CONCAT("*",Table13[[#Headers],[Western]],"*")),1,0)</f>
        <v>0</v>
      </c>
    </row>
    <row r="1331" spans="1:27">
      <c r="A1331" t="s">
        <v>393</v>
      </c>
      <c r="B1331">
        <v>5</v>
      </c>
      <c r="C1331">
        <f>MAX(Table13[Rank])-Table13[[#This Row],[Rank]]</f>
        <v>259</v>
      </c>
      <c r="D1331" t="s">
        <v>1131</v>
      </c>
      <c r="E1331" t="s">
        <v>35</v>
      </c>
      <c r="F1331" s="1">
        <v>36798</v>
      </c>
      <c r="G1331">
        <f>YEAR(Table13[[#This Row],[Date]])</f>
        <v>2000</v>
      </c>
      <c r="H1331" t="s">
        <v>393</v>
      </c>
      <c r="I1331">
        <f>IF(COUNTIF($E1331, _xlfn.CONCAT("*",Table13[[#Headers],[Action]],"*")),1,0)</f>
        <v>0</v>
      </c>
      <c r="J1331">
        <f>IF(COUNTIF($E1331, _xlfn.CONCAT("*",Table13[[#Headers],[Adventure]],"*")),1,0)</f>
        <v>0</v>
      </c>
      <c r="K1331">
        <f>IF(COUNTIF($E1331, _xlfn.CONCAT("*",Table13[[#Headers],[Animation]],"*")),1,0)</f>
        <v>0</v>
      </c>
      <c r="L1331">
        <f>IF(COUNTIF($E1331, _xlfn.CONCAT("*",Table13[[#Headers],[Comedy]],"*")),1,0)</f>
        <v>0</v>
      </c>
      <c r="M1331">
        <f>IF(COUNTIF($E1331, _xlfn.CONCAT("*",Table13[[#Headers],[Crime]],"*")),1,0)</f>
        <v>0</v>
      </c>
      <c r="N1331">
        <f>IF(COUNTIF($E1331, _xlfn.CONCAT("*",Table13[[#Headers],[Documentary]],"*")),1,0)</f>
        <v>0</v>
      </c>
      <c r="O1331">
        <f>IF(COUNTIF($E1331, _xlfn.CONCAT("*",Table13[[#Headers],[Drama]],"*")),1,0)</f>
        <v>1</v>
      </c>
      <c r="P1331">
        <f>IF(COUNTIF($E1331, _xlfn.CONCAT("*",Table13[[#Headers],[Family]],"*")),1,0)</f>
        <v>0</v>
      </c>
      <c r="Q1331">
        <f>IF(COUNTIF($E1331, _xlfn.CONCAT("*",Table13[[#Headers],[Fantasy]],"*")),1,0)</f>
        <v>0</v>
      </c>
      <c r="R1331">
        <f>IF(COUNTIF($E1331, _xlfn.CONCAT("*",Table13[[#Headers],[History]],"*")),1,0)</f>
        <v>0</v>
      </c>
      <c r="S1331">
        <f>IF(COUNTIF($E1331, _xlfn.CONCAT("*",Table13[[#Headers],[Horror]],"*")),1,0)</f>
        <v>0</v>
      </c>
      <c r="T1331">
        <f>IF(COUNTIF($E1331, _xlfn.CONCAT("*",Table13[[#Headers],[Music]],"*")),1,0)</f>
        <v>0</v>
      </c>
      <c r="U1331">
        <f>IF(COUNTIF($E1331, _xlfn.CONCAT("*",Table13[[#Headers],[Mystery]],"*")),1,0)</f>
        <v>0</v>
      </c>
      <c r="V1331">
        <f>IF(COUNTIF($E1331, _xlfn.CONCAT("*",Table13[[#Headers],[Romance]],"*")),1,0)</f>
        <v>1</v>
      </c>
      <c r="W1331">
        <f>IF(COUNTIF($E1331, _xlfn.CONCAT("*",Table13[[#Headers],[Science Fiction]],"*")),1,0)</f>
        <v>0</v>
      </c>
      <c r="X1331">
        <f>IF(COUNTIF($E1331, _xlfn.CONCAT("*",Table13[[#Headers],[TV Movie]],"*")),1,0)</f>
        <v>0</v>
      </c>
      <c r="Y1331">
        <f>IF(COUNTIF($E1331, _xlfn.CONCAT("*",Table13[[#Headers],[Thriller]],"*")),1,0)</f>
        <v>0</v>
      </c>
      <c r="Z1331">
        <f>IF(COUNTIF($E1331, _xlfn.CONCAT("*",Table13[[#Headers],[War]],"*")),1,0)</f>
        <v>0</v>
      </c>
      <c r="AA1331">
        <f>IF(COUNTIF($E1331, _xlfn.CONCAT("*",Table13[[#Headers],[Western]],"*")),1,0)</f>
        <v>0</v>
      </c>
    </row>
    <row r="1332" spans="1:27">
      <c r="A1332" t="s">
        <v>146</v>
      </c>
      <c r="B1332">
        <v>4</v>
      </c>
      <c r="C1332">
        <f>MAX(Table13[Rank])-Table13[[#This Row],[Rank]]</f>
        <v>260</v>
      </c>
      <c r="D1332" t="s">
        <v>1131</v>
      </c>
      <c r="E1332" t="s">
        <v>147</v>
      </c>
      <c r="F1332" s="1">
        <v>41712</v>
      </c>
      <c r="G1332">
        <f>YEAR(Table13[[#This Row],[Date]])</f>
        <v>2014</v>
      </c>
      <c r="H1332" t="s">
        <v>146</v>
      </c>
      <c r="I1332">
        <f>IF(COUNTIF($E1332, _xlfn.CONCAT("*",Table13[[#Headers],[Action]],"*")),1,0)</f>
        <v>0</v>
      </c>
      <c r="J1332">
        <f>IF(COUNTIF($E1332, _xlfn.CONCAT("*",Table13[[#Headers],[Adventure]],"*")),1,0)</f>
        <v>0</v>
      </c>
      <c r="K1332">
        <f>IF(COUNTIF($E1332, _xlfn.CONCAT("*",Table13[[#Headers],[Animation]],"*")),1,0)</f>
        <v>0</v>
      </c>
      <c r="L1332">
        <f>IF(COUNTIF($E1332, _xlfn.CONCAT("*",Table13[[#Headers],[Comedy]],"*")),1,0)</f>
        <v>0</v>
      </c>
      <c r="M1332">
        <f>IF(COUNTIF($E1332, _xlfn.CONCAT("*",Table13[[#Headers],[Crime]],"*")),1,0)</f>
        <v>0</v>
      </c>
      <c r="N1332">
        <f>IF(COUNTIF($E1332, _xlfn.CONCAT("*",Table13[[#Headers],[Documentary]],"*")),1,0)</f>
        <v>0</v>
      </c>
      <c r="O1332">
        <f>IF(COUNTIF($E1332, _xlfn.CONCAT("*",Table13[[#Headers],[Drama]],"*")),1,0)</f>
        <v>1</v>
      </c>
      <c r="P1332">
        <f>IF(COUNTIF($E1332, _xlfn.CONCAT("*",Table13[[#Headers],[Family]],"*")),1,0)</f>
        <v>0</v>
      </c>
      <c r="Q1332">
        <f>IF(COUNTIF($E1332, _xlfn.CONCAT("*",Table13[[#Headers],[Fantasy]],"*")),1,0)</f>
        <v>0</v>
      </c>
      <c r="R1332">
        <f>IF(COUNTIF($E1332, _xlfn.CONCAT("*",Table13[[#Headers],[History]],"*")),1,0)</f>
        <v>0</v>
      </c>
      <c r="S1332">
        <f>IF(COUNTIF($E1332, _xlfn.CONCAT("*",Table13[[#Headers],[Horror]],"*")),1,0)</f>
        <v>0</v>
      </c>
      <c r="T1332">
        <f>IF(COUNTIF($E1332, _xlfn.CONCAT("*",Table13[[#Headers],[Music]],"*")),1,0)</f>
        <v>0</v>
      </c>
      <c r="U1332">
        <f>IF(COUNTIF($E1332, _xlfn.CONCAT("*",Table13[[#Headers],[Mystery]],"*")),1,0)</f>
        <v>0</v>
      </c>
      <c r="V1332">
        <f>IF(COUNTIF($E1332, _xlfn.CONCAT("*",Table13[[#Headers],[Romance]],"*")),1,0)</f>
        <v>0</v>
      </c>
      <c r="W1332">
        <f>IF(COUNTIF($E1332, _xlfn.CONCAT("*",Table13[[#Headers],[Science Fiction]],"*")),1,0)</f>
        <v>1</v>
      </c>
      <c r="X1332">
        <f>IF(COUNTIF($E1332, _xlfn.CONCAT("*",Table13[[#Headers],[TV Movie]],"*")),1,0)</f>
        <v>0</v>
      </c>
      <c r="Y1332">
        <f>IF(COUNTIF($E1332, _xlfn.CONCAT("*",Table13[[#Headers],[Thriller]],"*")),1,0)</f>
        <v>1</v>
      </c>
      <c r="Z1332">
        <f>IF(COUNTIF($E1332, _xlfn.CONCAT("*",Table13[[#Headers],[War]],"*")),1,0)</f>
        <v>0</v>
      </c>
      <c r="AA1332">
        <f>IF(COUNTIF($E1332, _xlfn.CONCAT("*",Table13[[#Headers],[Western]],"*")),1,0)</f>
        <v>0</v>
      </c>
    </row>
    <row r="1333" spans="1:27">
      <c r="A1333" t="s">
        <v>1017</v>
      </c>
      <c r="B1333">
        <v>3</v>
      </c>
      <c r="C1333">
        <f>MAX(Table13[Rank])-Table13[[#This Row],[Rank]]</f>
        <v>261</v>
      </c>
      <c r="D1333" t="s">
        <v>1131</v>
      </c>
      <c r="E1333" t="s">
        <v>21</v>
      </c>
      <c r="F1333" s="1">
        <v>41795</v>
      </c>
      <c r="G1333">
        <f>YEAR(Table13[[#This Row],[Date]])</f>
        <v>2014</v>
      </c>
      <c r="H1333" t="s">
        <v>1017</v>
      </c>
      <c r="I1333">
        <f>IF(COUNTIF($E1333, _xlfn.CONCAT("*",Table13[[#Headers],[Action]],"*")),1,0)</f>
        <v>0</v>
      </c>
      <c r="J1333">
        <f>IF(COUNTIF($E1333, _xlfn.CONCAT("*",Table13[[#Headers],[Adventure]],"*")),1,0)</f>
        <v>0</v>
      </c>
      <c r="K1333">
        <f>IF(COUNTIF($E1333, _xlfn.CONCAT("*",Table13[[#Headers],[Animation]],"*")),1,0)</f>
        <v>0</v>
      </c>
      <c r="L1333">
        <f>IF(COUNTIF($E1333, _xlfn.CONCAT("*",Table13[[#Headers],[Comedy]],"*")),1,0)</f>
        <v>0</v>
      </c>
      <c r="M1333">
        <f>IF(COUNTIF($E1333, _xlfn.CONCAT("*",Table13[[#Headers],[Crime]],"*")),1,0)</f>
        <v>0</v>
      </c>
      <c r="N1333">
        <f>IF(COUNTIF($E1333, _xlfn.CONCAT("*",Table13[[#Headers],[Documentary]],"*")),1,0)</f>
        <v>0</v>
      </c>
      <c r="O1333">
        <f>IF(COUNTIF($E1333, _xlfn.CONCAT("*",Table13[[#Headers],[Drama]],"*")),1,0)</f>
        <v>1</v>
      </c>
      <c r="P1333">
        <f>IF(COUNTIF($E1333, _xlfn.CONCAT("*",Table13[[#Headers],[Family]],"*")),1,0)</f>
        <v>0</v>
      </c>
      <c r="Q1333">
        <f>IF(COUNTIF($E1333, _xlfn.CONCAT("*",Table13[[#Headers],[Fantasy]],"*")),1,0)</f>
        <v>0</v>
      </c>
      <c r="R1333">
        <f>IF(COUNTIF($E1333, _xlfn.CONCAT("*",Table13[[#Headers],[History]],"*")),1,0)</f>
        <v>0</v>
      </c>
      <c r="S1333">
        <f>IF(COUNTIF($E1333, _xlfn.CONCAT("*",Table13[[#Headers],[Horror]],"*")),1,0)</f>
        <v>0</v>
      </c>
      <c r="T1333">
        <f>IF(COUNTIF($E1333, _xlfn.CONCAT("*",Table13[[#Headers],[Music]],"*")),1,0)</f>
        <v>0</v>
      </c>
      <c r="U1333">
        <f>IF(COUNTIF($E1333, _xlfn.CONCAT("*",Table13[[#Headers],[Mystery]],"*")),1,0)</f>
        <v>0</v>
      </c>
      <c r="V1333">
        <f>IF(COUNTIF($E1333, _xlfn.CONCAT("*",Table13[[#Headers],[Romance]],"*")),1,0)</f>
        <v>0</v>
      </c>
      <c r="W1333">
        <f>IF(COUNTIF($E1333, _xlfn.CONCAT("*",Table13[[#Headers],[Science Fiction]],"*")),1,0)</f>
        <v>0</v>
      </c>
      <c r="X1333">
        <f>IF(COUNTIF($E1333, _xlfn.CONCAT("*",Table13[[#Headers],[TV Movie]],"*")),1,0)</f>
        <v>0</v>
      </c>
      <c r="Y1333">
        <f>IF(COUNTIF($E1333, _xlfn.CONCAT("*",Table13[[#Headers],[Thriller]],"*")),1,0)</f>
        <v>0</v>
      </c>
      <c r="Z1333">
        <f>IF(COUNTIF($E1333, _xlfn.CONCAT("*",Table13[[#Headers],[War]],"*")),1,0)</f>
        <v>0</v>
      </c>
      <c r="AA1333">
        <f>IF(COUNTIF($E1333, _xlfn.CONCAT("*",Table13[[#Headers],[Western]],"*")),1,0)</f>
        <v>0</v>
      </c>
    </row>
    <row r="1334" spans="1:27">
      <c r="A1334" t="s">
        <v>452</v>
      </c>
      <c r="B1334">
        <v>2</v>
      </c>
      <c r="C1334">
        <f>MAX(Table13[Rank])-Table13[[#This Row],[Rank]]</f>
        <v>262</v>
      </c>
      <c r="D1334" t="s">
        <v>1131</v>
      </c>
      <c r="E1334" t="s">
        <v>109</v>
      </c>
      <c r="F1334" s="1">
        <v>41565</v>
      </c>
      <c r="G1334">
        <f>YEAR(Table13[[#This Row],[Date]])</f>
        <v>2013</v>
      </c>
      <c r="H1334" t="s">
        <v>452</v>
      </c>
      <c r="I1334">
        <f>IF(COUNTIF($E1334, _xlfn.CONCAT("*",Table13[[#Headers],[Action]],"*")),1,0)</f>
        <v>0</v>
      </c>
      <c r="J1334">
        <f>IF(COUNTIF($E1334, _xlfn.CONCAT("*",Table13[[#Headers],[Adventure]],"*")),1,0)</f>
        <v>0</v>
      </c>
      <c r="K1334">
        <f>IF(COUNTIF($E1334, _xlfn.CONCAT("*",Table13[[#Headers],[Animation]],"*")),1,0)</f>
        <v>0</v>
      </c>
      <c r="L1334">
        <f>IF(COUNTIF($E1334, _xlfn.CONCAT("*",Table13[[#Headers],[Comedy]],"*")),1,0)</f>
        <v>0</v>
      </c>
      <c r="M1334">
        <f>IF(COUNTIF($E1334, _xlfn.CONCAT("*",Table13[[#Headers],[Crime]],"*")),1,0)</f>
        <v>0</v>
      </c>
      <c r="N1334">
        <f>IF(COUNTIF($E1334, _xlfn.CONCAT("*",Table13[[#Headers],[Documentary]],"*")),1,0)</f>
        <v>0</v>
      </c>
      <c r="O1334">
        <f>IF(COUNTIF($E1334, _xlfn.CONCAT("*",Table13[[#Headers],[Drama]],"*")),1,0)</f>
        <v>1</v>
      </c>
      <c r="P1334">
        <f>IF(COUNTIF($E1334, _xlfn.CONCAT("*",Table13[[#Headers],[Family]],"*")),1,0)</f>
        <v>0</v>
      </c>
      <c r="Q1334">
        <f>IF(COUNTIF($E1334, _xlfn.CONCAT("*",Table13[[#Headers],[Fantasy]],"*")),1,0)</f>
        <v>0</v>
      </c>
      <c r="R1334">
        <f>IF(COUNTIF($E1334, _xlfn.CONCAT("*",Table13[[#Headers],[History]],"*")),1,0)</f>
        <v>1</v>
      </c>
      <c r="S1334">
        <f>IF(COUNTIF($E1334, _xlfn.CONCAT("*",Table13[[#Headers],[Horror]],"*")),1,0)</f>
        <v>0</v>
      </c>
      <c r="T1334">
        <f>IF(COUNTIF($E1334, _xlfn.CONCAT("*",Table13[[#Headers],[Music]],"*")),1,0)</f>
        <v>0</v>
      </c>
      <c r="U1334">
        <f>IF(COUNTIF($E1334, _xlfn.CONCAT("*",Table13[[#Headers],[Mystery]],"*")),1,0)</f>
        <v>0</v>
      </c>
      <c r="V1334">
        <f>IF(COUNTIF($E1334, _xlfn.CONCAT("*",Table13[[#Headers],[Romance]],"*")),1,0)</f>
        <v>0</v>
      </c>
      <c r="W1334">
        <f>IF(COUNTIF($E1334, _xlfn.CONCAT("*",Table13[[#Headers],[Science Fiction]],"*")),1,0)</f>
        <v>0</v>
      </c>
      <c r="X1334">
        <f>IF(COUNTIF($E1334, _xlfn.CONCAT("*",Table13[[#Headers],[TV Movie]],"*")),1,0)</f>
        <v>0</v>
      </c>
      <c r="Y1334">
        <f>IF(COUNTIF($E1334, _xlfn.CONCAT("*",Table13[[#Headers],[Thriller]],"*")),1,0)</f>
        <v>0</v>
      </c>
      <c r="Z1334">
        <f>IF(COUNTIF($E1334, _xlfn.CONCAT("*",Table13[[#Headers],[War]],"*")),1,0)</f>
        <v>0</v>
      </c>
      <c r="AA1334">
        <f>IF(COUNTIF($E1334, _xlfn.CONCAT("*",Table13[[#Headers],[Western]],"*")),1,0)</f>
        <v>0</v>
      </c>
    </row>
    <row r="1335" spans="1:27">
      <c r="A1335" t="s">
        <v>234</v>
      </c>
      <c r="B1335">
        <v>1</v>
      </c>
      <c r="C1335">
        <f>MAX(Table13[Rank])-Table13[[#This Row],[Rank]]</f>
        <v>263</v>
      </c>
      <c r="D1335" t="s">
        <v>1131</v>
      </c>
      <c r="E1335" t="s">
        <v>21</v>
      </c>
      <c r="F1335" s="1">
        <v>39442</v>
      </c>
      <c r="G1335">
        <f>YEAR(Table13[[#This Row],[Date]])</f>
        <v>2007</v>
      </c>
      <c r="H1335" t="s">
        <v>234</v>
      </c>
      <c r="I1335">
        <f>IF(COUNTIF($E1335, _xlfn.CONCAT("*",Table13[[#Headers],[Action]],"*")),1,0)</f>
        <v>0</v>
      </c>
      <c r="J1335">
        <f>IF(COUNTIF($E1335, _xlfn.CONCAT("*",Table13[[#Headers],[Adventure]],"*")),1,0)</f>
        <v>0</v>
      </c>
      <c r="K1335">
        <f>IF(COUNTIF($E1335, _xlfn.CONCAT("*",Table13[[#Headers],[Animation]],"*")),1,0)</f>
        <v>0</v>
      </c>
      <c r="L1335">
        <f>IF(COUNTIF($E1335, _xlfn.CONCAT("*",Table13[[#Headers],[Comedy]],"*")),1,0)</f>
        <v>0</v>
      </c>
      <c r="M1335">
        <f>IF(COUNTIF($E1335, _xlfn.CONCAT("*",Table13[[#Headers],[Crime]],"*")),1,0)</f>
        <v>0</v>
      </c>
      <c r="N1335">
        <f>IF(COUNTIF($E1335, _xlfn.CONCAT("*",Table13[[#Headers],[Documentary]],"*")),1,0)</f>
        <v>0</v>
      </c>
      <c r="O1335">
        <f>IF(COUNTIF($E1335, _xlfn.CONCAT("*",Table13[[#Headers],[Drama]],"*")),1,0)</f>
        <v>1</v>
      </c>
      <c r="P1335">
        <f>IF(COUNTIF($E1335, _xlfn.CONCAT("*",Table13[[#Headers],[Family]],"*")),1,0)</f>
        <v>0</v>
      </c>
      <c r="Q1335">
        <f>IF(COUNTIF($E1335, _xlfn.CONCAT("*",Table13[[#Headers],[Fantasy]],"*")),1,0)</f>
        <v>0</v>
      </c>
      <c r="R1335">
        <f>IF(COUNTIF($E1335, _xlfn.CONCAT("*",Table13[[#Headers],[History]],"*")),1,0)</f>
        <v>0</v>
      </c>
      <c r="S1335">
        <f>IF(COUNTIF($E1335, _xlfn.CONCAT("*",Table13[[#Headers],[Horror]],"*")),1,0)</f>
        <v>0</v>
      </c>
      <c r="T1335">
        <f>IF(COUNTIF($E1335, _xlfn.CONCAT("*",Table13[[#Headers],[Music]],"*")),1,0)</f>
        <v>0</v>
      </c>
      <c r="U1335">
        <f>IF(COUNTIF($E1335, _xlfn.CONCAT("*",Table13[[#Headers],[Mystery]],"*")),1,0)</f>
        <v>0</v>
      </c>
      <c r="V1335">
        <f>IF(COUNTIF($E1335, _xlfn.CONCAT("*",Table13[[#Headers],[Romance]],"*")),1,0)</f>
        <v>0</v>
      </c>
      <c r="W1335">
        <f>IF(COUNTIF($E1335, _xlfn.CONCAT("*",Table13[[#Headers],[Science Fiction]],"*")),1,0)</f>
        <v>0</v>
      </c>
      <c r="X1335">
        <f>IF(COUNTIF($E1335, _xlfn.CONCAT("*",Table13[[#Headers],[TV Movie]],"*")),1,0)</f>
        <v>0</v>
      </c>
      <c r="Y1335">
        <f>IF(COUNTIF($E1335, _xlfn.CONCAT("*",Table13[[#Headers],[Thriller]],"*")),1,0)</f>
        <v>0</v>
      </c>
      <c r="Z1335">
        <f>IF(COUNTIF($E1335, _xlfn.CONCAT("*",Table13[[#Headers],[War]],"*")),1,0)</f>
        <v>0</v>
      </c>
      <c r="AA1335">
        <f>IF(COUNTIF($E1335, _xlfn.CONCAT("*",Table13[[#Headers],[Western]],"*")),1,0)</f>
        <v>0</v>
      </c>
    </row>
  </sheetData>
  <conditionalFormatting sqref="H2:H1335">
    <cfRule type="cellIs" dxfId="7" priority="1" operator="equal">
      <formula>"""Z"""</formula>
    </cfRule>
  </conditionalFormatting>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DF493-1A41-4CED-B5C6-AB2FB2128DCC}">
  <sheetPr codeName="Sheet5"/>
  <dimension ref="A1:P21"/>
  <sheetViews>
    <sheetView tabSelected="1" zoomScale="115" zoomScaleNormal="115" workbookViewId="0">
      <selection activeCell="B1" sqref="B1"/>
    </sheetView>
  </sheetViews>
  <sheetFormatPr defaultRowHeight="15"/>
  <cols>
    <col min="1" max="10" width="9.140625" style="10"/>
    <col min="11" max="11" width="26.85546875" style="10" customWidth="1"/>
    <col min="12" max="12" width="9.140625" style="10"/>
    <col min="13" max="13" width="13.28515625" style="10" bestFit="1" customWidth="1"/>
    <col min="14" max="15" width="9.140625" style="10"/>
    <col min="16" max="16" width="14" style="10" bestFit="1" customWidth="1"/>
    <col min="17" max="16384" width="9.140625" style="10"/>
  </cols>
  <sheetData>
    <row r="1" spans="1:16" ht="23.25">
      <c r="A1" s="10" t="str">
        <f>_xlfn.CONCAT("Top 10 ",B1)</f>
        <v>Top 10 Action movies</v>
      </c>
      <c r="B1" s="10" t="s">
        <v>1317</v>
      </c>
      <c r="K1" s="19" t="s">
        <v>1316</v>
      </c>
      <c r="M1" s="11"/>
      <c r="N1" s="12"/>
    </row>
    <row r="2" spans="1:16">
      <c r="K2" s="9" t="str">
        <f>Table6[[#This Row],[Genre List]]</f>
        <v>Action</v>
      </c>
    </row>
    <row r="3" spans="1:16">
      <c r="K3" s="9" t="str">
        <f>Table6[[#This Row],[Genre List]]</f>
        <v>Adventure</v>
      </c>
    </row>
    <row r="4" spans="1:16">
      <c r="K4" s="9" t="str">
        <f>Table6[[#This Row],[Genre List]]</f>
        <v>Animation</v>
      </c>
    </row>
    <row r="5" spans="1:16">
      <c r="K5" s="9" t="str">
        <f>Table6[[#This Row],[Genre List]]</f>
        <v>Comedy</v>
      </c>
    </row>
    <row r="6" spans="1:16">
      <c r="K6" s="9" t="str">
        <f>Table6[[#This Row],[Genre List]]</f>
        <v>Crime</v>
      </c>
    </row>
    <row r="7" spans="1:16">
      <c r="K7" s="9" t="str">
        <f>Table6[[#This Row],[Genre List]]</f>
        <v>Documentary</v>
      </c>
    </row>
    <row r="8" spans="1:16">
      <c r="K8" s="9" t="str">
        <f>Table6[[#This Row],[Genre List]]</f>
        <v>Drama</v>
      </c>
      <c r="P8" s="14"/>
    </row>
    <row r="9" spans="1:16">
      <c r="K9" s="9" t="str">
        <f>Table6[[#This Row],[Genre List]]</f>
        <v>Family</v>
      </c>
    </row>
    <row r="10" spans="1:16">
      <c r="K10" s="9" t="str">
        <f>Table6[[#This Row],[Genre List]]</f>
        <v>Fantasy</v>
      </c>
    </row>
    <row r="11" spans="1:16">
      <c r="K11" s="9" t="str">
        <f>Table6[[#This Row],[Genre List]]</f>
        <v>History</v>
      </c>
    </row>
    <row r="12" spans="1:16">
      <c r="K12" s="9" t="str">
        <f>Table6[[#This Row],[Genre List]]</f>
        <v>Horror</v>
      </c>
    </row>
    <row r="13" spans="1:16">
      <c r="K13" s="9" t="str">
        <f>Table6[[#This Row],[Genre List]]</f>
        <v>Music</v>
      </c>
    </row>
    <row r="14" spans="1:16">
      <c r="K14" s="9" t="str">
        <f>Table6[[#This Row],[Genre List]]</f>
        <v>Mystery</v>
      </c>
    </row>
    <row r="15" spans="1:16">
      <c r="K15" s="9" t="str">
        <f>Table6[[#This Row],[Genre List]]</f>
        <v>Romance</v>
      </c>
    </row>
    <row r="16" spans="1:16">
      <c r="K16" s="9" t="str">
        <f>Table6[[#This Row],[Genre List]]</f>
        <v>Science Fiction</v>
      </c>
    </row>
    <row r="17" spans="11:11">
      <c r="K17" s="9" t="str">
        <f>Table6[[#This Row],[Genre List]]</f>
        <v>TV Movie</v>
      </c>
    </row>
    <row r="18" spans="11:11">
      <c r="K18" s="9" t="str">
        <f>Table6[[#This Row],[Genre List]]</f>
        <v>Thriller</v>
      </c>
    </row>
    <row r="19" spans="11:11">
      <c r="K19" s="9" t="str">
        <f>Table6[[#This Row],[Genre List]]</f>
        <v>War</v>
      </c>
    </row>
    <row r="20" spans="11:11">
      <c r="K20" s="9" t="str">
        <f>Table6[[#This Row],[Genre List]]</f>
        <v>Western</v>
      </c>
    </row>
    <row r="21" spans="11:11">
      <c r="K21" s="13"/>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919D9-9B0E-4588-8842-ECEF6BE3CE99}">
  <sheetPr codeName="Sheet2"/>
  <dimension ref="A1:E33"/>
  <sheetViews>
    <sheetView topLeftCell="A10" workbookViewId="0">
      <selection activeCell="A23" sqref="A23"/>
    </sheetView>
  </sheetViews>
  <sheetFormatPr defaultRowHeight="15"/>
  <cols>
    <col min="1" max="1" width="45" bestFit="1" customWidth="1"/>
    <col min="2" max="2" width="13.28515625" bestFit="1" customWidth="1"/>
    <col min="3" max="3" width="13.5703125" bestFit="1" customWidth="1"/>
    <col min="5" max="5" width="14.28515625" bestFit="1" customWidth="1"/>
  </cols>
  <sheetData>
    <row r="1" spans="1:5">
      <c r="A1" s="7" t="s">
        <v>1234</v>
      </c>
      <c r="B1" t="s">
        <v>1259</v>
      </c>
      <c r="D1" t="s">
        <v>1253</v>
      </c>
      <c r="E1" t="s">
        <v>1234</v>
      </c>
    </row>
    <row r="2" spans="1:5">
      <c r="A2" s="7" t="s">
        <v>1232</v>
      </c>
      <c r="B2" s="8">
        <v>1</v>
      </c>
    </row>
    <row r="3" spans="1:5">
      <c r="A3" s="7" t="s">
        <v>1235</v>
      </c>
      <c r="B3" t="s">
        <v>1259</v>
      </c>
    </row>
    <row r="4" spans="1:5">
      <c r="A4" s="7" t="s">
        <v>1236</v>
      </c>
      <c r="B4" t="s">
        <v>1259</v>
      </c>
    </row>
    <row r="5" spans="1:5">
      <c r="A5" s="7" t="s">
        <v>1237</v>
      </c>
      <c r="B5" t="s">
        <v>1259</v>
      </c>
    </row>
    <row r="6" spans="1:5">
      <c r="A6" s="7" t="s">
        <v>1238</v>
      </c>
      <c r="B6" t="s">
        <v>1259</v>
      </c>
    </row>
    <row r="7" spans="1:5">
      <c r="A7" s="7" t="s">
        <v>1233</v>
      </c>
      <c r="B7" t="s">
        <v>1259</v>
      </c>
    </row>
    <row r="8" spans="1:5">
      <c r="A8" s="7" t="s">
        <v>1239</v>
      </c>
      <c r="B8" t="s">
        <v>1259</v>
      </c>
    </row>
    <row r="9" spans="1:5">
      <c r="A9" s="7" t="s">
        <v>1240</v>
      </c>
      <c r="B9" t="s">
        <v>1259</v>
      </c>
    </row>
    <row r="10" spans="1:5">
      <c r="A10" s="7" t="s">
        <v>1241</v>
      </c>
      <c r="B10" t="s">
        <v>1259</v>
      </c>
    </row>
    <row r="11" spans="1:5">
      <c r="A11" s="7" t="s">
        <v>1242</v>
      </c>
      <c r="B11" t="s">
        <v>1259</v>
      </c>
    </row>
    <row r="12" spans="1:5">
      <c r="A12" s="7" t="s">
        <v>1243</v>
      </c>
      <c r="B12" t="s">
        <v>1259</v>
      </c>
    </row>
    <row r="13" spans="1:5">
      <c r="A13" s="7" t="s">
        <v>1244</v>
      </c>
      <c r="B13" t="s">
        <v>1259</v>
      </c>
    </row>
    <row r="14" spans="1:5">
      <c r="A14" s="7" t="s">
        <v>1245</v>
      </c>
      <c r="B14" t="s">
        <v>1259</v>
      </c>
    </row>
    <row r="15" spans="1:5">
      <c r="A15" s="7" t="s">
        <v>1246</v>
      </c>
      <c r="B15" t="s">
        <v>1259</v>
      </c>
    </row>
    <row r="16" spans="1:5">
      <c r="A16" s="7" t="s">
        <v>1247</v>
      </c>
      <c r="B16" t="s">
        <v>1259</v>
      </c>
    </row>
    <row r="17" spans="1:2">
      <c r="A17" s="7" t="s">
        <v>1248</v>
      </c>
      <c r="B17" t="s">
        <v>1259</v>
      </c>
    </row>
    <row r="18" spans="1:2">
      <c r="A18" s="7" t="s">
        <v>1249</v>
      </c>
      <c r="B18" t="s">
        <v>1259</v>
      </c>
    </row>
    <row r="19" spans="1:2">
      <c r="A19" s="7" t="s">
        <v>1250</v>
      </c>
      <c r="B19" t="s">
        <v>1259</v>
      </c>
    </row>
    <row r="20" spans="1:2">
      <c r="A20" s="7" t="s">
        <v>3</v>
      </c>
      <c r="B20" t="s">
        <v>1259</v>
      </c>
    </row>
    <row r="22" spans="1:2">
      <c r="A22" s="7" t="s">
        <v>1255</v>
      </c>
      <c r="B22" t="s">
        <v>1258</v>
      </c>
    </row>
    <row r="23" spans="1:2">
      <c r="A23" s="8" t="s">
        <v>110</v>
      </c>
      <c r="B23" s="20">
        <v>1</v>
      </c>
    </row>
    <row r="24" spans="1:2">
      <c r="A24" s="8" t="s">
        <v>619</v>
      </c>
      <c r="B24" s="20">
        <v>2</v>
      </c>
    </row>
    <row r="25" spans="1:2">
      <c r="A25" s="8" t="s">
        <v>232</v>
      </c>
      <c r="B25" s="20">
        <v>3</v>
      </c>
    </row>
    <row r="26" spans="1:2">
      <c r="A26" s="8" t="s">
        <v>90</v>
      </c>
      <c r="B26" s="20">
        <v>4</v>
      </c>
    </row>
    <row r="27" spans="1:2">
      <c r="A27" s="8" t="s">
        <v>673</v>
      </c>
      <c r="B27" s="20">
        <v>5</v>
      </c>
    </row>
    <row r="28" spans="1:2">
      <c r="A28" s="8" t="s">
        <v>629</v>
      </c>
      <c r="B28" s="20">
        <v>6</v>
      </c>
    </row>
    <row r="29" spans="1:2">
      <c r="A29" s="8" t="s">
        <v>478</v>
      </c>
      <c r="B29" s="20">
        <v>7</v>
      </c>
    </row>
    <row r="30" spans="1:2">
      <c r="A30" s="8" t="s">
        <v>48</v>
      </c>
      <c r="B30" s="20">
        <v>8</v>
      </c>
    </row>
    <row r="31" spans="1:2">
      <c r="A31" s="8" t="s">
        <v>374</v>
      </c>
      <c r="B31" s="20">
        <v>9</v>
      </c>
    </row>
    <row r="32" spans="1:2">
      <c r="A32" s="8" t="s">
        <v>440</v>
      </c>
      <c r="B32" s="20">
        <v>10</v>
      </c>
    </row>
    <row r="33" spans="1:2">
      <c r="A33" s="8" t="s">
        <v>1256</v>
      </c>
      <c r="B33" s="20"/>
    </row>
  </sheetData>
  <dataValidations count="1">
    <dataValidation type="list" allowBlank="1" showInputMessage="1" showErrorMessage="1" sqref="E1" xr:uid="{77E2B293-21D8-4DB0-84EA-BBC7F8BB43A1}">
      <formula1>$A$1:$A$19</formula1>
    </dataValidation>
  </dataValidation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DFF9B-5127-43DD-BEBA-D142110CE6FF}">
  <sheetPr codeName="Sheet6"/>
  <dimension ref="A3:B14"/>
  <sheetViews>
    <sheetView workbookViewId="0">
      <selection activeCell="A8" sqref="A8"/>
    </sheetView>
  </sheetViews>
  <sheetFormatPr defaultRowHeight="15"/>
  <cols>
    <col min="1" max="1" width="19.5703125" bestFit="1" customWidth="1"/>
    <col min="2" max="2" width="13.28515625" bestFit="1" customWidth="1"/>
  </cols>
  <sheetData>
    <row r="3" spans="1:2">
      <c r="A3" s="7" t="s">
        <v>1255</v>
      </c>
      <c r="B3" t="s">
        <v>1258</v>
      </c>
    </row>
    <row r="4" spans="1:2">
      <c r="A4" s="8" t="s">
        <v>374</v>
      </c>
      <c r="B4">
        <v>1</v>
      </c>
    </row>
    <row r="5" spans="1:2">
      <c r="A5" s="8" t="s">
        <v>257</v>
      </c>
      <c r="B5">
        <v>2</v>
      </c>
    </row>
    <row r="6" spans="1:2">
      <c r="A6" s="8" t="s">
        <v>357</v>
      </c>
      <c r="B6">
        <v>3</v>
      </c>
    </row>
    <row r="7" spans="1:2">
      <c r="A7" s="8" t="s">
        <v>440</v>
      </c>
      <c r="B7">
        <v>4</v>
      </c>
    </row>
    <row r="8" spans="1:2">
      <c r="A8" s="8" t="s">
        <v>216</v>
      </c>
      <c r="B8">
        <v>5</v>
      </c>
    </row>
    <row r="9" spans="1:2">
      <c r="A9" s="8" t="s">
        <v>317</v>
      </c>
      <c r="B9">
        <v>6</v>
      </c>
    </row>
    <row r="10" spans="1:2">
      <c r="A10" s="8" t="s">
        <v>376</v>
      </c>
      <c r="B10">
        <v>7</v>
      </c>
    </row>
    <row r="11" spans="1:2">
      <c r="A11" s="8" t="s">
        <v>316</v>
      </c>
      <c r="B11">
        <v>8</v>
      </c>
    </row>
    <row r="12" spans="1:2">
      <c r="A12" s="8" t="s">
        <v>395</v>
      </c>
      <c r="B12">
        <v>9</v>
      </c>
    </row>
    <row r="13" spans="1:2">
      <c r="A13" s="8" t="s">
        <v>384</v>
      </c>
      <c r="B13">
        <v>10</v>
      </c>
    </row>
    <row r="14" spans="1:2">
      <c r="A14" s="8" t="s">
        <v>1256</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A14A5-FF25-4ED1-8960-0184E8B9FFC9}">
  <dimension ref="A3:B12"/>
  <sheetViews>
    <sheetView workbookViewId="0">
      <selection activeCell="A3" sqref="A3"/>
    </sheetView>
  </sheetViews>
  <sheetFormatPr defaultRowHeight="15"/>
  <cols>
    <col min="1" max="1" width="23.5703125" bestFit="1" customWidth="1"/>
    <col min="2" max="2" width="13.28515625" bestFit="1" customWidth="1"/>
  </cols>
  <sheetData>
    <row r="3" spans="1:2">
      <c r="A3" s="7" t="s">
        <v>1255</v>
      </c>
      <c r="B3" t="s">
        <v>1258</v>
      </c>
    </row>
    <row r="4" spans="1:2">
      <c r="A4" s="8" t="s">
        <v>66</v>
      </c>
      <c r="B4" s="20">
        <v>1</v>
      </c>
    </row>
    <row r="5" spans="1:2">
      <c r="A5" s="8" t="s">
        <v>193</v>
      </c>
      <c r="B5" s="20">
        <v>2</v>
      </c>
    </row>
    <row r="6" spans="1:2">
      <c r="A6" s="8" t="s">
        <v>443</v>
      </c>
      <c r="B6" s="20">
        <v>3</v>
      </c>
    </row>
    <row r="7" spans="1:2">
      <c r="A7" s="8" t="s">
        <v>546</v>
      </c>
      <c r="B7" s="20">
        <v>4</v>
      </c>
    </row>
    <row r="8" spans="1:2">
      <c r="A8" s="8" t="s">
        <v>450</v>
      </c>
      <c r="B8" s="20">
        <v>5</v>
      </c>
    </row>
    <row r="9" spans="1:2">
      <c r="A9" s="8" t="s">
        <v>918</v>
      </c>
      <c r="B9" s="20">
        <v>6</v>
      </c>
    </row>
    <row r="10" spans="1:2">
      <c r="A10" s="8" t="s">
        <v>449</v>
      </c>
      <c r="B10" s="20">
        <v>7</v>
      </c>
    </row>
    <row r="11" spans="1:2">
      <c r="A11" s="8" t="s">
        <v>472</v>
      </c>
      <c r="B11" s="20">
        <v>8</v>
      </c>
    </row>
    <row r="12" spans="1:2">
      <c r="A12" s="8" t="s">
        <v>1256</v>
      </c>
      <c r="B12" s="20"/>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C21"/>
  <sheetViews>
    <sheetView workbookViewId="0">
      <selection activeCell="F9" sqref="F9"/>
    </sheetView>
  </sheetViews>
  <sheetFormatPr defaultRowHeight="15"/>
  <cols>
    <col min="1" max="1" width="14" bestFit="1" customWidth="1"/>
    <col min="6" max="6" width="15.7109375" customWidth="1"/>
  </cols>
  <sheetData>
    <row r="1" spans="1:3">
      <c r="A1" t="s">
        <v>1251</v>
      </c>
    </row>
    <row r="2" spans="1:3">
      <c r="A2" s="2" t="s">
        <v>1232</v>
      </c>
      <c r="C2" s="4"/>
    </row>
    <row r="3" spans="1:3">
      <c r="A3" s="3" t="s">
        <v>1234</v>
      </c>
    </row>
    <row r="4" spans="1:3">
      <c r="A4" s="2" t="s">
        <v>1235</v>
      </c>
    </row>
    <row r="5" spans="1:3">
      <c r="A5" s="4" t="s">
        <v>1236</v>
      </c>
    </row>
    <row r="6" spans="1:3">
      <c r="A6" s="5" t="s">
        <v>1237</v>
      </c>
    </row>
    <row r="7" spans="1:3">
      <c r="A7" s="4" t="s">
        <v>1238</v>
      </c>
    </row>
    <row r="8" spans="1:3">
      <c r="A8" s="5" t="s">
        <v>1233</v>
      </c>
    </row>
    <row r="9" spans="1:3">
      <c r="A9" s="4" t="s">
        <v>1239</v>
      </c>
    </row>
    <row r="10" spans="1:3">
      <c r="A10" s="5" t="s">
        <v>1240</v>
      </c>
    </row>
    <row r="11" spans="1:3">
      <c r="A11" s="4" t="s">
        <v>1241</v>
      </c>
    </row>
    <row r="12" spans="1:3">
      <c r="A12" s="5" t="s">
        <v>1242</v>
      </c>
    </row>
    <row r="13" spans="1:3">
      <c r="A13" s="4" t="s">
        <v>1243</v>
      </c>
    </row>
    <row r="14" spans="1:3">
      <c r="A14" s="5" t="s">
        <v>1244</v>
      </c>
    </row>
    <row r="15" spans="1:3">
      <c r="A15" s="4" t="s">
        <v>1245</v>
      </c>
    </row>
    <row r="16" spans="1:3">
      <c r="A16" s="5" t="s">
        <v>1246</v>
      </c>
    </row>
    <row r="17" spans="1:3">
      <c r="A17" s="4" t="s">
        <v>1247</v>
      </c>
    </row>
    <row r="18" spans="1:3">
      <c r="A18" s="5" t="s">
        <v>1248</v>
      </c>
    </row>
    <row r="19" spans="1:3">
      <c r="A19" s="4" t="s">
        <v>1249</v>
      </c>
    </row>
    <row r="20" spans="1:3">
      <c r="A20" s="6" t="s">
        <v>1250</v>
      </c>
    </row>
    <row r="21" spans="1:3">
      <c r="C21" s="5" t="s">
        <v>1242</v>
      </c>
    </row>
  </sheetData>
  <pageMargins left="0.7" right="0.7" top="0.75" bottom="0.75" header="0.3" footer="0.3"/>
  <drawing r:id="rId1"/>
  <legacyDrawing r:id="rId2"/>
  <controls>
    <mc:AlternateContent xmlns:mc="http://schemas.openxmlformats.org/markup-compatibility/2006">
      <mc:Choice Requires="x14">
        <control shapeId="5123" r:id="rId3" name="ScrollBar1">
          <controlPr defaultSize="0" autoLine="0" r:id="rId4">
            <anchor moveWithCells="1">
              <from>
                <xdr:col>6</xdr:col>
                <xdr:colOff>438150</xdr:colOff>
                <xdr:row>1</xdr:row>
                <xdr:rowOff>152400</xdr:rowOff>
              </from>
              <to>
                <xdr:col>7</xdr:col>
                <xdr:colOff>19050</xdr:colOff>
                <xdr:row>20</xdr:row>
                <xdr:rowOff>152400</xdr:rowOff>
              </to>
            </anchor>
          </controlPr>
        </control>
      </mc:Choice>
      <mc:Fallback>
        <control shapeId="5123" r:id="rId3" name="ScrollBar1"/>
      </mc:Fallback>
    </mc:AlternateContent>
    <mc:AlternateContent xmlns:mc="http://schemas.openxmlformats.org/markup-compatibility/2006">
      <mc:Choice Requires="x14">
        <control shapeId="5125" r:id="rId5" name="Scroll Bar 5">
          <controlPr defaultSize="0" autoPict="0">
            <anchor moveWithCells="1">
              <from>
                <xdr:col>7</xdr:col>
                <xdr:colOff>180975</xdr:colOff>
                <xdr:row>1</xdr:row>
                <xdr:rowOff>114300</xdr:rowOff>
              </from>
              <to>
                <xdr:col>7</xdr:col>
                <xdr:colOff>342900</xdr:colOff>
                <xdr:row>11</xdr:row>
                <xdr:rowOff>47625</xdr:rowOff>
              </to>
            </anchor>
          </controlPr>
        </control>
      </mc:Choice>
    </mc:AlternateContent>
  </controls>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Sheet1</vt:lpstr>
      <vt:lpstr>Dashboard</vt:lpstr>
      <vt:lpstr>Sheet2</vt:lpstr>
      <vt:lpstr>Top 10 all time</vt:lpstr>
      <vt:lpstr>Top of the year</vt:lpstr>
      <vt:lpstr>Sheet4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Nour Anwar</dc:creator>
  <cp:lastModifiedBy>Nour Anwar</cp:lastModifiedBy>
  <dcterms:created xsi:type="dcterms:W3CDTF">2023-11-10T21:01:22Z</dcterms:created>
  <dcterms:modified xsi:type="dcterms:W3CDTF">2023-11-13T15:53:32Z</dcterms:modified>
</cp:coreProperties>
</file>